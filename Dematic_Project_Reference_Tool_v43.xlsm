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1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  <sheet name="Change Log" sheetId="7" state="visible" r:id="rId7"/>
  </sheets>
  <definedNames/>
  <calcPr calcId="191029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BA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BB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BC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BD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BE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BF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BG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BH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BI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BJ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BK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BL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BM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7">
    <numFmt numFmtId="164" formatCode="#,##0.00&quot; M&quot;"/>
    <numFmt numFmtId="165" formatCode="0.0%"/>
    <numFmt numFmtId="166" formatCode="0.000000"/>
    <numFmt numFmtId="167" formatCode="#,##0.0000"/>
    <numFmt numFmtId="168" formatCode="yyyy\-mm\-dd"/>
    <numFmt numFmtId="169" formatCode="\+0.0%;\-0.0%;0.0%"/>
    <numFmt numFmtId="170" formatCode="\+0;\-0;0"/>
  </numFmts>
  <fonts count="42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Arial"/>
      <family val="2"/>
      <color rgb="FF0000FF"/>
      <sz val="10"/>
    </font>
    <font>
      <name val="Arial"/>
      <family val="2"/>
      <i val="1"/>
      <color rgb="FF595959"/>
      <sz val="9"/>
    </font>
    <font>
      <name val="Arial"/>
      <family val="2"/>
      <i val="1"/>
      <color rgb="FF808080"/>
      <sz val="9"/>
    </font>
    <font>
      <name val="Arial"/>
      <family val="2"/>
      <b val="1"/>
      <color rgb="FF1D1D1B"/>
      <sz val="10"/>
    </font>
    <font>
      <name val="Arial"/>
      <family val="2"/>
      <b val="1"/>
      <color rgb="FFFFFFFF"/>
      <sz val="9"/>
    </font>
    <font>
      <name val="Arial"/>
      <family val="2"/>
      <color rgb="FFFBBC1E"/>
      <sz val="8"/>
    </font>
    <font>
      <name val="Arial"/>
      <family val="2"/>
      <b val="1"/>
      <color rgb="FF1D1D1B"/>
      <sz val="8"/>
    </font>
    <font>
      <name val="Arial"/>
      <charset val="1"/>
      <family val="2"/>
      <b val="1"/>
      <color rgb="FF4A4A6A"/>
      <sz val="12"/>
    </font>
  </fonts>
  <fills count="32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  <fill>
      <patternFill patternType="solid">
        <fgColor rgb="FF1A3A5C"/>
      </patternFill>
    </fill>
    <fill>
      <patternFill patternType="solid">
        <fgColor rgb="FF4A4A6A"/>
      </patternFill>
    </fill>
    <fill>
      <patternFill patternType="solid">
        <fgColor rgb="FFC8931A"/>
      </patternFill>
    </fill>
    <fill>
      <patternFill patternType="solid">
        <fgColor rgb="FF0D2238"/>
      </patternFill>
    </fill>
  </fills>
  <borders count="40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</borders>
  <cellStyleXfs count="1">
    <xf numFmtId="0" fontId="0" fillId="22" borderId="1"/>
  </cellStyleXfs>
  <cellXfs count="184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2" fillId="14" borderId="0" pivotButton="0" quotePrefix="0" xfId="0"/>
    <xf numFmtId="0" fontId="12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5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5" fillId="12" borderId="8" applyAlignment="1" pivotButton="0" quotePrefix="0" xfId="0">
      <alignment horizontal="left" vertical="center" wrapText="1"/>
    </xf>
    <xf numFmtId="0" fontId="5" fillId="12" borderId="8" applyAlignment="1" pivotButton="0" quotePrefix="0" xfId="0">
      <alignment horizontal="center" vertical="center" wrapText="1"/>
    </xf>
    <xf numFmtId="0" fontId="6" fillId="13" borderId="8" applyAlignment="1" pivotButton="0" quotePrefix="0" xfId="0">
      <alignment horizontal="center" vertical="center" wrapText="1"/>
    </xf>
    <xf numFmtId="164" fontId="5" fillId="12" borderId="8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center" vertical="center" wrapText="1"/>
    </xf>
    <xf numFmtId="165" fontId="5" fillId="12" borderId="9" applyAlignment="1" pivotButton="0" quotePrefix="0" xfId="0">
      <alignment horizontal="center" vertical="center" wrapText="1"/>
    </xf>
    <xf numFmtId="0" fontId="5" fillId="14" borderId="8" applyAlignment="1" pivotButton="0" quotePrefix="0" xfId="0">
      <alignment horizontal="left" vertical="center" wrapText="1"/>
    </xf>
    <xf numFmtId="0" fontId="5" fillId="14" borderId="8" applyAlignment="1" pivotButton="0" quotePrefix="0" xfId="0">
      <alignment horizontal="center" vertical="center" wrapText="1"/>
    </xf>
    <xf numFmtId="164" fontId="5" fillId="14" borderId="8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center" vertical="center" wrapText="1"/>
    </xf>
    <xf numFmtId="165" fontId="5" fillId="14" borderId="8" applyAlignment="1" pivotButton="0" quotePrefix="0" xfId="0">
      <alignment horizontal="center" vertical="center" wrapText="1"/>
    </xf>
    <xf numFmtId="165" fontId="5" fillId="12" borderId="8" applyAlignment="1" pivotButton="0" quotePrefix="0" xfId="0">
      <alignment horizontal="center" vertical="center" wrapText="1"/>
    </xf>
    <xf numFmtId="0" fontId="6" fillId="9" borderId="4" applyAlignment="1" pivotButton="0" quotePrefix="0" xfId="0">
      <alignment horizontal="center" vertical="center" wrapText="1"/>
    </xf>
    <xf numFmtId="0" fontId="9" fillId="5" borderId="4" applyAlignment="1" pivotButton="0" quotePrefix="0" xfId="0">
      <alignment horizontal="left" vertical="center" wrapText="1"/>
    </xf>
    <xf numFmtId="0" fontId="10" fillId="15" borderId="10" applyAlignment="1" applyProtection="1" pivotButton="0" quotePrefix="0" xfId="0">
      <alignment horizontal="center" vertical="center" wrapText="1"/>
      <protection locked="0" hidden="0"/>
    </xf>
    <xf numFmtId="0" fontId="5" fillId="16" borderId="8" applyAlignment="1" pivotButton="0" quotePrefix="0" xfId="0">
      <alignment horizontal="left" vertical="center" wrapText="1"/>
    </xf>
    <xf numFmtId="0" fontId="11" fillId="15" borderId="10" applyAlignment="1" applyProtection="1" pivotButton="0" quotePrefix="0" xfId="0">
      <alignment horizontal="center" vertical="center" wrapText="1"/>
      <protection locked="0" hidden="0"/>
    </xf>
    <xf numFmtId="3" fontId="11" fillId="15" borderId="10" applyAlignment="1" applyProtection="1" pivotButton="0" quotePrefix="0" xfId="0">
      <alignment horizontal="center" vertical="center" wrapText="1"/>
      <protection locked="0" hidden="0"/>
    </xf>
    <xf numFmtId="0" fontId="9" fillId="6" borderId="4" applyAlignment="1" pivotButton="0" quotePrefix="0" xfId="0">
      <alignment horizontal="left" vertical="center" wrapText="1"/>
    </xf>
    <xf numFmtId="0" fontId="9" fillId="7" borderId="4" applyAlignment="1" pivotButton="0" quotePrefix="0" xfId="0">
      <alignment horizontal="left" vertical="center" wrapText="1"/>
    </xf>
    <xf numFmtId="0" fontId="9" fillId="8" borderId="4" applyAlignment="1" pivotButton="0" quotePrefix="0" xfId="0">
      <alignment horizontal="left" vertical="center" wrapText="1"/>
    </xf>
    <xf numFmtId="0" fontId="9" fillId="9" borderId="4" applyAlignment="1" pivotButton="0" quotePrefix="0" xfId="0">
      <alignment horizontal="left" vertical="center" wrapText="1"/>
    </xf>
    <xf numFmtId="3" fontId="11" fillId="15" borderId="11" applyAlignment="1" applyProtection="1" pivotButton="0" quotePrefix="0" xfId="0">
      <alignment horizontal="center" vertical="center" wrapText="1"/>
      <protection locked="0" hidden="0"/>
    </xf>
    <xf numFmtId="0" fontId="5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3" fillId="17" borderId="4" applyAlignment="1" pivotButton="0" quotePrefix="0" xfId="0">
      <alignment horizontal="left" vertical="center" wrapText="1"/>
    </xf>
    <xf numFmtId="0" fontId="5" fillId="16" borderId="13" applyAlignment="1" pivotButton="0" quotePrefix="0" xfId="0">
      <alignment horizontal="left" vertical="center" wrapText="1"/>
    </xf>
    <xf numFmtId="0" fontId="14" fillId="20" borderId="15" pivotButton="0" quotePrefix="0" xfId="0"/>
    <xf numFmtId="0" fontId="10" fillId="4" borderId="8" applyAlignment="1" pivotButton="0" quotePrefix="0" xfId="0">
      <alignment horizontal="center" vertical="center" wrapText="1"/>
    </xf>
    <xf numFmtId="0" fontId="6" fillId="13" borderId="8" applyAlignment="1" pivotButton="0" quotePrefix="0" xfId="0">
      <alignment horizontal="left" vertical="center" wrapText="1"/>
    </xf>
    <xf numFmtId="9" fontId="6" fillId="13" borderId="8" applyAlignment="1" pivotButton="0" quotePrefix="0" xfId="0">
      <alignment horizontal="center" vertical="center" wrapText="1"/>
    </xf>
    <xf numFmtId="0" fontId="16" fillId="2" borderId="8" applyAlignment="1" pivotButton="0" quotePrefix="0" xfId="0">
      <alignment horizontal="center" vertical="center" wrapText="1"/>
    </xf>
    <xf numFmtId="9" fontId="5" fillId="12" borderId="8" applyAlignment="1" pivotButton="0" quotePrefix="0" xfId="0">
      <alignment horizontal="center" vertical="center" wrapText="1"/>
    </xf>
    <xf numFmtId="9" fontId="5" fillId="14" borderId="8" applyAlignment="1" pivotButton="0" quotePrefix="0" xfId="0">
      <alignment horizontal="center" vertical="center" wrapText="1"/>
    </xf>
    <xf numFmtId="0" fontId="26" fillId="0" borderId="8" pivotButton="0" quotePrefix="0" xfId="0"/>
    <xf numFmtId="164" fontId="26" fillId="0" borderId="8" pivotButton="0" quotePrefix="0" xfId="0"/>
    <xf numFmtId="164" fontId="35" fillId="12" borderId="8" applyAlignment="1" pivotButton="0" quotePrefix="0" xfId="0">
      <alignment horizontal="center" vertical="center" wrapText="1"/>
    </xf>
    <xf numFmtId="164" fontId="35" fillId="14" borderId="8" applyAlignment="1" pivotButton="0" quotePrefix="0" xfId="0">
      <alignment horizontal="center" vertical="center" wrapText="1"/>
    </xf>
    <xf numFmtId="0" fontId="5" fillId="12" borderId="8" applyAlignment="1" pivotButton="0" quotePrefix="0" xfId="0">
      <alignment horizontal="center" vertical="center"/>
    </xf>
    <xf numFmtId="166" fontId="34" fillId="27" borderId="8" applyAlignment="1" pivotButton="0" quotePrefix="0" xfId="0">
      <alignment horizontal="center" vertical="center"/>
    </xf>
    <xf numFmtId="167" fontId="5" fillId="12" borderId="8" applyAlignment="1" pivotButton="0" quotePrefix="0" xfId="0">
      <alignment horizontal="center" vertical="center"/>
    </xf>
    <xf numFmtId="168" fontId="5" fillId="12" borderId="8" applyAlignment="1" pivotButton="0" quotePrefix="0" xfId="0">
      <alignment horizontal="center" vertical="center"/>
    </xf>
    <xf numFmtId="0" fontId="5" fillId="12" borderId="8" applyAlignment="1" pivotButton="0" quotePrefix="0" xfId="0">
      <alignment horizontal="center" vertical="top" wrapText="1"/>
    </xf>
    <xf numFmtId="0" fontId="5" fillId="12" borderId="8" applyAlignment="1" pivotButton="0" quotePrefix="0" xfId="0">
      <alignment horizontal="left" vertical="top" wrapText="1"/>
    </xf>
    <xf numFmtId="0" fontId="2" fillId="9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39" fillId="31" borderId="6" applyAlignment="1" pivotButton="0" quotePrefix="0" xfId="0">
      <alignment horizontal="center" vertical="center" wrapText="1"/>
    </xf>
    <xf numFmtId="0" fontId="39" fillId="0" borderId="19" pivotButton="0" quotePrefix="0" xfId="0"/>
    <xf numFmtId="0" fontId="4" fillId="2" borderId="3" applyAlignment="1" pivotButton="0" quotePrefix="0" xfId="0">
      <alignment horizontal="center" vertical="center" wrapText="1"/>
    </xf>
    <xf numFmtId="0" fontId="38" fillId="28" borderId="1" applyAlignment="1" pivotButton="0" quotePrefix="0" xfId="0">
      <alignment horizontal="center" vertical="center" wrapText="1"/>
    </xf>
    <xf numFmtId="0" fontId="0" fillId="0" borderId="0" pivotButton="0" quotePrefix="0" xfId="0"/>
    <xf numFmtId="0" fontId="40" fillId="30" borderId="5" applyAlignment="1" pivotButton="0" quotePrefix="0" xfId="0">
      <alignment horizontal="center" vertical="center" wrapText="1"/>
    </xf>
    <xf numFmtId="0" fontId="38" fillId="28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38" fillId="29" borderId="1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6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39" fillId="28" borderId="6" applyAlignment="1" pivotButton="0" quotePrefix="0" xfId="0">
      <alignment horizontal="center" vertical="center" wrapText="1"/>
    </xf>
    <xf numFmtId="0" fontId="38" fillId="31" borderId="4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2" fillId="7" borderId="3" applyAlignment="1" pivotButton="0" quotePrefix="0" xfId="0">
      <alignment horizontal="center" vertical="center" wrapText="1"/>
    </xf>
    <xf numFmtId="0" fontId="20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23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165" fontId="20" fillId="15" borderId="17" applyAlignment="1" pivotButton="0" quotePrefix="0" xfId="0">
      <alignment horizontal="center" vertical="center" wrapText="1"/>
    </xf>
    <xf numFmtId="0" fontId="32" fillId="23" borderId="1" applyAlignment="1" pivotButton="0" quotePrefix="0" xfId="0">
      <alignment vertical="center" wrapText="1"/>
    </xf>
    <xf numFmtId="0" fontId="15" fillId="14" borderId="1" applyAlignment="1" pivotButton="0" quotePrefix="0" xfId="0">
      <alignment horizontal="left" vertical="center" wrapText="1"/>
    </xf>
    <xf numFmtId="0" fontId="31" fillId="26" borderId="29" applyAlignment="1" pivotButton="0" quotePrefix="0" xfId="0">
      <alignment vertical="center"/>
    </xf>
    <xf numFmtId="0" fontId="0" fillId="0" borderId="27" pivotButton="0" quotePrefix="0" xfId="0"/>
    <xf numFmtId="0" fontId="0" fillId="0" borderId="28" pivotButton="0" quotePrefix="0" xfId="0"/>
    <xf numFmtId="0" fontId="19" fillId="16" borderId="13" applyAlignment="1" pivotButton="0" quotePrefix="0" xfId="0">
      <alignment horizontal="left" vertical="center" wrapText="1"/>
    </xf>
    <xf numFmtId="165" fontId="21" fillId="4" borderId="17" applyAlignment="1" pivotButton="0" quotePrefix="0" xfId="0">
      <alignment horizontal="center" vertical="center" wrapText="1"/>
    </xf>
    <xf numFmtId="0" fontId="23" fillId="12" borderId="13" applyAlignment="1" pivotButton="0" quotePrefix="0" xfId="0">
      <alignment horizontal="left" vertical="center" wrapText="1"/>
    </xf>
    <xf numFmtId="0" fontId="18" fillId="13" borderId="17" applyAlignment="1" pivotButton="0" quotePrefix="0" xfId="0">
      <alignment horizontal="center" vertical="center" wrapText="1"/>
    </xf>
    <xf numFmtId="0" fontId="31" fillId="25" borderId="1" applyAlignment="1" pivotButton="0" quotePrefix="0" xfId="0">
      <alignment vertical="center"/>
    </xf>
    <xf numFmtId="0" fontId="18" fillId="4" borderId="13" applyAlignment="1" pivotButton="0" quotePrefix="0" xfId="0">
      <alignment horizontal="left" vertical="center" wrapText="1"/>
    </xf>
    <xf numFmtId="169" fontId="41" fillId="15" borderId="17" applyAlignment="1" pivotButton="0" quotePrefix="0" xfId="0">
      <alignment horizontal="center" vertical="center" wrapText="1"/>
    </xf>
    <xf numFmtId="0" fontId="21" fillId="15" borderId="17" applyAlignment="1" pivotButton="0" quotePrefix="0" xfId="0">
      <alignment horizontal="center" vertical="center" wrapText="1"/>
    </xf>
    <xf numFmtId="0" fontId="2" fillId="18" borderId="1" applyAlignment="1" pivotButton="0" quotePrefix="0" xfId="0">
      <alignment horizontal="center" vertical="center" wrapText="1"/>
    </xf>
    <xf numFmtId="0" fontId="13" fillId="2" borderId="1" applyAlignment="1" pivotButton="0" quotePrefix="0" xfId="0">
      <alignment horizontal="left" vertical="center" wrapText="1"/>
    </xf>
    <xf numFmtId="170" fontId="41" fillId="15" borderId="17" applyAlignment="1" pivotButton="0" quotePrefix="0" xfId="0">
      <alignment horizontal="center" vertical="center" wrapText="1"/>
    </xf>
    <xf numFmtId="0" fontId="6" fillId="12" borderId="13" applyAlignment="1" pivotButton="0" quotePrefix="0" xfId="0">
      <alignment horizontal="left" vertical="center" wrapText="1"/>
    </xf>
    <xf numFmtId="0" fontId="17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16" borderId="13" applyAlignment="1" pivotButton="0" quotePrefix="0" xfId="0">
      <alignment horizontal="left" vertical="center" wrapText="1"/>
    </xf>
    <xf numFmtId="0" fontId="9" fillId="21" borderId="3" applyAlignment="1" pivotButton="0" quotePrefix="0" xfId="0">
      <alignment horizontal="left" vertical="center" wrapText="1"/>
    </xf>
    <xf numFmtId="169" fontId="41" fillId="4" borderId="17" applyAlignment="1" pivotButton="0" quotePrefix="0" xfId="0">
      <alignment horizontal="center" vertical="center" wrapText="1"/>
    </xf>
    <xf numFmtId="0" fontId="6" fillId="14" borderId="13" applyAlignment="1" pivotButton="0" quotePrefix="0" xfId="0">
      <alignment horizontal="left" vertical="center" wrapText="1"/>
    </xf>
    <xf numFmtId="0" fontId="37" fillId="13" borderId="17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4" fillId="9" borderId="6" applyAlignment="1" pivotButton="0" quotePrefix="0" xfId="0">
      <alignment horizontal="left" vertical="center" wrapText="1"/>
    </xf>
    <xf numFmtId="0" fontId="0" fillId="0" borderId="19" pivotButton="0" quotePrefix="0" xfId="0"/>
    <xf numFmtId="0" fontId="8" fillId="9" borderId="2" applyAlignment="1" pivotButton="0" quotePrefix="0" xfId="0">
      <alignment horizontal="center" vertical="center" wrapText="1"/>
    </xf>
    <xf numFmtId="0" fontId="10" fillId="4" borderId="17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11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0" fontId="9" fillId="6" borderId="3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170" fontId="41" fillId="4" borderId="17" applyAlignment="1" pivotButton="0" quotePrefix="0" xfId="0">
      <alignment horizontal="center" vertical="center" wrapText="1"/>
    </xf>
    <xf numFmtId="1" fontId="31" fillId="26" borderId="29" applyAlignment="1" pivotButton="0" quotePrefix="0" xfId="0">
      <alignment vertical="center"/>
    </xf>
    <xf numFmtId="0" fontId="9" fillId="5" borderId="3" applyAlignment="1" pivotButton="0" quotePrefix="0" xfId="0">
      <alignment horizontal="left" vertical="center" wrapText="1"/>
    </xf>
    <xf numFmtId="0" fontId="9" fillId="17" borderId="3" applyAlignment="1" pivotButton="0" quotePrefix="0" xfId="0">
      <alignment horizontal="left" vertical="center" wrapText="1"/>
    </xf>
    <xf numFmtId="9" fontId="10" fillId="4" borderId="17" applyAlignment="1" pivotButton="0" quotePrefix="0" xfId="0">
      <alignment horizontal="center" vertical="center" wrapText="1"/>
    </xf>
    <xf numFmtId="0" fontId="9" fillId="7" borderId="3" applyAlignment="1" pivotButton="0" quotePrefix="0" xfId="0">
      <alignment horizontal="left" vertical="center" wrapText="1"/>
    </xf>
    <xf numFmtId="0" fontId="33" fillId="22" borderId="1" applyAlignment="1" pivotButton="0" quotePrefix="0" xfId="0">
      <alignment vertical="center" wrapText="1"/>
    </xf>
    <xf numFmtId="0" fontId="24" fillId="16" borderId="1" applyAlignment="1" pivotButton="0" quotePrefix="0" xfId="0">
      <alignment horizontal="left" vertical="center" wrapText="1"/>
    </xf>
    <xf numFmtId="0" fontId="21" fillId="4" borderId="17" applyAlignment="1" pivotButton="0" quotePrefix="0" xfId="0">
      <alignment horizontal="center" vertical="center" wrapText="1"/>
    </xf>
    <xf numFmtId="0" fontId="18" fillId="13" borderId="17" applyAlignment="1" pivotButton="0" quotePrefix="0" xfId="0">
      <alignment horizontal="left" vertical="center" wrapText="1"/>
    </xf>
    <xf numFmtId="0" fontId="36" fillId="0" borderId="0" applyAlignment="1" pivotButton="0" quotePrefix="0" xfId="0">
      <alignment horizontal="right" vertical="center"/>
    </xf>
    <xf numFmtId="0" fontId="30" fillId="24" borderId="1" applyAlignment="1" pivotButton="0" quotePrefix="0" xfId="0">
      <alignment vertical="center"/>
    </xf>
    <xf numFmtId="0" fontId="9" fillId="8" borderId="3" applyAlignment="1" pivotButton="0" quotePrefix="0" xfId="0">
      <alignment horizontal="left" vertical="center" wrapText="1"/>
    </xf>
    <xf numFmtId="0" fontId="11" fillId="12" borderId="13" applyAlignment="1" pivotButton="0" quotePrefix="0" xfId="0">
      <alignment horizontal="center" vertical="center" wrapText="1"/>
    </xf>
    <xf numFmtId="0" fontId="5" fillId="14" borderId="13" applyAlignment="1" pivotButton="0" quotePrefix="0" xfId="0">
      <alignment horizontal="left" vertical="center" wrapText="1"/>
    </xf>
    <xf numFmtId="165" fontId="0" fillId="0" borderId="23" pivotButton="0" quotePrefix="0" xfId="0"/>
    <xf numFmtId="0" fontId="11" fillId="15" borderId="13" applyAlignment="1" pivotButton="0" quotePrefix="0" xfId="0">
      <alignment horizontal="center" vertical="center" wrapText="1"/>
    </xf>
    <xf numFmtId="165" fontId="11" fillId="16" borderId="13" applyAlignment="1" pivotButton="0" quotePrefix="0" xfId="0">
      <alignment horizontal="center" vertical="center" wrapText="1"/>
    </xf>
    <xf numFmtId="0" fontId="11" fillId="16" borderId="13" applyAlignment="1" pivotButton="0" quotePrefix="0" xfId="0">
      <alignment horizontal="center" vertical="center" wrapText="1"/>
    </xf>
    <xf numFmtId="0" fontId="4" fillId="9" borderId="1" applyAlignment="1" pivotButton="0" quotePrefix="0" xfId="0">
      <alignment horizontal="left" vertical="center" wrapText="1"/>
    </xf>
    <xf numFmtId="0" fontId="29" fillId="9" borderId="3" applyAlignment="1" pivotButton="0" quotePrefix="0" xfId="0">
      <alignment horizontal="center" vertical="center" wrapText="1"/>
    </xf>
    <xf numFmtId="0" fontId="28" fillId="4" borderId="17" applyAlignment="1" pivotButton="0" quotePrefix="0" xfId="0">
      <alignment horizontal="center" vertical="center" wrapText="1"/>
    </xf>
    <xf numFmtId="0" fontId="5" fillId="12" borderId="13" applyAlignment="1" pivotButton="0" quotePrefix="0" xfId="0">
      <alignment horizontal="left" vertical="center" wrapText="1"/>
    </xf>
    <xf numFmtId="165" fontId="11" fillId="12" borderId="13" applyAlignment="1" pivotButton="0" quotePrefix="0" xfId="0">
      <alignment horizontal="center" vertical="center" wrapText="1"/>
    </xf>
    <xf numFmtId="0" fontId="28" fillId="13" borderId="3" applyAlignment="1" pivotButton="0" quotePrefix="0" xfId="0">
      <alignment horizontal="center" vertical="center" wrapText="1"/>
    </xf>
    <xf numFmtId="165" fontId="11" fillId="15" borderId="13" applyAlignment="1" pivotButton="0" quotePrefix="0" xfId="0">
      <alignment horizontal="center" vertical="center" wrapText="1"/>
    </xf>
    <xf numFmtId="0" fontId="27" fillId="9" borderId="13" applyAlignment="1" pivotButton="0" quotePrefix="0" xfId="0">
      <alignment horizontal="center" vertical="center" wrapText="1"/>
    </xf>
    <xf numFmtId="0" fontId="22" fillId="13" borderId="1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165" fontId="27" fillId="9" borderId="13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left" vertical="center" indent="1"/>
    </xf>
    <xf numFmtId="165" fontId="21" fillId="4" borderId="13" applyAlignment="1" pivotButton="0" quotePrefix="0" xfId="0">
      <alignment horizontal="center" vertical="center" wrapText="1"/>
    </xf>
    <xf numFmtId="0" fontId="21" fillId="4" borderId="13" applyAlignment="1" pivotButton="0" quotePrefix="0" xfId="0">
      <alignment horizontal="center" vertical="center" wrapText="1"/>
    </xf>
    <xf numFmtId="0" fontId="27" fillId="9" borderId="1" applyAlignment="1" pivotButton="0" quotePrefix="0" xfId="0">
      <alignment horizontal="left" vertical="center" wrapText="1"/>
    </xf>
    <xf numFmtId="0" fontId="21" fillId="13" borderId="13" applyAlignment="1" pivotButton="0" quotePrefix="0" xfId="0">
      <alignment horizontal="center" vertical="center" wrapText="1"/>
    </xf>
    <xf numFmtId="0" fontId="0" fillId="2" borderId="1" pivotButton="0" quotePrefix="0" xfId="0"/>
    <xf numFmtId="0" fontId="21" fillId="4" borderId="1" applyAlignment="1" pivotButton="0" quotePrefix="0" xfId="0">
      <alignment horizontal="left" vertical="center" wrapText="1"/>
    </xf>
    <xf numFmtId="165" fontId="21" fillId="13" borderId="13" applyAlignment="1" pivotButton="0" quotePrefix="0" xfId="0">
      <alignment horizontal="center" vertical="center" wrapText="1"/>
    </xf>
    <xf numFmtId="0" fontId="21" fillId="13" borderId="1" applyAlignment="1" pivotButton="0" quotePrefix="0" xfId="0">
      <alignment horizontal="left" vertical="center" wrapText="1"/>
    </xf>
    <xf numFmtId="0" fontId="5" fillId="0" borderId="1" applyAlignment="1" pivotButton="0" quotePrefix="0" xfId="0">
      <alignment vertical="top" wrapText="1"/>
    </xf>
    <xf numFmtId="0" fontId="5" fillId="0" borderId="1" applyAlignment="1" pivotButton="0" quotePrefix="0" xfId="0">
      <alignment horizontal="left" vertical="center" wrapText="1"/>
    </xf>
    <xf numFmtId="0" fontId="0" fillId="0" borderId="1" pivotButton="0" quotePrefix="0" xfId="0"/>
    <xf numFmtId="0" fontId="36" fillId="0" borderId="1" applyAlignment="1" pivotButton="0" quotePrefix="0" xfId="0">
      <alignment horizontal="right" vertical="center"/>
    </xf>
    <xf numFmtId="170" fontId="41" fillId="15" borderId="17" applyAlignment="1" pivotButton="0" quotePrefix="0" xfId="0">
      <alignment horizontal="center" vertical="center" wrapText="1"/>
    </xf>
    <xf numFmtId="170" fontId="41" fillId="4" borderId="17" applyAlignment="1" pivotButton="0" quotePrefix="0" xfId="0">
      <alignment horizontal="center" vertical="center" wrapText="1"/>
    </xf>
    <xf numFmtId="169" fontId="41" fillId="15" borderId="17" applyAlignment="1" pivotButton="0" quotePrefix="0" xfId="0">
      <alignment horizontal="center" vertical="center" wrapText="1"/>
    </xf>
    <xf numFmtId="169" fontId="41" fillId="4" borderId="17" applyAlignment="1" pivotButton="0" quotePrefix="0" xfId="0">
      <alignment horizontal="center" vertical="center" wrapText="1"/>
    </xf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  <dxf>
      <fill>
        <patternFill patternType="solid">
          <fgColor rgb="FFFCE4B6"/>
          <bgColor rgb="FFFCE4B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BN504" headerRowCount="1">
  <autoFilter ref="A5:BN504"/>
  <tableColumns count="66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Plan Mech Eng (wks)"/>
    <tableColumn id="18" name="Plan Controls Eng (wks)"/>
    <tableColumn id="19" name="Plan Systems Eng (wks)"/>
    <tableColumn id="20" name="Plan Software Eng (wks)"/>
    <tableColumn id="21" name="Plan M&amp;E Installation (wks)"/>
    <tableColumn id="22" name="Plan Commissioning (wks)"/>
    <tableColumn id="23" name="Plan Total (wks)"/>
    <tableColumn id="24" name="Act Mech Eng (wks)"/>
    <tableColumn id="25" name="Act Controls Eng (wks)"/>
    <tableColumn id="26" name="Act Systems Eng (wks)"/>
    <tableColumn id="27" name="Act Software Eng (wks)"/>
    <tableColumn id="28" name="Act M&amp;E Installation (wks)"/>
    <tableColumn id="29" name="Act Commissioning (wks)"/>
    <tableColumn id="30" name="Act Total (wks)"/>
    <tableColumn id="31" name="Currency"/>
    <tableColumn id="32" name="Sold Value (M)"/>
    <tableColumn id="33" name="Sold Value (USD M)"/>
    <tableColumn id="34" name="Automation Equipment"/>
    <tableColumn id="35" name="Notes / Lessons Learned"/>
    <tableColumn id="36" name="ID Check"/>
    <tableColumn id="37" name="Est Cost (M)"/>
    <tableColumn id="38" name="Est Mech Inst"/>
    <tableColumn id="39" name="Est Elec Inst"/>
    <tableColumn id="40" name="Est Project Management"/>
    <tableColumn id="41" name="Est Systems Eng"/>
    <tableColumn id="42" name="Est Mechanical Eng"/>
    <tableColumn id="43" name="Est Structural Engineering"/>
    <tableColumn id="44" name="Est Site Sup"/>
    <tableColumn id="45" name="Est Controls Commissioning"/>
    <tableColumn id="46" name="Est Systems Commissioning"/>
    <tableColumn id="47" name="Est Service Commissioning"/>
    <tableColumn id="48" name="Est Controls Eng"/>
    <tableColumn id="49" name="Est Controls Purchase"/>
    <tableColumn id="50" name="Est Software Eng"/>
    <tableColumn id="51" name="Est Misc"/>
    <tableColumn id="52" name="Act Cost (M)"/>
    <tableColumn id="53" name="Act Mech Inst"/>
    <tableColumn id="54" name="Act Elec Inst"/>
    <tableColumn id="55" name="Act Project Management"/>
    <tableColumn id="56" name="Act Systems Eng"/>
    <tableColumn id="57" name="Act Mechanical Eng"/>
    <tableColumn id="58" name="Act Structural Engineering"/>
    <tableColumn id="59" name="Act Site Sup"/>
    <tableColumn id="60" name="Act Controls Commissioning"/>
    <tableColumn id="61" name="Act Systems Commissioning"/>
    <tableColumn id="62" name="Act Service Commissioning"/>
    <tableColumn id="63" name="Act Controls Eng"/>
    <tableColumn id="64" name="Act Controls Purchase"/>
    <tableColumn id="65" name="Act Software Eng"/>
    <tableColumn id="66" name="Act Misc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A5" dT="2026-08-27T01:56:43.02" personId="{BE8A153B-FB32-44A0-B175-14E1F655B442}" id="{D697F934-33A5-4362-8F8A-FBBF7074724E}">
    <text xml:space="preserve">Task No - 5000
</text>
  </threadedComment>
  <threadedComment ref="BB5" dT="2026-08-27T01:56:54.04" personId="{BE8A153B-FB32-44A0-B175-14E1F655B442}" id="{E0DBF5F8-7F49-4118-8720-97AB7CA0C788}">
    <text xml:space="preserve">Task Number 7300
</text>
  </threadedComment>
  <threadedComment ref="BC5" dT="2026-08-27T01:57:38.16" personId="{BE8A153B-FB32-44A0-B175-14E1F655B442}" id="{5F2C9931-CFCE-4CBB-AF48-4424C6C74487}">
    <text>Task No - 6100</text>
  </threadedComment>
  <threadedComment ref="BD5" dT="2026-08-27T01:57:54.35" personId="{BE8A153B-FB32-44A0-B175-14E1F655B442}" id="{B5BDC888-C10A-4BA0-9A4D-36C557B0FE11}">
    <text>Task No - 6200</text>
  </threadedComment>
  <threadedComment ref="BE5" dT="2026-08-27T01:58:26.72" personId="{BE8A153B-FB32-44A0-B175-14E1F655B442}" id="{29719A38-F856-43BC-9D87-6CAA8B958DCF}">
    <text>Task No - 6300</text>
  </threadedComment>
  <threadedComment ref="BF5" dT="2026-08-27T01:58:46.30" personId="{BE8A153B-FB32-44A0-B175-14E1F655B442}" id="{925DBB45-B3A5-4118-B786-1CD08A46CD9F}">
    <text>Task No - 6400</text>
  </threadedComment>
  <threadedComment ref="BG5" dT="2026-08-27T01:59:07.13" personId="{BE8A153B-FB32-44A0-B175-14E1F655B442}" id="{8D61AD9F-B5B4-46C7-9366-1CD91C795959}">
    <text>Task No - 6500 6510 6520 6530</text>
  </threadedComment>
  <threadedComment ref="BH5" dT="2026-08-27T01:59:31.95" personId="{BE8A153B-FB32-44A0-B175-14E1F655B442}" id="{2012CEBF-9DA0-46AB-990E-ACDEECDFBAF5}">
    <text xml:space="preserve">Task No - 6600 </text>
  </threadedComment>
  <threadedComment ref="BI5" dT="2026-08-27T02:01:02.91" personId="{BE8A153B-FB32-44A0-B175-14E1F655B442}" id="{C73F9FBE-F06A-459E-9927-9E8A69C8F17D}">
    <text>Task No 6620</text>
  </threadedComment>
  <threadedComment ref="BJ5" dT="2026-08-27T02:01:21.72" personId="{BE8A153B-FB32-44A0-B175-14E1F655B442}" id="{24D4C3A5-822B-421F-8CCA-89DA8714184B}">
    <text>Task No - 6630</text>
  </threadedComment>
  <threadedComment ref="BK5" dT="2026-08-27T02:01:39.51" personId="{BE8A153B-FB32-44A0-B175-14E1F655B442}" id="{12533FAD-5700-4564-B547-BEDCDD91B6D0}">
    <text>Task No - 7000</text>
  </threadedComment>
  <threadedComment ref="BL5" dT="2026-08-27T02:01:55.86" personId="{BE8A153B-FB32-44A0-B175-14E1F655B442}" id="{44924316-329F-41A6-ACF0-CA4CD4C3E125}">
    <text>Task No - 7100 7150</text>
  </threadedComment>
  <threadedComment ref="BM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BN504"/>
  <sheetViews>
    <sheetView showGridLines="0" zoomScale="70" zoomScaleNormal="70" workbookViewId="0">
      <pane xSplit="3" ySplit="5" topLeftCell="AF6" activePane="bottomRight" state="frozen"/>
      <selection pane="topRight" activeCell="D1" sqref="D1"/>
      <selection pane="bottomLeft" activeCell="A6" sqref="A6"/>
      <selection pane="bottomRight" activeCell="BH9" sqref="BH9"/>
    </sheetView>
  </sheetViews>
  <sheetFormatPr baseColWidth="8" defaultColWidth="8.6640625" defaultRowHeight="14.4"/>
  <cols>
    <col width="14" customWidth="1" style="82" min="1" max="1"/>
    <col width="28" customWidth="1" style="82" min="2" max="2"/>
    <col width="22" customWidth="1" style="82" min="3" max="3"/>
    <col width="18" customWidth="1" style="82" min="4" max="4"/>
    <col width="10" customWidth="1" style="82" min="5" max="5"/>
    <col width="9" customWidth="1" style="82" min="6" max="6"/>
    <col width="12" customWidth="1" style="82" min="7" max="7"/>
    <col width="14" customWidth="1" style="82" min="8" max="8"/>
    <col width="12" customWidth="1" style="82" min="9" max="9"/>
    <col width="14" customWidth="1" style="82" min="10" max="10"/>
    <col width="12" customWidth="1" style="82" min="11" max="11"/>
    <col width="14" customWidth="1" style="82" min="12" max="12"/>
    <col width="12" customWidth="1" style="82" min="13" max="13"/>
    <col width="14" customWidth="1" style="82" min="14" max="14"/>
    <col width="13" customWidth="1" style="82" min="15" max="15"/>
    <col width="11" customWidth="1" style="82" min="17" max="17"/>
    <col width="13" customWidth="1" style="82" min="18" max="20"/>
    <col width="12" customWidth="1" style="82" min="21" max="21"/>
    <col width="13" customWidth="1" style="82" min="22" max="23"/>
    <col width="11" customWidth="1" style="82" min="24" max="24"/>
    <col width="13" customWidth="1" style="82" min="25" max="27"/>
    <col width="12" customWidth="1" style="82" min="28" max="28"/>
    <col width="13" customWidth="1" style="82" min="29" max="30"/>
    <col width="10" customWidth="1" style="82" min="31" max="31"/>
    <col width="14" customWidth="1" style="82" min="32" max="32"/>
    <col width="12" customWidth="1" style="82" min="33" max="33"/>
    <col width="44.5546875" customWidth="1" style="82" min="34" max="34"/>
    <col width="50" customWidth="1" style="82" min="35" max="35"/>
    <col width="14" customWidth="1" style="82" min="36" max="36"/>
    <col width="12" customWidth="1" style="82" min="37" max="37"/>
    <col width="11.33203125" customWidth="1" style="82" min="38" max="38"/>
    <col width="10.33203125" customWidth="1" style="82" min="39" max="39"/>
    <col width="8.44140625" customWidth="1" style="82" min="40" max="40"/>
    <col width="11" customWidth="1" style="82" min="41" max="41"/>
    <col width="13" customWidth="1" style="82" min="42" max="43"/>
    <col width="9.5546875" customWidth="1" style="82" min="44" max="44"/>
    <col width="17.33203125" customWidth="1" style="82" min="45" max="45"/>
    <col width="13" customWidth="1" style="82" min="46" max="47"/>
    <col width="11.44140625" customWidth="1" style="82" min="48" max="48"/>
    <col width="13" customWidth="1" style="82" min="49" max="49"/>
    <col width="10" customWidth="1" style="82" min="50" max="50"/>
    <col width="13" customWidth="1" style="82" min="51" max="51"/>
    <col width="12" customWidth="1" style="82" min="52" max="52"/>
    <col width="11.33203125" customWidth="1" style="82" min="53" max="53"/>
    <col width="10.33203125" customWidth="1" style="82" min="54" max="54"/>
    <col width="8.44140625" customWidth="1" style="82" min="55" max="55"/>
    <col width="11" customWidth="1" style="82" min="56" max="56"/>
    <col width="13" customWidth="1" style="82" min="57" max="58"/>
    <col width="9.5546875" customWidth="1" style="82" min="59" max="59"/>
    <col width="17.33203125" customWidth="1" style="82" min="60" max="60"/>
    <col width="13" customWidth="1" style="82" min="61" max="62"/>
    <col width="11.44140625" customWidth="1" style="82" min="63" max="63"/>
    <col width="13" customWidth="1" style="82" min="64" max="64"/>
    <col width="10" customWidth="1" style="82" min="65" max="65"/>
    <col width="13" customWidth="1" style="82" min="66" max="66"/>
  </cols>
  <sheetData>
    <row r="1" ht="36" customHeight="1" s="82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  <c r="AH1" s="1" t="n"/>
      <c r="AI1" s="1" t="n"/>
      <c r="AJ1" s="1" t="n"/>
      <c r="AK1" s="81" t="inlineStr">
        <is>
          <t>PRESALES ESTIMATE  |  Manhour cost (% of estimated project cost)</t>
        </is>
      </c>
      <c r="AZ1" s="86" t="inlineStr">
        <is>
          <t>ACTUAL  |  Manhour cost (% of final project cost)</t>
        </is>
      </c>
    </row>
    <row r="2" ht="15.75" customHeight="1" s="82" thickBot="1">
      <c r="A2" s="76" t="inlineStr">
        <is>
          <t>All timelines in WEEKS  |  Sold Value in MILLIONS  |  Enter data for each system used — leave others blank</t>
        </is>
      </c>
      <c r="B2" s="77" t="n"/>
      <c r="C2" s="77" t="n"/>
      <c r="D2" s="77" t="n"/>
      <c r="E2" s="77" t="n"/>
      <c r="F2" s="77" t="n"/>
      <c r="G2" s="77" t="n"/>
      <c r="H2" s="77" t="n"/>
      <c r="I2" s="77" t="n"/>
      <c r="J2" s="77" t="n"/>
      <c r="K2" s="77" t="n"/>
      <c r="L2" s="77" t="n"/>
      <c r="M2" s="77" t="n"/>
      <c r="N2" s="77" t="n"/>
      <c r="O2" s="77" t="n"/>
      <c r="P2" s="77" t="n"/>
      <c r="Q2" s="77" t="n"/>
      <c r="R2" s="77" t="n"/>
      <c r="S2" s="77" t="n"/>
      <c r="T2" s="77" t="n"/>
      <c r="U2" s="77" t="n"/>
      <c r="V2" s="77" t="n"/>
      <c r="W2" s="77" t="n"/>
      <c r="X2" s="77" t="n"/>
      <c r="Y2" s="77" t="n"/>
      <c r="Z2" s="77" t="n"/>
      <c r="AA2" s="77" t="n"/>
      <c r="AB2" s="77" t="n"/>
      <c r="AC2" s="77" t="n"/>
      <c r="AD2" s="77" t="n"/>
      <c r="AE2" s="77" t="n"/>
      <c r="AF2" s="77" t="n"/>
      <c r="AG2" s="77" t="n"/>
      <c r="AH2" s="77" t="n"/>
      <c r="AI2" s="93" t="n"/>
    </row>
    <row r="3" ht="21.75" customHeight="1" s="82" thickBot="1">
      <c r="A3" s="80" t="inlineStr">
        <is>
          <t>PROJECT DETAILS</t>
        </is>
      </c>
      <c r="B3" s="75" t="n"/>
      <c r="C3" s="75" t="n"/>
      <c r="D3" s="75" t="n"/>
      <c r="E3" s="75" t="n"/>
      <c r="F3" s="75" t="n"/>
      <c r="G3" s="87" t="inlineStr">
        <is>
          <t>MULTISHUTTLE  (tote)</t>
        </is>
      </c>
      <c r="H3" s="75" t="n"/>
      <c r="I3" s="88" t="inlineStr">
        <is>
          <t>AUTOSTORE  (tote)</t>
        </is>
      </c>
      <c r="J3" s="75" t="n"/>
      <c r="K3" s="94" t="inlineStr">
        <is>
          <t>PALLET SHUTTLE  (pallet)</t>
        </is>
      </c>
      <c r="L3" s="75" t="n"/>
      <c r="M3" s="89" t="inlineStr">
        <is>
          <t>SRM CRANE  (pallet)</t>
        </is>
      </c>
      <c r="N3" s="75" t="n"/>
      <c r="O3" s="74" t="inlineStr">
        <is>
          <t>CONVEYORS</t>
        </is>
      </c>
      <c r="P3" s="75" t="n"/>
      <c r="Q3" s="84" t="inlineStr">
        <is>
          <t>PRESALES PLAN  (weeks)</t>
        </is>
      </c>
      <c r="R3" s="75" t="n"/>
      <c r="S3" s="75" t="n"/>
      <c r="T3" s="75" t="n"/>
      <c r="U3" s="75" t="n"/>
      <c r="V3" s="75" t="n"/>
      <c r="W3" s="85" t="n"/>
      <c r="X3" s="92" t="inlineStr">
        <is>
          <t>ACTUAL  (weeks)</t>
        </is>
      </c>
      <c r="Y3" s="75" t="n"/>
      <c r="Z3" s="75" t="n"/>
      <c r="AA3" s="75" t="n"/>
      <c r="AB3" s="75" t="n"/>
      <c r="AC3" s="75" t="n"/>
      <c r="AD3" s="85" t="n"/>
      <c r="AE3" s="87" t="inlineStr">
        <is>
          <t>SOLD VALUE</t>
        </is>
      </c>
      <c r="AF3" s="75" t="n"/>
      <c r="AG3" s="75" t="n"/>
      <c r="AH3" s="90" t="inlineStr">
        <is>
          <t>ATTRIBUTES</t>
        </is>
      </c>
      <c r="AI3" s="75" t="n"/>
      <c r="AJ3" s="85" t="n"/>
    </row>
    <row r="4" ht="13.5" customHeight="1" s="82" thickBot="1">
      <c r="A4" s="13" t="n"/>
      <c r="B4" s="13" t="n"/>
      <c r="C4" s="13" t="n"/>
      <c r="D4" s="13" t="n"/>
      <c r="E4" s="13" t="n"/>
      <c r="F4" s="13" t="n"/>
      <c r="G4" s="14" t="n"/>
      <c r="H4" s="14" t="n"/>
      <c r="I4" s="15" t="n"/>
      <c r="J4" s="15" t="n"/>
      <c r="K4" s="16" t="n"/>
      <c r="L4" s="16" t="n"/>
      <c r="M4" s="17" t="n"/>
      <c r="N4" s="17" t="n"/>
      <c r="O4" s="18" t="n"/>
      <c r="P4" s="18" t="n"/>
      <c r="Q4" s="91" t="inlineStr">
        <is>
          <t>Engineering  (parallel)</t>
        </is>
      </c>
      <c r="R4" s="126" t="n"/>
      <c r="S4" s="126" t="n"/>
      <c r="T4" s="126" t="n"/>
      <c r="U4" s="91" t="inlineStr">
        <is>
          <t>Execution  (sequential)</t>
        </is>
      </c>
      <c r="V4" s="126" t="n"/>
      <c r="W4" s="83" t="inlineStr">
        <is>
          <t>Total</t>
        </is>
      </c>
      <c r="X4" s="78" t="inlineStr">
        <is>
          <t>Engineering  (parallel)</t>
        </is>
      </c>
      <c r="Y4" s="126" t="n"/>
      <c r="Z4" s="126" t="n"/>
      <c r="AA4" s="126" t="n"/>
      <c r="AB4" s="78" t="inlineStr">
        <is>
          <t>Execution  (sequential)</t>
        </is>
      </c>
      <c r="AC4" s="126" t="n"/>
      <c r="AD4" s="83" t="inlineStr">
        <is>
          <t>Total</t>
        </is>
      </c>
      <c r="AE4" s="14" t="n"/>
      <c r="AF4" s="14" t="n"/>
      <c r="AG4" s="14" t="n"/>
      <c r="AH4" s="19" t="n"/>
      <c r="AI4" s="19" t="n"/>
      <c r="AJ4" s="19" t="n"/>
      <c r="AK4" s="14" t="n"/>
      <c r="AL4" s="20" t="n"/>
      <c r="AM4" s="20" t="n"/>
      <c r="AN4" s="20" t="n"/>
      <c r="AO4" s="20" t="n"/>
      <c r="AP4" s="20" t="n"/>
      <c r="AQ4" s="20" t="n"/>
      <c r="AR4" s="20" t="n"/>
      <c r="AS4" s="20" t="n"/>
      <c r="AT4" s="20" t="n"/>
      <c r="AU4" s="20" t="n"/>
      <c r="AV4" s="20" t="n"/>
      <c r="AW4" s="20" t="n"/>
      <c r="AX4" s="20" t="n"/>
      <c r="AY4" s="20" t="n"/>
      <c r="AZ4" s="14" t="n"/>
      <c r="BA4" s="20" t="n"/>
      <c r="BB4" s="20" t="n"/>
      <c r="BC4" s="20" t="n"/>
      <c r="BD4" s="20" t="n"/>
      <c r="BE4" s="20" t="n"/>
      <c r="BF4" s="20" t="n"/>
      <c r="BG4" s="20" t="n"/>
      <c r="BH4" s="20" t="n"/>
      <c r="BI4" s="20" t="n"/>
      <c r="BJ4" s="20" t="n"/>
      <c r="BK4" s="20" t="n"/>
      <c r="BL4" s="20" t="n"/>
      <c r="BM4" s="20" t="n"/>
      <c r="BN4" s="20" t="n"/>
    </row>
    <row r="5" ht="43.95" customHeight="1" s="82" thickBot="1">
      <c r="A5" s="21" t="inlineStr">
        <is>
          <t>Project ID *</t>
        </is>
      </c>
      <c r="B5" s="21" t="inlineStr">
        <is>
          <t>Project Name *</t>
        </is>
      </c>
      <c r="C5" s="21" t="inlineStr">
        <is>
          <t>Client / Region</t>
        </is>
      </c>
      <c r="D5" s="21" t="inlineStr">
        <is>
          <t>Solution Type</t>
        </is>
      </c>
      <c r="E5" s="21" t="inlineStr">
        <is>
          <t>Year</t>
        </is>
      </c>
      <c r="F5" s="21" t="inlineStr">
        <is>
          <t>Won?</t>
        </is>
      </c>
      <c r="G5" s="22" t="inlineStr">
        <is>
          <t>MS Shuttles</t>
        </is>
      </c>
      <c r="H5" s="22" t="inlineStr">
        <is>
          <t>MS Tote Locations</t>
        </is>
      </c>
      <c r="I5" s="23" t="inlineStr">
        <is>
          <t>AS Robots</t>
        </is>
      </c>
      <c r="J5" s="23" t="inlineStr">
        <is>
          <t>AS Tote Locations</t>
        </is>
      </c>
      <c r="K5" s="24" t="inlineStr">
        <is>
          <t>PS Shuttles</t>
        </is>
      </c>
      <c r="L5" s="24" t="inlineStr">
        <is>
          <t>PS Pallet Locations</t>
        </is>
      </c>
      <c r="M5" s="25" t="inlineStr">
        <is>
          <t>SRM Cranes</t>
        </is>
      </c>
      <c r="N5" s="25" t="inlineStr">
        <is>
          <t>SRM Pallet Locations</t>
        </is>
      </c>
      <c r="O5" s="26" t="inlineStr">
        <is>
          <t>Case Conv (m)</t>
        </is>
      </c>
      <c r="P5" s="26" t="inlineStr">
        <is>
          <t>Pallet Conv (m)</t>
        </is>
      </c>
      <c r="Q5" s="22" t="inlineStr">
        <is>
          <t>Plan Mech Eng (wks)</t>
        </is>
      </c>
      <c r="R5" s="22" t="inlineStr">
        <is>
          <t>Plan Controls Eng (wks)</t>
        </is>
      </c>
      <c r="S5" s="22" t="inlineStr">
        <is>
          <t>Plan Systems Eng (wks)</t>
        </is>
      </c>
      <c r="T5" s="22" t="inlineStr">
        <is>
          <t>Plan Software Eng (wks)</t>
        </is>
      </c>
      <c r="U5" s="27" t="inlineStr">
        <is>
          <t>Plan M&amp;E Installation (wks)</t>
        </is>
      </c>
      <c r="V5" s="27" t="inlineStr">
        <is>
          <t>Plan Commissioning (wks)</t>
        </is>
      </c>
      <c r="W5" s="11" t="inlineStr">
        <is>
          <t>Plan Total (wks)</t>
        </is>
      </c>
      <c r="X5" s="22" t="inlineStr">
        <is>
          <t>Act Mech Eng (wks)</t>
        </is>
      </c>
      <c r="Y5" s="22" t="inlineStr">
        <is>
          <t>Act Controls Eng (wks)</t>
        </is>
      </c>
      <c r="Z5" s="22" t="inlineStr">
        <is>
          <t>Act Systems Eng (wks)</t>
        </is>
      </c>
      <c r="AA5" s="22" t="inlineStr">
        <is>
          <t>Act Software Eng (wks)</t>
        </is>
      </c>
      <c r="AB5" s="27" t="inlineStr">
        <is>
          <t>Act M&amp;E Installation (wks)</t>
        </is>
      </c>
      <c r="AC5" s="27" t="inlineStr">
        <is>
          <t>Act Commissioning (wks)</t>
        </is>
      </c>
      <c r="AD5" s="11" t="inlineStr">
        <is>
          <t>Act Total (wks)</t>
        </is>
      </c>
      <c r="AE5" s="22" t="inlineStr">
        <is>
          <t>Currency</t>
        </is>
      </c>
      <c r="AF5" s="22" t="inlineStr">
        <is>
          <t>Sold Value (M)</t>
        </is>
      </c>
      <c r="AG5" s="22" t="inlineStr">
        <is>
          <t>Sold Value (USD M)</t>
        </is>
      </c>
      <c r="AH5" s="90" t="inlineStr">
        <is>
          <t>Automation Equipment</t>
        </is>
      </c>
      <c r="AI5" s="90" t="inlineStr">
        <is>
          <t>Notes / Lessons Learned</t>
        </is>
      </c>
      <c r="AJ5" s="28" t="inlineStr">
        <is>
          <t>ID Check</t>
        </is>
      </c>
      <c r="AK5" s="22" t="inlineStr">
        <is>
          <t>Est Cost (M)</t>
        </is>
      </c>
      <c r="AL5" s="29" t="inlineStr">
        <is>
          <t>Est Mech Inst</t>
        </is>
      </c>
      <c r="AM5" s="29" t="inlineStr">
        <is>
          <t>Est Elec Inst</t>
        </is>
      </c>
      <c r="AN5" s="29" t="inlineStr">
        <is>
          <t>Est Project Management</t>
        </is>
      </c>
      <c r="AO5" s="29" t="inlineStr">
        <is>
          <t>Est Systems Eng</t>
        </is>
      </c>
      <c r="AP5" s="29" t="inlineStr">
        <is>
          <t>Est Mechanical Eng</t>
        </is>
      </c>
      <c r="AQ5" s="29" t="inlineStr">
        <is>
          <t>Est Structural Engineering</t>
        </is>
      </c>
      <c r="AR5" s="29" t="inlineStr">
        <is>
          <t>Est Site Sup</t>
        </is>
      </c>
      <c r="AS5" s="29" t="inlineStr">
        <is>
          <t>Est Controls Commissioning</t>
        </is>
      </c>
      <c r="AT5" s="29" t="inlineStr">
        <is>
          <t>Est Systems Commissioning</t>
        </is>
      </c>
      <c r="AU5" s="29" t="inlineStr">
        <is>
          <t>Est Service Commissioning</t>
        </is>
      </c>
      <c r="AV5" s="29" t="inlineStr">
        <is>
          <t>Est Controls Eng</t>
        </is>
      </c>
      <c r="AW5" s="29" t="inlineStr">
        <is>
          <t>Est Controls Purchase</t>
        </is>
      </c>
      <c r="AX5" s="29" t="inlineStr">
        <is>
          <t>Est Software Eng</t>
        </is>
      </c>
      <c r="AY5" s="29" t="inlineStr">
        <is>
          <t>Est Misc</t>
        </is>
      </c>
      <c r="AZ5" s="22" t="inlineStr">
        <is>
          <t>Act Cost (M)</t>
        </is>
      </c>
      <c r="BA5" s="29" t="inlineStr">
        <is>
          <t>Act Mech Inst</t>
        </is>
      </c>
      <c r="BB5" s="29" t="inlineStr">
        <is>
          <t>Act Elec Inst</t>
        </is>
      </c>
      <c r="BC5" s="29" t="inlineStr">
        <is>
          <t>Act Project Management</t>
        </is>
      </c>
      <c r="BD5" s="29" t="inlineStr">
        <is>
          <t>Act Systems Eng</t>
        </is>
      </c>
      <c r="BE5" s="29" t="inlineStr">
        <is>
          <t>Act Mechanical Eng</t>
        </is>
      </c>
      <c r="BF5" s="29" t="inlineStr">
        <is>
          <t>Act Structural Engineering</t>
        </is>
      </c>
      <c r="BG5" s="29" t="inlineStr">
        <is>
          <t>Act Site Sup</t>
        </is>
      </c>
      <c r="BH5" s="29" t="inlineStr">
        <is>
          <t>Act Controls Commissioning</t>
        </is>
      </c>
      <c r="BI5" s="29" t="inlineStr">
        <is>
          <t>Act Systems Commissioning</t>
        </is>
      </c>
      <c r="BJ5" s="29" t="inlineStr">
        <is>
          <t>Act Service Commissioning</t>
        </is>
      </c>
      <c r="BK5" s="29" t="inlineStr">
        <is>
          <t>Act Controls Eng</t>
        </is>
      </c>
      <c r="BL5" s="29" t="inlineStr">
        <is>
          <t>Act Controls Purchase</t>
        </is>
      </c>
      <c r="BM5" s="29" t="inlineStr">
        <is>
          <t>Act Software Eng</t>
        </is>
      </c>
      <c r="BN5" s="29" t="inlineStr">
        <is>
          <t>Act Misc</t>
        </is>
      </c>
    </row>
    <row r="6" ht="18" customHeight="1" s="82">
      <c r="A6" s="30" t="inlineStr">
        <is>
          <t>SC22164</t>
        </is>
      </c>
      <c r="B6" s="30" t="inlineStr">
        <is>
          <t>Eren</t>
        </is>
      </c>
      <c r="C6" s="30" t="inlineStr">
        <is>
          <t>Turkey ME</t>
        </is>
      </c>
      <c r="D6" s="30" t="inlineStr">
        <is>
          <t>Others/complex</t>
        </is>
      </c>
      <c r="E6" s="31" t="n">
        <v>2024</v>
      </c>
      <c r="F6" s="31" t="inlineStr">
        <is>
          <t>Yes</t>
        </is>
      </c>
      <c r="G6" s="31" t="n">
        <v>164</v>
      </c>
      <c r="H6" s="31" t="n">
        <v>69000</v>
      </c>
      <c r="I6" s="31" t="n">
        <v>0</v>
      </c>
      <c r="J6" s="31" t="n">
        <v>0</v>
      </c>
      <c r="K6" s="31" t="n">
        <v>0</v>
      </c>
      <c r="L6" s="31" t="n">
        <v>0</v>
      </c>
      <c r="M6" s="31" t="n">
        <v>0</v>
      </c>
      <c r="N6" s="31" t="n">
        <v>0</v>
      </c>
      <c r="O6" s="31" t="n">
        <v>1900</v>
      </c>
      <c r="P6" s="31" t="n">
        <v>0</v>
      </c>
      <c r="Q6" s="31" t="n">
        <v>51</v>
      </c>
      <c r="R6" s="31" t="n">
        <v>20</v>
      </c>
      <c r="S6" s="31" t="n">
        <v>16</v>
      </c>
      <c r="T6" s="31" t="n">
        <v>45</v>
      </c>
      <c r="U6" s="31" t="n">
        <v>26</v>
      </c>
      <c r="V6" s="31" t="n">
        <v>30</v>
      </c>
      <c r="W6" s="32" t="n">
        <v>103</v>
      </c>
      <c r="X6" s="31" t="n"/>
      <c r="Y6" s="31" t="n"/>
      <c r="Z6" s="31" t="n"/>
      <c r="AA6" s="31" t="n"/>
      <c r="AB6" s="31" t="n"/>
      <c r="AC6" s="31" t="n"/>
      <c r="AD6" s="32" t="n"/>
      <c r="AE6" s="31" t="inlineStr">
        <is>
          <t>USD</t>
        </is>
      </c>
      <c r="AF6" s="33" t="n">
        <v>17.9</v>
      </c>
      <c r="AG6" s="66">
        <f>IF(OR(AF6="",AE6=""),"",IFERROR(AF6*INDEX(FXRates[USD per unit],MATCH(AE6,FXRates[Currency],0)),"No rate"))</f>
        <v/>
      </c>
      <c r="AH6" s="30" t="inlineStr">
        <is>
          <t>Hybotics APP Autobagger Carton Reducting Lidding Sealer Tote Stacker DeStacker MCS</t>
        </is>
      </c>
      <c r="AI6" s="30" t="n"/>
      <c r="AJ6" s="34">
        <f>IF(A6="","",IF(COUNTIF($A$6:$A$504,A6)&gt;1,"⚠ Duplicate",""))</f>
        <v/>
      </c>
      <c r="AK6" s="33" t="n"/>
      <c r="AL6" s="35" t="n"/>
      <c r="AM6" s="35" t="n"/>
      <c r="AN6" s="35" t="n"/>
      <c r="AO6" s="35" t="n"/>
      <c r="AP6" s="35" t="n"/>
      <c r="AQ6" s="35" t="n"/>
      <c r="AR6" s="35" t="n"/>
      <c r="AS6" s="35" t="n"/>
      <c r="AT6" s="35" t="n"/>
      <c r="AU6" s="35" t="n"/>
      <c r="AV6" s="35" t="n"/>
      <c r="AW6" s="35" t="n"/>
      <c r="AX6" s="35" t="n"/>
      <c r="AY6" s="35" t="n"/>
      <c r="AZ6" s="33" t="n"/>
      <c r="BA6" s="35" t="n"/>
      <c r="BB6" s="35" t="n"/>
      <c r="BC6" s="35" t="n"/>
      <c r="BD6" s="35" t="n"/>
      <c r="BE6" s="35" t="n"/>
      <c r="BF6" s="35" t="n"/>
      <c r="BG6" s="35" t="n"/>
      <c r="BH6" s="35" t="n"/>
      <c r="BI6" s="35" t="n"/>
      <c r="BJ6" s="35" t="n"/>
      <c r="BK6" s="35" t="n"/>
      <c r="BL6" s="35" t="n"/>
      <c r="BM6" s="35" t="n"/>
      <c r="BN6" s="35" t="n"/>
    </row>
    <row r="7" ht="18" customHeight="1" s="82">
      <c r="A7" s="36" t="inlineStr">
        <is>
          <t>SW31305</t>
        </is>
      </c>
      <c r="B7" s="36" t="inlineStr">
        <is>
          <t>Turkish Cargo</t>
        </is>
      </c>
      <c r="C7" s="36" t="inlineStr">
        <is>
          <t>Turkey ME</t>
        </is>
      </c>
      <c r="D7" s="36" t="n"/>
      <c r="E7" s="37" t="n">
        <v>2025</v>
      </c>
      <c r="F7" s="37" t="inlineStr">
        <is>
          <t>No</t>
        </is>
      </c>
      <c r="G7" s="37" t="n">
        <v>0</v>
      </c>
      <c r="H7" s="37" t="n">
        <v>0</v>
      </c>
      <c r="I7" s="37" t="n">
        <v>0</v>
      </c>
      <c r="J7" s="37" t="n">
        <v>0</v>
      </c>
      <c r="K7" s="37" t="n">
        <v>0</v>
      </c>
      <c r="L7" s="37" t="n">
        <v>0</v>
      </c>
      <c r="M7" s="37" t="n">
        <v>24</v>
      </c>
      <c r="N7" s="37" t="n">
        <v>50000</v>
      </c>
      <c r="O7" s="37" t="n">
        <v>0</v>
      </c>
      <c r="P7" s="37" t="n">
        <v>1600</v>
      </c>
      <c r="Q7" s="37" t="n">
        <v>56</v>
      </c>
      <c r="R7" s="37" t="n">
        <v>46</v>
      </c>
      <c r="S7" s="37" t="n">
        <v>27</v>
      </c>
      <c r="T7" s="37" t="n">
        <v>65</v>
      </c>
      <c r="U7" s="37" t="n">
        <v>31</v>
      </c>
      <c r="V7" s="37" t="n">
        <v>16</v>
      </c>
      <c r="W7" s="32" t="n">
        <v>105</v>
      </c>
      <c r="X7" s="37" t="n"/>
      <c r="Y7" s="37" t="n"/>
      <c r="Z7" s="37" t="n"/>
      <c r="AA7" s="37" t="n"/>
      <c r="AB7" s="37" t="n"/>
      <c r="AC7" s="37" t="n"/>
      <c r="AD7" s="32" t="n"/>
      <c r="AE7" s="37" t="inlineStr">
        <is>
          <t>USD</t>
        </is>
      </c>
      <c r="AF7" s="38" t="n">
        <v>30</v>
      </c>
      <c r="AG7" s="67">
        <f>IF(OR(AF7="",AE7=""),"",IFERROR(AF7*INDEX(FXRates[USD per unit],MATCH(AE7,FXRates[Currency],0)),"No rate"))</f>
        <v/>
      </c>
      <c r="AH7" s="36" t="inlineStr">
        <is>
          <t xml:space="preserve">SRM BK25 </t>
        </is>
      </c>
      <c r="AI7" s="36" t="inlineStr">
        <is>
          <t>2 SRM Cranes in 1 Aisle Configuration</t>
        </is>
      </c>
      <c r="AJ7" s="39">
        <f>IF(A7="","",IF(COUNTIF($A$6:$A$504,A7)&gt;1,"⚠ Duplicate",""))</f>
        <v/>
      </c>
      <c r="AK7" s="38" t="n"/>
      <c r="AL7" s="40" t="n">
        <v>0.011</v>
      </c>
      <c r="AM7" s="40" t="n">
        <v>0.011</v>
      </c>
      <c r="AN7" s="40" t="n">
        <v>0.011</v>
      </c>
      <c r="AO7" s="40" t="n">
        <v>0.004</v>
      </c>
      <c r="AP7" s="40" t="n">
        <v>0.01</v>
      </c>
      <c r="AQ7" s="40" t="n">
        <v>0.008</v>
      </c>
      <c r="AR7" s="40" t="n">
        <v>0.008</v>
      </c>
      <c r="AS7" s="40" t="n">
        <v>0.021</v>
      </c>
      <c r="AT7" s="40" t="n">
        <v>0.021</v>
      </c>
      <c r="AU7" s="40" t="n">
        <v>0.021</v>
      </c>
      <c r="AV7" s="40" t="n">
        <v>0.03</v>
      </c>
      <c r="AW7" s="40" t="n">
        <v>0.03</v>
      </c>
      <c r="AX7" s="40" t="n">
        <v>0.003</v>
      </c>
      <c r="AY7" s="35" t="n">
        <v>0.001</v>
      </c>
      <c r="AZ7" s="38" t="n"/>
      <c r="BA7" s="40" t="n"/>
      <c r="BB7" s="40" t="n"/>
      <c r="BC7" s="40" t="n"/>
      <c r="BD7" s="40" t="n"/>
      <c r="BE7" s="40" t="n"/>
      <c r="BF7" s="40" t="n"/>
      <c r="BG7" s="40" t="n"/>
      <c r="BH7" s="40" t="n"/>
      <c r="BI7" s="40" t="n"/>
      <c r="BJ7" s="40" t="n"/>
      <c r="BK7" s="40" t="n"/>
      <c r="BL7" s="40" t="n"/>
      <c r="BM7" s="40" t="n"/>
      <c r="BN7" s="35" t="n"/>
    </row>
    <row r="8" ht="18" customHeight="1" s="82">
      <c r="A8" s="30" t="inlineStr">
        <is>
          <t>SW3128-1</t>
        </is>
      </c>
      <c r="B8" s="30" t="inlineStr">
        <is>
          <t>DHL Aurora SPARK</t>
        </is>
      </c>
      <c r="C8" s="30" t="inlineStr">
        <is>
          <t>KSA ME</t>
        </is>
      </c>
      <c r="D8" s="30" t="n"/>
      <c r="E8" s="31" t="n">
        <v>2025</v>
      </c>
      <c r="F8" s="31" t="inlineStr">
        <is>
          <t>No</t>
        </is>
      </c>
      <c r="G8" s="31" t="n">
        <v>0</v>
      </c>
      <c r="H8" s="31" t="n">
        <v>0</v>
      </c>
      <c r="I8" s="31" t="n">
        <v>5</v>
      </c>
      <c r="J8" s="31" t="n">
        <v>85000</v>
      </c>
      <c r="K8" s="31" t="n">
        <v>0</v>
      </c>
      <c r="L8" s="31" t="n">
        <v>0</v>
      </c>
      <c r="M8" s="31" t="n">
        <v>0</v>
      </c>
      <c r="N8" s="31" t="n">
        <v>0</v>
      </c>
      <c r="O8" s="31" t="n">
        <v>0</v>
      </c>
      <c r="P8" s="31" t="n">
        <v>0</v>
      </c>
      <c r="Q8" s="31" t="n">
        <v>17</v>
      </c>
      <c r="R8" s="31" t="n">
        <v>2</v>
      </c>
      <c r="S8" s="31" t="n">
        <v>10</v>
      </c>
      <c r="T8" s="31" t="n">
        <v>12</v>
      </c>
      <c r="U8" s="31" t="n">
        <v>10</v>
      </c>
      <c r="V8" s="31" t="n">
        <v>10</v>
      </c>
      <c r="W8" s="32" t="n">
        <v>33</v>
      </c>
      <c r="X8" s="31" t="n"/>
      <c r="Y8" s="31" t="n"/>
      <c r="Z8" s="31" t="n"/>
      <c r="AA8" s="31" t="n"/>
      <c r="AB8" s="31" t="n"/>
      <c r="AC8" s="31" t="n"/>
      <c r="AD8" s="32" t="n"/>
      <c r="AE8" s="31" t="inlineStr">
        <is>
          <t>USD</t>
        </is>
      </c>
      <c r="AF8" s="33" t="n">
        <v>3.9</v>
      </c>
      <c r="AG8" s="66">
        <f>IF(OR(AF8="",AE8=""),"",IFERROR(AF8*INDEX(FXRates[USD per unit],MATCH(AE8,FXRates[Currency],0)),"No rate"))</f>
        <v/>
      </c>
      <c r="AH8" s="30" t="inlineStr">
        <is>
          <t>AutoStore</t>
        </is>
      </c>
      <c r="AI8" s="30" t="n"/>
      <c r="AJ8" s="34">
        <f>IF(A8="","",IF(COUNTIF($A$6:$A$504,A8)&gt;1,"⚠ Duplicate",""))</f>
        <v/>
      </c>
      <c r="AK8" s="33" t="n"/>
      <c r="AL8" s="41" t="n"/>
      <c r="AM8" s="41" t="n"/>
      <c r="AN8" s="41" t="n"/>
      <c r="AO8" s="41" t="n"/>
      <c r="AP8" s="41" t="n"/>
      <c r="AQ8" s="41" t="n"/>
      <c r="AR8" s="41" t="n"/>
      <c r="AS8" s="41" t="n"/>
      <c r="AT8" s="41" t="n"/>
      <c r="AU8" s="41" t="n"/>
      <c r="AV8" s="41" t="n"/>
      <c r="AW8" s="41" t="n"/>
      <c r="AX8" s="41" t="n"/>
      <c r="AY8" s="35" t="n"/>
      <c r="AZ8" s="33" t="n"/>
      <c r="BA8" s="41" t="n"/>
      <c r="BB8" s="41" t="n"/>
      <c r="BC8" s="41" t="n"/>
      <c r="BD8" s="41" t="n"/>
      <c r="BE8" s="41" t="n"/>
      <c r="BF8" s="41" t="n"/>
      <c r="BG8" s="41" t="n"/>
      <c r="BH8" s="41" t="n"/>
      <c r="BI8" s="41" t="n"/>
      <c r="BJ8" s="41" t="n"/>
      <c r="BK8" s="41" t="n"/>
      <c r="BL8" s="41" t="n"/>
      <c r="BM8" s="41" t="n"/>
      <c r="BN8" s="35" t="n"/>
    </row>
    <row r="9" ht="18" customHeight="1" s="82">
      <c r="A9" s="36" t="inlineStr">
        <is>
          <t>SW3128-2</t>
        </is>
      </c>
      <c r="B9" s="36" t="inlineStr">
        <is>
          <t>DHL Aurora - JUBAIL*</t>
        </is>
      </c>
      <c r="C9" s="36" t="inlineStr">
        <is>
          <t>KSA ME</t>
        </is>
      </c>
      <c r="D9" s="36" t="n"/>
      <c r="E9" s="37" t="n">
        <v>2025</v>
      </c>
      <c r="F9" s="37" t="inlineStr">
        <is>
          <t>No</t>
        </is>
      </c>
      <c r="G9" s="37" t="n">
        <v>0</v>
      </c>
      <c r="H9" s="37" t="n">
        <v>0</v>
      </c>
      <c r="I9" s="37" t="n">
        <v>10</v>
      </c>
      <c r="J9" s="37" t="n">
        <v>165000</v>
      </c>
      <c r="K9" s="37" t="n">
        <v>0</v>
      </c>
      <c r="L9" s="37" t="n">
        <v>0</v>
      </c>
      <c r="M9" s="37" t="n">
        <v>0</v>
      </c>
      <c r="N9" s="37" t="n">
        <v>0</v>
      </c>
      <c r="O9" s="37" t="n">
        <v>0</v>
      </c>
      <c r="P9" s="37" t="n">
        <v>0</v>
      </c>
      <c r="Q9" s="37" t="n">
        <v>6</v>
      </c>
      <c r="R9" s="37" t="n">
        <v>2</v>
      </c>
      <c r="S9" s="37" t="n">
        <v>10</v>
      </c>
      <c r="T9" s="37" t="n">
        <v>6</v>
      </c>
      <c r="U9" s="37" t="n">
        <v>12</v>
      </c>
      <c r="V9" s="37" t="n">
        <v>16</v>
      </c>
      <c r="W9" s="32" t="n">
        <v>43</v>
      </c>
      <c r="X9" s="37" t="n"/>
      <c r="Y9" s="37" t="n"/>
      <c r="Z9" s="37" t="n"/>
      <c r="AA9" s="37" t="n"/>
      <c r="AB9" s="37" t="n"/>
      <c r="AC9" s="37" t="n"/>
      <c r="AD9" s="32" t="n"/>
      <c r="AE9" s="37" t="inlineStr">
        <is>
          <t>USD</t>
        </is>
      </c>
      <c r="AF9" s="38" t="n">
        <v>6.2</v>
      </c>
      <c r="AG9" s="67">
        <f>IF(OR(AF9="",AE9=""),"",IFERROR(AF9*INDEX(FXRates[USD per unit],MATCH(AE9,FXRates[Currency],0)),"No rate"))</f>
        <v/>
      </c>
      <c r="AH9" s="36" t="inlineStr">
        <is>
          <t>AutoStore</t>
        </is>
      </c>
      <c r="AI9" s="36" t="n"/>
      <c r="AJ9" s="39">
        <f>IF(A9="","",IF(COUNTIF($A$6:$A$504,A9)&gt;1,"⚠ Duplicate",""))</f>
        <v/>
      </c>
      <c r="AK9" s="38" t="n"/>
      <c r="AL9" s="40" t="n"/>
      <c r="AM9" s="40" t="n"/>
      <c r="AN9" s="40" t="n"/>
      <c r="AO9" s="40" t="n"/>
      <c r="AP9" s="40" t="n"/>
      <c r="AQ9" s="40" t="n"/>
      <c r="AR9" s="40" t="n"/>
      <c r="AS9" s="40" t="n"/>
      <c r="AT9" s="40" t="n"/>
      <c r="AU9" s="40" t="n"/>
      <c r="AV9" s="40" t="n"/>
      <c r="AW9" s="40" t="n"/>
      <c r="AX9" s="40" t="n"/>
      <c r="AY9" s="35" t="n"/>
      <c r="AZ9" s="38" t="n"/>
      <c r="BA9" s="40" t="n"/>
      <c r="BB9" s="40" t="n"/>
      <c r="BC9" s="40" t="n"/>
      <c r="BD9" s="40" t="n"/>
      <c r="BE9" s="40" t="n"/>
      <c r="BF9" s="40" t="n"/>
      <c r="BG9" s="40" t="n"/>
      <c r="BH9" s="40" t="n"/>
      <c r="BI9" s="40" t="n"/>
      <c r="BJ9" s="40" t="n"/>
      <c r="BK9" s="40" t="n"/>
      <c r="BL9" s="40" t="n"/>
      <c r="BM9" s="40" t="n"/>
      <c r="BN9" s="35" t="n"/>
    </row>
    <row r="10" ht="18" customHeight="1" s="82">
      <c r="A10" s="30" t="inlineStr">
        <is>
          <t>SW3128-3</t>
        </is>
      </c>
      <c r="B10" s="30" t="inlineStr">
        <is>
          <t>DHL Aurora - YANBU*</t>
        </is>
      </c>
      <c r="C10" s="30" t="inlineStr">
        <is>
          <t>KSA ME</t>
        </is>
      </c>
      <c r="D10" s="30" t="n"/>
      <c r="E10" s="31" t="n">
        <v>2025</v>
      </c>
      <c r="F10" s="31" t="inlineStr">
        <is>
          <t>No</t>
        </is>
      </c>
      <c r="G10" s="31" t="n">
        <v>0</v>
      </c>
      <c r="H10" s="31" t="n">
        <v>0</v>
      </c>
      <c r="I10" s="31" t="n">
        <v>20</v>
      </c>
      <c r="J10" s="31" t="n">
        <v>130000</v>
      </c>
      <c r="K10" s="31" t="n">
        <v>0</v>
      </c>
      <c r="L10" s="31" t="n">
        <v>0</v>
      </c>
      <c r="M10" s="31" t="n">
        <v>0</v>
      </c>
      <c r="N10" s="31" t="n">
        <v>0</v>
      </c>
      <c r="O10" s="31" t="n">
        <v>0</v>
      </c>
      <c r="P10" s="31" t="n">
        <v>0</v>
      </c>
      <c r="Q10" s="31" t="n">
        <v>6</v>
      </c>
      <c r="R10" s="31" t="n">
        <v>2</v>
      </c>
      <c r="S10" s="31" t="n">
        <v>4</v>
      </c>
      <c r="T10" s="31" t="n">
        <v>6</v>
      </c>
      <c r="U10" s="31" t="n">
        <v>9</v>
      </c>
      <c r="V10" s="31" t="n">
        <v>14</v>
      </c>
      <c r="W10" s="32" t="n">
        <v>41</v>
      </c>
      <c r="X10" s="31" t="n"/>
      <c r="Y10" s="31" t="n"/>
      <c r="Z10" s="31" t="n"/>
      <c r="AA10" s="31" t="n"/>
      <c r="AB10" s="31" t="n"/>
      <c r="AC10" s="31" t="n"/>
      <c r="AD10" s="32" t="n"/>
      <c r="AE10" s="31" t="inlineStr">
        <is>
          <t>USD</t>
        </is>
      </c>
      <c r="AF10" s="33" t="n">
        <v>5</v>
      </c>
      <c r="AG10" s="66">
        <f>IF(OR(AF10="",AE10=""),"",IFERROR(AF10*INDEX(FXRates[USD per unit],MATCH(AE10,FXRates[Currency],0)),"No rate"))</f>
        <v/>
      </c>
      <c r="AH10" s="30" t="inlineStr">
        <is>
          <t>AutoStore</t>
        </is>
      </c>
      <c r="AI10" s="30" t="n"/>
      <c r="AJ10" s="34">
        <f>IF(A10="","",IF(COUNTIF($A$6:$A$504,A10)&gt;1,"⚠ Duplicate",""))</f>
        <v/>
      </c>
      <c r="AK10" s="33" t="n"/>
      <c r="AL10" s="41" t="n"/>
      <c r="AM10" s="41" t="n"/>
      <c r="AN10" s="41" t="n"/>
      <c r="AO10" s="41" t="n"/>
      <c r="AP10" s="41" t="n"/>
      <c r="AQ10" s="41" t="n"/>
      <c r="AR10" s="41" t="n"/>
      <c r="AS10" s="41" t="n"/>
      <c r="AT10" s="41" t="n"/>
      <c r="AU10" s="41" t="n"/>
      <c r="AV10" s="41" t="n"/>
      <c r="AW10" s="41" t="n"/>
      <c r="AX10" s="41" t="n"/>
      <c r="AY10" s="35" t="n"/>
      <c r="AZ10" s="33" t="n"/>
      <c r="BA10" s="41" t="n"/>
      <c r="BB10" s="41" t="n"/>
      <c r="BC10" s="41" t="n"/>
      <c r="BD10" s="41" t="n"/>
      <c r="BE10" s="41" t="n"/>
      <c r="BF10" s="41" t="n"/>
      <c r="BG10" s="41" t="n"/>
      <c r="BH10" s="41" t="n"/>
      <c r="BI10" s="41" t="n"/>
      <c r="BJ10" s="41" t="n"/>
      <c r="BK10" s="41" t="n"/>
      <c r="BL10" s="41" t="n"/>
      <c r="BM10" s="41" t="n"/>
      <c r="BN10" s="35" t="n"/>
    </row>
    <row r="11" ht="18" customHeight="1" s="82">
      <c r="A11" s="36" t="inlineStr">
        <is>
          <t>SC22154</t>
        </is>
      </c>
      <c r="B11" s="36" t="inlineStr">
        <is>
          <t>Almarai Poultry</t>
        </is>
      </c>
      <c r="C11" s="36" t="inlineStr">
        <is>
          <t>KSA ME</t>
        </is>
      </c>
      <c r="D11" s="36" t="inlineStr">
        <is>
          <t>Others/complex</t>
        </is>
      </c>
      <c r="E11" s="37" t="n">
        <v>2025</v>
      </c>
      <c r="F11" s="37" t="inlineStr">
        <is>
          <t>Yes</t>
        </is>
      </c>
      <c r="G11" s="37" t="n">
        <v>45</v>
      </c>
      <c r="H11" s="37" t="n">
        <v>10000</v>
      </c>
      <c r="I11" s="37" t="n">
        <v>0</v>
      </c>
      <c r="J11" s="37" t="n">
        <v>0</v>
      </c>
      <c r="K11" s="37" t="n">
        <v>0</v>
      </c>
      <c r="L11" s="37" t="n">
        <v>0</v>
      </c>
      <c r="M11" s="37" t="n">
        <v>0</v>
      </c>
      <c r="N11" s="37" t="n">
        <v>0</v>
      </c>
      <c r="O11" s="37" t="n">
        <v>900</v>
      </c>
      <c r="P11" s="37" t="n">
        <v>0</v>
      </c>
      <c r="Q11" s="37" t="n">
        <v>56</v>
      </c>
      <c r="R11" s="37" t="n">
        <v>32</v>
      </c>
      <c r="S11" s="37" t="n">
        <v>20</v>
      </c>
      <c r="T11" s="37" t="n">
        <v>60</v>
      </c>
      <c r="U11" s="37" t="n">
        <v>29</v>
      </c>
      <c r="V11" s="37" t="n">
        <v>41</v>
      </c>
      <c r="W11" s="32" t="n">
        <v>94</v>
      </c>
      <c r="X11" s="37" t="n"/>
      <c r="Y11" s="37" t="n"/>
      <c r="Z11" s="37" t="n"/>
      <c r="AA11" s="37" t="n"/>
      <c r="AB11" s="37" t="n"/>
      <c r="AC11" s="37" t="n"/>
      <c r="AD11" s="32" t="n"/>
      <c r="AE11" s="37" t="inlineStr">
        <is>
          <t>USD</t>
        </is>
      </c>
      <c r="AF11" s="38" t="n">
        <v>12.3</v>
      </c>
      <c r="AG11" s="67">
        <f>IF(OR(AF11="",AE11=""),"",IFERROR(AF11*INDEX(FXRates[USD per unit],MATCH(AE11,FXRates[Currency],0)),"No rate"))</f>
        <v/>
      </c>
      <c r="AH11" s="36" t="inlineStr">
        <is>
          <t>DMS MCS Elten Tote Palletising Case Lidding</t>
        </is>
      </c>
      <c r="AI11" s="36" t="n"/>
      <c r="AJ11" s="39">
        <f>IF(A11="","",IF(COUNTIF($A$6:$A$504,A11)&gt;1,"⚠ Duplicate",""))</f>
        <v/>
      </c>
      <c r="AK11" s="38" t="n"/>
      <c r="AL11" s="35" t="n"/>
      <c r="AM11" s="35" t="n"/>
      <c r="AN11" s="35" t="n"/>
      <c r="AO11" s="35" t="n"/>
      <c r="AP11" s="35" t="n"/>
      <c r="AQ11" s="35" t="n"/>
      <c r="AR11" s="35" t="n"/>
      <c r="AS11" s="35" t="n"/>
      <c r="AT11" s="35" t="n"/>
      <c r="AU11" s="35" t="n"/>
      <c r="AV11" s="35" t="n"/>
      <c r="AW11" s="35" t="n"/>
      <c r="AX11" s="35" t="n"/>
      <c r="AY11" s="35" t="n"/>
      <c r="AZ11" s="38" t="n"/>
      <c r="BA11" s="35" t="n"/>
      <c r="BB11" s="35" t="n"/>
      <c r="BC11" s="35" t="n"/>
      <c r="BD11" s="35" t="n"/>
      <c r="BE11" s="35" t="n"/>
      <c r="BF11" s="35" t="n"/>
      <c r="BG11" s="35" t="n"/>
      <c r="BH11" s="35" t="n"/>
      <c r="BI11" s="35" t="n"/>
      <c r="BJ11" s="35" t="n"/>
      <c r="BK11" s="35" t="n"/>
      <c r="BL11" s="35" t="n"/>
      <c r="BM11" s="35" t="n"/>
      <c r="BN11" s="35" t="n"/>
    </row>
    <row r="12" ht="18" customHeight="1" s="82">
      <c r="A12" s="30" t="inlineStr">
        <is>
          <t>SC22158</t>
        </is>
      </c>
      <c r="B12" s="30" t="inlineStr">
        <is>
          <t>Almarai Bakery</t>
        </is>
      </c>
      <c r="C12" s="30" t="inlineStr">
        <is>
          <t>KSA ME</t>
        </is>
      </c>
      <c r="D12" s="30" t="inlineStr">
        <is>
          <t>Others/complex</t>
        </is>
      </c>
      <c r="E12" s="31" t="n">
        <v>2025</v>
      </c>
      <c r="F12" s="31" t="inlineStr">
        <is>
          <t>Yes</t>
        </is>
      </c>
      <c r="G12" s="31" t="n">
        <v>35</v>
      </c>
      <c r="H12" s="31" t="n">
        <v>5000</v>
      </c>
      <c r="I12" s="31" t="n">
        <v>0</v>
      </c>
      <c r="J12" s="31" t="n">
        <v>0</v>
      </c>
      <c r="K12" s="31" t="n">
        <v>15</v>
      </c>
      <c r="L12" s="31" t="n">
        <v>5000</v>
      </c>
      <c r="M12" s="31" t="n">
        <v>0</v>
      </c>
      <c r="N12" s="31" t="n">
        <v>0</v>
      </c>
      <c r="O12" s="31" t="n">
        <v>800</v>
      </c>
      <c r="P12" s="31" t="n">
        <v>200</v>
      </c>
      <c r="Q12" s="31" t="n">
        <v>79</v>
      </c>
      <c r="R12" s="31" t="n">
        <v>28</v>
      </c>
      <c r="S12" s="31" t="n">
        <v>16</v>
      </c>
      <c r="T12" s="31" t="n">
        <v>66</v>
      </c>
      <c r="U12" s="31" t="n">
        <v>37</v>
      </c>
      <c r="V12" s="31" t="n">
        <v>28</v>
      </c>
      <c r="W12" s="32" t="n">
        <v>143</v>
      </c>
      <c r="X12" s="31" t="n"/>
      <c r="Y12" s="31" t="n"/>
      <c r="Z12" s="31" t="n"/>
      <c r="AA12" s="31" t="n"/>
      <c r="AB12" s="31" t="n"/>
      <c r="AC12" s="31" t="n"/>
      <c r="AD12" s="32" t="n"/>
      <c r="AE12" s="31" t="inlineStr">
        <is>
          <t>USD</t>
        </is>
      </c>
      <c r="AF12" s="33" t="n">
        <v>14.3</v>
      </c>
      <c r="AG12" s="66">
        <f>IF(OR(AF12="",AE12=""),"",IFERROR(AF12*INDEX(FXRates[USD per unit],MATCH(AE12,FXRates[Currency],0)),"No rate"))</f>
        <v/>
      </c>
      <c r="AH12" s="30" t="inlineStr">
        <is>
          <t>2 Way Shuttle BK25</t>
        </is>
      </c>
      <c r="AI12" s="30" t="n"/>
      <c r="AJ12" s="34">
        <f>IF(A12="","",IF(COUNTIF($A$6:$A$504,A12)&gt;1,"⚠ Duplicate",""))</f>
        <v/>
      </c>
      <c r="AK12" s="33" t="n"/>
      <c r="AL12" s="35" t="n"/>
      <c r="AM12" s="35" t="n"/>
      <c r="AN12" s="35" t="n"/>
      <c r="AO12" s="35" t="n"/>
      <c r="AP12" s="35" t="n"/>
      <c r="AQ12" s="35" t="n"/>
      <c r="AR12" s="35" t="n"/>
      <c r="AS12" s="35" t="n"/>
      <c r="AT12" s="35" t="n"/>
      <c r="AU12" s="35" t="n"/>
      <c r="AV12" s="35" t="n"/>
      <c r="AW12" s="35" t="n"/>
      <c r="AX12" s="35" t="n"/>
      <c r="AY12" s="35" t="n"/>
      <c r="AZ12" s="33" t="n"/>
      <c r="BA12" s="35" t="n"/>
      <c r="BB12" s="35" t="n"/>
      <c r="BC12" s="35" t="n"/>
      <c r="BD12" s="35" t="n"/>
      <c r="BE12" s="35" t="n"/>
      <c r="BF12" s="35" t="n"/>
      <c r="BG12" s="35" t="n"/>
      <c r="BH12" s="35" t="n"/>
      <c r="BI12" s="35" t="n"/>
      <c r="BJ12" s="35" t="n"/>
      <c r="BK12" s="35" t="n"/>
      <c r="BL12" s="35" t="n"/>
      <c r="BM12" s="35" t="n"/>
      <c r="BN12" s="35" t="n"/>
    </row>
    <row r="13" ht="18" customHeight="1" s="82">
      <c r="A13" s="36" t="inlineStr">
        <is>
          <t>SC22213</t>
        </is>
      </c>
      <c r="B13" s="36" t="inlineStr">
        <is>
          <t>LG CNS Marketkrly DMS</t>
        </is>
      </c>
      <c r="C13" s="36" t="inlineStr">
        <is>
          <t>Korea ASIA</t>
        </is>
      </c>
      <c r="D13" s="36" t="n"/>
      <c r="E13" s="37" t="n">
        <v>2025</v>
      </c>
      <c r="F13" s="37" t="inlineStr">
        <is>
          <t>No</t>
        </is>
      </c>
      <c r="G13" s="37" t="n">
        <v>120</v>
      </c>
      <c r="H13" s="37" t="n">
        <v>30000</v>
      </c>
      <c r="I13" s="37" t="n">
        <v>0</v>
      </c>
      <c r="J13" s="37" t="n">
        <v>0</v>
      </c>
      <c r="K13" s="37" t="n">
        <v>0</v>
      </c>
      <c r="L13" s="37" t="n">
        <v>0</v>
      </c>
      <c r="M13" s="37" t="n">
        <v>0</v>
      </c>
      <c r="N13" s="37" t="n">
        <v>0</v>
      </c>
      <c r="O13" s="37" t="n">
        <v>0</v>
      </c>
      <c r="P13" s="37" t="n">
        <v>0</v>
      </c>
      <c r="Q13" s="37" t="n">
        <v>29</v>
      </c>
      <c r="R13" s="37" t="n">
        <v>0</v>
      </c>
      <c r="S13" s="37" t="n">
        <v>0</v>
      </c>
      <c r="T13" s="37" t="n">
        <v>30</v>
      </c>
      <c r="U13" s="37" t="n">
        <v>26</v>
      </c>
      <c r="V13" s="37" t="n">
        <v>16</v>
      </c>
      <c r="W13" s="32" t="n">
        <v>78</v>
      </c>
      <c r="X13" s="37" t="n"/>
      <c r="Y13" s="37" t="n"/>
      <c r="Z13" s="37" t="n"/>
      <c r="AA13" s="37" t="n"/>
      <c r="AB13" s="37" t="n"/>
      <c r="AC13" s="37" t="n"/>
      <c r="AD13" s="32" t="n"/>
      <c r="AE13" s="37" t="inlineStr">
        <is>
          <t>USD</t>
        </is>
      </c>
      <c r="AF13" s="38" t="n">
        <v>4.3</v>
      </c>
      <c r="AG13" s="67">
        <f>IF(OR(AF13="",AE13=""),"",IFERROR(AF13*INDEX(FXRates[USD per unit],MATCH(AE13,FXRates[Currency],0)),"No rate"))</f>
        <v/>
      </c>
      <c r="AH13" s="36" t="inlineStr">
        <is>
          <t>DMS</t>
        </is>
      </c>
      <c r="AI13" s="36" t="n"/>
      <c r="AJ13" s="39">
        <f>IF(A13="","",IF(COUNTIF($A$6:$A$504,A13)&gt;1,"⚠ Duplicate",""))</f>
        <v/>
      </c>
      <c r="AK13" s="38" t="n"/>
      <c r="AL13" s="40" t="n"/>
      <c r="AM13" s="40" t="n"/>
      <c r="AN13" s="40" t="n"/>
      <c r="AO13" s="40" t="n"/>
      <c r="AP13" s="40" t="n"/>
      <c r="AQ13" s="40" t="n"/>
      <c r="AR13" s="40" t="n"/>
      <c r="AS13" s="40" t="n"/>
      <c r="AT13" s="40" t="n"/>
      <c r="AU13" s="40" t="n"/>
      <c r="AV13" s="40" t="n"/>
      <c r="AW13" s="40" t="n"/>
      <c r="AX13" s="40" t="n"/>
      <c r="AY13" s="35" t="n"/>
      <c r="AZ13" s="38" t="n"/>
      <c r="BA13" s="40" t="n"/>
      <c r="BB13" s="40" t="n"/>
      <c r="BC13" s="40" t="n"/>
      <c r="BD13" s="40" t="n"/>
      <c r="BE13" s="40" t="n"/>
      <c r="BF13" s="40" t="n"/>
      <c r="BG13" s="40" t="n"/>
      <c r="BH13" s="40" t="n"/>
      <c r="BI13" s="40" t="n"/>
      <c r="BJ13" s="40" t="n"/>
      <c r="BK13" s="40" t="n"/>
      <c r="BL13" s="40" t="n"/>
      <c r="BM13" s="40" t="n"/>
      <c r="BN13" s="35" t="n"/>
    </row>
    <row r="14" ht="18" customHeight="1" s="82">
      <c r="A14" s="30" t="inlineStr">
        <is>
          <t>SC22168</t>
        </is>
      </c>
      <c r="B14" s="30" t="inlineStr">
        <is>
          <t>Retail Logistics</t>
        </is>
      </c>
      <c r="C14" s="30" t="inlineStr">
        <is>
          <t>Dubai ME</t>
        </is>
      </c>
      <c r="D14" s="30" t="n"/>
      <c r="E14" s="31" t="n">
        <v>2025</v>
      </c>
      <c r="F14" s="31" t="inlineStr">
        <is>
          <t>No</t>
        </is>
      </c>
      <c r="G14" s="31" t="n">
        <v>65</v>
      </c>
      <c r="H14" s="31" t="n">
        <v>30000</v>
      </c>
      <c r="I14" s="31" t="n">
        <v>0</v>
      </c>
      <c r="J14" s="31" t="n">
        <v>0</v>
      </c>
      <c r="K14" s="31" t="n">
        <v>0</v>
      </c>
      <c r="L14" s="31" t="n">
        <v>0</v>
      </c>
      <c r="M14" s="31" t="n">
        <v>0</v>
      </c>
      <c r="N14" s="31" t="n">
        <v>0</v>
      </c>
      <c r="O14" s="31" t="n">
        <v>300</v>
      </c>
      <c r="P14" s="31" t="n">
        <v>0</v>
      </c>
      <c r="Q14" s="31" t="n">
        <v>48</v>
      </c>
      <c r="R14" s="31" t="n">
        <v>32</v>
      </c>
      <c r="S14" s="31" t="n">
        <v>14</v>
      </c>
      <c r="T14" s="31" t="n">
        <v>48</v>
      </c>
      <c r="U14" s="31" t="n">
        <v>44</v>
      </c>
      <c r="V14" s="31" t="n">
        <v>45</v>
      </c>
      <c r="W14" s="32" t="n">
        <v>91</v>
      </c>
      <c r="X14" s="31" t="n"/>
      <c r="Y14" s="31" t="n"/>
      <c r="Z14" s="31" t="n"/>
      <c r="AA14" s="31" t="n"/>
      <c r="AB14" s="31" t="n"/>
      <c r="AC14" s="31" t="n"/>
      <c r="AD14" s="32" t="n"/>
      <c r="AE14" s="31" t="inlineStr">
        <is>
          <t>USD</t>
        </is>
      </c>
      <c r="AF14" s="33" t="n">
        <v>15.5</v>
      </c>
      <c r="AG14" s="66">
        <f>IF(OR(AF14="",AE14=""),"",IFERROR(AF14*INDEX(FXRates[USD per unit],MATCH(AE14,FXRates[Currency],0)),"No rate"))</f>
        <v/>
      </c>
      <c r="AH14" s="30" t="inlineStr">
        <is>
          <t>MCS</t>
        </is>
      </c>
      <c r="AI14" s="30" t="n"/>
      <c r="AJ14" s="34">
        <f>IF(A14="","",IF(COUNTIF($A$6:$A$504,A14)&gt;1,"⚠ Duplicate",""))</f>
        <v/>
      </c>
      <c r="AK14" s="33" t="n"/>
      <c r="AL14" s="41" t="n"/>
      <c r="AM14" s="41" t="n"/>
      <c r="AN14" s="41" t="n"/>
      <c r="AO14" s="41" t="n"/>
      <c r="AP14" s="41" t="n"/>
      <c r="AQ14" s="41" t="n"/>
      <c r="AR14" s="41" t="n"/>
      <c r="AS14" s="41" t="n"/>
      <c r="AT14" s="41" t="n"/>
      <c r="AU14" s="41" t="n"/>
      <c r="AV14" s="41" t="n"/>
      <c r="AW14" s="41" t="n"/>
      <c r="AX14" s="41" t="n"/>
      <c r="AY14" s="35" t="n"/>
      <c r="AZ14" s="33" t="n"/>
      <c r="BA14" s="41" t="n"/>
      <c r="BB14" s="41" t="n"/>
      <c r="BC14" s="41" t="n"/>
      <c r="BD14" s="41" t="n"/>
      <c r="BE14" s="41" t="n"/>
      <c r="BF14" s="41" t="n"/>
      <c r="BG14" s="41" t="n"/>
      <c r="BH14" s="41" t="n"/>
      <c r="BI14" s="41" t="n"/>
      <c r="BJ14" s="41" t="n"/>
      <c r="BK14" s="41" t="n"/>
      <c r="BL14" s="41" t="n"/>
      <c r="BM14" s="41" t="n"/>
      <c r="BN14" s="35" t="n"/>
    </row>
    <row r="15" ht="18" customHeight="1" s="82">
      <c r="A15" s="36" t="inlineStr">
        <is>
          <t>SW31293</t>
        </is>
      </c>
      <c r="B15" s="36" t="inlineStr">
        <is>
          <t>Caterpillar 4WS</t>
        </is>
      </c>
      <c r="C15" s="36" t="inlineStr">
        <is>
          <t>Thailand ASIA</t>
        </is>
      </c>
      <c r="D15" s="36" t="n"/>
      <c r="E15" s="37" t="n">
        <v>2025</v>
      </c>
      <c r="F15" s="37" t="inlineStr">
        <is>
          <t>No</t>
        </is>
      </c>
      <c r="G15" s="37" t="n">
        <v>0</v>
      </c>
      <c r="H15" s="37" t="n">
        <v>0</v>
      </c>
      <c r="I15" s="37" t="n">
        <v>0</v>
      </c>
      <c r="J15" s="37" t="n">
        <v>0</v>
      </c>
      <c r="K15" s="37" t="n">
        <v>15</v>
      </c>
      <c r="L15" s="37" t="n">
        <v>5000</v>
      </c>
      <c r="M15" s="37" t="n">
        <v>0</v>
      </c>
      <c r="N15" s="37" t="n">
        <v>0</v>
      </c>
      <c r="O15" s="37" t="n">
        <v>0</v>
      </c>
      <c r="P15" s="37" t="n">
        <v>200</v>
      </c>
      <c r="Q15" s="37" t="n">
        <v>33</v>
      </c>
      <c r="R15" s="37" t="n">
        <v>0</v>
      </c>
      <c r="S15" s="37" t="n">
        <v>25</v>
      </c>
      <c r="T15" s="37" t="n">
        <v>40</v>
      </c>
      <c r="U15" s="37" t="n">
        <v>17</v>
      </c>
      <c r="V15" s="37" t="n">
        <v>8</v>
      </c>
      <c r="W15" s="32" t="n">
        <v>65</v>
      </c>
      <c r="X15" s="37" t="n"/>
      <c r="Y15" s="37" t="n"/>
      <c r="Z15" s="37" t="n"/>
      <c r="AA15" s="37" t="n"/>
      <c r="AB15" s="37" t="n"/>
      <c r="AC15" s="37" t="n"/>
      <c r="AD15" s="32" t="n"/>
      <c r="AE15" s="37" t="inlineStr">
        <is>
          <t>USD</t>
        </is>
      </c>
      <c r="AF15" s="38" t="n">
        <v>2.7</v>
      </c>
      <c r="AG15" s="67">
        <f>IF(OR(AF15="",AE15=""),"",IFERROR(AF15*INDEX(FXRates[USD per unit],MATCH(AE15,FXRates[Currency],0)),"No rate"))</f>
        <v/>
      </c>
      <c r="AH15" s="36" t="inlineStr">
        <is>
          <t>4WS Pallet</t>
        </is>
      </c>
      <c r="AI15" s="36" t="n"/>
      <c r="AJ15" s="39">
        <f>IF(A15="","",IF(COUNTIF($A$6:$A$504,A15)&gt;1,"⚠ Duplicate",""))</f>
        <v/>
      </c>
      <c r="AK15" s="38" t="n"/>
      <c r="AL15" s="40" t="n"/>
      <c r="AM15" s="40" t="n"/>
      <c r="AN15" s="40" t="n"/>
      <c r="AO15" s="40" t="n"/>
      <c r="AP15" s="40" t="n"/>
      <c r="AQ15" s="40" t="n"/>
      <c r="AR15" s="40" t="n"/>
      <c r="AS15" s="40" t="n"/>
      <c r="AT15" s="40" t="n"/>
      <c r="AU15" s="40" t="n"/>
      <c r="AV15" s="40" t="n"/>
      <c r="AW15" s="40" t="n"/>
      <c r="AX15" s="40" t="n"/>
      <c r="AY15" s="35" t="n"/>
      <c r="AZ15" s="38" t="n"/>
      <c r="BA15" s="40" t="n"/>
      <c r="BB15" s="40" t="n"/>
      <c r="BC15" s="40" t="n"/>
      <c r="BD15" s="40" t="n"/>
      <c r="BE15" s="40" t="n"/>
      <c r="BF15" s="40" t="n"/>
      <c r="BG15" s="40" t="n"/>
      <c r="BH15" s="40" t="n"/>
      <c r="BI15" s="40" t="n"/>
      <c r="BJ15" s="40" t="n"/>
      <c r="BK15" s="40" t="n"/>
      <c r="BL15" s="40" t="n"/>
      <c r="BM15" s="40" t="n"/>
      <c r="BN15" s="35" t="n"/>
    </row>
    <row r="16" ht="18" customHeight="1" s="82">
      <c r="A16" s="30" t="inlineStr">
        <is>
          <t>SC22191</t>
        </is>
      </c>
      <c r="B16" s="30" t="inlineStr">
        <is>
          <t>Plexus Bridgeview</t>
        </is>
      </c>
      <c r="C16" s="30" t="inlineStr">
        <is>
          <t>Malaysia ASIA</t>
        </is>
      </c>
      <c r="D16" s="30" t="inlineStr">
        <is>
          <t>Autostore</t>
        </is>
      </c>
      <c r="E16" s="31" t="n">
        <v>2025</v>
      </c>
      <c r="F16" s="31" t="inlineStr">
        <is>
          <t>Yes</t>
        </is>
      </c>
      <c r="G16" s="31" t="n">
        <v>0</v>
      </c>
      <c r="H16" s="31" t="n">
        <v>0</v>
      </c>
      <c r="I16" s="31" t="n">
        <v>20</v>
      </c>
      <c r="J16" s="31" t="n">
        <v>10000</v>
      </c>
      <c r="K16" s="31" t="n">
        <v>0</v>
      </c>
      <c r="L16" s="31" t="n">
        <v>0</v>
      </c>
      <c r="M16" s="31" t="n">
        <v>0</v>
      </c>
      <c r="N16" s="31" t="n">
        <v>0</v>
      </c>
      <c r="O16" s="31" t="n">
        <v>100</v>
      </c>
      <c r="P16" s="31" t="n">
        <v>0</v>
      </c>
      <c r="Q16" s="31" t="n">
        <v>25</v>
      </c>
      <c r="R16" s="31" t="n">
        <v>2</v>
      </c>
      <c r="S16" s="31" t="n">
        <v>12</v>
      </c>
      <c r="T16" s="31" t="n">
        <v>25</v>
      </c>
      <c r="U16" s="31" t="n">
        <v>8</v>
      </c>
      <c r="V16" s="31" t="n">
        <v>18</v>
      </c>
      <c r="W16" s="32" t="n">
        <v>47</v>
      </c>
      <c r="X16" s="31" t="n"/>
      <c r="Y16" s="31" t="n"/>
      <c r="Z16" s="31" t="n"/>
      <c r="AA16" s="31" t="n"/>
      <c r="AB16" s="31" t="n"/>
      <c r="AC16" s="31" t="n"/>
      <c r="AD16" s="32" t="n"/>
      <c r="AE16" s="31" t="inlineStr">
        <is>
          <t>USD</t>
        </is>
      </c>
      <c r="AF16" s="33" t="n">
        <v>2.2</v>
      </c>
      <c r="AG16" s="66">
        <f>IF(OR(AF16="",AE16=""),"",IFERROR(AF16*INDEX(FXRates[USD per unit],MATCH(AE16,FXRates[Currency],0)),"No rate"))</f>
        <v/>
      </c>
      <c r="AH16" s="30" t="inlineStr">
        <is>
          <t>Autostore</t>
        </is>
      </c>
      <c r="AI16" s="30" t="n"/>
      <c r="AJ16" s="34">
        <f>IF(A16="","",IF(COUNTIF($A$6:$A$504,A16)&gt;1,"⚠ Duplicate",""))</f>
        <v/>
      </c>
      <c r="AK16" s="33" t="n"/>
      <c r="AL16" s="35" t="n"/>
      <c r="AM16" s="35" t="n"/>
      <c r="AN16" s="35" t="n"/>
      <c r="AO16" s="35" t="n"/>
      <c r="AP16" s="35" t="n"/>
      <c r="AQ16" s="35" t="n"/>
      <c r="AR16" s="35" t="n"/>
      <c r="AS16" s="35" t="n"/>
      <c r="AT16" s="35" t="n"/>
      <c r="AU16" s="35" t="n"/>
      <c r="AV16" s="35" t="n"/>
      <c r="AW16" s="35" t="n"/>
      <c r="AX16" s="35" t="n"/>
      <c r="AY16" s="35" t="n"/>
      <c r="AZ16" s="33" t="n"/>
      <c r="BA16" s="35" t="n"/>
      <c r="BB16" s="35" t="n"/>
      <c r="BC16" s="35" t="n"/>
      <c r="BD16" s="35" t="n"/>
      <c r="BE16" s="35" t="n"/>
      <c r="BF16" s="35" t="n"/>
      <c r="BG16" s="35" t="n"/>
      <c r="BH16" s="35" t="n"/>
      <c r="BI16" s="35" t="n"/>
      <c r="BJ16" s="35" t="n"/>
      <c r="BK16" s="35" t="n"/>
      <c r="BL16" s="35" t="n"/>
      <c r="BM16" s="35" t="n"/>
      <c r="BN16" s="35" t="n"/>
    </row>
    <row r="17" ht="18" customHeight="1" s="82">
      <c r="A17" s="36" t="inlineStr">
        <is>
          <t>SW31269</t>
        </is>
      </c>
      <c r="B17" s="36" t="inlineStr">
        <is>
          <t>Plexus Bangkok</t>
        </is>
      </c>
      <c r="C17" s="36" t="inlineStr">
        <is>
          <t>Malaysia ASIA</t>
        </is>
      </c>
      <c r="D17" s="36" t="inlineStr">
        <is>
          <t>Autostore</t>
        </is>
      </c>
      <c r="E17" s="37" t="n">
        <v>2025</v>
      </c>
      <c r="F17" s="37" t="inlineStr">
        <is>
          <t>Yes</t>
        </is>
      </c>
      <c r="G17" s="37" t="n">
        <v>0</v>
      </c>
      <c r="H17" s="37" t="n">
        <v>0</v>
      </c>
      <c r="I17" s="37" t="n">
        <v>10</v>
      </c>
      <c r="J17" s="37" t="n">
        <v>10000</v>
      </c>
      <c r="K17" s="37" t="n">
        <v>0</v>
      </c>
      <c r="L17" s="37" t="n">
        <v>0</v>
      </c>
      <c r="M17" s="37" t="n">
        <v>0</v>
      </c>
      <c r="N17" s="37" t="n">
        <v>0</v>
      </c>
      <c r="O17" s="37" t="n">
        <v>0</v>
      </c>
      <c r="P17" s="37" t="n">
        <v>0</v>
      </c>
      <c r="Q17" s="37" t="n">
        <v>24</v>
      </c>
      <c r="R17" s="37" t="n">
        <v>2</v>
      </c>
      <c r="S17" s="37" t="n">
        <v>12</v>
      </c>
      <c r="T17" s="37" t="n">
        <v>23</v>
      </c>
      <c r="U17" s="37" t="n">
        <v>9</v>
      </c>
      <c r="V17" s="37" t="n">
        <v>11</v>
      </c>
      <c r="W17" s="32" t="n">
        <v>47</v>
      </c>
      <c r="X17" s="37" t="n"/>
      <c r="Y17" s="37" t="n"/>
      <c r="Z17" s="37" t="n"/>
      <c r="AA17" s="37" t="n"/>
      <c r="AB17" s="37" t="n"/>
      <c r="AC17" s="37" t="n"/>
      <c r="AD17" s="32" t="n"/>
      <c r="AE17" s="37" t="inlineStr">
        <is>
          <t>USD</t>
        </is>
      </c>
      <c r="AF17" s="38" t="n">
        <v>1.7</v>
      </c>
      <c r="AG17" s="67">
        <f>IF(OR(AF17="",AE17=""),"",IFERROR(AF17*INDEX(FXRates[USD per unit],MATCH(AE17,FXRates[Currency],0)),"No rate"))</f>
        <v/>
      </c>
      <c r="AH17" s="36" t="inlineStr">
        <is>
          <t>Autostore</t>
        </is>
      </c>
      <c r="AI17" s="36" t="n"/>
      <c r="AJ17" s="39">
        <f>IF(A17="","",IF(COUNTIF($A$6:$A$504,A17)&gt;1,"⚠ Duplicate",""))</f>
        <v/>
      </c>
      <c r="AK17" s="38" t="n"/>
      <c r="AL17" s="35" t="n"/>
      <c r="AM17" s="35" t="n"/>
      <c r="AN17" s="35" t="n"/>
      <c r="AO17" s="35" t="n"/>
      <c r="AP17" s="35" t="n"/>
      <c r="AQ17" s="35" t="n"/>
      <c r="AR17" s="35" t="n"/>
      <c r="AS17" s="35" t="n"/>
      <c r="AT17" s="35" t="n"/>
      <c r="AU17" s="35" t="n"/>
      <c r="AV17" s="35" t="n"/>
      <c r="AW17" s="35" t="n"/>
      <c r="AX17" s="35" t="n"/>
      <c r="AY17" s="35" t="n"/>
      <c r="AZ17" s="38" t="n"/>
      <c r="BA17" s="35" t="n"/>
      <c r="BB17" s="35" t="n"/>
      <c r="BC17" s="35" t="n"/>
      <c r="BD17" s="35" t="n"/>
      <c r="BE17" s="35" t="n"/>
      <c r="BF17" s="35" t="n"/>
      <c r="BG17" s="35" t="n"/>
      <c r="BH17" s="35" t="n"/>
      <c r="BI17" s="35" t="n"/>
      <c r="BJ17" s="35" t="n"/>
      <c r="BK17" s="35" t="n"/>
      <c r="BL17" s="35" t="n"/>
      <c r="BM17" s="35" t="n"/>
      <c r="BN17" s="35" t="n"/>
    </row>
    <row r="18" ht="18" customHeight="1" s="82">
      <c r="A18" s="30" t="inlineStr">
        <is>
          <t>SC22188</t>
        </is>
      </c>
      <c r="B18" s="30" t="inlineStr">
        <is>
          <t>Jaya Grocer</t>
        </is>
      </c>
      <c r="C18" s="30" t="inlineStr">
        <is>
          <t>Malaysia ASIA</t>
        </is>
      </c>
      <c r="D18" s="30" t="n"/>
      <c r="E18" s="31" t="n">
        <v>2025</v>
      </c>
      <c r="F18" s="31" t="inlineStr">
        <is>
          <t>No</t>
        </is>
      </c>
      <c r="G18" s="31" t="n">
        <v>160</v>
      </c>
      <c r="H18" s="31" t="n">
        <v>95000</v>
      </c>
      <c r="I18" s="31" t="n">
        <v>0</v>
      </c>
      <c r="J18" s="31" t="n">
        <v>0</v>
      </c>
      <c r="K18" s="31" t="n">
        <v>50</v>
      </c>
      <c r="L18" s="31" t="n">
        <v>15000</v>
      </c>
      <c r="M18" s="31" t="n">
        <v>0</v>
      </c>
      <c r="N18" s="31" t="n">
        <v>0</v>
      </c>
      <c r="O18" s="31" t="n">
        <v>800</v>
      </c>
      <c r="P18" s="31" t="n">
        <v>100</v>
      </c>
      <c r="Q18" s="31" t="n">
        <v>46</v>
      </c>
      <c r="R18" s="31" t="n">
        <v>24</v>
      </c>
      <c r="S18" s="31" t="n">
        <v>27</v>
      </c>
      <c r="T18" s="31" t="n">
        <v>57</v>
      </c>
      <c r="U18" s="31" t="n">
        <v>26</v>
      </c>
      <c r="V18" s="31" t="n">
        <v>34</v>
      </c>
      <c r="W18" s="32" t="n">
        <v>92</v>
      </c>
      <c r="X18" s="31" t="n"/>
      <c r="Y18" s="31" t="n"/>
      <c r="Z18" s="31" t="n"/>
      <c r="AA18" s="31" t="n"/>
      <c r="AB18" s="31" t="n"/>
      <c r="AC18" s="31" t="n"/>
      <c r="AD18" s="32" t="n"/>
      <c r="AE18" s="31" t="inlineStr">
        <is>
          <t>USD</t>
        </is>
      </c>
      <c r="AF18" s="33" t="n">
        <v>25.4</v>
      </c>
      <c r="AG18" s="66">
        <f>IF(OR(AF18="",AE18=""),"",IFERROR(AF18*INDEX(FXRates[USD per unit],MATCH(AE18,FXRates[Currency],0)),"No rate"))</f>
        <v/>
      </c>
      <c r="AH18" s="30" t="n"/>
      <c r="AI18" s="30" t="n"/>
      <c r="AJ18" s="34">
        <f>IF(A18="","",IF(COUNTIF($A$6:$A$504,A18)&gt;1,"⚠ Duplicate",""))</f>
        <v/>
      </c>
      <c r="AK18" s="33" t="n"/>
      <c r="AL18" s="41" t="n"/>
      <c r="AM18" s="41" t="n"/>
      <c r="AN18" s="41" t="n"/>
      <c r="AO18" s="41" t="n"/>
      <c r="AP18" s="41" t="n"/>
      <c r="AQ18" s="41" t="n"/>
      <c r="AR18" s="41" t="n"/>
      <c r="AS18" s="41" t="n"/>
      <c r="AT18" s="41" t="n"/>
      <c r="AU18" s="41" t="n"/>
      <c r="AV18" s="41" t="n"/>
      <c r="AW18" s="41" t="n"/>
      <c r="AX18" s="41" t="n"/>
      <c r="AY18" s="35" t="n"/>
      <c r="AZ18" s="33" t="n"/>
      <c r="BA18" s="41" t="n"/>
      <c r="BB18" s="41" t="n"/>
      <c r="BC18" s="41" t="n"/>
      <c r="BD18" s="41" t="n"/>
      <c r="BE18" s="41" t="n"/>
      <c r="BF18" s="41" t="n"/>
      <c r="BG18" s="41" t="n"/>
      <c r="BH18" s="41" t="n"/>
      <c r="BI18" s="41" t="n"/>
      <c r="BJ18" s="41" t="n"/>
      <c r="BK18" s="41" t="n"/>
      <c r="BL18" s="41" t="n"/>
      <c r="BM18" s="41" t="n"/>
      <c r="BN18" s="35" t="n"/>
    </row>
    <row r="19" ht="18" customHeight="1" s="82">
      <c r="A19" s="36" t="inlineStr">
        <is>
          <t>SW31277</t>
        </is>
      </c>
      <c r="B19" s="36" t="inlineStr">
        <is>
          <t>Swire Coca-Cola</t>
        </is>
      </c>
      <c r="C19" s="36" t="inlineStr">
        <is>
          <t>Taiwan ASIA</t>
        </is>
      </c>
      <c r="D19" s="36" t="inlineStr">
        <is>
          <t>Pallet Hotel</t>
        </is>
      </c>
      <c r="E19" s="37" t="n">
        <v>2025</v>
      </c>
      <c r="F19" s="37" t="inlineStr">
        <is>
          <t>Yes</t>
        </is>
      </c>
      <c r="G19" s="37" t="n">
        <v>0</v>
      </c>
      <c r="H19" s="37" t="n">
        <v>0</v>
      </c>
      <c r="I19" s="37" t="n">
        <v>0</v>
      </c>
      <c r="J19" s="37" t="n">
        <v>0</v>
      </c>
      <c r="K19" s="37" t="n">
        <v>0</v>
      </c>
      <c r="L19" s="37" t="n">
        <v>0</v>
      </c>
      <c r="M19" s="37" t="n">
        <v>8</v>
      </c>
      <c r="N19" s="37" t="n">
        <v>15000</v>
      </c>
      <c r="O19" s="37" t="n">
        <v>0</v>
      </c>
      <c r="P19" s="37" t="n">
        <v>700</v>
      </c>
      <c r="Q19" s="37" t="n">
        <v>84</v>
      </c>
      <c r="R19" s="37" t="n">
        <v>48</v>
      </c>
      <c r="S19" s="37" t="n">
        <v>25</v>
      </c>
      <c r="T19" s="37" t="n">
        <v>55</v>
      </c>
      <c r="U19" s="37" t="n">
        <v>27</v>
      </c>
      <c r="V19" s="37" t="n">
        <v>33</v>
      </c>
      <c r="W19" s="32" t="n">
        <v>139</v>
      </c>
      <c r="X19" s="37" t="n"/>
      <c r="Y19" s="37" t="n"/>
      <c r="Z19" s="37" t="n"/>
      <c r="AA19" s="37" t="n"/>
      <c r="AB19" s="37" t="n"/>
      <c r="AC19" s="37" t="n"/>
      <c r="AD19" s="32" t="n"/>
      <c r="AE19" s="37" t="inlineStr">
        <is>
          <t>USD</t>
        </is>
      </c>
      <c r="AF19" s="38" t="n">
        <v>18.7</v>
      </c>
      <c r="AG19" s="67">
        <f>IF(OR(AF19="",AE19=""),"",IFERROR(AF19*INDEX(FXRates[USD per unit],MATCH(AE19,FXRates[Currency],0)),"No rate"))</f>
        <v/>
      </c>
      <c r="AH19" s="36" t="inlineStr">
        <is>
          <t xml:space="preserve">SRM BK25 Shuttlecar RGV </t>
        </is>
      </c>
      <c r="AI19" s="36" t="n"/>
      <c r="AJ19" s="39">
        <f>IF(A19="","",IF(COUNTIF($A$6:$A$504,A19)&gt;1,"⚠ Duplicate",""))</f>
        <v/>
      </c>
      <c r="AK19" s="38" t="n"/>
      <c r="AL19" s="35" t="n"/>
      <c r="AM19" s="35" t="n"/>
      <c r="AN19" s="35" t="n"/>
      <c r="AO19" s="35" t="n"/>
      <c r="AP19" s="35" t="n"/>
      <c r="AQ19" s="35" t="n"/>
      <c r="AR19" s="35" t="n"/>
      <c r="AS19" s="35" t="n"/>
      <c r="AT19" s="35" t="n"/>
      <c r="AU19" s="35" t="n"/>
      <c r="AV19" s="35" t="n"/>
      <c r="AW19" s="35" t="n"/>
      <c r="AX19" s="35" t="n"/>
      <c r="AY19" s="35" t="n"/>
      <c r="AZ19" s="38" t="n"/>
      <c r="BA19" s="35" t="n"/>
      <c r="BB19" s="35" t="n"/>
      <c r="BC19" s="35" t="n"/>
      <c r="BD19" s="35" t="n"/>
      <c r="BE19" s="35" t="n"/>
      <c r="BF19" s="35" t="n"/>
      <c r="BG19" s="35" t="n"/>
      <c r="BH19" s="35" t="n"/>
      <c r="BI19" s="35" t="n"/>
      <c r="BJ19" s="35" t="n"/>
      <c r="BK19" s="35" t="n"/>
      <c r="BL19" s="35" t="n"/>
      <c r="BM19" s="35" t="n"/>
      <c r="BN19" s="35" t="n"/>
    </row>
    <row r="20" ht="18" customHeight="1" s="82">
      <c r="A20" s="30" t="inlineStr">
        <is>
          <t>SW31253</t>
        </is>
      </c>
      <c r="B20" s="30" t="inlineStr">
        <is>
          <t>RSI Taichung Split Case</t>
        </is>
      </c>
      <c r="C20" s="30" t="inlineStr">
        <is>
          <t>Taiwan ASIA</t>
        </is>
      </c>
      <c r="D20" s="30" t="inlineStr">
        <is>
          <t>Others/complex</t>
        </is>
      </c>
      <c r="E20" s="31" t="n">
        <v>2025</v>
      </c>
      <c r="F20" s="31" t="inlineStr">
        <is>
          <t>Yes</t>
        </is>
      </c>
      <c r="G20" s="31" t="n">
        <v>115</v>
      </c>
      <c r="H20" s="31" t="n">
        <v>25000</v>
      </c>
      <c r="I20" s="31" t="n">
        <v>0</v>
      </c>
      <c r="J20" s="31" t="n">
        <v>0</v>
      </c>
      <c r="K20" s="31" t="n">
        <v>0</v>
      </c>
      <c r="L20" s="31" t="n">
        <v>0</v>
      </c>
      <c r="M20" s="31" t="n">
        <v>0</v>
      </c>
      <c r="N20" s="31" t="n">
        <v>0</v>
      </c>
      <c r="O20" s="31" t="n">
        <v>2000</v>
      </c>
      <c r="P20" s="31" t="n">
        <v>200</v>
      </c>
      <c r="Q20" s="31" t="n">
        <v>40</v>
      </c>
      <c r="R20" s="31" t="n">
        <v>0</v>
      </c>
      <c r="S20" s="31" t="n">
        <v>51</v>
      </c>
      <c r="T20" s="31" t="n">
        <v>0</v>
      </c>
      <c r="U20" s="31" t="n">
        <v>23</v>
      </c>
      <c r="V20" s="31" t="n">
        <v>25</v>
      </c>
      <c r="W20" s="32" t="n">
        <v>65</v>
      </c>
      <c r="X20" s="31" t="n"/>
      <c r="Y20" s="31" t="n"/>
      <c r="Z20" s="31" t="n"/>
      <c r="AA20" s="31" t="n"/>
      <c r="AB20" s="31" t="n"/>
      <c r="AC20" s="31" t="n"/>
      <c r="AD20" s="32" t="n"/>
      <c r="AE20" s="31" t="inlineStr">
        <is>
          <t>USD</t>
        </is>
      </c>
      <c r="AF20" s="33" t="n">
        <v>13</v>
      </c>
      <c r="AG20" s="66">
        <f>IF(OR(AF20="",AE20=""),"",IFERROR(AF20*INDEX(FXRates[USD per unit],MATCH(AE20,FXRates[Currency],0)),"No rate"))</f>
        <v/>
      </c>
      <c r="AH20" s="30" t="inlineStr">
        <is>
          <t>SRM BK25 MCS DMS AMCAP MCP FMCF RGV LIFTER PALLET ELTEN SCHWINGHANDL NORIN SUZHOU MARKEM IMAJE METTLER TOLEDO</t>
        </is>
      </c>
      <c r="AI20" s="30" t="n"/>
      <c r="AJ20" s="34">
        <f>IF(A20="","",IF(COUNTIF($A$6:$A$504,A20)&gt;1,"⚠ Duplicate",""))</f>
        <v/>
      </c>
      <c r="AK20" s="33" t="n"/>
      <c r="AL20" s="35" t="n"/>
      <c r="AM20" s="35" t="n"/>
      <c r="AN20" s="35" t="n"/>
      <c r="AO20" s="35" t="n"/>
      <c r="AP20" s="35" t="n"/>
      <c r="AQ20" s="35" t="n"/>
      <c r="AR20" s="35" t="n"/>
      <c r="AS20" s="35" t="n"/>
      <c r="AT20" s="35" t="n"/>
      <c r="AU20" s="35" t="n"/>
      <c r="AV20" s="35" t="n"/>
      <c r="AW20" s="35" t="n"/>
      <c r="AX20" s="35" t="n"/>
      <c r="AY20" s="35" t="n"/>
      <c r="AZ20" s="33" t="n"/>
      <c r="BA20" s="35" t="n"/>
      <c r="BB20" s="35" t="n"/>
      <c r="BC20" s="35" t="n"/>
      <c r="BD20" s="35" t="n"/>
      <c r="BE20" s="35" t="n"/>
      <c r="BF20" s="35" t="n"/>
      <c r="BG20" s="35" t="n"/>
      <c r="BH20" s="35" t="n"/>
      <c r="BI20" s="35" t="n"/>
      <c r="BJ20" s="35" t="n"/>
      <c r="BK20" s="35" t="n"/>
      <c r="BL20" s="35" t="n"/>
      <c r="BM20" s="35" t="n"/>
      <c r="BN20" s="35" t="n"/>
    </row>
    <row r="21" ht="18" customHeight="1" s="82">
      <c r="A21" s="36" t="inlineStr">
        <is>
          <t>SC22207</t>
        </is>
      </c>
      <c r="B21" s="36" t="inlineStr">
        <is>
          <t>Siemens Gebze</t>
        </is>
      </c>
      <c r="C21" s="36" t="inlineStr">
        <is>
          <t>Turkey ME</t>
        </is>
      </c>
      <c r="D21" s="36" t="n"/>
      <c r="E21" s="37" t="n">
        <v>2025</v>
      </c>
      <c r="F21" s="37" t="inlineStr">
        <is>
          <t>No</t>
        </is>
      </c>
      <c r="G21" s="37" t="n">
        <v>0</v>
      </c>
      <c r="H21" s="37" t="n">
        <v>0</v>
      </c>
      <c r="I21" s="37" t="n">
        <v>15</v>
      </c>
      <c r="J21" s="37" t="n">
        <v>20000</v>
      </c>
      <c r="K21" s="37" t="n">
        <v>0</v>
      </c>
      <c r="L21" s="37" t="n">
        <v>0</v>
      </c>
      <c r="M21" s="37" t="n">
        <v>0</v>
      </c>
      <c r="N21" s="37" t="n">
        <v>0</v>
      </c>
      <c r="O21" s="37" t="n">
        <v>0</v>
      </c>
      <c r="P21" s="37" t="n">
        <v>0</v>
      </c>
      <c r="Q21" s="37" t="n">
        <v>26</v>
      </c>
      <c r="R21" s="37" t="n">
        <v>0</v>
      </c>
      <c r="S21" s="37" t="n">
        <v>12</v>
      </c>
      <c r="T21" s="37" t="n">
        <v>18</v>
      </c>
      <c r="U21" s="37" t="n">
        <v>9</v>
      </c>
      <c r="V21" s="37" t="n">
        <v>8</v>
      </c>
      <c r="W21" s="32" t="n">
        <v>44</v>
      </c>
      <c r="X21" s="37" t="n"/>
      <c r="Y21" s="37" t="n"/>
      <c r="Z21" s="37" t="n"/>
      <c r="AA21" s="37" t="n"/>
      <c r="AB21" s="37" t="n"/>
      <c r="AC21" s="37" t="n"/>
      <c r="AD21" s="32" t="n"/>
      <c r="AE21" s="37" t="inlineStr">
        <is>
          <t>USD</t>
        </is>
      </c>
      <c r="AF21" s="38" t="n">
        <v>2.5</v>
      </c>
      <c r="AG21" s="67">
        <f>IF(OR(AF21="",AE21=""),"",IFERROR(AF21*INDEX(FXRates[USD per unit],MATCH(AE21,FXRates[Currency],0)),"No rate"))</f>
        <v/>
      </c>
      <c r="AH21" s="36" t="inlineStr">
        <is>
          <t>Autostore</t>
        </is>
      </c>
      <c r="AI21" s="36" t="n"/>
      <c r="AJ21" s="39">
        <f>IF(A21="","",IF(COUNTIF($A$6:$A$504,A21)&gt;1,"⚠ Duplicate",""))</f>
        <v/>
      </c>
      <c r="AK21" s="38" t="n"/>
      <c r="AL21" s="40" t="n"/>
      <c r="AM21" s="40" t="n"/>
      <c r="AN21" s="40" t="n"/>
      <c r="AO21" s="40" t="n"/>
      <c r="AP21" s="40" t="n"/>
      <c r="AQ21" s="40" t="n"/>
      <c r="AR21" s="40" t="n"/>
      <c r="AS21" s="40" t="n"/>
      <c r="AT21" s="40" t="n"/>
      <c r="AU21" s="40" t="n"/>
      <c r="AV21" s="40" t="n"/>
      <c r="AW21" s="40" t="n"/>
      <c r="AX21" s="40" t="n"/>
      <c r="AY21" s="35" t="n"/>
      <c r="AZ21" s="38" t="n"/>
      <c r="BA21" s="40" t="n"/>
      <c r="BB21" s="40" t="n"/>
      <c r="BC21" s="40" t="n"/>
      <c r="BD21" s="40" t="n"/>
      <c r="BE21" s="40" t="n"/>
      <c r="BF21" s="40" t="n"/>
      <c r="BG21" s="40" t="n"/>
      <c r="BH21" s="40" t="n"/>
      <c r="BI21" s="40" t="n"/>
      <c r="BJ21" s="40" t="n"/>
      <c r="BK21" s="40" t="n"/>
      <c r="BL21" s="40" t="n"/>
      <c r="BM21" s="40" t="n"/>
      <c r="BN21" s="35" t="n"/>
    </row>
    <row r="22" ht="18" customHeight="1" s="82">
      <c r="A22" s="30" t="inlineStr">
        <is>
          <t>SC22225</t>
        </is>
      </c>
      <c r="B22" s="30" t="inlineStr">
        <is>
          <t>Amazon RUH9</t>
        </is>
      </c>
      <c r="C22" s="30" t="inlineStr">
        <is>
          <t>KSA ME</t>
        </is>
      </c>
      <c r="D22" s="30" t="inlineStr">
        <is>
          <t>Others/complex</t>
        </is>
      </c>
      <c r="E22" s="31" t="n">
        <v>2025</v>
      </c>
      <c r="F22" s="31" t="inlineStr">
        <is>
          <t>Yes</t>
        </is>
      </c>
      <c r="G22" s="31" t="n">
        <v>0</v>
      </c>
      <c r="H22" s="31" t="n">
        <v>0</v>
      </c>
      <c r="I22" s="31" t="n">
        <v>0</v>
      </c>
      <c r="J22" s="31" t="n">
        <v>0</v>
      </c>
      <c r="K22" s="31" t="n">
        <v>0</v>
      </c>
      <c r="L22" s="31" t="n">
        <v>0</v>
      </c>
      <c r="M22" s="31" t="n">
        <v>0</v>
      </c>
      <c r="N22" s="31" t="n">
        <v>0</v>
      </c>
      <c r="O22" s="31" t="n">
        <v>3500</v>
      </c>
      <c r="P22" s="31" t="n">
        <v>0</v>
      </c>
      <c r="Q22" s="31" t="n">
        <v>54</v>
      </c>
      <c r="R22" s="31" t="n">
        <v>42</v>
      </c>
      <c r="S22" s="31" t="n">
        <v>10</v>
      </c>
      <c r="T22" s="31" t="n">
        <v>0</v>
      </c>
      <c r="U22" s="31" t="n">
        <v>18</v>
      </c>
      <c r="V22" s="31" t="n">
        <v>8</v>
      </c>
      <c r="W22" s="32" t="n">
        <v>81</v>
      </c>
      <c r="X22" s="31" t="n"/>
      <c r="Y22" s="31" t="n"/>
      <c r="Z22" s="31" t="n"/>
      <c r="AA22" s="31" t="n"/>
      <c r="AB22" s="31" t="n"/>
      <c r="AC22" s="31" t="n"/>
      <c r="AD22" s="32" t="n"/>
      <c r="AE22" s="31" t="inlineStr">
        <is>
          <t>USD</t>
        </is>
      </c>
      <c r="AF22" s="33" t="n">
        <v>18</v>
      </c>
      <c r="AG22" s="66">
        <f>IF(OR(AF22="",AE22=""),"",IFERROR(AF22*INDEX(FXRates[USD per unit],MATCH(AE22,FXRates[Currency],0)),"No rate"))</f>
        <v/>
      </c>
      <c r="AH22" s="30" t="inlineStr">
        <is>
          <t>XB Sorter CBS crossbelt MCS</t>
        </is>
      </c>
      <c r="AI22" s="30" t="n"/>
      <c r="AJ22" s="34">
        <f>IF(A22="","",IF(COUNTIF($A$6:$A$504,A22)&gt;1,"⚠ Duplicate",""))</f>
        <v/>
      </c>
      <c r="AK22" s="33" t="n"/>
      <c r="AL22" s="35" t="n"/>
      <c r="AM22" s="35" t="n"/>
      <c r="AN22" s="35" t="n"/>
      <c r="AO22" s="35" t="n"/>
      <c r="AP22" s="35" t="n"/>
      <c r="AQ22" s="35" t="n"/>
      <c r="AR22" s="35" t="n"/>
      <c r="AS22" s="35" t="n"/>
      <c r="AT22" s="35" t="n"/>
      <c r="AU22" s="35" t="n"/>
      <c r="AV22" s="35" t="n"/>
      <c r="AW22" s="35" t="n"/>
      <c r="AX22" s="35" t="n"/>
      <c r="AY22" s="35" t="n"/>
      <c r="AZ22" s="33" t="n"/>
      <c r="BA22" s="35" t="n"/>
      <c r="BB22" s="35" t="n"/>
      <c r="BC22" s="35" t="n"/>
      <c r="BD22" s="35" t="n"/>
      <c r="BE22" s="35" t="n"/>
      <c r="BF22" s="35" t="n"/>
      <c r="BG22" s="35" t="n"/>
      <c r="BH22" s="35" t="n"/>
      <c r="BI22" s="35" t="n"/>
      <c r="BJ22" s="35" t="n"/>
      <c r="BK22" s="35" t="n"/>
      <c r="BL22" s="35" t="n"/>
      <c r="BM22" s="35" t="n"/>
      <c r="BN22" s="35" t="n"/>
    </row>
    <row r="23" ht="18" customHeight="1" s="82">
      <c r="A23" s="36" t="inlineStr">
        <is>
          <t>SW31322</t>
        </is>
      </c>
      <c r="B23" s="36" t="inlineStr">
        <is>
          <t>PepsiCo ASRS VN</t>
        </is>
      </c>
      <c r="C23" s="36" t="inlineStr">
        <is>
          <t>Vietnam Asia</t>
        </is>
      </c>
      <c r="D23" s="36" t="n"/>
      <c r="E23" s="37" t="n">
        <v>2025</v>
      </c>
      <c r="F23" s="37" t="inlineStr">
        <is>
          <t>No</t>
        </is>
      </c>
      <c r="G23" s="37" t="n">
        <v>0</v>
      </c>
      <c r="H23" s="37" t="n">
        <v>0</v>
      </c>
      <c r="I23" s="37" t="n">
        <v>0</v>
      </c>
      <c r="J23" s="37" t="n">
        <v>0</v>
      </c>
      <c r="K23" s="37" t="n">
        <v>0</v>
      </c>
      <c r="L23" s="37" t="n">
        <v>0</v>
      </c>
      <c r="M23" s="37" t="n">
        <v>7</v>
      </c>
      <c r="N23" s="37" t="n">
        <v>10000</v>
      </c>
      <c r="O23" s="37" t="n">
        <v>0</v>
      </c>
      <c r="P23" s="37" t="n">
        <v>500</v>
      </c>
      <c r="Q23" s="37" t="n">
        <v>32</v>
      </c>
      <c r="R23" s="37" t="n">
        <v>36</v>
      </c>
      <c r="S23" s="37" t="n">
        <v>27</v>
      </c>
      <c r="T23" s="37" t="n">
        <v>47</v>
      </c>
      <c r="U23" s="37" t="n">
        <v>21</v>
      </c>
      <c r="V23" s="37" t="n">
        <v>18</v>
      </c>
      <c r="W23" s="32" t="n">
        <v>70</v>
      </c>
      <c r="X23" s="37" t="n"/>
      <c r="Y23" s="37" t="n"/>
      <c r="Z23" s="37" t="n"/>
      <c r="AA23" s="37" t="n"/>
      <c r="AB23" s="37" t="n"/>
      <c r="AC23" s="37" t="n"/>
      <c r="AD23" s="32" t="n"/>
      <c r="AE23" s="37" t="inlineStr">
        <is>
          <t>USD</t>
        </is>
      </c>
      <c r="AF23" s="38" t="n">
        <v>7.2</v>
      </c>
      <c r="AG23" s="67">
        <f>IF(OR(AF23="",AE23=""),"",IFERROR(AF23*INDEX(FXRates[USD per unit],MATCH(AE23,FXRates[Currency],0)),"No rate"))</f>
        <v/>
      </c>
      <c r="AH23" s="36" t="inlineStr">
        <is>
          <t xml:space="preserve">SRM BK25 </t>
        </is>
      </c>
      <c r="AI23" s="36" t="n"/>
      <c r="AJ23" s="39">
        <f>IF(A23="","",IF(COUNTIF($A$6:$A$504,A23)&gt;1,"⚠ Duplicate",""))</f>
        <v/>
      </c>
      <c r="AK23" s="38" t="n"/>
      <c r="AL23" s="40" t="n"/>
      <c r="AM23" s="40" t="n"/>
      <c r="AN23" s="40" t="n"/>
      <c r="AO23" s="40" t="n"/>
      <c r="AP23" s="40" t="n"/>
      <c r="AQ23" s="40" t="n"/>
      <c r="AR23" s="40" t="n"/>
      <c r="AS23" s="40" t="n"/>
      <c r="AT23" s="40" t="n"/>
      <c r="AU23" s="40" t="n"/>
      <c r="AV23" s="40" t="n"/>
      <c r="AW23" s="40" t="n"/>
      <c r="AX23" s="40" t="n"/>
      <c r="AY23" s="35" t="n"/>
      <c r="AZ23" s="38" t="n"/>
      <c r="BA23" s="40" t="n"/>
      <c r="BB23" s="40" t="n"/>
      <c r="BC23" s="40" t="n"/>
      <c r="BD23" s="40" t="n"/>
      <c r="BE23" s="40" t="n"/>
      <c r="BF23" s="40" t="n"/>
      <c r="BG23" s="40" t="n"/>
      <c r="BH23" s="40" t="n"/>
      <c r="BI23" s="40" t="n"/>
      <c r="BJ23" s="40" t="n"/>
      <c r="BK23" s="40" t="n"/>
      <c r="BL23" s="40" t="n"/>
      <c r="BM23" s="40" t="n"/>
      <c r="BN23" s="35" t="n"/>
    </row>
    <row r="24" ht="18" customHeight="1" s="82">
      <c r="A24" s="30" t="inlineStr">
        <is>
          <t>SW31325</t>
        </is>
      </c>
      <c r="B24" s="30" t="inlineStr">
        <is>
          <t>MR DIY MY</t>
        </is>
      </c>
      <c r="C24" s="30" t="inlineStr">
        <is>
          <t>Malaysia ASIA</t>
        </is>
      </c>
      <c r="D24" s="30" t="n"/>
      <c r="E24" s="31" t="n">
        <v>2025</v>
      </c>
      <c r="F24" s="31" t="inlineStr">
        <is>
          <t>No</t>
        </is>
      </c>
      <c r="G24" s="31" t="n">
        <v>95</v>
      </c>
      <c r="H24" s="31" t="n">
        <v>31020</v>
      </c>
      <c r="I24" s="31" t="n">
        <v>0</v>
      </c>
      <c r="J24" s="31" t="n">
        <v>0</v>
      </c>
      <c r="K24" s="31" t="n">
        <v>15</v>
      </c>
      <c r="L24" s="31" t="n">
        <v>5000</v>
      </c>
      <c r="M24" s="31" t="n">
        <v>12</v>
      </c>
      <c r="N24" s="31" t="n">
        <v>30000</v>
      </c>
      <c r="O24" s="31" t="n">
        <v>1500</v>
      </c>
      <c r="P24" s="31" t="n">
        <v>500</v>
      </c>
      <c r="Q24" s="31" t="n">
        <v>60</v>
      </c>
      <c r="R24" s="31" t="n">
        <v>44</v>
      </c>
      <c r="S24" s="31" t="n">
        <v>29</v>
      </c>
      <c r="T24" s="31" t="n">
        <v>59</v>
      </c>
      <c r="U24" s="31" t="n">
        <v>88</v>
      </c>
      <c r="V24" s="31" t="n">
        <v>45</v>
      </c>
      <c r="W24" s="32" t="n">
        <v>142</v>
      </c>
      <c r="X24" s="31" t="n"/>
      <c r="Y24" s="31" t="n"/>
      <c r="Z24" s="31" t="n"/>
      <c r="AA24" s="31" t="n"/>
      <c r="AB24" s="31" t="n"/>
      <c r="AC24" s="31" t="n"/>
      <c r="AD24" s="32" t="n"/>
      <c r="AE24" s="31" t="inlineStr">
        <is>
          <t>USD</t>
        </is>
      </c>
      <c r="AF24" s="33" t="n">
        <v>30.45</v>
      </c>
      <c r="AG24" s="66">
        <f>IF(OR(AF24="",AE24=""),"",IFERROR(AF24*INDEX(FXRates[USD per unit],MATCH(AE24,FXRates[Currency],0)),"No rate"))</f>
        <v/>
      </c>
      <c r="AH24" s="30" t="inlineStr">
        <is>
          <t>ASRS MCS DMS</t>
        </is>
      </c>
      <c r="AI24" s="30" t="n"/>
      <c r="AJ24" s="34">
        <f>IF(A24="","",IF(COUNTIF($A$6:$A$504,A24)&gt;1,"⚠ Duplicate",""))</f>
        <v/>
      </c>
      <c r="AK24" s="33" t="n"/>
      <c r="AL24" s="41" t="n"/>
      <c r="AM24" s="41" t="n"/>
      <c r="AN24" s="41" t="n"/>
      <c r="AO24" s="41" t="n"/>
      <c r="AP24" s="41" t="n"/>
      <c r="AQ24" s="41" t="n"/>
      <c r="AR24" s="41" t="n"/>
      <c r="AS24" s="41" t="n"/>
      <c r="AT24" s="41" t="n"/>
      <c r="AU24" s="41" t="n"/>
      <c r="AV24" s="41" t="n"/>
      <c r="AW24" s="41" t="n"/>
      <c r="AX24" s="41" t="n"/>
      <c r="AY24" s="35" t="n"/>
      <c r="AZ24" s="33" t="n"/>
      <c r="BA24" s="41" t="n"/>
      <c r="BB24" s="41" t="n"/>
      <c r="BC24" s="41" t="n"/>
      <c r="BD24" s="41" t="n"/>
      <c r="BE24" s="41" t="n"/>
      <c r="BF24" s="41" t="n"/>
      <c r="BG24" s="41" t="n"/>
      <c r="BH24" s="41" t="n"/>
      <c r="BI24" s="41" t="n"/>
      <c r="BJ24" s="41" t="n"/>
      <c r="BK24" s="41" t="n"/>
      <c r="BL24" s="41" t="n"/>
      <c r="BM24" s="41" t="n"/>
      <c r="BN24" s="35" t="n"/>
    </row>
    <row r="25" ht="18" customHeight="1" s="82">
      <c r="A25" s="36" t="inlineStr">
        <is>
          <t>SW31244</t>
        </is>
      </c>
      <c r="B25" s="36" t="inlineStr">
        <is>
          <t>DHL (Project PEW+)</t>
        </is>
      </c>
      <c r="C25" s="36" t="inlineStr">
        <is>
          <t>Malaysia ASIA</t>
        </is>
      </c>
      <c r="D25" s="36" t="n"/>
      <c r="E25" s="37" t="n">
        <v>2022</v>
      </c>
      <c r="F25" s="37" t="inlineStr">
        <is>
          <t>No</t>
        </is>
      </c>
      <c r="G25" s="37" t="n">
        <v>0</v>
      </c>
      <c r="H25" s="37" t="n">
        <v>0</v>
      </c>
      <c r="I25" s="37" t="n">
        <v>0</v>
      </c>
      <c r="J25" s="37" t="n">
        <v>0</v>
      </c>
      <c r="K25" s="37" t="n">
        <v>0</v>
      </c>
      <c r="L25" s="37" t="n">
        <v>0</v>
      </c>
      <c r="M25" s="37" t="n">
        <v>2</v>
      </c>
      <c r="N25" s="37" t="n">
        <v>13500</v>
      </c>
      <c r="O25" s="37" t="n">
        <v>0</v>
      </c>
      <c r="P25" s="37" t="n">
        <v>34</v>
      </c>
      <c r="Q25" s="37" t="n">
        <v>51</v>
      </c>
      <c r="R25" s="37" t="n">
        <v>50</v>
      </c>
      <c r="S25" s="37" t="n">
        <v>0</v>
      </c>
      <c r="T25" s="37" t="n">
        <v>62</v>
      </c>
      <c r="U25" s="37" t="n">
        <v>20</v>
      </c>
      <c r="V25" s="37" t="n">
        <v>5</v>
      </c>
      <c r="W25" s="32" t="n">
        <v>80</v>
      </c>
      <c r="X25" s="37" t="n"/>
      <c r="Y25" s="37" t="n"/>
      <c r="Z25" s="37" t="n"/>
      <c r="AA25" s="37" t="n"/>
      <c r="AB25" s="37" t="n"/>
      <c r="AC25" s="37" t="n"/>
      <c r="AD25" s="32" t="n"/>
      <c r="AE25" s="37" t="inlineStr">
        <is>
          <t>MYR</t>
        </is>
      </c>
      <c r="AF25" s="38" t="n">
        <v>15.5</v>
      </c>
      <c r="AG25" s="67">
        <f>IF(OR(AF25="",AE25=""),"",IFERROR(AF25*INDEX(FXRates[USD per unit],MATCH(AE25,FXRates[Currency],0)),"No rate"))</f>
        <v/>
      </c>
      <c r="AH25" s="36" t="inlineStr">
        <is>
          <t>SRM BK25</t>
        </is>
      </c>
      <c r="AI25" s="36" t="n"/>
      <c r="AJ25" s="39">
        <f>IF(A25="","",IF(COUNTIF($A$6:$A$504,A25)&gt;1,"⚠ Duplicate",""))</f>
        <v/>
      </c>
      <c r="AK25" s="38" t="n"/>
      <c r="AL25" s="40" t="n"/>
      <c r="AM25" s="40" t="n"/>
      <c r="AN25" s="40" t="n"/>
      <c r="AO25" s="40" t="n"/>
      <c r="AP25" s="40" t="n"/>
      <c r="AQ25" s="40" t="n"/>
      <c r="AR25" s="40" t="n"/>
      <c r="AS25" s="40" t="n"/>
      <c r="AT25" s="40" t="n"/>
      <c r="AU25" s="40" t="n"/>
      <c r="AV25" s="40" t="n"/>
      <c r="AW25" s="40" t="n"/>
      <c r="AX25" s="40" t="n"/>
      <c r="AY25" s="35" t="n"/>
      <c r="AZ25" s="38" t="n"/>
      <c r="BA25" s="40" t="n"/>
      <c r="BB25" s="40" t="n"/>
      <c r="BC25" s="40" t="n"/>
      <c r="BD25" s="40" t="n"/>
      <c r="BE25" s="40" t="n"/>
      <c r="BF25" s="40" t="n"/>
      <c r="BG25" s="40" t="n"/>
      <c r="BH25" s="40" t="n"/>
      <c r="BI25" s="40" t="n"/>
      <c r="BJ25" s="40" t="n"/>
      <c r="BK25" s="40" t="n"/>
      <c r="BL25" s="40" t="n"/>
      <c r="BM25" s="40" t="n"/>
      <c r="BN25" s="35" t="n"/>
    </row>
    <row r="26" ht="18" customHeight="1" s="82">
      <c r="A26" s="30" t="inlineStr">
        <is>
          <t>SC22206</t>
        </is>
      </c>
      <c r="B26" s="30" t="inlineStr">
        <is>
          <t>FFDC Fairprice PH1</t>
        </is>
      </c>
      <c r="C26" s="30" t="inlineStr">
        <is>
          <t>Singapore ASIA</t>
        </is>
      </c>
      <c r="D26" s="30" t="inlineStr">
        <is>
          <t>Others/complex</t>
        </is>
      </c>
      <c r="E26" s="31" t="n">
        <v>2019</v>
      </c>
      <c r="F26" s="31" t="inlineStr">
        <is>
          <t>Yes</t>
        </is>
      </c>
      <c r="G26" s="31" t="n">
        <v>250</v>
      </c>
      <c r="H26" s="31" t="n">
        <v>120500</v>
      </c>
      <c r="I26" s="31" t="n">
        <v>0</v>
      </c>
      <c r="J26" s="31" t="n">
        <v>0</v>
      </c>
      <c r="K26" s="31" t="n">
        <v>0</v>
      </c>
      <c r="L26" s="31" t="n">
        <v>0</v>
      </c>
      <c r="M26" s="31" t="n">
        <v>12</v>
      </c>
      <c r="N26" s="31" t="n">
        <v>33000</v>
      </c>
      <c r="O26" s="31" t="n">
        <v>2300</v>
      </c>
      <c r="P26" s="31" t="n">
        <v>5000</v>
      </c>
      <c r="Q26" s="31" t="n">
        <v>58</v>
      </c>
      <c r="R26" s="31" t="n">
        <v>56</v>
      </c>
      <c r="S26" s="31" t="n">
        <v>24</v>
      </c>
      <c r="T26" s="31" t="n">
        <v>66</v>
      </c>
      <c r="U26" s="31" t="n">
        <v>40</v>
      </c>
      <c r="V26" s="31" t="n">
        <v>30</v>
      </c>
      <c r="W26" s="32" t="n">
        <v>114</v>
      </c>
      <c r="X26" s="31" t="n"/>
      <c r="Y26" s="31" t="n"/>
      <c r="Z26" s="31" t="n"/>
      <c r="AA26" s="31" t="n"/>
      <c r="AB26" s="31" t="n"/>
      <c r="AC26" s="31" t="n"/>
      <c r="AD26" s="32" t="n"/>
      <c r="AE26" s="31" t="inlineStr">
        <is>
          <t>SGD</t>
        </is>
      </c>
      <c r="AF26" s="38" t="n">
        <v>71</v>
      </c>
      <c r="AG26" s="67">
        <f>IF(OR(AF26="",AE26=""),"",IFERROR(AF26*INDEX(FXRates[USD per unit],MATCH(AE26,FXRates[Currency],0)),"No rate"))</f>
        <v/>
      </c>
      <c r="AH26" s="30" t="inlineStr">
        <is>
          <t>SRM BK25 MCS DMS AMCAP MCP FMCF RGV LIFTER PALLET ELTEN SCHWINGHANDL NORIN SUZHOU MARKEM IMAJE METTLER TOLEDO</t>
        </is>
      </c>
      <c r="AI26" s="30" t="inlineStr">
        <is>
          <t>Actual timeline is much, much worse compared to handover</t>
        </is>
      </c>
      <c r="AJ26" s="34">
        <f>IF(A26="","",IF(COUNTIF($A$6:$A$504,A26)&gt;1,"⚠ Duplicate",""))</f>
        <v/>
      </c>
      <c r="AK26" s="38" t="n"/>
      <c r="AL26" s="35" t="n"/>
      <c r="AM26" s="35" t="n"/>
      <c r="AN26" s="35" t="n"/>
      <c r="AO26" s="35" t="n"/>
      <c r="AP26" s="35" t="n"/>
      <c r="AQ26" s="35" t="n"/>
      <c r="AR26" s="35" t="n"/>
      <c r="AS26" s="35" t="n"/>
      <c r="AT26" s="35" t="n"/>
      <c r="AU26" s="35" t="n"/>
      <c r="AV26" s="35" t="n"/>
      <c r="AW26" s="35" t="n"/>
      <c r="AX26" s="35" t="n"/>
      <c r="AY26" s="35" t="n"/>
      <c r="AZ26" s="38" t="n"/>
      <c r="BA26" s="35" t="n"/>
      <c r="BB26" s="35" t="n"/>
      <c r="BC26" s="35" t="n"/>
      <c r="BD26" s="35" t="n"/>
      <c r="BE26" s="35" t="n"/>
      <c r="BF26" s="35" t="n"/>
      <c r="BG26" s="35" t="n"/>
      <c r="BH26" s="35" t="n"/>
      <c r="BI26" s="35" t="n"/>
      <c r="BJ26" s="35" t="n"/>
      <c r="BK26" s="35" t="n"/>
      <c r="BL26" s="35" t="n"/>
      <c r="BM26" s="35" t="n"/>
      <c r="BN26" s="35" t="n"/>
    </row>
    <row r="27" ht="18" customHeight="1" s="82">
      <c r="A27" s="36" t="inlineStr">
        <is>
          <t>SW31186</t>
        </is>
      </c>
      <c r="B27" s="36" t="inlineStr">
        <is>
          <t>Gudang Garam H</t>
        </is>
      </c>
      <c r="C27" s="36" t="inlineStr">
        <is>
          <t>Indonesia ASIA</t>
        </is>
      </c>
      <c r="D27" s="36" t="inlineStr">
        <is>
          <t>Pallet Hotel</t>
        </is>
      </c>
      <c r="E27" s="37" t="n">
        <v>2021</v>
      </c>
      <c r="F27" s="37" t="inlineStr">
        <is>
          <t>Yes</t>
        </is>
      </c>
      <c r="G27" s="37" t="n">
        <v>0</v>
      </c>
      <c r="H27" s="37" t="n">
        <v>0</v>
      </c>
      <c r="I27" s="37" t="n">
        <v>0</v>
      </c>
      <c r="J27" s="37" t="n">
        <v>0</v>
      </c>
      <c r="K27" s="37" t="n">
        <v>0</v>
      </c>
      <c r="L27" s="37" t="n">
        <v>0</v>
      </c>
      <c r="M27" s="37" t="n">
        <v>3</v>
      </c>
      <c r="N27" s="37" t="n">
        <v>75000</v>
      </c>
      <c r="O27" s="37" t="n">
        <v>0</v>
      </c>
      <c r="P27" s="37" t="n">
        <v>100</v>
      </c>
      <c r="Q27" s="37" t="n">
        <v>28</v>
      </c>
      <c r="R27" s="37" t="n">
        <v>24</v>
      </c>
      <c r="S27" s="37" t="n">
        <v>4</v>
      </c>
      <c r="T27" s="37" t="n">
        <v>24</v>
      </c>
      <c r="U27" s="37" t="n">
        <v>28</v>
      </c>
      <c r="V27" s="37" t="n">
        <v>12</v>
      </c>
      <c r="W27" s="32" t="n">
        <v>52</v>
      </c>
      <c r="X27" s="37" t="n"/>
      <c r="Y27" s="37" t="n"/>
      <c r="Z27" s="37" t="n"/>
      <c r="AA27" s="37" t="n"/>
      <c r="AB27" s="37" t="n"/>
      <c r="AC27" s="37" t="n"/>
      <c r="AD27" s="32" t="n"/>
      <c r="AE27" s="37" t="inlineStr">
        <is>
          <t>EUR</t>
        </is>
      </c>
      <c r="AF27" s="38" t="n">
        <v>11.7</v>
      </c>
      <c r="AG27" s="67">
        <f>IF(OR(AF27="",AE27=""),"",IFERROR(AF27*INDEX(FXRates[USD per unit],MATCH(AE27,FXRates[Currency],0)),"No rate"))</f>
        <v/>
      </c>
      <c r="AH27" s="36" t="inlineStr">
        <is>
          <t>SRM BK25 Shuttlecar</t>
        </is>
      </c>
      <c r="AI27" s="36" t="n"/>
      <c r="AJ27" s="39">
        <f>IF(A27="","",IF(COUNTIF($A$6:$A$504,A27)&gt;1,"⚠ Duplicate",""))</f>
        <v/>
      </c>
      <c r="AK27" s="38" t="n"/>
      <c r="AL27" s="35" t="n"/>
      <c r="AM27" s="35" t="n"/>
      <c r="AN27" s="35" t="n"/>
      <c r="AO27" s="35" t="n"/>
      <c r="AP27" s="35" t="n"/>
      <c r="AQ27" s="35" t="n"/>
      <c r="AR27" s="35" t="n"/>
      <c r="AS27" s="35" t="n"/>
      <c r="AT27" s="35" t="n"/>
      <c r="AU27" s="35" t="n"/>
      <c r="AV27" s="35" t="n"/>
      <c r="AW27" s="35" t="n"/>
      <c r="AX27" s="35" t="n"/>
      <c r="AY27" s="35" t="n"/>
      <c r="AZ27" s="38" t="n"/>
      <c r="BA27" s="35" t="n"/>
      <c r="BB27" s="35" t="n"/>
      <c r="BC27" s="35" t="n"/>
      <c r="BD27" s="35" t="n"/>
      <c r="BE27" s="35" t="n"/>
      <c r="BF27" s="35" t="n"/>
      <c r="BG27" s="35" t="n"/>
      <c r="BH27" s="35" t="n"/>
      <c r="BI27" s="35" t="n"/>
      <c r="BJ27" s="35" t="n"/>
      <c r="BK27" s="35" t="n"/>
      <c r="BL27" s="35" t="n"/>
      <c r="BM27" s="35" t="n"/>
      <c r="BN27" s="35" t="n"/>
    </row>
    <row r="28" ht="18" customHeight="1" s="82">
      <c r="A28" s="30" t="inlineStr">
        <is>
          <t>SC22167</t>
        </is>
      </c>
      <c r="B28" s="30" t="inlineStr">
        <is>
          <t>Jabil Autostore</t>
        </is>
      </c>
      <c r="C28" s="30" t="inlineStr">
        <is>
          <t>Malaysia ASIA</t>
        </is>
      </c>
      <c r="D28" s="30" t="inlineStr">
        <is>
          <t>Autostore</t>
        </is>
      </c>
      <c r="E28" s="31" t="n">
        <v>2019</v>
      </c>
      <c r="F28" s="31" t="inlineStr">
        <is>
          <t>Yes</t>
        </is>
      </c>
      <c r="G28" s="31" t="n">
        <v>0</v>
      </c>
      <c r="H28" s="31" t="n">
        <v>0</v>
      </c>
      <c r="I28" s="31" t="n">
        <v>4</v>
      </c>
      <c r="J28" s="31" t="n">
        <v>6700</v>
      </c>
      <c r="K28" s="31" t="n">
        <v>0</v>
      </c>
      <c r="L28" s="31" t="n">
        <v>0</v>
      </c>
      <c r="M28" s="31" t="n">
        <v>0</v>
      </c>
      <c r="N28" s="31" t="n">
        <v>0</v>
      </c>
      <c r="O28" s="31" t="n">
        <v>0</v>
      </c>
      <c r="P28" s="31" t="n">
        <v>0</v>
      </c>
      <c r="Q28" s="31" t="n">
        <v>21</v>
      </c>
      <c r="R28" s="31" t="n">
        <v>2</v>
      </c>
      <c r="S28" s="31" t="n">
        <v>2</v>
      </c>
      <c r="T28" s="31" t="n">
        <v>18</v>
      </c>
      <c r="U28" s="31" t="n">
        <v>7</v>
      </c>
      <c r="V28" s="31" t="n">
        <v>4</v>
      </c>
      <c r="W28" s="32" t="n">
        <v>24</v>
      </c>
      <c r="X28" s="31" t="n"/>
      <c r="Y28" s="31" t="n"/>
      <c r="Z28" s="31" t="n"/>
      <c r="AA28" s="31" t="n"/>
      <c r="AB28" s="31" t="n"/>
      <c r="AC28" s="31" t="n"/>
      <c r="AD28" s="32" t="n"/>
      <c r="AE28" s="31" t="inlineStr">
        <is>
          <t>USD</t>
        </is>
      </c>
      <c r="AF28" s="38" t="n">
        <v>1</v>
      </c>
      <c r="AG28" s="67">
        <f>IF(OR(AF28="",AE28=""),"",IFERROR(AF28*INDEX(FXRates[USD per unit],MATCH(AE28,FXRates[Currency],0)),"No rate"))</f>
        <v/>
      </c>
      <c r="AH28" s="30" t="inlineStr">
        <is>
          <t>Autostore</t>
        </is>
      </c>
      <c r="AI28" s="30" t="n"/>
      <c r="AJ28" s="34">
        <f>IF(A28="","",IF(COUNTIF($A$6:$A$504,A28)&gt;1,"⚠ Duplicate",""))</f>
        <v/>
      </c>
      <c r="AK28" s="38" t="n"/>
      <c r="AL28" s="35" t="n"/>
      <c r="AM28" s="35" t="n"/>
      <c r="AN28" s="35" t="n"/>
      <c r="AO28" s="35" t="n"/>
      <c r="AP28" s="35" t="n"/>
      <c r="AQ28" s="35" t="n"/>
      <c r="AR28" s="35" t="n"/>
      <c r="AS28" s="35" t="n"/>
      <c r="AT28" s="35" t="n"/>
      <c r="AU28" s="35" t="n"/>
      <c r="AV28" s="35" t="n"/>
      <c r="AW28" s="35" t="n"/>
      <c r="AX28" s="35" t="n"/>
      <c r="AY28" s="35" t="n"/>
      <c r="AZ28" s="38" t="n"/>
      <c r="BA28" s="35" t="n"/>
      <c r="BB28" s="35" t="n"/>
      <c r="BC28" s="35" t="n"/>
      <c r="BD28" s="35" t="n"/>
      <c r="BE28" s="35" t="n"/>
      <c r="BF28" s="35" t="n"/>
      <c r="BG28" s="35" t="n"/>
      <c r="BH28" s="35" t="n"/>
      <c r="BI28" s="35" t="n"/>
      <c r="BJ28" s="35" t="n"/>
      <c r="BK28" s="35" t="n"/>
      <c r="BL28" s="35" t="n"/>
      <c r="BM28" s="35" t="n"/>
      <c r="BN28" s="35" t="n"/>
    </row>
    <row r="29" ht="18" customHeight="1" s="82">
      <c r="A29" s="36" t="inlineStr">
        <is>
          <t>SW31240</t>
        </is>
      </c>
      <c r="B29" s="36" t="inlineStr">
        <is>
          <t>CJ iHerb</t>
        </is>
      </c>
      <c r="C29" s="36" t="inlineStr">
        <is>
          <t>Korea ASIA</t>
        </is>
      </c>
      <c r="D29" s="36" t="inlineStr">
        <is>
          <t>Autostore</t>
        </is>
      </c>
      <c r="E29" s="37" t="n">
        <v>2023</v>
      </c>
      <c r="F29" s="37" t="inlineStr">
        <is>
          <t>Yes</t>
        </is>
      </c>
      <c r="G29" s="37" t="n">
        <v>0</v>
      </c>
      <c r="H29" s="37" t="n">
        <v>0</v>
      </c>
      <c r="I29" s="37" t="n">
        <v>140</v>
      </c>
      <c r="J29" s="37" t="n">
        <v>93000</v>
      </c>
      <c r="K29" s="37" t="n">
        <v>0</v>
      </c>
      <c r="L29" s="37" t="n">
        <v>0</v>
      </c>
      <c r="M29" s="37" t="n">
        <v>0</v>
      </c>
      <c r="N29" s="37" t="n">
        <v>0</v>
      </c>
      <c r="O29" s="37" t="n">
        <v>80</v>
      </c>
      <c r="P29" s="37" t="n">
        <v>0</v>
      </c>
      <c r="Q29" s="37" t="n">
        <v>23</v>
      </c>
      <c r="R29" s="37" t="n">
        <v>10</v>
      </c>
      <c r="S29" s="37" t="n">
        <v>13</v>
      </c>
      <c r="T29" s="37" t="n">
        <v>20</v>
      </c>
      <c r="U29" s="37" t="n">
        <v>9</v>
      </c>
      <c r="V29" s="37" t="n">
        <v>12</v>
      </c>
      <c r="W29" s="32" t="n">
        <v>38</v>
      </c>
      <c r="X29" s="37" t="n"/>
      <c r="Y29" s="37" t="n"/>
      <c r="Z29" s="37" t="n"/>
      <c r="AA29" s="37" t="n"/>
      <c r="AB29" s="37" t="n"/>
      <c r="AC29" s="37" t="n"/>
      <c r="AD29" s="32" t="n"/>
      <c r="AE29" s="37" t="inlineStr">
        <is>
          <t>USD</t>
        </is>
      </c>
      <c r="AF29" s="38" t="n">
        <v>10.3</v>
      </c>
      <c r="AG29" s="67">
        <f>IF(OR(AF29="",AE29=""),"",IFERROR(AF29*INDEX(FXRates[USD per unit],MATCH(AE29,FXRates[Currency],0)),"No rate"))</f>
        <v/>
      </c>
      <c r="AH29" s="36" t="inlineStr">
        <is>
          <t>Autostore MCS</t>
        </is>
      </c>
      <c r="AI29" s="36" t="n"/>
      <c r="AJ29" s="39">
        <f>IF(A29="","",IF(COUNTIF($A$6:$A$504,A29)&gt;1,"⚠ Duplicate",""))</f>
        <v/>
      </c>
      <c r="AK29" s="38" t="n"/>
      <c r="AL29" s="35" t="n"/>
      <c r="AM29" s="35" t="n"/>
      <c r="AN29" s="35" t="n"/>
      <c r="AO29" s="35" t="n"/>
      <c r="AP29" s="35" t="n"/>
      <c r="AQ29" s="35" t="n"/>
      <c r="AR29" s="35" t="n"/>
      <c r="AS29" s="35" t="n"/>
      <c r="AT29" s="35" t="n"/>
      <c r="AU29" s="35" t="n"/>
      <c r="AV29" s="35" t="n"/>
      <c r="AW29" s="35" t="n"/>
      <c r="AX29" s="35" t="n"/>
      <c r="AY29" s="35" t="n"/>
      <c r="AZ29" s="38" t="n"/>
      <c r="BA29" s="35" t="n"/>
      <c r="BB29" s="35" t="n"/>
      <c r="BC29" s="35" t="n"/>
      <c r="BD29" s="35" t="n"/>
      <c r="BE29" s="35" t="n"/>
      <c r="BF29" s="35" t="n"/>
      <c r="BG29" s="35" t="n"/>
      <c r="BH29" s="35" t="n"/>
      <c r="BI29" s="35" t="n"/>
      <c r="BJ29" s="35" t="n"/>
      <c r="BK29" s="35" t="n"/>
      <c r="BL29" s="35" t="n"/>
      <c r="BM29" s="35" t="n"/>
      <c r="BN29" s="35" t="n"/>
    </row>
    <row r="30" ht="18" customHeight="1" s="82">
      <c r="A30" s="30" t="inlineStr">
        <is>
          <t>SC22204</t>
        </is>
      </c>
      <c r="B30" s="30" t="inlineStr">
        <is>
          <t>Coupang Autostore</t>
        </is>
      </c>
      <c r="C30" s="30" t="inlineStr">
        <is>
          <t>Korea ASIA</t>
        </is>
      </c>
      <c r="D30" s="30" t="inlineStr">
        <is>
          <t>Autostore</t>
        </is>
      </c>
      <c r="E30" s="31" t="n">
        <v>2024</v>
      </c>
      <c r="F30" s="31" t="inlineStr">
        <is>
          <t>Yes</t>
        </is>
      </c>
      <c r="G30" s="31" t="n">
        <v>0</v>
      </c>
      <c r="H30" s="31" t="n">
        <v>0</v>
      </c>
      <c r="I30" s="31" t="n">
        <v>500</v>
      </c>
      <c r="J30" s="31" t="n">
        <v>200000</v>
      </c>
      <c r="K30" s="31" t="n">
        <v>0</v>
      </c>
      <c r="L30" s="31" t="n">
        <v>0</v>
      </c>
      <c r="M30" s="31" t="n">
        <v>0</v>
      </c>
      <c r="N30" s="31" t="n">
        <v>0</v>
      </c>
      <c r="O30" s="31" t="n">
        <v>0</v>
      </c>
      <c r="P30" s="31" t="n">
        <v>0</v>
      </c>
      <c r="Q30" s="31" t="n">
        <v>16</v>
      </c>
      <c r="R30" s="31" t="n">
        <v>7</v>
      </c>
      <c r="S30" s="31" t="n">
        <v>7</v>
      </c>
      <c r="T30" s="31" t="n">
        <v>29</v>
      </c>
      <c r="U30" s="31" t="n">
        <v>12</v>
      </c>
      <c r="V30" s="31" t="n">
        <v>17</v>
      </c>
      <c r="W30" s="32" t="n">
        <v>46</v>
      </c>
      <c r="X30" s="31" t="n"/>
      <c r="Y30" s="31" t="n"/>
      <c r="Z30" s="31" t="n"/>
      <c r="AA30" s="31" t="n"/>
      <c r="AB30" s="31" t="n"/>
      <c r="AC30" s="31" t="n"/>
      <c r="AD30" s="32" t="n"/>
      <c r="AE30" s="31" t="inlineStr">
        <is>
          <t>USD</t>
        </is>
      </c>
      <c r="AF30" s="38" t="n">
        <v>9.220000000000001</v>
      </c>
      <c r="AG30" s="67">
        <f>IF(OR(AF30="",AE30=""),"",IFERROR(AF30*INDEX(FXRates[USD per unit],MATCH(AE30,FXRates[Currency],0)),"No rate"))</f>
        <v/>
      </c>
      <c r="AH30" s="30" t="inlineStr">
        <is>
          <t>Autostore PTL</t>
        </is>
      </c>
      <c r="AI30" s="30" t="n"/>
      <c r="AJ30" s="34">
        <f>IF(A30="","",IF(COUNTIF($A$6:$A$504,A30)&gt;1,"⚠ Duplicate",""))</f>
        <v/>
      </c>
      <c r="AK30" s="38" t="n"/>
      <c r="AL30" s="41" t="n"/>
      <c r="AM30" s="41" t="n"/>
      <c r="AN30" s="41" t="n"/>
      <c r="AO30" s="41" t="n"/>
      <c r="AP30" s="41" t="n"/>
      <c r="AQ30" s="41" t="n"/>
      <c r="AR30" s="41" t="n"/>
      <c r="AS30" s="41" t="n"/>
      <c r="AT30" s="41" t="n"/>
      <c r="AU30" s="41" t="n"/>
      <c r="AV30" s="41" t="n"/>
      <c r="AW30" s="41" t="n"/>
      <c r="AX30" s="41" t="n"/>
      <c r="AY30" s="35" t="n"/>
      <c r="AZ30" s="38" t="n"/>
      <c r="BA30" s="41" t="n">
        <v>0.05985533802247048</v>
      </c>
      <c r="BB30" s="41" t="n">
        <v>0</v>
      </c>
      <c r="BC30" s="41" t="n">
        <v>0.04870852701722641</v>
      </c>
      <c r="BD30" s="41" t="n">
        <v>0.005023804116824426</v>
      </c>
      <c r="BE30" s="41" t="n">
        <v>0.08714148677968518</v>
      </c>
      <c r="BF30" s="41" t="n">
        <v>0</v>
      </c>
      <c r="BG30" s="41" t="n">
        <v>0.03602870021356722</v>
      </c>
      <c r="BH30" s="41" t="n">
        <v>0.0007519604156778079</v>
      </c>
      <c r="BI30" s="41" t="n">
        <v>0</v>
      </c>
      <c r="BJ30" s="41" t="n">
        <v>0.02176747645695123</v>
      </c>
      <c r="BK30" s="41" t="n">
        <v>0.002879828389139048</v>
      </c>
      <c r="BL30" s="41" t="n">
        <v>0</v>
      </c>
      <c r="BM30" s="41" t="n">
        <v>0.07060868402455088</v>
      </c>
      <c r="BN30" s="35" t="n">
        <v>0.02288249766353828</v>
      </c>
    </row>
    <row r="31" ht="18" customHeight="1" s="82">
      <c r="A31" s="36" t="inlineStr">
        <is>
          <t>SC22076</t>
        </is>
      </c>
      <c r="B31" s="36" t="inlineStr">
        <is>
          <t>Lazada PH1</t>
        </is>
      </c>
      <c r="C31" s="36" t="inlineStr">
        <is>
          <t>Thailand ASIA</t>
        </is>
      </c>
      <c r="D31" s="36" t="inlineStr">
        <is>
          <t>Others/complex</t>
        </is>
      </c>
      <c r="E31" s="37" t="n">
        <v>2019</v>
      </c>
      <c r="F31" s="37" t="inlineStr">
        <is>
          <t>Yes</t>
        </is>
      </c>
      <c r="G31" s="37" t="n">
        <v>0</v>
      </c>
      <c r="H31" s="37" t="n">
        <v>0</v>
      </c>
      <c r="I31" s="37" t="n">
        <v>0</v>
      </c>
      <c r="J31" s="37" t="n">
        <v>0</v>
      </c>
      <c r="K31" s="37" t="n">
        <v>0</v>
      </c>
      <c r="L31" s="37" t="n">
        <v>0</v>
      </c>
      <c r="M31" s="37" t="n">
        <v>0</v>
      </c>
      <c r="N31" s="37" t="n">
        <v>0</v>
      </c>
      <c r="O31" s="37" t="n">
        <v>2200</v>
      </c>
      <c r="P31" s="37" t="n">
        <v>0</v>
      </c>
      <c r="Q31" s="37" t="n">
        <v>28</v>
      </c>
      <c r="R31" s="37" t="n">
        <v>29</v>
      </c>
      <c r="S31" s="37" t="n">
        <v>0</v>
      </c>
      <c r="T31" s="37" t="n">
        <v>23</v>
      </c>
      <c r="U31" s="37" t="n">
        <v>22</v>
      </c>
      <c r="V31" s="37" t="n">
        <v>15</v>
      </c>
      <c r="W31" s="32" t="n">
        <v>47</v>
      </c>
      <c r="X31" s="37" t="n"/>
      <c r="Y31" s="37" t="n"/>
      <c r="Z31" s="37" t="n"/>
      <c r="AA31" s="37" t="n"/>
      <c r="AB31" s="37" t="n"/>
      <c r="AC31" s="37" t="n"/>
      <c r="AD31" s="32" t="n"/>
      <c r="AE31" s="37" t="inlineStr">
        <is>
          <t>USD</t>
        </is>
      </c>
      <c r="AF31" s="38" t="n">
        <v>10.7</v>
      </c>
      <c r="AG31" s="67">
        <f>IF(OR(AF31="",AE31=""),"",IFERROR(AF31*INDEX(FXRates[USD per unit],MATCH(AE31,FXRates[Currency],0)),"No rate"))</f>
        <v/>
      </c>
      <c r="AH31" s="36" t="inlineStr">
        <is>
          <t>XB Sorter CBS crossbelt MCS PTL Mezzanine Rack</t>
        </is>
      </c>
      <c r="AI31" s="36" t="n"/>
      <c r="AJ31" s="39">
        <f>IF(A31="","",IF(COUNTIF($A$6:$A$504,A31)&gt;1,"⚠ Duplicate",""))</f>
        <v/>
      </c>
      <c r="AK31" s="38" t="n"/>
      <c r="AL31" s="35" t="n"/>
      <c r="AM31" s="35" t="n"/>
      <c r="AN31" s="35" t="n"/>
      <c r="AO31" s="35" t="n"/>
      <c r="AP31" s="35" t="n"/>
      <c r="AQ31" s="35" t="n"/>
      <c r="AR31" s="35" t="n"/>
      <c r="AS31" s="35" t="n"/>
      <c r="AT31" s="35" t="n"/>
      <c r="AU31" s="35" t="n"/>
      <c r="AV31" s="35" t="n"/>
      <c r="AW31" s="35" t="n"/>
      <c r="AX31" s="35" t="n"/>
      <c r="AY31" s="35" t="n"/>
      <c r="AZ31" s="38" t="n"/>
      <c r="BA31" s="35" t="n"/>
      <c r="BB31" s="35" t="n"/>
      <c r="BC31" s="35" t="n"/>
      <c r="BD31" s="35" t="n"/>
      <c r="BE31" s="35" t="n"/>
      <c r="BF31" s="35" t="n"/>
      <c r="BG31" s="35" t="n"/>
      <c r="BH31" s="35" t="n"/>
      <c r="BI31" s="35" t="n"/>
      <c r="BJ31" s="35" t="n"/>
      <c r="BK31" s="35" t="n"/>
      <c r="BL31" s="35" t="n"/>
      <c r="BM31" s="35" t="n"/>
      <c r="BN31" s="35" t="n"/>
    </row>
    <row r="32" ht="18" customHeight="1" s="82">
      <c r="A32" s="30" t="inlineStr">
        <is>
          <t>SC22088</t>
        </is>
      </c>
      <c r="B32" s="30" t="inlineStr">
        <is>
          <t>LG -CNS Megahub</t>
        </is>
      </c>
      <c r="C32" s="30" t="inlineStr">
        <is>
          <t>Korea ASIA</t>
        </is>
      </c>
      <c r="D32" s="30" t="n"/>
      <c r="E32" s="31" t="n">
        <v>2021</v>
      </c>
      <c r="F32" s="31" t="n"/>
      <c r="G32" s="31" t="n">
        <v>0</v>
      </c>
      <c r="H32" s="31" t="n">
        <v>0</v>
      </c>
      <c r="I32" s="31" t="n">
        <v>0</v>
      </c>
      <c r="J32" s="31" t="n">
        <v>0</v>
      </c>
      <c r="K32" s="31" t="n">
        <v>0</v>
      </c>
      <c r="L32" s="31" t="n">
        <v>0</v>
      </c>
      <c r="M32" s="31" t="n">
        <v>0</v>
      </c>
      <c r="N32" s="31" t="n">
        <v>0</v>
      </c>
      <c r="O32" s="31" t="n">
        <v>3000</v>
      </c>
      <c r="P32" s="31" t="n">
        <v>0</v>
      </c>
      <c r="Q32" s="31" t="n">
        <v>66</v>
      </c>
      <c r="R32" s="31" t="n">
        <v>32</v>
      </c>
      <c r="S32" s="31" t="n">
        <v>0</v>
      </c>
      <c r="T32" s="31" t="n">
        <v>49</v>
      </c>
      <c r="U32" s="31" t="n">
        <v>36</v>
      </c>
      <c r="V32" s="31" t="n">
        <v>24</v>
      </c>
      <c r="W32" s="32" t="n">
        <v>100</v>
      </c>
      <c r="X32" s="31" t="n"/>
      <c r="Y32" s="31" t="n"/>
      <c r="Z32" s="31" t="n"/>
      <c r="AA32" s="31" t="n"/>
      <c r="AB32" s="31" t="n"/>
      <c r="AC32" s="31" t="n"/>
      <c r="AD32" s="32" t="n"/>
      <c r="AE32" s="31" t="inlineStr">
        <is>
          <t>EUR</t>
        </is>
      </c>
      <c r="AF32" s="38" t="n">
        <v>37.75</v>
      </c>
      <c r="AG32" s="67">
        <f>IF(OR(AF32="",AE32=""),"",IFERROR(AF32*INDEX(FXRates[USD per unit],MATCH(AE32,FXRates[Currency],0)),"No rate"))</f>
        <v/>
      </c>
      <c r="AH32" s="30" t="inlineStr">
        <is>
          <t xml:space="preserve">XB Sorter CBS crossbelt MCS </t>
        </is>
      </c>
      <c r="AI32" s="30" t="inlineStr">
        <is>
          <t>Purely sortation system only</t>
        </is>
      </c>
      <c r="AJ32" s="34">
        <f>IF(A32="","",IF(COUNTIF($A$6:$A$504,A32)&gt;1,"⚠ Duplicate",""))</f>
        <v/>
      </c>
      <c r="AK32" s="38" t="n"/>
      <c r="AL32" s="41" t="n">
        <v>0.05</v>
      </c>
      <c r="AM32" s="41" t="n">
        <v>0.05</v>
      </c>
      <c r="AN32" s="41" t="n">
        <v>0.05</v>
      </c>
      <c r="AO32" s="41" t="n">
        <v>0.07000000000000001</v>
      </c>
      <c r="AP32" s="41" t="n">
        <v>0.09</v>
      </c>
      <c r="AQ32" s="41" t="n">
        <v>0.06</v>
      </c>
      <c r="AR32" s="41" t="n">
        <v>0.06</v>
      </c>
      <c r="AS32" s="41" t="n">
        <v>0.01</v>
      </c>
      <c r="AT32" s="41" t="n">
        <v>0.01</v>
      </c>
      <c r="AU32" s="41" t="n">
        <v>0.01</v>
      </c>
      <c r="AV32" s="41" t="n">
        <v>0.01</v>
      </c>
      <c r="AW32" s="41" t="n">
        <v>0.01</v>
      </c>
      <c r="AX32" s="41" t="n">
        <v>0.04</v>
      </c>
      <c r="AY32" s="35" t="n">
        <v>0.001</v>
      </c>
      <c r="AZ32" s="38" t="n"/>
      <c r="BA32" s="41" t="n"/>
      <c r="BB32" s="41" t="n"/>
      <c r="BC32" s="41" t="n"/>
      <c r="BD32" s="41" t="n"/>
      <c r="BE32" s="41" t="n"/>
      <c r="BF32" s="41" t="n"/>
      <c r="BG32" s="41" t="n"/>
      <c r="BH32" s="41" t="n"/>
      <c r="BI32" s="41" t="n"/>
      <c r="BJ32" s="41" t="n"/>
      <c r="BK32" s="41" t="n"/>
      <c r="BL32" s="41" t="n"/>
      <c r="BM32" s="41" t="n"/>
      <c r="BN32" s="35" t="n"/>
    </row>
    <row r="33" ht="18" customHeight="1" s="82">
      <c r="A33" s="36" t="inlineStr">
        <is>
          <t>SW31150</t>
        </is>
      </c>
      <c r="B33" s="36" t="inlineStr">
        <is>
          <t>Lotte Chilsung</t>
        </is>
      </c>
      <c r="C33" s="36" t="inlineStr">
        <is>
          <t>Korea ASIA</t>
        </is>
      </c>
      <c r="D33" s="36" t="inlineStr">
        <is>
          <t>Others/complex</t>
        </is>
      </c>
      <c r="E33" s="37" t="n">
        <v>2020</v>
      </c>
      <c r="F33" s="37" t="inlineStr">
        <is>
          <t>Yes</t>
        </is>
      </c>
      <c r="G33" s="37" t="n">
        <v>64</v>
      </c>
      <c r="H33" s="37" t="n">
        <v>20500</v>
      </c>
      <c r="I33" s="37" t="n">
        <v>0</v>
      </c>
      <c r="J33" s="37" t="n">
        <v>0</v>
      </c>
      <c r="K33" s="37" t="n">
        <v>3</v>
      </c>
      <c r="L33" s="37" t="n">
        <v>800</v>
      </c>
      <c r="M33" s="37" t="n">
        <v>3</v>
      </c>
      <c r="N33" s="37" t="n">
        <v>8200</v>
      </c>
      <c r="O33" s="37" t="n">
        <v>120</v>
      </c>
      <c r="P33" s="37" t="n">
        <v>300</v>
      </c>
      <c r="Q33" s="37" t="n">
        <v>48</v>
      </c>
      <c r="R33" s="37" t="n">
        <v>58</v>
      </c>
      <c r="S33" s="37" t="n">
        <v>0</v>
      </c>
      <c r="T33" s="37" t="n">
        <v>54</v>
      </c>
      <c r="U33" s="37" t="n">
        <v>40</v>
      </c>
      <c r="V33" s="37" t="n">
        <v>27</v>
      </c>
      <c r="W33" s="32" t="n">
        <v>104</v>
      </c>
      <c r="X33" s="37" t="n"/>
      <c r="Y33" s="37" t="n"/>
      <c r="Z33" s="37" t="n"/>
      <c r="AA33" s="37" t="n"/>
      <c r="AB33" s="37" t="n"/>
      <c r="AC33" s="37" t="n"/>
      <c r="AD33" s="32" t="n"/>
      <c r="AE33" s="37" t="inlineStr">
        <is>
          <t>USD</t>
        </is>
      </c>
      <c r="AF33" s="38" t="n">
        <v>22.2</v>
      </c>
      <c r="AG33" s="67">
        <f>IF(OR(AF33="",AE33=""),"",IFERROR(AF33*INDEX(FXRates[USD per unit],MATCH(AE33,FXRates[Currency],0)),"No rate"))</f>
        <v/>
      </c>
      <c r="AH33" s="36" t="inlineStr">
        <is>
          <t>SRM BK25 MCS DMS 2WS AMCAP MCP FMCF RGV LIFTER PALLET ELTEN SCHWINGHANDL NORIN SUZHOU MARKEM IMAJE METTLER TOLEDO KAIXIN</t>
        </is>
      </c>
      <c r="AI33" s="36" t="n"/>
      <c r="AJ33" s="39">
        <f>IF(A33="","",IF(COUNTIF($A$6:$A$504,A33)&gt;1,"⚠ Duplicate",""))</f>
        <v/>
      </c>
      <c r="AK33" s="38" t="n"/>
      <c r="AL33" s="35" t="n"/>
      <c r="AM33" s="35" t="n"/>
      <c r="AN33" s="35" t="n"/>
      <c r="AO33" s="35" t="n"/>
      <c r="AP33" s="35" t="n"/>
      <c r="AQ33" s="35" t="n"/>
      <c r="AR33" s="35" t="n"/>
      <c r="AS33" s="35" t="n"/>
      <c r="AT33" s="35" t="n"/>
      <c r="AU33" s="35" t="n"/>
      <c r="AV33" s="35" t="n"/>
      <c r="AW33" s="35" t="n"/>
      <c r="AX33" s="35" t="n"/>
      <c r="AY33" s="35" t="n"/>
      <c r="AZ33" s="38" t="n"/>
      <c r="BA33" s="35" t="n"/>
      <c r="BB33" s="35" t="n"/>
      <c r="BC33" s="35" t="n"/>
      <c r="BD33" s="35" t="n"/>
      <c r="BE33" s="35" t="n"/>
      <c r="BF33" s="35" t="n"/>
      <c r="BG33" s="35" t="n"/>
      <c r="BH33" s="35" t="n"/>
      <c r="BI33" s="35" t="n"/>
      <c r="BJ33" s="35" t="n"/>
      <c r="BK33" s="35" t="n"/>
      <c r="BL33" s="35" t="n"/>
      <c r="BM33" s="35" t="n"/>
      <c r="BN33" s="35" t="n"/>
    </row>
    <row r="34" ht="18" customHeight="1" s="82">
      <c r="A34" s="30" t="inlineStr">
        <is>
          <t>SW31157</t>
        </is>
      </c>
      <c r="B34" s="30" t="inlineStr">
        <is>
          <t>Lotte LGL Youngnam</t>
        </is>
      </c>
      <c r="C34" s="30" t="inlineStr">
        <is>
          <t>Korea ASIA</t>
        </is>
      </c>
      <c r="D34" s="30" t="inlineStr">
        <is>
          <t>Others/complex</t>
        </is>
      </c>
      <c r="E34" s="31" t="n">
        <v>2020</v>
      </c>
      <c r="F34" s="31" t="inlineStr">
        <is>
          <t>Yes</t>
        </is>
      </c>
      <c r="G34" s="31" t="n">
        <v>56</v>
      </c>
      <c r="H34" s="31" t="n">
        <v>27500</v>
      </c>
      <c r="I34" s="31" t="n">
        <v>0</v>
      </c>
      <c r="J34" s="31" t="n">
        <v>0</v>
      </c>
      <c r="K34" s="31" t="n">
        <v>0</v>
      </c>
      <c r="L34" s="31" t="n">
        <v>0</v>
      </c>
      <c r="M34" s="31" t="n">
        <v>4</v>
      </c>
      <c r="N34" s="31" t="n">
        <v>8000</v>
      </c>
      <c r="O34" s="31" t="n">
        <v>1400</v>
      </c>
      <c r="P34" s="31" t="n">
        <v>400</v>
      </c>
      <c r="Q34" s="31" t="n">
        <v>38</v>
      </c>
      <c r="R34" s="31" t="n">
        <v>35</v>
      </c>
      <c r="S34" s="31" t="n">
        <v>16</v>
      </c>
      <c r="T34" s="31" t="n">
        <v>42</v>
      </c>
      <c r="U34" s="31" t="n">
        <v>32</v>
      </c>
      <c r="V34" s="31" t="n">
        <v>31</v>
      </c>
      <c r="W34" s="32" t="n">
        <v>89</v>
      </c>
      <c r="X34" s="31" t="n"/>
      <c r="Y34" s="31" t="n"/>
      <c r="Z34" s="31" t="n"/>
      <c r="AA34" s="31" t="n"/>
      <c r="AB34" s="31" t="n"/>
      <c r="AC34" s="31" t="n"/>
      <c r="AD34" s="32" t="n"/>
      <c r="AE34" s="31" t="inlineStr">
        <is>
          <t>USD</t>
        </is>
      </c>
      <c r="AF34" s="38" t="n">
        <v>22.9</v>
      </c>
      <c r="AG34" s="67">
        <f>IF(OR(AF34="",AE34=""),"",IFERROR(AF34*INDEX(FXRates[USD per unit],MATCH(AE34,FXRates[Currency],0)),"No rate"))</f>
        <v/>
      </c>
      <c r="AH34" s="30" t="inlineStr">
        <is>
          <t>SRM  BK25 DMS MCS ELTEN QIMAROX Mezz PTL Robot Layer Picker</t>
        </is>
      </c>
      <c r="AI34" s="30" t="n"/>
      <c r="AJ34" s="34">
        <f>IF(A34="","",IF(COUNTIF($A$6:$A$504,A34)&gt;1,"⚠ Duplicate",""))</f>
        <v/>
      </c>
      <c r="AK34" s="38" t="n"/>
      <c r="AL34" s="35" t="n"/>
      <c r="AM34" s="35" t="n"/>
      <c r="AN34" s="35" t="n"/>
      <c r="AO34" s="35" t="n"/>
      <c r="AP34" s="35" t="n"/>
      <c r="AQ34" s="35" t="n"/>
      <c r="AR34" s="35" t="n"/>
      <c r="AS34" s="35" t="n"/>
      <c r="AT34" s="35" t="n"/>
      <c r="AU34" s="35" t="n"/>
      <c r="AV34" s="35" t="n"/>
      <c r="AW34" s="35" t="n"/>
      <c r="AX34" s="35" t="n"/>
      <c r="AY34" s="35" t="n"/>
      <c r="AZ34" s="38" t="n"/>
      <c r="BA34" s="35" t="n"/>
      <c r="BB34" s="35" t="n"/>
      <c r="BC34" s="35" t="n"/>
      <c r="BD34" s="35" t="n"/>
      <c r="BE34" s="35" t="n"/>
      <c r="BF34" s="35" t="n"/>
      <c r="BG34" s="35" t="n"/>
      <c r="BH34" s="35" t="n"/>
      <c r="BI34" s="35" t="n"/>
      <c r="BJ34" s="35" t="n"/>
      <c r="BK34" s="35" t="n"/>
      <c r="BL34" s="35" t="n"/>
      <c r="BM34" s="35" t="n"/>
      <c r="BN34" s="35" t="n"/>
    </row>
    <row r="35" ht="18" customHeight="1" s="82">
      <c r="A35" s="36" t="inlineStr">
        <is>
          <t>SC22094</t>
        </is>
      </c>
      <c r="B35" s="36" t="inlineStr">
        <is>
          <t>Hsu Maw Autostore</t>
        </is>
      </c>
      <c r="C35" s="36" t="inlineStr">
        <is>
          <t>Taiwan ASIA</t>
        </is>
      </c>
      <c r="D35" s="36" t="inlineStr">
        <is>
          <t>Autostore</t>
        </is>
      </c>
      <c r="E35" s="37" t="n">
        <v>2021</v>
      </c>
      <c r="F35" s="37" t="inlineStr">
        <is>
          <t>Yes</t>
        </is>
      </c>
      <c r="G35" s="37" t="n">
        <v>0</v>
      </c>
      <c r="H35" s="37" t="n">
        <v>0</v>
      </c>
      <c r="I35" s="37" t="n">
        <v>5</v>
      </c>
      <c r="J35" s="37" t="n">
        <v>15000</v>
      </c>
      <c r="K35" s="37" t="n">
        <v>0</v>
      </c>
      <c r="L35" s="37" t="n">
        <v>0</v>
      </c>
      <c r="M35" s="37" t="n">
        <v>0</v>
      </c>
      <c r="N35" s="37" t="n">
        <v>0</v>
      </c>
      <c r="O35" s="37" t="n">
        <v>0</v>
      </c>
      <c r="P35" s="37" t="n">
        <v>0</v>
      </c>
      <c r="Q35" s="37" t="n">
        <v>20</v>
      </c>
      <c r="R35" s="37" t="n">
        <v>2</v>
      </c>
      <c r="S35" s="37" t="n">
        <v>4</v>
      </c>
      <c r="T35" s="37" t="n">
        <v>24</v>
      </c>
      <c r="U35" s="37" t="n">
        <v>6</v>
      </c>
      <c r="V35" s="37" t="n">
        <v>5</v>
      </c>
      <c r="W35" s="32" t="n">
        <v>34</v>
      </c>
      <c r="X35" s="37" t="n"/>
      <c r="Y35" s="37" t="n"/>
      <c r="Z35" s="37" t="n"/>
      <c r="AA35" s="37" t="n"/>
      <c r="AB35" s="37" t="n"/>
      <c r="AC35" s="37" t="n"/>
      <c r="AD35" s="32" t="n"/>
      <c r="AE35" s="37" t="inlineStr">
        <is>
          <t>USD</t>
        </is>
      </c>
      <c r="AF35" s="38" t="n">
        <v>1.02</v>
      </c>
      <c r="AG35" s="67">
        <f>IF(OR(AF35="",AE35=""),"",IFERROR(AF35*INDEX(FXRates[USD per unit],MATCH(AE35,FXRates[Currency],0)),"No rate"))</f>
        <v/>
      </c>
      <c r="AH35" s="36" t="inlineStr">
        <is>
          <t>Autostore</t>
        </is>
      </c>
      <c r="AI35" s="36" t="n"/>
      <c r="AJ35" s="39">
        <f>IF(A35="","",IF(COUNTIF($A$6:$A$504,A35)&gt;1,"⚠ Duplicate",""))</f>
        <v/>
      </c>
      <c r="AK35" s="38" t="n"/>
      <c r="AL35" s="35" t="n"/>
      <c r="AM35" s="35" t="n"/>
      <c r="AN35" s="35" t="n"/>
      <c r="AO35" s="35" t="n"/>
      <c r="AP35" s="35" t="n"/>
      <c r="AQ35" s="35" t="n"/>
      <c r="AR35" s="35" t="n"/>
      <c r="AS35" s="35" t="n"/>
      <c r="AT35" s="35" t="n"/>
      <c r="AU35" s="35" t="n"/>
      <c r="AV35" s="35" t="n"/>
      <c r="AW35" s="35" t="n"/>
      <c r="AX35" s="35" t="n"/>
      <c r="AY35" s="35" t="n"/>
      <c r="AZ35" s="38" t="n"/>
      <c r="BA35" s="35" t="n">
        <v>0</v>
      </c>
      <c r="BB35" s="35" t="n">
        <v>0</v>
      </c>
      <c r="BC35" s="35" t="n">
        <v>0.04872205363088507</v>
      </c>
      <c r="BD35" s="35" t="n">
        <v>0</v>
      </c>
      <c r="BE35" s="35" t="n">
        <v>0.00628505670706197</v>
      </c>
      <c r="BF35" s="35" t="n">
        <v>0</v>
      </c>
      <c r="BG35" s="35" t="n">
        <v>0.02412028341525975</v>
      </c>
      <c r="BH35" s="35" t="n">
        <v>0.08882880145980918</v>
      </c>
      <c r="BI35" s="35" t="n">
        <v>0</v>
      </c>
      <c r="BJ35" s="35" t="n">
        <v>0</v>
      </c>
      <c r="BK35" s="35" t="n">
        <v>0</v>
      </c>
      <c r="BL35" s="35" t="n">
        <v>0</v>
      </c>
      <c r="BM35" s="35" t="n">
        <v>0.02466168959396852</v>
      </c>
      <c r="BN35" s="35" t="n">
        <v>0</v>
      </c>
    </row>
    <row r="36" ht="18" customHeight="1" s="82">
      <c r="A36" s="30" t="inlineStr">
        <is>
          <t>SW31193</t>
        </is>
      </c>
      <c r="B36" s="30" t="inlineStr">
        <is>
          <t>LF Phoenix ASRS</t>
        </is>
      </c>
      <c r="C36" s="30" t="inlineStr">
        <is>
          <t>Malaysia ASIA</t>
        </is>
      </c>
      <c r="D36" s="30" t="inlineStr">
        <is>
          <t>Pallet Hotel</t>
        </is>
      </c>
      <c r="E36" s="31" t="n">
        <v>2023</v>
      </c>
      <c r="F36" s="31" t="inlineStr">
        <is>
          <t>Yes</t>
        </is>
      </c>
      <c r="G36" s="31" t="n">
        <v>0</v>
      </c>
      <c r="H36" s="31" t="n">
        <v>0</v>
      </c>
      <c r="I36" s="31" t="n">
        <v>0</v>
      </c>
      <c r="J36" s="31" t="n">
        <v>0</v>
      </c>
      <c r="K36" s="31" t="n">
        <v>0</v>
      </c>
      <c r="L36" s="31" t="n">
        <v>0</v>
      </c>
      <c r="M36" s="31" t="n">
        <v>7</v>
      </c>
      <c r="N36" s="31" t="n">
        <v>0</v>
      </c>
      <c r="O36" s="31" t="n">
        <v>0</v>
      </c>
      <c r="P36" s="31" t="n">
        <v>500</v>
      </c>
      <c r="Q36" s="31" t="n">
        <v>36</v>
      </c>
      <c r="R36" s="31" t="n">
        <v>34</v>
      </c>
      <c r="S36" s="31" t="n">
        <v>16</v>
      </c>
      <c r="T36" s="31" t="n">
        <v>42</v>
      </c>
      <c r="U36" s="31" t="n">
        <v>27</v>
      </c>
      <c r="V36" s="31" t="n">
        <v>26</v>
      </c>
      <c r="W36" s="32" t="n">
        <v>75</v>
      </c>
      <c r="X36" s="31" t="n"/>
      <c r="Y36" s="31" t="n"/>
      <c r="Z36" s="31" t="n"/>
      <c r="AA36" s="31" t="n"/>
      <c r="AB36" s="31" t="n"/>
      <c r="AC36" s="31" t="n"/>
      <c r="AD36" s="32" t="n"/>
      <c r="AE36" s="31" t="inlineStr">
        <is>
          <t>MYR</t>
        </is>
      </c>
      <c r="AF36" s="38" t="n">
        <v>24.29</v>
      </c>
      <c r="AG36" s="67">
        <f>IF(OR(AF36="",AE36=""),"",IFERROR(AF36*INDEX(FXRates[USD per unit],MATCH(AE36,FXRates[Currency],0)),"No rate"))</f>
        <v/>
      </c>
      <c r="AH36" s="30" t="inlineStr">
        <is>
          <t>SRM BK25</t>
        </is>
      </c>
      <c r="AI36" s="30" t="inlineStr">
        <is>
          <t>Racking not in scope</t>
        </is>
      </c>
      <c r="AJ36" s="34">
        <f>IF(A36="","",IF(COUNTIF($A$6:$A$504,A36)&gt;1,"⚠ Duplicate",""))</f>
        <v/>
      </c>
      <c r="AK36" s="38" t="n"/>
      <c r="AL36" s="41" t="n"/>
      <c r="AM36" s="41" t="n"/>
      <c r="AN36" s="41" t="n"/>
      <c r="AO36" s="41" t="n"/>
      <c r="AP36" s="41" t="n"/>
      <c r="AQ36" s="41" t="n"/>
      <c r="AR36" s="41" t="n"/>
      <c r="AS36" s="41" t="n"/>
      <c r="AT36" s="41" t="n"/>
      <c r="AU36" s="41" t="n"/>
      <c r="AV36" s="41" t="n"/>
      <c r="AW36" s="41" t="n"/>
      <c r="AX36" s="41" t="n"/>
      <c r="AY36" s="35" t="n"/>
      <c r="AZ36" s="38" t="n"/>
      <c r="BA36" s="41" t="n">
        <v>0.03963368956135951</v>
      </c>
      <c r="BB36" s="41" t="n">
        <v>0.03064751543143669</v>
      </c>
      <c r="BC36" s="41" t="n">
        <v>0.05305254388165813</v>
      </c>
      <c r="BD36" s="41" t="n">
        <v>0.003816509500807946</v>
      </c>
      <c r="BE36" s="41" t="n">
        <v>0.01538381475811512</v>
      </c>
      <c r="BF36" s="41" t="n">
        <v>0</v>
      </c>
      <c r="BG36" s="41" t="n">
        <v>0.02036504009462588</v>
      </c>
      <c r="BH36" s="41" t="n">
        <v>0.02504583169153374</v>
      </c>
      <c r="BI36" s="41" t="n">
        <v>0.004009411108903849</v>
      </c>
      <c r="BJ36" s="41" t="n">
        <v>0.01035387219753341</v>
      </c>
      <c r="BK36" s="41" t="n">
        <v>0.03458066536155243</v>
      </c>
      <c r="BL36" s="41" t="n">
        <v>0.04804784179532302</v>
      </c>
      <c r="BM36" s="41" t="n">
        <v>0.0230248248254304</v>
      </c>
      <c r="BN36" s="35" t="n">
        <v>0.002444267322475879</v>
      </c>
    </row>
    <row r="37" ht="18" customHeight="1" s="82">
      <c r="A37" s="36" t="inlineStr">
        <is>
          <t>SW31261</t>
        </is>
      </c>
      <c r="B37" s="36" t="inlineStr">
        <is>
          <t>Plexus Seaside</t>
        </is>
      </c>
      <c r="C37" s="36" t="inlineStr">
        <is>
          <t>Malaysia ASIA</t>
        </is>
      </c>
      <c r="D37" s="36" t="inlineStr">
        <is>
          <t>Autostore</t>
        </is>
      </c>
      <c r="E37" s="37" t="n">
        <v>2024</v>
      </c>
      <c r="F37" s="37" t="inlineStr">
        <is>
          <t>Yes</t>
        </is>
      </c>
      <c r="G37" s="37" t="n">
        <v>0</v>
      </c>
      <c r="H37" s="37" t="n">
        <v>0</v>
      </c>
      <c r="I37" s="37" t="n">
        <v>12</v>
      </c>
      <c r="J37" s="37" t="n">
        <v>10000</v>
      </c>
      <c r="K37" s="37" t="n">
        <v>0</v>
      </c>
      <c r="L37" s="37" t="n">
        <v>0</v>
      </c>
      <c r="M37" s="37" t="n">
        <v>0</v>
      </c>
      <c r="N37" s="37" t="n">
        <v>0</v>
      </c>
      <c r="O37" s="37" t="n">
        <v>0</v>
      </c>
      <c r="P37" s="37" t="n">
        <v>0</v>
      </c>
      <c r="Q37" s="37" t="n">
        <v>18</v>
      </c>
      <c r="R37" s="37" t="n">
        <v>2</v>
      </c>
      <c r="S37" s="37" t="n">
        <v>12</v>
      </c>
      <c r="T37" s="37" t="n">
        <v>24</v>
      </c>
      <c r="U37" s="37" t="n">
        <v>10</v>
      </c>
      <c r="V37" s="37" t="n">
        <v>23</v>
      </c>
      <c r="W37" s="32" t="n">
        <v>42</v>
      </c>
      <c r="X37" s="37" t="n"/>
      <c r="Y37" s="37" t="n"/>
      <c r="Z37" s="37" t="n"/>
      <c r="AA37" s="37" t="n"/>
      <c r="AB37" s="37" t="n"/>
      <c r="AC37" s="37" t="n"/>
      <c r="AD37" s="32" t="n"/>
      <c r="AE37" s="37" t="inlineStr">
        <is>
          <t>USD</t>
        </is>
      </c>
      <c r="AF37" s="38" t="n">
        <v>1.63</v>
      </c>
      <c r="AG37" s="67">
        <f>IF(OR(AF37="",AE37=""),"",IFERROR(AF37*INDEX(FXRates[USD per unit],MATCH(AE37,FXRates[Currency],0)),"No rate"))</f>
        <v/>
      </c>
      <c r="AH37" s="36" t="inlineStr">
        <is>
          <t>Autostore</t>
        </is>
      </c>
      <c r="AI37" s="36" t="n"/>
      <c r="AJ37" s="39">
        <f>IF(A37="","",IF(COUNTIF($A$6:$A$504,A37)&gt;1,"⚠ Duplicate",""))</f>
        <v/>
      </c>
      <c r="AK37" s="38" t="n"/>
      <c r="AL37" s="35" t="n"/>
      <c r="AM37" s="35" t="n"/>
      <c r="AN37" s="35" t="n"/>
      <c r="AO37" s="35" t="n"/>
      <c r="AP37" s="35" t="n"/>
      <c r="AQ37" s="35" t="n"/>
      <c r="AR37" s="35" t="n"/>
      <c r="AS37" s="35" t="n"/>
      <c r="AT37" s="35" t="n"/>
      <c r="AU37" s="35" t="n"/>
      <c r="AV37" s="35" t="n"/>
      <c r="AW37" s="35" t="n"/>
      <c r="AX37" s="35" t="n"/>
      <c r="AY37" s="35" t="n"/>
      <c r="AZ37" s="38" t="n"/>
      <c r="BA37" s="35" t="n">
        <v>0.03444602869956017</v>
      </c>
      <c r="BB37" s="35" t="n">
        <v>0</v>
      </c>
      <c r="BC37" s="35" t="n">
        <v>0.03257704845718964</v>
      </c>
      <c r="BD37" s="35" t="n">
        <v>0</v>
      </c>
      <c r="BE37" s="35" t="n">
        <v>0.03643363590853829</v>
      </c>
      <c r="BF37" s="35" t="n">
        <v>0</v>
      </c>
      <c r="BG37" s="35" t="n">
        <v>0.01501799918725192</v>
      </c>
      <c r="BH37" s="35" t="n">
        <v>0</v>
      </c>
      <c r="BI37" s="35" t="n">
        <v>0</v>
      </c>
      <c r="BJ37" s="35" t="n">
        <v>0.0002521243361430617</v>
      </c>
      <c r="BK37" s="35" t="n">
        <v>0.004086945559514623</v>
      </c>
      <c r="BL37" s="35" t="n">
        <v>0</v>
      </c>
      <c r="BM37" s="35" t="n">
        <v>0.09428801895920387</v>
      </c>
      <c r="BN37" s="35" t="n">
        <v>4.438077898621939e-05</v>
      </c>
    </row>
    <row r="38" ht="18" customHeight="1" s="82">
      <c r="A38" s="30" t="inlineStr">
        <is>
          <t>SC22126</t>
        </is>
      </c>
      <c r="B38" s="30" t="inlineStr">
        <is>
          <t>Plexus Riverside</t>
        </is>
      </c>
      <c r="C38" s="30" t="inlineStr">
        <is>
          <t>Malaysia ASIA</t>
        </is>
      </c>
      <c r="D38" s="30" t="inlineStr">
        <is>
          <t>Autostore</t>
        </is>
      </c>
      <c r="E38" s="31" t="n">
        <v>2022</v>
      </c>
      <c r="F38" s="31" t="inlineStr">
        <is>
          <t>Yes</t>
        </is>
      </c>
      <c r="G38" s="31" t="n">
        <v>0</v>
      </c>
      <c r="H38" s="31" t="n">
        <v>0</v>
      </c>
      <c r="I38" s="31" t="n">
        <v>14</v>
      </c>
      <c r="J38" s="31" t="n">
        <v>11000</v>
      </c>
      <c r="K38" s="31" t="n">
        <v>0</v>
      </c>
      <c r="L38" s="31" t="n">
        <v>0</v>
      </c>
      <c r="M38" s="31" t="n">
        <v>0</v>
      </c>
      <c r="N38" s="31" t="n">
        <v>0</v>
      </c>
      <c r="O38" s="31" t="n">
        <v>0</v>
      </c>
      <c r="P38" s="31" t="n">
        <v>0</v>
      </c>
      <c r="Q38" s="31" t="n">
        <v>25</v>
      </c>
      <c r="R38" s="31" t="n">
        <v>2</v>
      </c>
      <c r="S38" s="31" t="n">
        <v>12</v>
      </c>
      <c r="T38" s="31" t="n">
        <v>40</v>
      </c>
      <c r="U38" s="31" t="n">
        <v>10</v>
      </c>
      <c r="V38" s="31" t="n">
        <v>15</v>
      </c>
      <c r="W38" s="32" t="n">
        <v>52</v>
      </c>
      <c r="X38" s="31" t="n"/>
      <c r="Y38" s="31" t="n"/>
      <c r="Z38" s="31" t="n"/>
      <c r="AA38" s="31" t="n"/>
      <c r="AB38" s="31" t="n"/>
      <c r="AC38" s="31" t="n"/>
      <c r="AD38" s="32" t="n"/>
      <c r="AE38" s="31" t="inlineStr">
        <is>
          <t>USD</t>
        </is>
      </c>
      <c r="AF38" s="38" t="n">
        <v>1.79</v>
      </c>
      <c r="AG38" s="67">
        <f>IF(OR(AF38="",AE38=""),"",IFERROR(AF38*INDEX(FXRates[USD per unit],MATCH(AE38,FXRates[Currency],0)),"No rate"))</f>
        <v/>
      </c>
      <c r="AH38" s="30" t="inlineStr">
        <is>
          <t>Autostore</t>
        </is>
      </c>
      <c r="AI38" s="30" t="inlineStr">
        <is>
          <t>First Plexus project, longer everything.</t>
        </is>
      </c>
      <c r="AJ38" s="34">
        <f>IF(A38="","",IF(COUNTIF($A$6:$A$504,A38)&gt;1,"⚠ Duplicate",""))</f>
        <v/>
      </c>
      <c r="AK38" s="38" t="n"/>
      <c r="AL38" s="35" t="n"/>
      <c r="AM38" s="35" t="n"/>
      <c r="AN38" s="35" t="n"/>
      <c r="AO38" s="35" t="n"/>
      <c r="AP38" s="35" t="n"/>
      <c r="AQ38" s="35" t="n"/>
      <c r="AR38" s="35" t="n"/>
      <c r="AS38" s="35" t="n"/>
      <c r="AT38" s="35" t="n"/>
      <c r="AU38" s="35" t="n"/>
      <c r="AV38" s="35" t="n"/>
      <c r="AW38" s="35" t="n"/>
      <c r="AX38" s="35" t="n"/>
      <c r="AY38" s="35" t="n"/>
      <c r="AZ38" s="38" t="n"/>
      <c r="BA38" s="35" t="n">
        <v>0.03058565202536138</v>
      </c>
      <c r="BB38" s="35" t="n">
        <v>0.00663291136018963</v>
      </c>
      <c r="BC38" s="35" t="n">
        <v>0.05198480292583055</v>
      </c>
      <c r="BD38" s="35" t="n">
        <v>0</v>
      </c>
      <c r="BE38" s="35" t="n">
        <v>0.005716881067445528</v>
      </c>
      <c r="BF38" s="35" t="n">
        <v>0</v>
      </c>
      <c r="BG38" s="35" t="n">
        <v>0.01031931406655589</v>
      </c>
      <c r="BH38" s="35" t="n">
        <v>0</v>
      </c>
      <c r="BI38" s="35" t="n">
        <v>0</v>
      </c>
      <c r="BJ38" s="35" t="n">
        <v>0</v>
      </c>
      <c r="BK38" s="35" t="n">
        <v>0</v>
      </c>
      <c r="BL38" s="35" t="n">
        <v>0</v>
      </c>
      <c r="BM38" s="35" t="n">
        <v>0.1442547011430668</v>
      </c>
      <c r="BN38" s="35" t="n">
        <v>0</v>
      </c>
    </row>
    <row r="39" ht="18" customHeight="1" s="82">
      <c r="A39" s="36" t="inlineStr">
        <is>
          <t>SW31179</t>
        </is>
      </c>
      <c r="B39" s="36" t="inlineStr">
        <is>
          <t>Caterpillar Autostore</t>
        </is>
      </c>
      <c r="C39" s="36" t="inlineStr">
        <is>
          <t>Singapore ASIA</t>
        </is>
      </c>
      <c r="D39" s="36" t="inlineStr">
        <is>
          <t>Autostore</t>
        </is>
      </c>
      <c r="E39" s="37" t="n">
        <v>2021</v>
      </c>
      <c r="F39" s="37" t="inlineStr">
        <is>
          <t>Yes</t>
        </is>
      </c>
      <c r="G39" s="37" t="n">
        <v>0</v>
      </c>
      <c r="H39" s="37" t="n">
        <v>0</v>
      </c>
      <c r="I39" s="37" t="n">
        <v>84</v>
      </c>
      <c r="J39" s="37" t="n">
        <v>163000</v>
      </c>
      <c r="K39" s="37" t="n">
        <v>0</v>
      </c>
      <c r="L39" s="37" t="n">
        <v>0</v>
      </c>
      <c r="M39" s="37" t="n">
        <v>0</v>
      </c>
      <c r="N39" s="37" t="n">
        <v>0</v>
      </c>
      <c r="O39" s="37" t="n">
        <v>300</v>
      </c>
      <c r="P39" s="37" t="n">
        <v>0</v>
      </c>
      <c r="Q39" s="37" t="n">
        <v>24</v>
      </c>
      <c r="R39" s="37" t="n">
        <v>27</v>
      </c>
      <c r="S39" s="37" t="n">
        <v>9</v>
      </c>
      <c r="T39" s="37" t="n">
        <v>26</v>
      </c>
      <c r="U39" s="37" t="n">
        <v>15</v>
      </c>
      <c r="V39" s="37" t="n">
        <v>22</v>
      </c>
      <c r="W39" s="32" t="n">
        <v>52</v>
      </c>
      <c r="X39" s="37" t="n"/>
      <c r="Y39" s="37" t="n"/>
      <c r="Z39" s="37" t="n"/>
      <c r="AA39" s="37" t="n"/>
      <c r="AB39" s="37" t="n"/>
      <c r="AC39" s="37" t="n"/>
      <c r="AD39" s="32" t="n"/>
      <c r="AE39" s="37" t="inlineStr">
        <is>
          <t>SGD</t>
        </is>
      </c>
      <c r="AF39" s="38" t="n">
        <v>16.9</v>
      </c>
      <c r="AG39" s="67">
        <f>IF(OR(AF39="",AE39=""),"",IFERROR(AF39*INDEX(FXRates[USD per unit],MATCH(AE39,FXRates[Currency],0)),"No rate"))</f>
        <v/>
      </c>
      <c r="AH39" s="36" t="inlineStr">
        <is>
          <t>Autostore MCS</t>
        </is>
      </c>
      <c r="AI39" s="36" t="inlineStr">
        <is>
          <t xml:space="preserve">Delayed progressive shipment schedule, 35 weeks additional on top of total timeline </t>
        </is>
      </c>
      <c r="AJ39" s="39">
        <f>IF(A39="","",IF(COUNTIF($A$6:$A$504,A39)&gt;1,"⚠ Duplicate",""))</f>
        <v/>
      </c>
      <c r="AK39" s="38" t="n"/>
      <c r="AL39" s="35" t="n"/>
      <c r="AM39" s="35" t="n"/>
      <c r="AN39" s="35" t="n"/>
      <c r="AO39" s="35" t="n"/>
      <c r="AP39" s="35" t="n"/>
      <c r="AQ39" s="35" t="n"/>
      <c r="AR39" s="35" t="n"/>
      <c r="AS39" s="35" t="n"/>
      <c r="AT39" s="35" t="n"/>
      <c r="AU39" s="35" t="n"/>
      <c r="AV39" s="35" t="n"/>
      <c r="AW39" s="35" t="n"/>
      <c r="AX39" s="35" t="n"/>
      <c r="AY39" s="35" t="n"/>
      <c r="AZ39" s="38" t="n"/>
      <c r="BA39" s="35" t="n"/>
      <c r="BB39" s="35" t="n"/>
      <c r="BC39" s="35" t="n"/>
      <c r="BD39" s="35" t="n"/>
      <c r="BE39" s="35" t="n"/>
      <c r="BF39" s="35" t="n"/>
      <c r="BG39" s="35" t="n"/>
      <c r="BH39" s="35" t="n"/>
      <c r="BI39" s="35" t="n"/>
      <c r="BJ39" s="35" t="n"/>
      <c r="BK39" s="35" t="n"/>
      <c r="BL39" s="35" t="n"/>
      <c r="BM39" s="35" t="n"/>
      <c r="BN39" s="35" t="n"/>
    </row>
    <row r="40" ht="18" customHeight="1" s="82">
      <c r="A40" s="30" t="inlineStr">
        <is>
          <t>SC22103</t>
        </is>
      </c>
      <c r="B40" s="30" t="inlineStr">
        <is>
          <t>WDS Tainan</t>
        </is>
      </c>
      <c r="C40" s="30" t="inlineStr">
        <is>
          <t>Taiwan ASIA</t>
        </is>
      </c>
      <c r="D40" s="30" t="inlineStr">
        <is>
          <t>Others/complex</t>
        </is>
      </c>
      <c r="E40" s="31" t="n">
        <v>2023</v>
      </c>
      <c r="F40" s="31" t="inlineStr">
        <is>
          <t>Yes</t>
        </is>
      </c>
      <c r="G40" s="31" t="n">
        <v>78</v>
      </c>
      <c r="H40" s="31" t="n">
        <v>15000</v>
      </c>
      <c r="I40" s="31" t="n">
        <v>0</v>
      </c>
      <c r="J40" s="31" t="n">
        <v>0</v>
      </c>
      <c r="K40" s="31" t="n">
        <v>0</v>
      </c>
      <c r="L40" s="31" t="n">
        <v>0</v>
      </c>
      <c r="M40" s="31" t="n">
        <v>0</v>
      </c>
      <c r="N40" s="31" t="n">
        <v>0</v>
      </c>
      <c r="O40" s="31" t="n">
        <v>2400</v>
      </c>
      <c r="P40" s="31" t="n">
        <v>100</v>
      </c>
      <c r="Q40" s="31" t="n">
        <v>56</v>
      </c>
      <c r="R40" s="31" t="n">
        <v>38</v>
      </c>
      <c r="S40" s="31" t="n">
        <v>12</v>
      </c>
      <c r="T40" s="31" t="n">
        <v>75</v>
      </c>
      <c r="U40" s="31" t="n">
        <v>57</v>
      </c>
      <c r="V40" s="31" t="n">
        <v>50</v>
      </c>
      <c r="W40" s="32" t="n">
        <v>120</v>
      </c>
      <c r="X40" s="31" t="n"/>
      <c r="Y40" s="31" t="n"/>
      <c r="Z40" s="31" t="n"/>
      <c r="AA40" s="31" t="n"/>
      <c r="AB40" s="31" t="n"/>
      <c r="AC40" s="31" t="n"/>
      <c r="AD40" s="32" t="n"/>
      <c r="AE40" s="31" t="inlineStr">
        <is>
          <t>USD</t>
        </is>
      </c>
      <c r="AF40" s="38" t="n">
        <v>22.03</v>
      </c>
      <c r="AG40" s="67">
        <f>IF(OR(AF40="",AE40=""),"",IFERROR(AF40*INDEX(FXRates[USD per unit],MATCH(AE40,FXRates[Currency],0)),"No rate"))</f>
        <v/>
      </c>
      <c r="AH40" s="30" t="inlineStr">
        <is>
          <t>XB Sorter CBS crossbelt MCS DMS BK25 PTL Mezzanine Selective Rack</t>
        </is>
      </c>
      <c r="AI40" s="30" t="n"/>
      <c r="AJ40" s="34">
        <f>IF(A40="","",IF(COUNTIF($A$6:$A$504,A40)&gt;1,"⚠ Duplicate",""))</f>
        <v/>
      </c>
      <c r="AK40" s="38" t="n"/>
      <c r="AL40" s="35" t="n"/>
      <c r="AM40" s="35" t="n"/>
      <c r="AN40" s="35" t="n"/>
      <c r="AO40" s="35" t="n"/>
      <c r="AP40" s="35" t="n"/>
      <c r="AQ40" s="35" t="n"/>
      <c r="AR40" s="35" t="n"/>
      <c r="AS40" s="35" t="n"/>
      <c r="AT40" s="35" t="n"/>
      <c r="AU40" s="35" t="n"/>
      <c r="AV40" s="35" t="n"/>
      <c r="AW40" s="35" t="n"/>
      <c r="AX40" s="35" t="n"/>
      <c r="AY40" s="35" t="n"/>
      <c r="AZ40" s="38" t="n"/>
      <c r="BA40" s="35" t="n"/>
      <c r="BB40" s="35" t="n"/>
      <c r="BC40" s="35" t="n"/>
      <c r="BD40" s="35" t="n"/>
      <c r="BE40" s="35" t="n"/>
      <c r="BF40" s="35" t="n"/>
      <c r="BG40" s="35" t="n"/>
      <c r="BH40" s="35" t="n"/>
      <c r="BI40" s="35" t="n"/>
      <c r="BJ40" s="35" t="n"/>
      <c r="BK40" s="35" t="n"/>
      <c r="BL40" s="35" t="n"/>
      <c r="BM40" s="35" t="n"/>
      <c r="BN40" s="35" t="n"/>
    </row>
    <row r="41" ht="18" customHeight="1" s="82">
      <c r="A41" s="36" t="inlineStr">
        <is>
          <t>SC22136</t>
        </is>
      </c>
      <c r="B41" s="36" t="inlineStr">
        <is>
          <t>WDS Keelung</t>
        </is>
      </c>
      <c r="C41" s="36" t="inlineStr">
        <is>
          <t>Taiwan ASIA</t>
        </is>
      </c>
      <c r="D41" s="36" t="inlineStr">
        <is>
          <t>Others/complex</t>
        </is>
      </c>
      <c r="E41" s="37" t="n">
        <v>2025</v>
      </c>
      <c r="F41" s="37" t="inlineStr">
        <is>
          <t>Yes</t>
        </is>
      </c>
      <c r="G41" s="37" t="n">
        <v>0</v>
      </c>
      <c r="H41" s="37" t="n">
        <v>0</v>
      </c>
      <c r="I41" s="37" t="n">
        <v>0</v>
      </c>
      <c r="J41" s="37" t="n">
        <v>0</v>
      </c>
      <c r="K41" s="37" t="n">
        <v>0</v>
      </c>
      <c r="L41" s="37" t="n">
        <v>0</v>
      </c>
      <c r="M41" s="37" t="n">
        <v>0</v>
      </c>
      <c r="N41" s="37" t="n">
        <v>0</v>
      </c>
      <c r="O41" s="37" t="n">
        <v>800</v>
      </c>
      <c r="P41" s="37" t="n">
        <v>0</v>
      </c>
      <c r="Q41" s="37" t="n">
        <v>60</v>
      </c>
      <c r="R41" s="37" t="n">
        <v>40</v>
      </c>
      <c r="S41" s="37" t="n">
        <v>12</v>
      </c>
      <c r="T41" s="37" t="n">
        <v>69</v>
      </c>
      <c r="U41" s="37" t="n">
        <v>26</v>
      </c>
      <c r="V41" s="37" t="n">
        <v>40</v>
      </c>
      <c r="W41" s="32" t="n">
        <v>105</v>
      </c>
      <c r="X41" s="37" t="n"/>
      <c r="Y41" s="37" t="n"/>
      <c r="Z41" s="37" t="n"/>
      <c r="AA41" s="37" t="n"/>
      <c r="AB41" s="37" t="n"/>
      <c r="AC41" s="37" t="n"/>
      <c r="AD41" s="32" t="n"/>
      <c r="AE41" s="37" t="inlineStr">
        <is>
          <t>USD</t>
        </is>
      </c>
      <c r="AF41" s="38" t="n">
        <v>9.52</v>
      </c>
      <c r="AG41" s="67">
        <f>IF(OR(AF41="",AE41=""),"",IFERROR(AF41*INDEX(FXRates[USD per unit],MATCH(AE41,FXRates[Currency],0)),"No rate"))</f>
        <v/>
      </c>
      <c r="AH41" s="36" t="inlineStr">
        <is>
          <t>XB Sorter CBS Crossbelt MCS Libiao Mezzanine</t>
        </is>
      </c>
      <c r="AI41" s="36" t="n"/>
      <c r="AJ41" s="39">
        <f>IF(A41="","",IF(COUNTIF($A$6:$A$504,A41)&gt;1,"⚠ Duplicate",""))</f>
        <v/>
      </c>
      <c r="AK41" s="38" t="n"/>
      <c r="AL41" s="35" t="n"/>
      <c r="AM41" s="35" t="n"/>
      <c r="AN41" s="35" t="n"/>
      <c r="AO41" s="35" t="n"/>
      <c r="AP41" s="35" t="n"/>
      <c r="AQ41" s="35" t="n"/>
      <c r="AR41" s="35" t="n"/>
      <c r="AS41" s="35" t="n"/>
      <c r="AT41" s="35" t="n"/>
      <c r="AU41" s="35" t="n"/>
      <c r="AV41" s="35" t="n"/>
      <c r="AW41" s="35" t="n"/>
      <c r="AX41" s="35" t="n"/>
      <c r="AY41" s="35" t="n"/>
      <c r="AZ41" s="38" t="n"/>
      <c r="BA41" s="35" t="n"/>
      <c r="BB41" s="35" t="n"/>
      <c r="BC41" s="35" t="n"/>
      <c r="BD41" s="35" t="n"/>
      <c r="BE41" s="35" t="n"/>
      <c r="BF41" s="35" t="n"/>
      <c r="BG41" s="35" t="n"/>
      <c r="BH41" s="35" t="n"/>
      <c r="BI41" s="35" t="n"/>
      <c r="BJ41" s="35" t="n"/>
      <c r="BK41" s="35" t="n"/>
      <c r="BL41" s="35" t="n"/>
      <c r="BM41" s="35" t="n"/>
      <c r="BN41" s="35" t="n"/>
    </row>
    <row r="42" ht="18" customHeight="1" s="82">
      <c r="A42" s="30" t="inlineStr">
        <is>
          <t>SW31344</t>
        </is>
      </c>
      <c r="B42" s="30" t="inlineStr">
        <is>
          <t>DHL Project Consumer</t>
        </is>
      </c>
      <c r="C42" s="30" t="inlineStr">
        <is>
          <t>Thailand ASIA</t>
        </is>
      </c>
      <c r="D42" s="30" t="n"/>
      <c r="E42" s="31" t="n">
        <v>2026</v>
      </c>
      <c r="F42" s="31" t="inlineStr">
        <is>
          <t>No</t>
        </is>
      </c>
      <c r="G42" s="31" t="n">
        <v>0</v>
      </c>
      <c r="H42" s="31" t="n">
        <v>0</v>
      </c>
      <c r="I42" s="31" t="n">
        <v>0</v>
      </c>
      <c r="J42" s="31" t="n">
        <v>0</v>
      </c>
      <c r="K42" s="31" t="n">
        <v>56</v>
      </c>
      <c r="L42" s="31" t="n">
        <v>45000</v>
      </c>
      <c r="M42" s="31" t="n">
        <v>0</v>
      </c>
      <c r="N42" s="31" t="n">
        <v>0</v>
      </c>
      <c r="O42" s="31" t="n">
        <v>0</v>
      </c>
      <c r="P42" s="31" t="n">
        <v>178</v>
      </c>
      <c r="Q42" s="31" t="n">
        <v>52</v>
      </c>
      <c r="R42" s="31" t="n">
        <v>0</v>
      </c>
      <c r="S42" s="31" t="n">
        <v>25</v>
      </c>
      <c r="T42" s="31" t="n">
        <v>45</v>
      </c>
      <c r="U42" s="31" t="n">
        <v>21</v>
      </c>
      <c r="V42" s="31" t="n">
        <v>31</v>
      </c>
      <c r="W42" s="32" t="n">
        <v>106.4</v>
      </c>
      <c r="X42" s="31" t="n"/>
      <c r="Y42" s="31" t="n"/>
      <c r="Z42" s="31" t="n"/>
      <c r="AA42" s="31" t="n"/>
      <c r="AB42" s="31" t="n"/>
      <c r="AC42" s="31" t="n"/>
      <c r="AD42" s="32" t="n"/>
      <c r="AE42" s="31" t="inlineStr">
        <is>
          <t>USD</t>
        </is>
      </c>
      <c r="AF42" s="38" t="n">
        <v>19.01</v>
      </c>
      <c r="AG42" s="67">
        <f>IF(OR(AF42="",AE42=""),"",IFERROR(AF42*INDEX(FXRates[USD per unit],MATCH(AE42,FXRates[Currency],0)),"No rate"))</f>
        <v/>
      </c>
      <c r="AH42" s="30" t="inlineStr">
        <is>
          <t>4WS Pallet + AMR</t>
        </is>
      </c>
      <c r="AI42" s="30" t="n"/>
      <c r="AJ42" s="34">
        <f>IF(A42="","",IF(COUNTIF($A$6:$A$504,A42)&gt;1,"⚠ Duplicate",""))</f>
        <v/>
      </c>
      <c r="AK42" s="38" t="n"/>
      <c r="AL42" s="41" t="n">
        <v>0.05</v>
      </c>
      <c r="AM42" s="41" t="n">
        <v>0.05</v>
      </c>
      <c r="AN42" s="41" t="n">
        <v>0.05</v>
      </c>
      <c r="AO42" s="41" t="n">
        <v>0.07000000000000001</v>
      </c>
      <c r="AP42" s="41" t="n">
        <v>0.09</v>
      </c>
      <c r="AQ42" s="41" t="n">
        <v>0.06</v>
      </c>
      <c r="AR42" s="41" t="n">
        <v>0.06</v>
      </c>
      <c r="AS42" s="41" t="n">
        <v>0.01</v>
      </c>
      <c r="AT42" s="41" t="n">
        <v>0.01</v>
      </c>
      <c r="AU42" s="41" t="n">
        <v>0.01</v>
      </c>
      <c r="AV42" s="41" t="n">
        <v>0.01</v>
      </c>
      <c r="AW42" s="41" t="n">
        <v>0.01</v>
      </c>
      <c r="AX42" s="41" t="n">
        <v>0.04</v>
      </c>
      <c r="AY42" s="35" t="n">
        <v>0.001</v>
      </c>
      <c r="AZ42" s="38" t="n"/>
      <c r="BA42" s="41" t="n"/>
      <c r="BB42" s="41" t="n"/>
      <c r="BC42" s="41" t="n"/>
      <c r="BD42" s="41" t="n"/>
      <c r="BE42" s="41" t="n"/>
      <c r="BF42" s="41" t="n"/>
      <c r="BG42" s="41" t="n"/>
      <c r="BH42" s="41" t="n"/>
      <c r="BI42" s="41" t="n"/>
      <c r="BJ42" s="41" t="n"/>
      <c r="BK42" s="41" t="n"/>
      <c r="BL42" s="41" t="n"/>
      <c r="BM42" s="41" t="n"/>
      <c r="BN42" s="35" t="n"/>
    </row>
    <row r="43" ht="18" customHeight="1" s="82">
      <c r="A43" s="36" t="inlineStr">
        <is>
          <t>SC22228</t>
        </is>
      </c>
      <c r="B43" s="36" t="inlineStr">
        <is>
          <t>Changmaru (Box4U)</t>
        </is>
      </c>
      <c r="C43" s="36" t="inlineStr">
        <is>
          <t>Korea ASIA</t>
        </is>
      </c>
      <c r="D43" s="36" t="n"/>
      <c r="E43" s="37" t="n">
        <v>2026</v>
      </c>
      <c r="F43" s="37" t="inlineStr">
        <is>
          <t>No</t>
        </is>
      </c>
      <c r="G43" s="37" t="n">
        <v>30</v>
      </c>
      <c r="H43" s="37" t="n">
        <v>6200</v>
      </c>
      <c r="I43" s="37" t="n">
        <v>0</v>
      </c>
      <c r="J43" s="37" t="n">
        <v>0</v>
      </c>
      <c r="K43" s="37" t="n">
        <v>0</v>
      </c>
      <c r="L43" s="37" t="n">
        <v>0</v>
      </c>
      <c r="M43" s="37" t="n">
        <v>3</v>
      </c>
      <c r="N43" s="37" t="n">
        <v>4300</v>
      </c>
      <c r="O43" s="37" t="n">
        <v>350</v>
      </c>
      <c r="P43" s="37" t="n">
        <v>255</v>
      </c>
      <c r="Q43" s="37" t="n">
        <v>46</v>
      </c>
      <c r="R43" s="37" t="n">
        <v>48</v>
      </c>
      <c r="S43" s="37" t="n">
        <v>27</v>
      </c>
      <c r="T43" s="37" t="n">
        <v>57</v>
      </c>
      <c r="U43" s="37" t="n">
        <v>28</v>
      </c>
      <c r="V43" s="37" t="n">
        <v>35</v>
      </c>
      <c r="W43" s="32" t="n">
        <v>108</v>
      </c>
      <c r="X43" s="37" t="n"/>
      <c r="Y43" s="37" t="n"/>
      <c r="Z43" s="37" t="n"/>
      <c r="AA43" s="37" t="n"/>
      <c r="AB43" s="37" t="n"/>
      <c r="AC43" s="37" t="n"/>
      <c r="AD43" s="32" t="n"/>
      <c r="AE43" s="37" t="inlineStr">
        <is>
          <t>USD</t>
        </is>
      </c>
      <c r="AF43" s="38" t="n">
        <v>11.9</v>
      </c>
      <c r="AG43" s="67">
        <f>IF(OR(AF43="",AE43=""),"",IFERROR(AF43*INDEX(FXRates[USD per unit],MATCH(AE43,FXRates[Currency],0)),"No rate"))</f>
        <v/>
      </c>
      <c r="AH43" s="36" t="inlineStr">
        <is>
          <t>ASRS, DMS, Layer Picker</t>
        </is>
      </c>
      <c r="AI43" s="36" t="inlineStr">
        <is>
          <t>ASRS Rack Clad not Dematic scope, DMS Racking under Dematic scope</t>
        </is>
      </c>
      <c r="AJ43" s="39">
        <f>IF(A43="","",IF(COUNTIF($A$6:$A$504,A43)&gt;1,"⚠ Duplicate",""))</f>
        <v/>
      </c>
      <c r="AK43" s="38" t="n"/>
      <c r="AL43" s="40" t="n">
        <v>0.052</v>
      </c>
      <c r="AM43" s="40" t="n">
        <v>0.052</v>
      </c>
      <c r="AN43" s="40" t="n">
        <v>0.052</v>
      </c>
      <c r="AO43" s="40" t="n">
        <v>0.008</v>
      </c>
      <c r="AP43" s="40" t="n">
        <v>0.022</v>
      </c>
      <c r="AQ43" s="40" t="n">
        <v>0.01</v>
      </c>
      <c r="AR43" s="40" t="n">
        <v>0.01</v>
      </c>
      <c r="AS43" s="40" t="n">
        <v>0.031</v>
      </c>
      <c r="AT43" s="40" t="n">
        <v>0.031</v>
      </c>
      <c r="AU43" s="40" t="n">
        <v>0.031</v>
      </c>
      <c r="AV43" s="40" t="n">
        <v>0.038</v>
      </c>
      <c r="AW43" s="40" t="n">
        <v>0.038</v>
      </c>
      <c r="AX43" s="40" t="n">
        <v>0</v>
      </c>
      <c r="AY43" s="35" t="n">
        <v>0.001</v>
      </c>
      <c r="AZ43" s="38" t="n"/>
      <c r="BA43" s="40" t="n"/>
      <c r="BB43" s="40" t="n"/>
      <c r="BC43" s="40" t="n"/>
      <c r="BD43" s="40" t="n"/>
      <c r="BE43" s="40" t="n"/>
      <c r="BF43" s="40" t="n"/>
      <c r="BG43" s="40" t="n"/>
      <c r="BH43" s="40" t="n"/>
      <c r="BI43" s="40" t="n"/>
      <c r="BJ43" s="40" t="n"/>
      <c r="BK43" s="40" t="n"/>
      <c r="BL43" s="40" t="n"/>
      <c r="BM43" s="40" t="n"/>
      <c r="BN43" s="35" t="n"/>
    </row>
    <row r="44" ht="18" customHeight="1" s="82">
      <c r="A44" s="30" t="inlineStr">
        <is>
          <t>SC22176</t>
        </is>
      </c>
      <c r="B44" s="30" t="inlineStr">
        <is>
          <t>Zuellig Cebu</t>
        </is>
      </c>
      <c r="C44" s="30" t="inlineStr">
        <is>
          <t>Philipines ASIA</t>
        </is>
      </c>
      <c r="D44" s="30" t="inlineStr">
        <is>
          <t>Others/complex</t>
        </is>
      </c>
      <c r="E44" s="31" t="n">
        <v>2025</v>
      </c>
      <c r="F44" s="31" t="inlineStr">
        <is>
          <t>Yes</t>
        </is>
      </c>
      <c r="G44" s="31" t="n">
        <v>0</v>
      </c>
      <c r="H44" s="31" t="n">
        <v>0</v>
      </c>
      <c r="I44" s="31" t="n">
        <v>0</v>
      </c>
      <c r="J44" s="31" t="n">
        <v>0</v>
      </c>
      <c r="K44" s="31" t="n">
        <v>0</v>
      </c>
      <c r="L44" s="31" t="n">
        <v>0</v>
      </c>
      <c r="M44" s="31" t="n">
        <v>0</v>
      </c>
      <c r="N44" s="31" t="n">
        <v>0</v>
      </c>
      <c r="O44" s="31" t="n">
        <v>230</v>
      </c>
      <c r="P44" s="31" t="n">
        <v>0</v>
      </c>
      <c r="Q44" s="31" t="n">
        <v>7</v>
      </c>
      <c r="R44" s="31" t="n">
        <v>7</v>
      </c>
      <c r="S44" s="31" t="n">
        <v>7</v>
      </c>
      <c r="T44" s="31" t="n">
        <v>20</v>
      </c>
      <c r="U44" s="31" t="n">
        <v>28</v>
      </c>
      <c r="V44" s="31" t="n">
        <v>13</v>
      </c>
      <c r="W44" s="32" t="n">
        <v>53</v>
      </c>
      <c r="X44" s="31" t="n"/>
      <c r="Y44" s="31" t="n"/>
      <c r="Z44" s="31" t="n"/>
      <c r="AA44" s="31" t="n"/>
      <c r="AB44" s="31" t="n"/>
      <c r="AC44" s="31" t="n"/>
      <c r="AD44" s="32" t="n"/>
      <c r="AE44" s="31" t="inlineStr">
        <is>
          <t>USD</t>
        </is>
      </c>
      <c r="AF44" s="38" t="n">
        <v>1.5</v>
      </c>
      <c r="AG44" s="67">
        <f>IF(OR(AF44="",AE44=""),"",IFERROR(AF44*INDEX(FXRates[USD per unit],MATCH(AE44,FXRates[Currency],0)),"No rate"))</f>
        <v/>
      </c>
      <c r="AH44" s="30" t="inlineStr">
        <is>
          <t>MCS</t>
        </is>
      </c>
      <c r="AI44" s="30" t="inlineStr">
        <is>
          <t>Zone Route Picking</t>
        </is>
      </c>
      <c r="AJ44" s="34">
        <f>IF(A44="","",IF(COUNTIF($A$6:$A$504,A44)&gt;1,"⚠ Duplicate",""))</f>
        <v/>
      </c>
      <c r="AK44" s="38" t="n"/>
      <c r="AL44" s="35" t="n"/>
      <c r="AM44" s="35" t="n"/>
      <c r="AN44" s="35" t="n"/>
      <c r="AO44" s="35" t="n"/>
      <c r="AP44" s="35" t="n"/>
      <c r="AQ44" s="35" t="n"/>
      <c r="AR44" s="35" t="n"/>
      <c r="AS44" s="35" t="n"/>
      <c r="AT44" s="35" t="n"/>
      <c r="AU44" s="35" t="n"/>
      <c r="AV44" s="35" t="n"/>
      <c r="AW44" s="35" t="n"/>
      <c r="AX44" s="35" t="n"/>
      <c r="AY44" s="35" t="n"/>
      <c r="AZ44" s="38" t="n"/>
      <c r="BA44" s="35" t="n"/>
      <c r="BB44" s="35" t="n"/>
      <c r="BC44" s="35" t="n"/>
      <c r="BD44" s="35" t="n"/>
      <c r="BE44" s="35" t="n"/>
      <c r="BF44" s="35" t="n"/>
      <c r="BG44" s="35" t="n"/>
      <c r="BH44" s="35" t="n"/>
      <c r="BI44" s="35" t="n"/>
      <c r="BJ44" s="35" t="n"/>
      <c r="BK44" s="35" t="n"/>
      <c r="BL44" s="35" t="n"/>
      <c r="BM44" s="35" t="n"/>
      <c r="BN44" s="35" t="n"/>
    </row>
    <row r="45" ht="18" customHeight="1" s="82">
      <c r="A45" s="36" t="inlineStr">
        <is>
          <t>SC22185</t>
        </is>
      </c>
      <c r="B45" s="36" t="inlineStr">
        <is>
          <t>Starlux Taoyuan</t>
        </is>
      </c>
      <c r="C45" s="36" t="inlineStr">
        <is>
          <t>Taiwan ASIA</t>
        </is>
      </c>
      <c r="D45" s="36" t="inlineStr">
        <is>
          <t>Others/complex</t>
        </is>
      </c>
      <c r="E45" s="37" t="n">
        <v>2025</v>
      </c>
      <c r="F45" s="37" t="inlineStr">
        <is>
          <t>Yes</t>
        </is>
      </c>
      <c r="G45" s="37" t="n">
        <v>64</v>
      </c>
      <c r="H45" s="37" t="n">
        <v>7000</v>
      </c>
      <c r="I45" s="37" t="n">
        <v>0</v>
      </c>
      <c r="J45" s="37" t="n">
        <v>0</v>
      </c>
      <c r="K45" s="37" t="n">
        <v>0</v>
      </c>
      <c r="L45" s="37" t="n">
        <v>0</v>
      </c>
      <c r="M45" s="37" t="n">
        <v>6</v>
      </c>
      <c r="N45" s="37" t="n">
        <v>900</v>
      </c>
      <c r="O45" s="37" t="n">
        <v>473</v>
      </c>
      <c r="P45" s="37" t="n">
        <v>200</v>
      </c>
      <c r="Q45" s="37" t="n">
        <v>58</v>
      </c>
      <c r="R45" s="37" t="n">
        <v>44</v>
      </c>
      <c r="S45" s="37" t="n">
        <v>27</v>
      </c>
      <c r="T45" s="37" t="n">
        <v>39</v>
      </c>
      <c r="U45" s="37" t="n">
        <v>30</v>
      </c>
      <c r="V45" s="37" t="n">
        <v>33</v>
      </c>
      <c r="W45" s="32" t="n">
        <v>107</v>
      </c>
      <c r="X45" s="37" t="n"/>
      <c r="Y45" s="37" t="n"/>
      <c r="Z45" s="37" t="n"/>
      <c r="AA45" s="37" t="n"/>
      <c r="AB45" s="37" t="n"/>
      <c r="AC45" s="37" t="n"/>
      <c r="AD45" s="32" t="n"/>
      <c r="AE45" s="37" t="inlineStr">
        <is>
          <t>USD</t>
        </is>
      </c>
      <c r="AF45" s="38" t="n">
        <v>11.9</v>
      </c>
      <c r="AG45" s="67">
        <f>IF(OR(AF45="",AE45=""),"",IFERROR(AF45*INDEX(FXRates[USD per unit],MATCH(AE45,FXRates[Currency],0)),"No rate"))</f>
        <v/>
      </c>
      <c r="AH45" s="36" t="inlineStr">
        <is>
          <t>ML SRM MCS BK25 DMS</t>
        </is>
      </c>
      <c r="AI45" s="36" t="inlineStr">
        <is>
          <t>2 Aisle Miniload</t>
        </is>
      </c>
      <c r="AJ45" s="39">
        <f>IF(A45="","",IF(COUNTIF($A$6:$A$504,A45)&gt;1,"⚠ Duplicate",""))</f>
        <v/>
      </c>
      <c r="AK45" s="38" t="n"/>
      <c r="AL45" s="35" t="n"/>
      <c r="AM45" s="35" t="n"/>
      <c r="AN45" s="35" t="n"/>
      <c r="AO45" s="35" t="n"/>
      <c r="AP45" s="35" t="n"/>
      <c r="AQ45" s="35" t="n"/>
      <c r="AR45" s="35" t="n"/>
      <c r="AS45" s="35" t="n"/>
      <c r="AT45" s="35" t="n"/>
      <c r="AU45" s="35" t="n"/>
      <c r="AV45" s="35" t="n"/>
      <c r="AW45" s="35" t="n"/>
      <c r="AX45" s="35" t="n"/>
      <c r="AY45" s="35" t="n"/>
      <c r="AZ45" s="38" t="n"/>
      <c r="BA45" s="35" t="n"/>
      <c r="BB45" s="35" t="n"/>
      <c r="BC45" s="35" t="n"/>
      <c r="BD45" s="35" t="n"/>
      <c r="BE45" s="35" t="n"/>
      <c r="BF45" s="35" t="n"/>
      <c r="BG45" s="35" t="n"/>
      <c r="BH45" s="35" t="n"/>
      <c r="BI45" s="35" t="n"/>
      <c r="BJ45" s="35" t="n"/>
      <c r="BK45" s="35" t="n"/>
      <c r="BL45" s="35" t="n"/>
      <c r="BM45" s="35" t="n"/>
      <c r="BN45" s="35" t="n"/>
    </row>
    <row r="46" ht="18" customHeight="1" s="82">
      <c r="A46" s="36" t="n"/>
      <c r="B46" s="36" t="n"/>
      <c r="C46" s="36" t="n"/>
      <c r="D46" s="36" t="n"/>
      <c r="E46" s="37" t="n"/>
      <c r="F46" s="37" t="n"/>
      <c r="G46" s="37" t="n"/>
      <c r="H46" s="37" t="n"/>
      <c r="I46" s="37" t="n"/>
      <c r="J46" s="37" t="n"/>
      <c r="K46" s="37" t="n"/>
      <c r="L46" s="37" t="n"/>
      <c r="M46" s="37" t="n"/>
      <c r="N46" s="37" t="n"/>
      <c r="O46" s="37" t="n"/>
      <c r="P46" s="37" t="n"/>
      <c r="Q46" s="37" t="n"/>
      <c r="R46" s="37" t="n"/>
      <c r="S46" s="37" t="n"/>
      <c r="T46" s="37" t="n"/>
      <c r="U46" s="37" t="n"/>
      <c r="V46" s="37" t="n"/>
      <c r="W46" s="32" t="n"/>
      <c r="X46" s="37" t="n"/>
      <c r="Y46" s="37" t="n"/>
      <c r="Z46" s="37" t="n"/>
      <c r="AA46" s="37" t="n"/>
      <c r="AB46" s="37" t="n"/>
      <c r="AC46" s="37" t="n"/>
      <c r="AD46" s="32" t="n"/>
      <c r="AE46" s="37" t="n"/>
      <c r="AF46" s="38" t="n"/>
      <c r="AG46" s="67">
        <f>IF(OR(AF46="",AE46=""),"",IFERROR(AF46*INDEX(FXRates[USD per unit],MATCH(AE46,FXRates[Currency],0)),"No rate"))</f>
        <v/>
      </c>
      <c r="AH46" s="36" t="n"/>
      <c r="AI46" s="36" t="n"/>
      <c r="AJ46" s="39">
        <f>IF(A46="","",IF(COUNTIF($A$6:$A$504,A46)&gt;1,"⚠ Duplicate",""))</f>
        <v/>
      </c>
      <c r="AK46" s="38" t="n"/>
      <c r="AL46" s="40" t="n"/>
      <c r="AM46" s="40" t="n"/>
      <c r="AN46" s="40" t="n"/>
      <c r="AO46" s="40" t="n"/>
      <c r="AP46" s="40" t="n"/>
      <c r="AQ46" s="40" t="n"/>
      <c r="AR46" s="40" t="n"/>
      <c r="AS46" s="40" t="n"/>
      <c r="AT46" s="40" t="n"/>
      <c r="AU46" s="40" t="n"/>
      <c r="AV46" s="40" t="n"/>
      <c r="AW46" s="40" t="n"/>
      <c r="AX46" s="40" t="n"/>
      <c r="AY46" s="40" t="n"/>
      <c r="AZ46" s="38" t="n"/>
      <c r="BA46" s="40" t="n"/>
      <c r="BB46" s="40" t="n"/>
      <c r="BC46" s="40" t="n"/>
      <c r="BD46" s="40" t="n"/>
      <c r="BE46" s="40" t="n"/>
      <c r="BF46" s="40" t="n"/>
      <c r="BG46" s="40" t="n"/>
      <c r="BH46" s="40" t="n"/>
      <c r="BI46" s="40" t="n"/>
      <c r="BJ46" s="40" t="n"/>
      <c r="BK46" s="40" t="n"/>
      <c r="BL46" s="40" t="n"/>
      <c r="BM46" s="40" t="n"/>
      <c r="BN46" s="40" t="n"/>
    </row>
    <row r="47" ht="18" customHeight="1" s="82">
      <c r="A47" s="30" t="n"/>
      <c r="B47" s="30" t="n"/>
      <c r="C47" s="30" t="n"/>
      <c r="D47" s="30" t="n"/>
      <c r="E47" s="31" t="n"/>
      <c r="F47" s="31" t="n"/>
      <c r="G47" s="31" t="n"/>
      <c r="H47" s="31" t="n"/>
      <c r="I47" s="31" t="n"/>
      <c r="J47" s="31" t="n"/>
      <c r="K47" s="31" t="n"/>
      <c r="L47" s="31" t="n"/>
      <c r="M47" s="31" t="n"/>
      <c r="N47" s="31" t="n"/>
      <c r="O47" s="31" t="n"/>
      <c r="P47" s="31" t="n"/>
      <c r="Q47" s="31" t="n"/>
      <c r="R47" s="31" t="n"/>
      <c r="S47" s="31" t="n"/>
      <c r="T47" s="31" t="n"/>
      <c r="U47" s="31" t="n"/>
      <c r="V47" s="31" t="n"/>
      <c r="W47" s="32" t="n"/>
      <c r="X47" s="31" t="n"/>
      <c r="Y47" s="31" t="n"/>
      <c r="Z47" s="31" t="n"/>
      <c r="AA47" s="31" t="n"/>
      <c r="AB47" s="31" t="n"/>
      <c r="AC47" s="31" t="n"/>
      <c r="AD47" s="32" t="n"/>
      <c r="AE47" s="31" t="n"/>
      <c r="AF47" s="33" t="n"/>
      <c r="AG47" s="66">
        <f>IF(OR(AF47="",AE47=""),"",IFERROR(AF47*INDEX(FXRates[USD per unit],MATCH(AE47,FXRates[Currency],0)),"No rate"))</f>
        <v/>
      </c>
      <c r="AH47" s="30" t="n"/>
      <c r="AI47" s="30" t="n"/>
      <c r="AJ47" s="34">
        <f>IF(A47="","",IF(COUNTIF($A$6:$A$504,A47)&gt;1,"⚠ Duplicate",""))</f>
        <v/>
      </c>
      <c r="AK47" s="33" t="n"/>
      <c r="AL47" s="41" t="n"/>
      <c r="AM47" s="41" t="n"/>
      <c r="AN47" s="41" t="n"/>
      <c r="AO47" s="41" t="n"/>
      <c r="AP47" s="41" t="n"/>
      <c r="AQ47" s="41" t="n"/>
      <c r="AR47" s="41" t="n"/>
      <c r="AS47" s="41" t="n"/>
      <c r="AT47" s="41" t="n"/>
      <c r="AU47" s="41" t="n"/>
      <c r="AV47" s="41" t="n"/>
      <c r="AW47" s="41" t="n"/>
      <c r="AX47" s="41" t="n"/>
      <c r="AY47" s="41" t="n"/>
      <c r="AZ47" s="33" t="n"/>
      <c r="BA47" s="41" t="n"/>
      <c r="BB47" s="41" t="n"/>
      <c r="BC47" s="41" t="n"/>
      <c r="BD47" s="41" t="n"/>
      <c r="BE47" s="41" t="n"/>
      <c r="BF47" s="41" t="n"/>
      <c r="BG47" s="41" t="n"/>
      <c r="BH47" s="41" t="n"/>
      <c r="BI47" s="41" t="n"/>
      <c r="BJ47" s="41" t="n"/>
      <c r="BK47" s="41" t="n"/>
      <c r="BL47" s="41" t="n"/>
      <c r="BM47" s="41" t="n"/>
      <c r="BN47" s="41" t="n"/>
    </row>
    <row r="48" ht="18" customHeight="1" s="82">
      <c r="A48" s="36" t="n"/>
      <c r="B48" s="36" t="n"/>
      <c r="C48" s="36" t="n"/>
      <c r="D48" s="36" t="n"/>
      <c r="E48" s="37" t="n"/>
      <c r="F48" s="37" t="n"/>
      <c r="G48" s="37" t="n"/>
      <c r="H48" s="37" t="n"/>
      <c r="I48" s="37" t="n"/>
      <c r="J48" s="37" t="n"/>
      <c r="K48" s="37" t="n"/>
      <c r="L48" s="37" t="n"/>
      <c r="M48" s="37" t="n"/>
      <c r="N48" s="37" t="n"/>
      <c r="O48" s="37" t="n"/>
      <c r="P48" s="37" t="n"/>
      <c r="Q48" s="37" t="n"/>
      <c r="R48" s="37" t="n"/>
      <c r="S48" s="37" t="n"/>
      <c r="T48" s="37" t="n"/>
      <c r="U48" s="37" t="n"/>
      <c r="V48" s="37" t="n"/>
      <c r="W48" s="32" t="n"/>
      <c r="X48" s="37" t="n"/>
      <c r="Y48" s="37" t="n"/>
      <c r="Z48" s="37" t="n"/>
      <c r="AA48" s="37" t="n"/>
      <c r="AB48" s="37" t="n"/>
      <c r="AC48" s="37" t="n"/>
      <c r="AD48" s="32" t="n"/>
      <c r="AE48" s="37" t="n"/>
      <c r="AF48" s="38" t="n"/>
      <c r="AG48" s="67">
        <f>IF(OR(AF48="",AE48=""),"",IFERROR(AF48*INDEX(FXRates[USD per unit],MATCH(AE48,FXRates[Currency],0)),"No rate"))</f>
        <v/>
      </c>
      <c r="AH48" s="36" t="n"/>
      <c r="AI48" s="36" t="n"/>
      <c r="AJ48" s="39">
        <f>IF(A48="","",IF(COUNTIF($A$6:$A$504,A48)&gt;1,"⚠ Duplicate",""))</f>
        <v/>
      </c>
      <c r="AK48" s="38" t="n"/>
      <c r="AL48" s="40" t="n"/>
      <c r="AM48" s="40" t="n"/>
      <c r="AN48" s="40" t="n"/>
      <c r="AO48" s="40" t="n"/>
      <c r="AP48" s="40" t="n"/>
      <c r="AQ48" s="40" t="n"/>
      <c r="AR48" s="40" t="n"/>
      <c r="AS48" s="40" t="n"/>
      <c r="AT48" s="40" t="n"/>
      <c r="AU48" s="40" t="n"/>
      <c r="AV48" s="40" t="n"/>
      <c r="AW48" s="40" t="n"/>
      <c r="AX48" s="40" t="n"/>
      <c r="AY48" s="40" t="n"/>
      <c r="AZ48" s="38" t="n"/>
      <c r="BA48" s="40" t="n"/>
      <c r="BB48" s="40" t="n"/>
      <c r="BC48" s="40" t="n"/>
      <c r="BD48" s="40" t="n"/>
      <c r="BE48" s="40" t="n"/>
      <c r="BF48" s="40" t="n"/>
      <c r="BG48" s="40" t="n"/>
      <c r="BH48" s="40" t="n"/>
      <c r="BI48" s="40" t="n"/>
      <c r="BJ48" s="40" t="n"/>
      <c r="BK48" s="40" t="n"/>
      <c r="BL48" s="40" t="n"/>
      <c r="BM48" s="40" t="n"/>
      <c r="BN48" s="40" t="n"/>
    </row>
    <row r="49" ht="18" customHeight="1" s="82">
      <c r="A49" s="30" t="n"/>
      <c r="B49" s="30" t="n"/>
      <c r="C49" s="30" t="n"/>
      <c r="D49" s="30" t="n"/>
      <c r="E49" s="31" t="n"/>
      <c r="F49" s="31" t="n"/>
      <c r="G49" s="31" t="n"/>
      <c r="H49" s="31" t="n"/>
      <c r="I49" s="31" t="n"/>
      <c r="J49" s="31" t="n"/>
      <c r="K49" s="31" t="n"/>
      <c r="L49" s="31" t="n"/>
      <c r="M49" s="31" t="n"/>
      <c r="N49" s="31" t="n"/>
      <c r="O49" s="31" t="n"/>
      <c r="P49" s="31" t="n"/>
      <c r="Q49" s="31" t="n"/>
      <c r="R49" s="31" t="n"/>
      <c r="S49" s="31" t="n"/>
      <c r="T49" s="31" t="n"/>
      <c r="U49" s="31" t="n"/>
      <c r="V49" s="31" t="n"/>
      <c r="W49" s="32" t="n"/>
      <c r="X49" s="31" t="n"/>
      <c r="Y49" s="31" t="n"/>
      <c r="Z49" s="31" t="n"/>
      <c r="AA49" s="31" t="n"/>
      <c r="AB49" s="31" t="n"/>
      <c r="AC49" s="31" t="n"/>
      <c r="AD49" s="32" t="n"/>
      <c r="AE49" s="31" t="n"/>
      <c r="AF49" s="33" t="n"/>
      <c r="AG49" s="66">
        <f>IF(OR(AF49="",AE49=""),"",IFERROR(AF49*INDEX(FXRates[USD per unit],MATCH(AE49,FXRates[Currency],0)),"No rate"))</f>
        <v/>
      </c>
      <c r="AH49" s="30" t="n"/>
      <c r="AI49" s="30" t="n"/>
      <c r="AJ49" s="34">
        <f>IF(A49="","",IF(COUNTIF($A$6:$A$504,A49)&gt;1,"⚠ Duplicate",""))</f>
        <v/>
      </c>
      <c r="AK49" s="33" t="n"/>
      <c r="AL49" s="41" t="n"/>
      <c r="AM49" s="41" t="n"/>
      <c r="AN49" s="41" t="n"/>
      <c r="AO49" s="41" t="n"/>
      <c r="AP49" s="41" t="n"/>
      <c r="AQ49" s="41" t="n"/>
      <c r="AR49" s="41" t="n"/>
      <c r="AS49" s="41" t="n"/>
      <c r="AT49" s="41" t="n"/>
      <c r="AU49" s="41" t="n"/>
      <c r="AV49" s="41" t="n"/>
      <c r="AW49" s="41" t="n"/>
      <c r="AX49" s="41" t="n"/>
      <c r="AY49" s="41" t="n"/>
      <c r="AZ49" s="33" t="n"/>
      <c r="BA49" s="41" t="n"/>
      <c r="BB49" s="41" t="n"/>
      <c r="BC49" s="41" t="n"/>
      <c r="BD49" s="41" t="n"/>
      <c r="BE49" s="41" t="n"/>
      <c r="BF49" s="41" t="n"/>
      <c r="BG49" s="41" t="n"/>
      <c r="BH49" s="41" t="n"/>
      <c r="BI49" s="41" t="n"/>
      <c r="BJ49" s="41" t="n"/>
      <c r="BK49" s="41" t="n"/>
      <c r="BL49" s="41" t="n"/>
      <c r="BM49" s="41" t="n"/>
      <c r="BN49" s="41" t="n"/>
    </row>
    <row r="50" ht="18" customHeight="1" s="82">
      <c r="A50" s="36" t="n"/>
      <c r="B50" s="36" t="n"/>
      <c r="C50" s="36" t="n"/>
      <c r="D50" s="36" t="n"/>
      <c r="E50" s="37" t="n"/>
      <c r="F50" s="37" t="n"/>
      <c r="G50" s="37" t="n"/>
      <c r="H50" s="37" t="n"/>
      <c r="I50" s="37" t="n"/>
      <c r="J50" s="37" t="n"/>
      <c r="K50" s="37" t="n"/>
      <c r="L50" s="37" t="n"/>
      <c r="M50" s="37" t="n"/>
      <c r="N50" s="37" t="n"/>
      <c r="O50" s="37" t="n"/>
      <c r="P50" s="37" t="n"/>
      <c r="Q50" s="37" t="n"/>
      <c r="R50" s="37" t="n"/>
      <c r="S50" s="37" t="n"/>
      <c r="T50" s="37" t="n"/>
      <c r="U50" s="37" t="n"/>
      <c r="V50" s="37" t="n"/>
      <c r="W50" s="32" t="n"/>
      <c r="X50" s="37" t="n"/>
      <c r="Y50" s="37" t="n"/>
      <c r="Z50" s="37" t="n"/>
      <c r="AA50" s="37" t="n"/>
      <c r="AB50" s="37" t="n"/>
      <c r="AC50" s="37" t="n"/>
      <c r="AD50" s="32" t="n"/>
      <c r="AE50" s="37" t="n"/>
      <c r="AF50" s="38" t="n"/>
      <c r="AG50" s="67">
        <f>IF(OR(AF50="",AE50=""),"",IFERROR(AF50*INDEX(FXRates[USD per unit],MATCH(AE50,FXRates[Currency],0)),"No rate"))</f>
        <v/>
      </c>
      <c r="AH50" s="36" t="n"/>
      <c r="AI50" s="36" t="n"/>
      <c r="AJ50" s="39">
        <f>IF(A50="","",IF(COUNTIF($A$6:$A$504,A50)&gt;1,"⚠ Duplicate",""))</f>
        <v/>
      </c>
      <c r="AK50" s="38" t="n"/>
      <c r="AL50" s="40" t="n"/>
      <c r="AM50" s="40" t="n"/>
      <c r="AN50" s="40" t="n"/>
      <c r="AO50" s="40" t="n"/>
      <c r="AP50" s="40" t="n"/>
      <c r="AQ50" s="40" t="n"/>
      <c r="AR50" s="40" t="n"/>
      <c r="AS50" s="40" t="n"/>
      <c r="AT50" s="40" t="n"/>
      <c r="AU50" s="40" t="n"/>
      <c r="AV50" s="40" t="n"/>
      <c r="AW50" s="40" t="n"/>
      <c r="AX50" s="40" t="n"/>
      <c r="AY50" s="40" t="n"/>
      <c r="AZ50" s="38" t="n"/>
      <c r="BA50" s="40" t="n"/>
      <c r="BB50" s="40" t="n"/>
      <c r="BC50" s="40" t="n"/>
      <c r="BD50" s="40" t="n"/>
      <c r="BE50" s="40" t="n"/>
      <c r="BF50" s="40" t="n"/>
      <c r="BG50" s="40" t="n"/>
      <c r="BH50" s="40" t="n"/>
      <c r="BI50" s="40" t="n"/>
      <c r="BJ50" s="40" t="n"/>
      <c r="BK50" s="40" t="n"/>
      <c r="BL50" s="40" t="n"/>
      <c r="BM50" s="40" t="n"/>
      <c r="BN50" s="40" t="n"/>
    </row>
    <row r="51" ht="18" customHeight="1" s="82">
      <c r="A51" s="30" t="n"/>
      <c r="B51" s="30" t="n"/>
      <c r="C51" s="30" t="n"/>
      <c r="D51" s="30" t="n"/>
      <c r="E51" s="31" t="n"/>
      <c r="F51" s="31" t="n"/>
      <c r="G51" s="31" t="n"/>
      <c r="H51" s="31" t="n"/>
      <c r="I51" s="31" t="n"/>
      <c r="J51" s="31" t="n"/>
      <c r="K51" s="31" t="n"/>
      <c r="L51" s="31" t="n"/>
      <c r="M51" s="31" t="n"/>
      <c r="N51" s="31" t="n"/>
      <c r="O51" s="31" t="n"/>
      <c r="P51" s="31" t="n"/>
      <c r="Q51" s="31" t="n"/>
      <c r="R51" s="31" t="n"/>
      <c r="S51" s="31" t="n"/>
      <c r="T51" s="31" t="n"/>
      <c r="U51" s="31" t="n"/>
      <c r="V51" s="31" t="n"/>
      <c r="W51" s="32" t="n"/>
      <c r="X51" s="31" t="n"/>
      <c r="Y51" s="31" t="n"/>
      <c r="Z51" s="31" t="n"/>
      <c r="AA51" s="31" t="n"/>
      <c r="AB51" s="31" t="n"/>
      <c r="AC51" s="31" t="n"/>
      <c r="AD51" s="32" t="n"/>
      <c r="AE51" s="31" t="n"/>
      <c r="AF51" s="33" t="n"/>
      <c r="AG51" s="66">
        <f>IF(OR(AF51="",AE51=""),"",IFERROR(AF51*INDEX(FXRates[USD per unit],MATCH(AE51,FXRates[Currency],0)),"No rate"))</f>
        <v/>
      </c>
      <c r="AH51" s="30" t="n"/>
      <c r="AI51" s="30" t="n"/>
      <c r="AJ51" s="34">
        <f>IF(A51="","",IF(COUNTIF($A$6:$A$504,A51)&gt;1,"⚠ Duplicate",""))</f>
        <v/>
      </c>
      <c r="AK51" s="33" t="n"/>
      <c r="AL51" s="41" t="n"/>
      <c r="AM51" s="41" t="n"/>
      <c r="AN51" s="41" t="n"/>
      <c r="AO51" s="41" t="n"/>
      <c r="AP51" s="41" t="n"/>
      <c r="AQ51" s="41" t="n"/>
      <c r="AR51" s="41" t="n"/>
      <c r="AS51" s="41" t="n"/>
      <c r="AT51" s="41" t="n"/>
      <c r="AU51" s="41" t="n"/>
      <c r="AV51" s="41" t="n"/>
      <c r="AW51" s="41" t="n"/>
      <c r="AX51" s="41" t="n"/>
      <c r="AY51" s="41" t="n"/>
      <c r="AZ51" s="33" t="n"/>
      <c r="BA51" s="41" t="n"/>
      <c r="BB51" s="41" t="n"/>
      <c r="BC51" s="41" t="n"/>
      <c r="BD51" s="41" t="n"/>
      <c r="BE51" s="41" t="n"/>
      <c r="BF51" s="41" t="n"/>
      <c r="BG51" s="41" t="n"/>
      <c r="BH51" s="41" t="n"/>
      <c r="BI51" s="41" t="n"/>
      <c r="BJ51" s="41" t="n"/>
      <c r="BK51" s="41" t="n"/>
      <c r="BL51" s="41" t="n"/>
      <c r="BM51" s="41" t="n"/>
      <c r="BN51" s="41" t="n"/>
    </row>
    <row r="52" ht="18" customHeight="1" s="82">
      <c r="A52" s="36" t="n"/>
      <c r="B52" s="36" t="n"/>
      <c r="C52" s="36" t="n"/>
      <c r="D52" s="36" t="n"/>
      <c r="E52" s="37" t="n"/>
      <c r="F52" s="37" t="n"/>
      <c r="G52" s="37" t="n"/>
      <c r="H52" s="37" t="n"/>
      <c r="I52" s="37" t="n"/>
      <c r="J52" s="37" t="n"/>
      <c r="K52" s="37" t="n"/>
      <c r="L52" s="37" t="n"/>
      <c r="M52" s="37" t="n"/>
      <c r="N52" s="37" t="n"/>
      <c r="O52" s="37" t="n"/>
      <c r="P52" s="37" t="n"/>
      <c r="Q52" s="37" t="n"/>
      <c r="R52" s="37" t="n"/>
      <c r="S52" s="37" t="n"/>
      <c r="T52" s="37" t="n"/>
      <c r="U52" s="37" t="n"/>
      <c r="V52" s="37" t="n"/>
      <c r="W52" s="32" t="n"/>
      <c r="X52" s="37" t="n"/>
      <c r="Y52" s="37" t="n"/>
      <c r="Z52" s="37" t="n"/>
      <c r="AA52" s="37" t="n"/>
      <c r="AB52" s="37" t="n"/>
      <c r="AC52" s="37" t="n"/>
      <c r="AD52" s="32" t="n"/>
      <c r="AE52" s="37" t="n"/>
      <c r="AF52" s="38" t="n"/>
      <c r="AG52" s="67">
        <f>IF(OR(AF52="",AE52=""),"",IFERROR(AF52*INDEX(FXRates[USD per unit],MATCH(AE52,FXRates[Currency],0)),"No rate"))</f>
        <v/>
      </c>
      <c r="AH52" s="36" t="n"/>
      <c r="AI52" s="36" t="n"/>
      <c r="AJ52" s="39">
        <f>IF(A52="","",IF(COUNTIF($A$6:$A$504,A52)&gt;1,"⚠ Duplicate",""))</f>
        <v/>
      </c>
      <c r="AK52" s="38" t="n"/>
      <c r="AL52" s="40" t="n"/>
      <c r="AM52" s="40" t="n"/>
      <c r="AN52" s="40" t="n"/>
      <c r="AO52" s="40" t="n"/>
      <c r="AP52" s="40" t="n"/>
      <c r="AQ52" s="40" t="n"/>
      <c r="AR52" s="40" t="n"/>
      <c r="AS52" s="40" t="n"/>
      <c r="AT52" s="40" t="n"/>
      <c r="AU52" s="40" t="n"/>
      <c r="AV52" s="40" t="n"/>
      <c r="AW52" s="40" t="n"/>
      <c r="AX52" s="40" t="n"/>
      <c r="AY52" s="40" t="n"/>
      <c r="AZ52" s="38" t="n"/>
      <c r="BA52" s="40" t="n"/>
      <c r="BB52" s="40" t="n"/>
      <c r="BC52" s="40" t="n"/>
      <c r="BD52" s="40" t="n"/>
      <c r="BE52" s="40" t="n"/>
      <c r="BF52" s="40" t="n"/>
      <c r="BG52" s="40" t="n"/>
      <c r="BH52" s="40" t="n"/>
      <c r="BI52" s="40" t="n"/>
      <c r="BJ52" s="40" t="n"/>
      <c r="BK52" s="40" t="n"/>
      <c r="BL52" s="40" t="n"/>
      <c r="BM52" s="40" t="n"/>
      <c r="BN52" s="40" t="n"/>
    </row>
    <row r="53" ht="18" customHeight="1" s="82">
      <c r="A53" s="30" t="n"/>
      <c r="B53" s="30" t="n"/>
      <c r="C53" s="30" t="n"/>
      <c r="D53" s="30" t="n"/>
      <c r="E53" s="31" t="n"/>
      <c r="F53" s="31" t="n"/>
      <c r="G53" s="31" t="n"/>
      <c r="H53" s="31" t="n"/>
      <c r="I53" s="31" t="n"/>
      <c r="J53" s="31" t="n"/>
      <c r="K53" s="31" t="n"/>
      <c r="L53" s="31" t="n"/>
      <c r="M53" s="31" t="n"/>
      <c r="N53" s="31" t="n"/>
      <c r="O53" s="31" t="n"/>
      <c r="P53" s="31" t="n"/>
      <c r="Q53" s="31" t="n"/>
      <c r="R53" s="31" t="n"/>
      <c r="S53" s="31" t="n"/>
      <c r="T53" s="31" t="n"/>
      <c r="U53" s="31" t="n"/>
      <c r="V53" s="31" t="n"/>
      <c r="W53" s="32" t="n"/>
      <c r="X53" s="31" t="n"/>
      <c r="Y53" s="31" t="n"/>
      <c r="Z53" s="31" t="n"/>
      <c r="AA53" s="31" t="n"/>
      <c r="AB53" s="31" t="n"/>
      <c r="AC53" s="31" t="n"/>
      <c r="AD53" s="32" t="n"/>
      <c r="AE53" s="31" t="n"/>
      <c r="AF53" s="33" t="n"/>
      <c r="AG53" s="66">
        <f>IF(OR(AF53="",AE53=""),"",IFERROR(AF53*INDEX(FXRates[USD per unit],MATCH(AE53,FXRates[Currency],0)),"No rate"))</f>
        <v/>
      </c>
      <c r="AH53" s="30" t="n"/>
      <c r="AI53" s="30" t="n"/>
      <c r="AJ53" s="34">
        <f>IF(A53="","",IF(COUNTIF($A$6:$A$504,A53)&gt;1,"⚠ Duplicate",""))</f>
        <v/>
      </c>
      <c r="AK53" s="33" t="n"/>
      <c r="AL53" s="41" t="n"/>
      <c r="AM53" s="41" t="n"/>
      <c r="AN53" s="41" t="n"/>
      <c r="AO53" s="41" t="n"/>
      <c r="AP53" s="41" t="n"/>
      <c r="AQ53" s="41" t="n"/>
      <c r="AR53" s="41" t="n"/>
      <c r="AS53" s="41" t="n"/>
      <c r="AT53" s="41" t="n"/>
      <c r="AU53" s="41" t="n"/>
      <c r="AV53" s="41" t="n"/>
      <c r="AW53" s="41" t="n"/>
      <c r="AX53" s="41" t="n"/>
      <c r="AY53" s="41" t="n"/>
      <c r="AZ53" s="33" t="n"/>
      <c r="BA53" s="41" t="n"/>
      <c r="BB53" s="41" t="n"/>
      <c r="BC53" s="41" t="n"/>
      <c r="BD53" s="41" t="n"/>
      <c r="BE53" s="41" t="n"/>
      <c r="BF53" s="41" t="n"/>
      <c r="BG53" s="41" t="n"/>
      <c r="BH53" s="41" t="n"/>
      <c r="BI53" s="41" t="n"/>
      <c r="BJ53" s="41" t="n"/>
      <c r="BK53" s="41" t="n"/>
      <c r="BL53" s="41" t="n"/>
      <c r="BM53" s="41" t="n"/>
      <c r="BN53" s="41" t="n"/>
    </row>
    <row r="54" ht="18" customHeight="1" s="82">
      <c r="A54" s="36" t="n"/>
      <c r="B54" s="36" t="n"/>
      <c r="C54" s="36" t="n"/>
      <c r="D54" s="36" t="n"/>
      <c r="E54" s="37" t="n"/>
      <c r="F54" s="37" t="n"/>
      <c r="G54" s="37" t="n"/>
      <c r="H54" s="37" t="n"/>
      <c r="I54" s="37" t="n"/>
      <c r="J54" s="37" t="n"/>
      <c r="K54" s="37" t="n"/>
      <c r="L54" s="37" t="n"/>
      <c r="M54" s="37" t="n"/>
      <c r="N54" s="37" t="n"/>
      <c r="O54" s="37" t="n"/>
      <c r="P54" s="37" t="n"/>
      <c r="Q54" s="37" t="n"/>
      <c r="R54" s="37" t="n"/>
      <c r="S54" s="37" t="n"/>
      <c r="T54" s="37" t="n"/>
      <c r="U54" s="37" t="n"/>
      <c r="V54" s="37" t="n"/>
      <c r="W54" s="32" t="n"/>
      <c r="X54" s="37" t="n"/>
      <c r="Y54" s="37" t="n"/>
      <c r="Z54" s="37" t="n"/>
      <c r="AA54" s="37" t="n"/>
      <c r="AB54" s="37" t="n"/>
      <c r="AC54" s="37" t="n"/>
      <c r="AD54" s="32" t="n"/>
      <c r="AE54" s="37" t="n"/>
      <c r="AF54" s="38" t="n"/>
      <c r="AG54" s="67">
        <f>IF(OR(AF54="",AE54=""),"",IFERROR(AF54*INDEX(FXRates[USD per unit],MATCH(AE54,FXRates[Currency],0)),"No rate"))</f>
        <v/>
      </c>
      <c r="AH54" s="36" t="n"/>
      <c r="AI54" s="36" t="n"/>
      <c r="AJ54" s="39">
        <f>IF(A54="","",IF(COUNTIF($A$6:$A$504,A54)&gt;1,"⚠ Duplicate",""))</f>
        <v/>
      </c>
      <c r="AK54" s="38" t="n"/>
      <c r="AL54" s="40" t="n"/>
      <c r="AM54" s="40" t="n"/>
      <c r="AN54" s="40" t="n"/>
      <c r="AO54" s="40" t="n"/>
      <c r="AP54" s="40" t="n"/>
      <c r="AQ54" s="40" t="n"/>
      <c r="AR54" s="40" t="n"/>
      <c r="AS54" s="40" t="n"/>
      <c r="AT54" s="40" t="n"/>
      <c r="AU54" s="40" t="n"/>
      <c r="AV54" s="40" t="n"/>
      <c r="AW54" s="40" t="n"/>
      <c r="AX54" s="40" t="n"/>
      <c r="AY54" s="40" t="n"/>
      <c r="AZ54" s="38" t="n"/>
      <c r="BA54" s="40" t="n"/>
      <c r="BB54" s="40" t="n"/>
      <c r="BC54" s="40" t="n"/>
      <c r="BD54" s="40" t="n"/>
      <c r="BE54" s="40" t="n"/>
      <c r="BF54" s="40" t="n"/>
      <c r="BG54" s="40" t="n"/>
      <c r="BH54" s="40" t="n"/>
      <c r="BI54" s="40" t="n"/>
      <c r="BJ54" s="40" t="n"/>
      <c r="BK54" s="40" t="n"/>
      <c r="BL54" s="40" t="n"/>
      <c r="BM54" s="40" t="n"/>
      <c r="BN54" s="40" t="n"/>
    </row>
    <row r="55" ht="18" customHeight="1" s="82">
      <c r="A55" s="30" t="n"/>
      <c r="B55" s="30" t="n"/>
      <c r="C55" s="30" t="n"/>
      <c r="D55" s="30" t="n"/>
      <c r="E55" s="31" t="n"/>
      <c r="F55" s="31" t="n"/>
      <c r="G55" s="31" t="n"/>
      <c r="H55" s="31" t="n"/>
      <c r="I55" s="31" t="n"/>
      <c r="J55" s="31" t="n"/>
      <c r="K55" s="31" t="n"/>
      <c r="L55" s="31" t="n"/>
      <c r="M55" s="31" t="n"/>
      <c r="N55" s="31" t="n"/>
      <c r="O55" s="31" t="n"/>
      <c r="P55" s="31" t="n"/>
      <c r="Q55" s="31" t="n"/>
      <c r="R55" s="31" t="n"/>
      <c r="S55" s="31" t="n"/>
      <c r="T55" s="31" t="n"/>
      <c r="U55" s="31" t="n"/>
      <c r="V55" s="31" t="n"/>
      <c r="W55" s="32" t="n"/>
      <c r="X55" s="31" t="n"/>
      <c r="Y55" s="31" t="n"/>
      <c r="Z55" s="31" t="n"/>
      <c r="AA55" s="31" t="n"/>
      <c r="AB55" s="31" t="n"/>
      <c r="AC55" s="31" t="n"/>
      <c r="AD55" s="32" t="n"/>
      <c r="AE55" s="31" t="n"/>
      <c r="AF55" s="33" t="n"/>
      <c r="AG55" s="66">
        <f>IF(OR(AF55="",AE55=""),"",IFERROR(AF55*INDEX(FXRates[USD per unit],MATCH(AE55,FXRates[Currency],0)),"No rate"))</f>
        <v/>
      </c>
      <c r="AH55" s="30" t="n"/>
      <c r="AI55" s="30" t="n"/>
      <c r="AJ55" s="34">
        <f>IF(A55="","",IF(COUNTIF($A$6:$A$504,A55)&gt;1,"⚠ Duplicate",""))</f>
        <v/>
      </c>
      <c r="AK55" s="33" t="n"/>
      <c r="AL55" s="41" t="n"/>
      <c r="AM55" s="41" t="n"/>
      <c r="AN55" s="41" t="n"/>
      <c r="AO55" s="41" t="n"/>
      <c r="AP55" s="41" t="n"/>
      <c r="AQ55" s="41" t="n"/>
      <c r="AR55" s="41" t="n"/>
      <c r="AS55" s="41" t="n"/>
      <c r="AT55" s="41" t="n"/>
      <c r="AU55" s="41" t="n"/>
      <c r="AV55" s="41" t="n"/>
      <c r="AW55" s="41" t="n"/>
      <c r="AX55" s="41" t="n"/>
      <c r="AY55" s="41" t="n"/>
      <c r="AZ55" s="33" t="n"/>
      <c r="BA55" s="41" t="n"/>
      <c r="BB55" s="41" t="n"/>
      <c r="BC55" s="41" t="n"/>
      <c r="BD55" s="41" t="n"/>
      <c r="BE55" s="41" t="n"/>
      <c r="BF55" s="41" t="n"/>
      <c r="BG55" s="41" t="n"/>
      <c r="BH55" s="41" t="n"/>
      <c r="BI55" s="41" t="n"/>
      <c r="BJ55" s="41" t="n"/>
      <c r="BK55" s="41" t="n"/>
      <c r="BL55" s="41" t="n"/>
      <c r="BM55" s="41" t="n"/>
      <c r="BN55" s="41" t="n"/>
    </row>
    <row r="56" ht="18" customHeight="1" s="82">
      <c r="A56" s="36" t="n"/>
      <c r="B56" s="36" t="n"/>
      <c r="C56" s="36" t="n"/>
      <c r="D56" s="36" t="n"/>
      <c r="E56" s="37" t="n"/>
      <c r="F56" s="37" t="n"/>
      <c r="G56" s="37" t="n"/>
      <c r="H56" s="37" t="n"/>
      <c r="I56" s="37" t="n"/>
      <c r="J56" s="37" t="n"/>
      <c r="K56" s="37" t="n"/>
      <c r="L56" s="37" t="n"/>
      <c r="M56" s="37" t="n"/>
      <c r="N56" s="37" t="n"/>
      <c r="O56" s="37" t="n"/>
      <c r="P56" s="37" t="n"/>
      <c r="Q56" s="37" t="n"/>
      <c r="R56" s="37" t="n"/>
      <c r="S56" s="37" t="n"/>
      <c r="T56" s="37" t="n"/>
      <c r="U56" s="37" t="n"/>
      <c r="V56" s="37" t="n"/>
      <c r="W56" s="32" t="n"/>
      <c r="X56" s="37" t="n"/>
      <c r="Y56" s="37" t="n"/>
      <c r="Z56" s="37" t="n"/>
      <c r="AA56" s="37" t="n"/>
      <c r="AB56" s="37" t="n"/>
      <c r="AC56" s="37" t="n"/>
      <c r="AD56" s="32" t="n"/>
      <c r="AE56" s="37" t="n"/>
      <c r="AF56" s="38" t="n"/>
      <c r="AG56" s="67">
        <f>IF(OR(AF56="",AE56=""),"",IFERROR(AF56*INDEX(FXRates[USD per unit],MATCH(AE56,FXRates[Currency],0)),"No rate"))</f>
        <v/>
      </c>
      <c r="AH56" s="36" t="n"/>
      <c r="AI56" s="36" t="n"/>
      <c r="AJ56" s="39">
        <f>IF(A56="","",IF(COUNTIF($A$6:$A$504,A56)&gt;1,"⚠ Duplicate",""))</f>
        <v/>
      </c>
      <c r="AK56" s="38" t="n"/>
      <c r="AL56" s="40" t="n"/>
      <c r="AM56" s="40" t="n"/>
      <c r="AN56" s="40" t="n"/>
      <c r="AO56" s="40" t="n"/>
      <c r="AP56" s="40" t="n"/>
      <c r="AQ56" s="40" t="n"/>
      <c r="AR56" s="40" t="n"/>
      <c r="AS56" s="40" t="n"/>
      <c r="AT56" s="40" t="n"/>
      <c r="AU56" s="40" t="n"/>
      <c r="AV56" s="40" t="n"/>
      <c r="AW56" s="40" t="n"/>
      <c r="AX56" s="40" t="n"/>
      <c r="AY56" s="40" t="n"/>
      <c r="AZ56" s="38" t="n"/>
      <c r="BA56" s="40" t="n"/>
      <c r="BB56" s="40" t="n"/>
      <c r="BC56" s="40" t="n"/>
      <c r="BD56" s="40" t="n"/>
      <c r="BE56" s="40" t="n"/>
      <c r="BF56" s="40" t="n"/>
      <c r="BG56" s="40" t="n"/>
      <c r="BH56" s="40" t="n"/>
      <c r="BI56" s="40" t="n"/>
      <c r="BJ56" s="40" t="n"/>
      <c r="BK56" s="40" t="n"/>
      <c r="BL56" s="40" t="n"/>
      <c r="BM56" s="40" t="n"/>
      <c r="BN56" s="40" t="n"/>
    </row>
    <row r="57" ht="18" customHeight="1" s="82">
      <c r="A57" s="30" t="n"/>
      <c r="B57" s="30" t="n"/>
      <c r="C57" s="30" t="n"/>
      <c r="D57" s="30" t="n"/>
      <c r="E57" s="31" t="n"/>
      <c r="F57" s="31" t="n"/>
      <c r="G57" s="31" t="n"/>
      <c r="H57" s="31" t="n"/>
      <c r="I57" s="31" t="n"/>
      <c r="J57" s="31" t="n"/>
      <c r="K57" s="31" t="n"/>
      <c r="L57" s="31" t="n"/>
      <c r="M57" s="31" t="n"/>
      <c r="N57" s="31" t="n"/>
      <c r="O57" s="31" t="n"/>
      <c r="P57" s="31" t="n"/>
      <c r="Q57" s="31" t="n"/>
      <c r="R57" s="31" t="n"/>
      <c r="S57" s="31" t="n"/>
      <c r="T57" s="31" t="n"/>
      <c r="U57" s="31" t="n"/>
      <c r="V57" s="31" t="n"/>
      <c r="W57" s="32" t="n"/>
      <c r="X57" s="31" t="n"/>
      <c r="Y57" s="31" t="n"/>
      <c r="Z57" s="31" t="n"/>
      <c r="AA57" s="31" t="n"/>
      <c r="AB57" s="31" t="n"/>
      <c r="AC57" s="31" t="n"/>
      <c r="AD57" s="32" t="n"/>
      <c r="AE57" s="31" t="n"/>
      <c r="AF57" s="33" t="n"/>
      <c r="AG57" s="66">
        <f>IF(OR(AF57="",AE57=""),"",IFERROR(AF57*INDEX(FXRates[USD per unit],MATCH(AE57,FXRates[Currency],0)),"No rate"))</f>
        <v/>
      </c>
      <c r="AH57" s="30" t="n"/>
      <c r="AI57" s="30" t="n"/>
      <c r="AJ57" s="34">
        <f>IF(A57="","",IF(COUNTIF($A$6:$A$504,A57)&gt;1,"⚠ Duplicate",""))</f>
        <v/>
      </c>
      <c r="AK57" s="33" t="n"/>
      <c r="AL57" s="41" t="n"/>
      <c r="AM57" s="41" t="n"/>
      <c r="AN57" s="41" t="n"/>
      <c r="AO57" s="41" t="n"/>
      <c r="AP57" s="41" t="n"/>
      <c r="AQ57" s="41" t="n"/>
      <c r="AR57" s="41" t="n"/>
      <c r="AS57" s="41" t="n"/>
      <c r="AT57" s="41" t="n"/>
      <c r="AU57" s="41" t="n"/>
      <c r="AV57" s="41" t="n"/>
      <c r="AW57" s="41" t="n"/>
      <c r="AX57" s="41" t="n"/>
      <c r="AY57" s="41" t="n"/>
      <c r="AZ57" s="33" t="n"/>
      <c r="BA57" s="41" t="n"/>
      <c r="BB57" s="41" t="n"/>
      <c r="BC57" s="41" t="n"/>
      <c r="BD57" s="41" t="n"/>
      <c r="BE57" s="41" t="n"/>
      <c r="BF57" s="41" t="n"/>
      <c r="BG57" s="41" t="n"/>
      <c r="BH57" s="41" t="n"/>
      <c r="BI57" s="41" t="n"/>
      <c r="BJ57" s="41" t="n"/>
      <c r="BK57" s="41" t="n"/>
      <c r="BL57" s="41" t="n"/>
      <c r="BM57" s="41" t="n"/>
      <c r="BN57" s="41" t="n"/>
    </row>
    <row r="58" ht="18" customHeight="1" s="82">
      <c r="A58" s="36" t="n"/>
      <c r="B58" s="36" t="n"/>
      <c r="C58" s="36" t="n"/>
      <c r="D58" s="36" t="n"/>
      <c r="E58" s="37" t="n"/>
      <c r="F58" s="37" t="n"/>
      <c r="G58" s="37" t="n"/>
      <c r="H58" s="37" t="n"/>
      <c r="I58" s="37" t="n"/>
      <c r="J58" s="37" t="n"/>
      <c r="K58" s="37" t="n"/>
      <c r="L58" s="37" t="n"/>
      <c r="M58" s="37" t="n"/>
      <c r="N58" s="37" t="n"/>
      <c r="O58" s="37" t="n"/>
      <c r="P58" s="37" t="n"/>
      <c r="Q58" s="37" t="n"/>
      <c r="R58" s="37" t="n"/>
      <c r="S58" s="37" t="n"/>
      <c r="T58" s="37" t="n"/>
      <c r="U58" s="37" t="n"/>
      <c r="V58" s="37" t="n"/>
      <c r="W58" s="32" t="n"/>
      <c r="X58" s="37" t="n"/>
      <c r="Y58" s="37" t="n"/>
      <c r="Z58" s="37" t="n"/>
      <c r="AA58" s="37" t="n"/>
      <c r="AB58" s="37" t="n"/>
      <c r="AC58" s="37" t="n"/>
      <c r="AD58" s="32" t="n"/>
      <c r="AE58" s="37" t="n"/>
      <c r="AF58" s="38" t="n"/>
      <c r="AG58" s="67">
        <f>IF(OR(AF58="",AE58=""),"",IFERROR(AF58*INDEX(FXRates[USD per unit],MATCH(AE58,FXRates[Currency],0)),"No rate"))</f>
        <v/>
      </c>
      <c r="AH58" s="36" t="n"/>
      <c r="AI58" s="36" t="n"/>
      <c r="AJ58" s="39">
        <f>IF(A58="","",IF(COUNTIF($A$6:$A$504,A58)&gt;1,"⚠ Duplicate",""))</f>
        <v/>
      </c>
      <c r="AK58" s="38" t="n"/>
      <c r="AL58" s="40" t="n"/>
      <c r="AM58" s="40" t="n"/>
      <c r="AN58" s="40" t="n"/>
      <c r="AO58" s="40" t="n"/>
      <c r="AP58" s="40" t="n"/>
      <c r="AQ58" s="40" t="n"/>
      <c r="AR58" s="40" t="n"/>
      <c r="AS58" s="40" t="n"/>
      <c r="AT58" s="40" t="n"/>
      <c r="AU58" s="40" t="n"/>
      <c r="AV58" s="40" t="n"/>
      <c r="AW58" s="40" t="n"/>
      <c r="AX58" s="40" t="n"/>
      <c r="AY58" s="40" t="n"/>
      <c r="AZ58" s="38" t="n"/>
      <c r="BA58" s="40" t="n"/>
      <c r="BB58" s="40" t="n"/>
      <c r="BC58" s="40" t="n"/>
      <c r="BD58" s="40" t="n"/>
      <c r="BE58" s="40" t="n"/>
      <c r="BF58" s="40" t="n"/>
      <c r="BG58" s="40" t="n"/>
      <c r="BH58" s="40" t="n"/>
      <c r="BI58" s="40" t="n"/>
      <c r="BJ58" s="40" t="n"/>
      <c r="BK58" s="40" t="n"/>
      <c r="BL58" s="40" t="n"/>
      <c r="BM58" s="40" t="n"/>
      <c r="BN58" s="40" t="n"/>
    </row>
    <row r="59" ht="18" customHeight="1" s="82">
      <c r="A59" s="30" t="n"/>
      <c r="B59" s="30" t="n"/>
      <c r="C59" s="30" t="n"/>
      <c r="D59" s="30" t="n"/>
      <c r="E59" s="31" t="n"/>
      <c r="F59" s="31" t="n"/>
      <c r="G59" s="31" t="n"/>
      <c r="H59" s="31" t="n"/>
      <c r="I59" s="31" t="n"/>
      <c r="J59" s="31" t="n"/>
      <c r="K59" s="31" t="n"/>
      <c r="L59" s="31" t="n"/>
      <c r="M59" s="31" t="n"/>
      <c r="N59" s="31" t="n"/>
      <c r="O59" s="31" t="n"/>
      <c r="P59" s="31" t="n"/>
      <c r="Q59" s="31" t="n"/>
      <c r="R59" s="31" t="n"/>
      <c r="S59" s="31" t="n"/>
      <c r="T59" s="31" t="n"/>
      <c r="U59" s="31" t="n"/>
      <c r="V59" s="31" t="n"/>
      <c r="W59" s="32" t="n"/>
      <c r="X59" s="31" t="n"/>
      <c r="Y59" s="31" t="n"/>
      <c r="Z59" s="31" t="n"/>
      <c r="AA59" s="31" t="n"/>
      <c r="AB59" s="31" t="n"/>
      <c r="AC59" s="31" t="n"/>
      <c r="AD59" s="32" t="n"/>
      <c r="AE59" s="31" t="n"/>
      <c r="AF59" s="33" t="n"/>
      <c r="AG59" s="66">
        <f>IF(OR(AF59="",AE59=""),"",IFERROR(AF59*INDEX(FXRates[USD per unit],MATCH(AE59,FXRates[Currency],0)),"No rate"))</f>
        <v/>
      </c>
      <c r="AH59" s="30" t="n"/>
      <c r="AI59" s="30" t="n"/>
      <c r="AJ59" s="34">
        <f>IF(A59="","",IF(COUNTIF($A$6:$A$504,A59)&gt;1,"⚠ Duplicate",""))</f>
        <v/>
      </c>
      <c r="AK59" s="33" t="n"/>
      <c r="AL59" s="41" t="n"/>
      <c r="AM59" s="41" t="n"/>
      <c r="AN59" s="41" t="n"/>
      <c r="AO59" s="41" t="n"/>
      <c r="AP59" s="41" t="n"/>
      <c r="AQ59" s="41" t="n"/>
      <c r="AR59" s="41" t="n"/>
      <c r="AS59" s="41" t="n"/>
      <c r="AT59" s="41" t="n"/>
      <c r="AU59" s="41" t="n"/>
      <c r="AV59" s="41" t="n"/>
      <c r="AW59" s="41" t="n"/>
      <c r="AX59" s="41" t="n"/>
      <c r="AY59" s="41" t="n"/>
      <c r="AZ59" s="33" t="n"/>
      <c r="BA59" s="41" t="n"/>
      <c r="BB59" s="41" t="n"/>
      <c r="BC59" s="41" t="n"/>
      <c r="BD59" s="41" t="n"/>
      <c r="BE59" s="41" t="n"/>
      <c r="BF59" s="41" t="n"/>
      <c r="BG59" s="41" t="n"/>
      <c r="BH59" s="41" t="n"/>
      <c r="BI59" s="41" t="n"/>
      <c r="BJ59" s="41" t="n"/>
      <c r="BK59" s="41" t="n"/>
      <c r="BL59" s="41" t="n"/>
      <c r="BM59" s="41" t="n"/>
      <c r="BN59" s="41" t="n"/>
    </row>
    <row r="60" ht="18" customHeight="1" s="82">
      <c r="A60" s="36" t="n"/>
      <c r="B60" s="36" t="n"/>
      <c r="C60" s="36" t="n"/>
      <c r="D60" s="36" t="n"/>
      <c r="E60" s="37" t="n"/>
      <c r="F60" s="37" t="n"/>
      <c r="G60" s="37" t="n"/>
      <c r="H60" s="37" t="n"/>
      <c r="I60" s="37" t="n"/>
      <c r="J60" s="37" t="n"/>
      <c r="K60" s="37" t="n"/>
      <c r="L60" s="37" t="n"/>
      <c r="M60" s="37" t="n"/>
      <c r="N60" s="37" t="n"/>
      <c r="O60" s="37" t="n"/>
      <c r="P60" s="37" t="n"/>
      <c r="Q60" s="37" t="n"/>
      <c r="R60" s="37" t="n"/>
      <c r="S60" s="37" t="n"/>
      <c r="T60" s="37" t="n"/>
      <c r="U60" s="37" t="n"/>
      <c r="V60" s="37" t="n"/>
      <c r="W60" s="32" t="n"/>
      <c r="X60" s="37" t="n"/>
      <c r="Y60" s="37" t="n"/>
      <c r="Z60" s="37" t="n"/>
      <c r="AA60" s="37" t="n"/>
      <c r="AB60" s="37" t="n"/>
      <c r="AC60" s="37" t="n"/>
      <c r="AD60" s="32" t="n"/>
      <c r="AE60" s="37" t="n"/>
      <c r="AF60" s="38" t="n"/>
      <c r="AG60" s="67">
        <f>IF(OR(AF60="",AE60=""),"",IFERROR(AF60*INDEX(FXRates[USD per unit],MATCH(AE60,FXRates[Currency],0)),"No rate"))</f>
        <v/>
      </c>
      <c r="AH60" s="36" t="n"/>
      <c r="AI60" s="36" t="n"/>
      <c r="AJ60" s="39">
        <f>IF(A60="","",IF(COUNTIF($A$6:$A$504,A60)&gt;1,"⚠ Duplicate",""))</f>
        <v/>
      </c>
      <c r="AK60" s="38" t="n"/>
      <c r="AL60" s="40" t="n"/>
      <c r="AM60" s="40" t="n"/>
      <c r="AN60" s="40" t="n"/>
      <c r="AO60" s="40" t="n"/>
      <c r="AP60" s="40" t="n"/>
      <c r="AQ60" s="40" t="n"/>
      <c r="AR60" s="40" t="n"/>
      <c r="AS60" s="40" t="n"/>
      <c r="AT60" s="40" t="n"/>
      <c r="AU60" s="40" t="n"/>
      <c r="AV60" s="40" t="n"/>
      <c r="AW60" s="40" t="n"/>
      <c r="AX60" s="40" t="n"/>
      <c r="AY60" s="40" t="n"/>
      <c r="AZ60" s="38" t="n"/>
      <c r="BA60" s="40" t="n"/>
      <c r="BB60" s="40" t="n"/>
      <c r="BC60" s="40" t="n"/>
      <c r="BD60" s="40" t="n"/>
      <c r="BE60" s="40" t="n"/>
      <c r="BF60" s="40" t="n"/>
      <c r="BG60" s="40" t="n"/>
      <c r="BH60" s="40" t="n"/>
      <c r="BI60" s="40" t="n"/>
      <c r="BJ60" s="40" t="n"/>
      <c r="BK60" s="40" t="n"/>
      <c r="BL60" s="40" t="n"/>
      <c r="BM60" s="40" t="n"/>
      <c r="BN60" s="40" t="n"/>
    </row>
    <row r="61" ht="18" customHeight="1" s="82">
      <c r="A61" s="30" t="n"/>
      <c r="B61" s="30" t="n"/>
      <c r="C61" s="30" t="n"/>
      <c r="D61" s="30" t="n"/>
      <c r="E61" s="31" t="n"/>
      <c r="F61" s="31" t="n"/>
      <c r="G61" s="31" t="n"/>
      <c r="H61" s="31" t="n"/>
      <c r="I61" s="31" t="n"/>
      <c r="J61" s="31" t="n"/>
      <c r="K61" s="31" t="n"/>
      <c r="L61" s="31" t="n"/>
      <c r="M61" s="31" t="n"/>
      <c r="N61" s="31" t="n"/>
      <c r="O61" s="31" t="n"/>
      <c r="P61" s="31" t="n"/>
      <c r="Q61" s="31" t="n"/>
      <c r="R61" s="31" t="n"/>
      <c r="S61" s="31" t="n"/>
      <c r="T61" s="31" t="n"/>
      <c r="U61" s="31" t="n"/>
      <c r="V61" s="31" t="n"/>
      <c r="W61" s="32" t="n"/>
      <c r="X61" s="31" t="n"/>
      <c r="Y61" s="31" t="n"/>
      <c r="Z61" s="31" t="n"/>
      <c r="AA61" s="31" t="n"/>
      <c r="AB61" s="31" t="n"/>
      <c r="AC61" s="31" t="n"/>
      <c r="AD61" s="32" t="n"/>
      <c r="AE61" s="31" t="n"/>
      <c r="AF61" s="33" t="n"/>
      <c r="AG61" s="66">
        <f>IF(OR(AF61="",AE61=""),"",IFERROR(AF61*INDEX(FXRates[USD per unit],MATCH(AE61,FXRates[Currency],0)),"No rate"))</f>
        <v/>
      </c>
      <c r="AH61" s="30" t="n"/>
      <c r="AI61" s="30" t="n"/>
      <c r="AJ61" s="34">
        <f>IF(A61="","",IF(COUNTIF($A$6:$A$504,A61)&gt;1,"⚠ Duplicate",""))</f>
        <v/>
      </c>
      <c r="AK61" s="33" t="n"/>
      <c r="AL61" s="41" t="n"/>
      <c r="AM61" s="41" t="n"/>
      <c r="AN61" s="41" t="n"/>
      <c r="AO61" s="41" t="n"/>
      <c r="AP61" s="41" t="n"/>
      <c r="AQ61" s="41" t="n"/>
      <c r="AR61" s="41" t="n"/>
      <c r="AS61" s="41" t="n"/>
      <c r="AT61" s="41" t="n"/>
      <c r="AU61" s="41" t="n"/>
      <c r="AV61" s="41" t="n"/>
      <c r="AW61" s="41" t="n"/>
      <c r="AX61" s="41" t="n"/>
      <c r="AY61" s="41" t="n"/>
      <c r="AZ61" s="33" t="n"/>
      <c r="BA61" s="41" t="n"/>
      <c r="BB61" s="41" t="n"/>
      <c r="BC61" s="41" t="n"/>
      <c r="BD61" s="41" t="n"/>
      <c r="BE61" s="41" t="n"/>
      <c r="BF61" s="41" t="n"/>
      <c r="BG61" s="41" t="n"/>
      <c r="BH61" s="41" t="n"/>
      <c r="BI61" s="41" t="n"/>
      <c r="BJ61" s="41" t="n"/>
      <c r="BK61" s="41" t="n"/>
      <c r="BL61" s="41" t="n"/>
      <c r="BM61" s="41" t="n"/>
      <c r="BN61" s="41" t="n"/>
    </row>
    <row r="62" ht="18" customHeight="1" s="82">
      <c r="A62" s="36" t="n"/>
      <c r="B62" s="36" t="n"/>
      <c r="C62" s="36" t="n"/>
      <c r="D62" s="36" t="n"/>
      <c r="E62" s="37" t="n"/>
      <c r="F62" s="37" t="n"/>
      <c r="G62" s="37" t="n"/>
      <c r="H62" s="37" t="n"/>
      <c r="I62" s="37" t="n"/>
      <c r="J62" s="37" t="n"/>
      <c r="K62" s="37" t="n"/>
      <c r="L62" s="37" t="n"/>
      <c r="M62" s="37" t="n"/>
      <c r="N62" s="37" t="n"/>
      <c r="O62" s="37" t="n"/>
      <c r="P62" s="37" t="n"/>
      <c r="Q62" s="37" t="n"/>
      <c r="R62" s="37" t="n"/>
      <c r="S62" s="37" t="n"/>
      <c r="T62" s="37" t="n"/>
      <c r="U62" s="37" t="n"/>
      <c r="V62" s="37" t="n"/>
      <c r="W62" s="32" t="n"/>
      <c r="X62" s="37" t="n"/>
      <c r="Y62" s="37" t="n"/>
      <c r="Z62" s="37" t="n"/>
      <c r="AA62" s="37" t="n"/>
      <c r="AB62" s="37" t="n"/>
      <c r="AC62" s="37" t="n"/>
      <c r="AD62" s="32" t="n"/>
      <c r="AE62" s="37" t="n"/>
      <c r="AF62" s="38" t="n"/>
      <c r="AG62" s="67">
        <f>IF(OR(AF62="",AE62=""),"",IFERROR(AF62*INDEX(FXRates[USD per unit],MATCH(AE62,FXRates[Currency],0)),"No rate"))</f>
        <v/>
      </c>
      <c r="AH62" s="36" t="n"/>
      <c r="AI62" s="36" t="n"/>
      <c r="AJ62" s="39">
        <f>IF(A62="","",IF(COUNTIF($A$6:$A$504,A62)&gt;1,"⚠ Duplicate",""))</f>
        <v/>
      </c>
      <c r="AK62" s="38" t="n"/>
      <c r="AL62" s="40" t="n"/>
      <c r="AM62" s="40" t="n"/>
      <c r="AN62" s="40" t="n"/>
      <c r="AO62" s="40" t="n"/>
      <c r="AP62" s="40" t="n"/>
      <c r="AQ62" s="40" t="n"/>
      <c r="AR62" s="40" t="n"/>
      <c r="AS62" s="40" t="n"/>
      <c r="AT62" s="40" t="n"/>
      <c r="AU62" s="40" t="n"/>
      <c r="AV62" s="40" t="n"/>
      <c r="AW62" s="40" t="n"/>
      <c r="AX62" s="40" t="n"/>
      <c r="AY62" s="40" t="n"/>
      <c r="AZ62" s="38" t="n"/>
      <c r="BA62" s="40" t="n"/>
      <c r="BB62" s="40" t="n"/>
      <c r="BC62" s="40" t="n"/>
      <c r="BD62" s="40" t="n"/>
      <c r="BE62" s="40" t="n"/>
      <c r="BF62" s="40" t="n"/>
      <c r="BG62" s="40" t="n"/>
      <c r="BH62" s="40" t="n"/>
      <c r="BI62" s="40" t="n"/>
      <c r="BJ62" s="40" t="n"/>
      <c r="BK62" s="40" t="n"/>
      <c r="BL62" s="40" t="n"/>
      <c r="BM62" s="40" t="n"/>
      <c r="BN62" s="40" t="n"/>
    </row>
    <row r="63" ht="18" customHeight="1" s="82">
      <c r="A63" s="30" t="n"/>
      <c r="B63" s="30" t="n"/>
      <c r="C63" s="30" t="n"/>
      <c r="D63" s="30" t="n"/>
      <c r="E63" s="31" t="n"/>
      <c r="F63" s="31" t="n"/>
      <c r="G63" s="31" t="n"/>
      <c r="H63" s="31" t="n"/>
      <c r="I63" s="31" t="n"/>
      <c r="J63" s="31" t="n"/>
      <c r="K63" s="31" t="n"/>
      <c r="L63" s="31" t="n"/>
      <c r="M63" s="31" t="n"/>
      <c r="N63" s="31" t="n"/>
      <c r="O63" s="31" t="n"/>
      <c r="P63" s="31" t="n"/>
      <c r="Q63" s="31" t="n"/>
      <c r="R63" s="31" t="n"/>
      <c r="S63" s="31" t="n"/>
      <c r="T63" s="31" t="n"/>
      <c r="U63" s="31" t="n"/>
      <c r="V63" s="31" t="n"/>
      <c r="W63" s="32" t="n"/>
      <c r="X63" s="31" t="n"/>
      <c r="Y63" s="31" t="n"/>
      <c r="Z63" s="31" t="n"/>
      <c r="AA63" s="31" t="n"/>
      <c r="AB63" s="31" t="n"/>
      <c r="AC63" s="31" t="n"/>
      <c r="AD63" s="32" t="n"/>
      <c r="AE63" s="31" t="n"/>
      <c r="AF63" s="33" t="n"/>
      <c r="AG63" s="66">
        <f>IF(OR(AF63="",AE63=""),"",IFERROR(AF63*INDEX(FXRates[USD per unit],MATCH(AE63,FXRates[Currency],0)),"No rate"))</f>
        <v/>
      </c>
      <c r="AH63" s="30" t="n"/>
      <c r="AI63" s="30" t="n"/>
      <c r="AJ63" s="34">
        <f>IF(A63="","",IF(COUNTIF($A$6:$A$504,A63)&gt;1,"⚠ Duplicate",""))</f>
        <v/>
      </c>
      <c r="AK63" s="33" t="n"/>
      <c r="AL63" s="41" t="n"/>
      <c r="AM63" s="41" t="n"/>
      <c r="AN63" s="41" t="n"/>
      <c r="AO63" s="41" t="n"/>
      <c r="AP63" s="41" t="n"/>
      <c r="AQ63" s="41" t="n"/>
      <c r="AR63" s="41" t="n"/>
      <c r="AS63" s="41" t="n"/>
      <c r="AT63" s="41" t="n"/>
      <c r="AU63" s="41" t="n"/>
      <c r="AV63" s="41" t="n"/>
      <c r="AW63" s="41" t="n"/>
      <c r="AX63" s="41" t="n"/>
      <c r="AY63" s="41" t="n"/>
      <c r="AZ63" s="33" t="n"/>
      <c r="BA63" s="41" t="n"/>
      <c r="BB63" s="41" t="n"/>
      <c r="BC63" s="41" t="n"/>
      <c r="BD63" s="41" t="n"/>
      <c r="BE63" s="41" t="n"/>
      <c r="BF63" s="41" t="n"/>
      <c r="BG63" s="41" t="n"/>
      <c r="BH63" s="41" t="n"/>
      <c r="BI63" s="41" t="n"/>
      <c r="BJ63" s="41" t="n"/>
      <c r="BK63" s="41" t="n"/>
      <c r="BL63" s="41" t="n"/>
      <c r="BM63" s="41" t="n"/>
      <c r="BN63" s="41" t="n"/>
    </row>
    <row r="64" ht="18" customHeight="1" s="82">
      <c r="A64" s="36" t="n"/>
      <c r="B64" s="36" t="n"/>
      <c r="C64" s="36" t="n"/>
      <c r="D64" s="36" t="n"/>
      <c r="E64" s="37" t="n"/>
      <c r="F64" s="37" t="n"/>
      <c r="G64" s="37" t="n"/>
      <c r="H64" s="37" t="n"/>
      <c r="I64" s="37" t="n"/>
      <c r="J64" s="37" t="n"/>
      <c r="K64" s="37" t="n"/>
      <c r="L64" s="37" t="n"/>
      <c r="M64" s="37" t="n"/>
      <c r="N64" s="37" t="n"/>
      <c r="O64" s="37" t="n"/>
      <c r="P64" s="37" t="n"/>
      <c r="Q64" s="37" t="n"/>
      <c r="R64" s="37" t="n"/>
      <c r="S64" s="37" t="n"/>
      <c r="T64" s="37" t="n"/>
      <c r="U64" s="37" t="n"/>
      <c r="V64" s="37" t="n"/>
      <c r="W64" s="32" t="n"/>
      <c r="X64" s="37" t="n"/>
      <c r="Y64" s="37" t="n"/>
      <c r="Z64" s="37" t="n"/>
      <c r="AA64" s="37" t="n"/>
      <c r="AB64" s="37" t="n"/>
      <c r="AC64" s="37" t="n"/>
      <c r="AD64" s="32" t="n"/>
      <c r="AE64" s="37" t="n"/>
      <c r="AF64" s="38" t="n"/>
      <c r="AG64" s="67">
        <f>IF(OR(AF64="",AE64=""),"",IFERROR(AF64*INDEX(FXRates[USD per unit],MATCH(AE64,FXRates[Currency],0)),"No rate"))</f>
        <v/>
      </c>
      <c r="AH64" s="36" t="n"/>
      <c r="AI64" s="36" t="n"/>
      <c r="AJ64" s="39">
        <f>IF(A64="","",IF(COUNTIF($A$6:$A$504,A64)&gt;1,"⚠ Duplicate",""))</f>
        <v/>
      </c>
      <c r="AK64" s="38" t="n"/>
      <c r="AL64" s="40" t="n"/>
      <c r="AM64" s="40" t="n"/>
      <c r="AN64" s="40" t="n"/>
      <c r="AO64" s="40" t="n"/>
      <c r="AP64" s="40" t="n"/>
      <c r="AQ64" s="40" t="n"/>
      <c r="AR64" s="40" t="n"/>
      <c r="AS64" s="40" t="n"/>
      <c r="AT64" s="40" t="n"/>
      <c r="AU64" s="40" t="n"/>
      <c r="AV64" s="40" t="n"/>
      <c r="AW64" s="40" t="n"/>
      <c r="AX64" s="40" t="n"/>
      <c r="AY64" s="40" t="n"/>
      <c r="AZ64" s="38" t="n"/>
      <c r="BA64" s="40" t="n"/>
      <c r="BB64" s="40" t="n"/>
      <c r="BC64" s="40" t="n"/>
      <c r="BD64" s="40" t="n"/>
      <c r="BE64" s="40" t="n"/>
      <c r="BF64" s="40" t="n"/>
      <c r="BG64" s="40" t="n"/>
      <c r="BH64" s="40" t="n"/>
      <c r="BI64" s="40" t="n"/>
      <c r="BJ64" s="40" t="n"/>
      <c r="BK64" s="40" t="n"/>
      <c r="BL64" s="40" t="n"/>
      <c r="BM64" s="40" t="n"/>
      <c r="BN64" s="40" t="n"/>
    </row>
    <row r="65" ht="18" customHeight="1" s="82">
      <c r="A65" s="30" t="n"/>
      <c r="B65" s="30" t="n"/>
      <c r="C65" s="30" t="n"/>
      <c r="D65" s="30" t="n"/>
      <c r="E65" s="31" t="n"/>
      <c r="F65" s="31" t="n"/>
      <c r="G65" s="31" t="n"/>
      <c r="H65" s="31" t="n"/>
      <c r="I65" s="31" t="n"/>
      <c r="J65" s="31" t="n"/>
      <c r="K65" s="31" t="n"/>
      <c r="L65" s="31" t="n"/>
      <c r="M65" s="31" t="n"/>
      <c r="N65" s="31" t="n"/>
      <c r="O65" s="31" t="n"/>
      <c r="P65" s="31" t="n"/>
      <c r="Q65" s="31" t="n"/>
      <c r="R65" s="31" t="n"/>
      <c r="S65" s="31" t="n"/>
      <c r="T65" s="31" t="n"/>
      <c r="U65" s="31" t="n"/>
      <c r="V65" s="31" t="n"/>
      <c r="W65" s="32" t="n"/>
      <c r="X65" s="31" t="n"/>
      <c r="Y65" s="31" t="n"/>
      <c r="Z65" s="31" t="n"/>
      <c r="AA65" s="31" t="n"/>
      <c r="AB65" s="31" t="n"/>
      <c r="AC65" s="31" t="n"/>
      <c r="AD65" s="32" t="n"/>
      <c r="AE65" s="31" t="n"/>
      <c r="AF65" s="33" t="n"/>
      <c r="AG65" s="66">
        <f>IF(OR(AF65="",AE65=""),"",IFERROR(AF65*INDEX(FXRates[USD per unit],MATCH(AE65,FXRates[Currency],0)),"No rate"))</f>
        <v/>
      </c>
      <c r="AH65" s="30" t="n"/>
      <c r="AI65" s="30" t="n"/>
      <c r="AJ65" s="34">
        <f>IF(A65="","",IF(COUNTIF($A$6:$A$504,A65)&gt;1,"⚠ Duplicate",""))</f>
        <v/>
      </c>
      <c r="AK65" s="33" t="n"/>
      <c r="AL65" s="41" t="n"/>
      <c r="AM65" s="41" t="n"/>
      <c r="AN65" s="41" t="n"/>
      <c r="AO65" s="41" t="n"/>
      <c r="AP65" s="41" t="n"/>
      <c r="AQ65" s="41" t="n"/>
      <c r="AR65" s="41" t="n"/>
      <c r="AS65" s="41" t="n"/>
      <c r="AT65" s="41" t="n"/>
      <c r="AU65" s="41" t="n"/>
      <c r="AV65" s="41" t="n"/>
      <c r="AW65" s="41" t="n"/>
      <c r="AX65" s="41" t="n"/>
      <c r="AY65" s="41" t="n"/>
      <c r="AZ65" s="33" t="n"/>
      <c r="BA65" s="41" t="n"/>
      <c r="BB65" s="41" t="n"/>
      <c r="BC65" s="41" t="n"/>
      <c r="BD65" s="41" t="n"/>
      <c r="BE65" s="41" t="n"/>
      <c r="BF65" s="41" t="n"/>
      <c r="BG65" s="41" t="n"/>
      <c r="BH65" s="41" t="n"/>
      <c r="BI65" s="41" t="n"/>
      <c r="BJ65" s="41" t="n"/>
      <c r="BK65" s="41" t="n"/>
      <c r="BL65" s="41" t="n"/>
      <c r="BM65" s="41" t="n"/>
      <c r="BN65" s="41" t="n"/>
    </row>
    <row r="66" ht="18" customHeight="1" s="82">
      <c r="A66" s="36" t="n"/>
      <c r="B66" s="36" t="n"/>
      <c r="C66" s="36" t="n"/>
      <c r="D66" s="36" t="n"/>
      <c r="E66" s="37" t="n"/>
      <c r="F66" s="37" t="n"/>
      <c r="G66" s="37" t="n"/>
      <c r="H66" s="37" t="n"/>
      <c r="I66" s="37" t="n"/>
      <c r="J66" s="37" t="n"/>
      <c r="K66" s="37" t="n"/>
      <c r="L66" s="37" t="n"/>
      <c r="M66" s="37" t="n"/>
      <c r="N66" s="37" t="n"/>
      <c r="O66" s="37" t="n"/>
      <c r="P66" s="37" t="n"/>
      <c r="Q66" s="37" t="n"/>
      <c r="R66" s="37" t="n"/>
      <c r="S66" s="37" t="n"/>
      <c r="T66" s="37" t="n"/>
      <c r="U66" s="37" t="n"/>
      <c r="V66" s="37" t="n"/>
      <c r="W66" s="32" t="n"/>
      <c r="X66" s="37" t="n"/>
      <c r="Y66" s="37" t="n"/>
      <c r="Z66" s="37" t="n"/>
      <c r="AA66" s="37" t="n"/>
      <c r="AB66" s="37" t="n"/>
      <c r="AC66" s="37" t="n"/>
      <c r="AD66" s="32" t="n"/>
      <c r="AE66" s="37" t="n"/>
      <c r="AF66" s="38" t="n"/>
      <c r="AG66" s="67">
        <f>IF(OR(AF66="",AE66=""),"",IFERROR(AF66*INDEX(FXRates[USD per unit],MATCH(AE66,FXRates[Currency],0)),"No rate"))</f>
        <v/>
      </c>
      <c r="AH66" s="36" t="n"/>
      <c r="AI66" s="36" t="n"/>
      <c r="AJ66" s="39">
        <f>IF(A66="","",IF(COUNTIF($A$6:$A$504,A66)&gt;1,"⚠ Duplicate",""))</f>
        <v/>
      </c>
      <c r="AK66" s="38" t="n"/>
      <c r="AL66" s="40" t="n"/>
      <c r="AM66" s="40" t="n"/>
      <c r="AN66" s="40" t="n"/>
      <c r="AO66" s="40" t="n"/>
      <c r="AP66" s="40" t="n"/>
      <c r="AQ66" s="40" t="n"/>
      <c r="AR66" s="40" t="n"/>
      <c r="AS66" s="40" t="n"/>
      <c r="AT66" s="40" t="n"/>
      <c r="AU66" s="40" t="n"/>
      <c r="AV66" s="40" t="n"/>
      <c r="AW66" s="40" t="n"/>
      <c r="AX66" s="40" t="n"/>
      <c r="AY66" s="40" t="n"/>
      <c r="AZ66" s="38" t="n"/>
      <c r="BA66" s="40" t="n"/>
      <c r="BB66" s="40" t="n"/>
      <c r="BC66" s="40" t="n"/>
      <c r="BD66" s="40" t="n"/>
      <c r="BE66" s="40" t="n"/>
      <c r="BF66" s="40" t="n"/>
      <c r="BG66" s="40" t="n"/>
      <c r="BH66" s="40" t="n"/>
      <c r="BI66" s="40" t="n"/>
      <c r="BJ66" s="40" t="n"/>
      <c r="BK66" s="40" t="n"/>
      <c r="BL66" s="40" t="n"/>
      <c r="BM66" s="40" t="n"/>
      <c r="BN66" s="40" t="n"/>
    </row>
    <row r="67" ht="18" customHeight="1" s="82">
      <c r="A67" s="30" t="n"/>
      <c r="B67" s="30" t="n"/>
      <c r="C67" s="30" t="n"/>
      <c r="D67" s="30" t="n"/>
      <c r="E67" s="31" t="n"/>
      <c r="F67" s="31" t="n"/>
      <c r="G67" s="31" t="n"/>
      <c r="H67" s="31" t="n"/>
      <c r="I67" s="31" t="n"/>
      <c r="J67" s="31" t="n"/>
      <c r="K67" s="31" t="n"/>
      <c r="L67" s="31" t="n"/>
      <c r="M67" s="31" t="n"/>
      <c r="N67" s="31" t="n"/>
      <c r="O67" s="31" t="n"/>
      <c r="P67" s="31" t="n"/>
      <c r="Q67" s="31" t="n"/>
      <c r="R67" s="31" t="n"/>
      <c r="S67" s="31" t="n"/>
      <c r="T67" s="31" t="n"/>
      <c r="U67" s="31" t="n"/>
      <c r="V67" s="31" t="n"/>
      <c r="W67" s="32" t="n"/>
      <c r="X67" s="31" t="n"/>
      <c r="Y67" s="31" t="n"/>
      <c r="Z67" s="31" t="n"/>
      <c r="AA67" s="31" t="n"/>
      <c r="AB67" s="31" t="n"/>
      <c r="AC67" s="31" t="n"/>
      <c r="AD67" s="32" t="n"/>
      <c r="AE67" s="31" t="n"/>
      <c r="AF67" s="33" t="n"/>
      <c r="AG67" s="66">
        <f>IF(OR(AF67="",AE67=""),"",IFERROR(AF67*INDEX(FXRates[USD per unit],MATCH(AE67,FXRates[Currency],0)),"No rate"))</f>
        <v/>
      </c>
      <c r="AH67" s="30" t="n"/>
      <c r="AI67" s="30" t="n"/>
      <c r="AJ67" s="34">
        <f>IF(A67="","",IF(COUNTIF($A$6:$A$504,A67)&gt;1,"⚠ Duplicate",""))</f>
        <v/>
      </c>
      <c r="AK67" s="33" t="n"/>
      <c r="AL67" s="41" t="n"/>
      <c r="AM67" s="41" t="n"/>
      <c r="AN67" s="41" t="n"/>
      <c r="AO67" s="41" t="n"/>
      <c r="AP67" s="41" t="n"/>
      <c r="AQ67" s="41" t="n"/>
      <c r="AR67" s="41" t="n"/>
      <c r="AS67" s="41" t="n"/>
      <c r="AT67" s="41" t="n"/>
      <c r="AU67" s="41" t="n"/>
      <c r="AV67" s="41" t="n"/>
      <c r="AW67" s="41" t="n"/>
      <c r="AX67" s="41" t="n"/>
      <c r="AY67" s="41" t="n"/>
      <c r="AZ67" s="33" t="n"/>
      <c r="BA67" s="41" t="n"/>
      <c r="BB67" s="41" t="n"/>
      <c r="BC67" s="41" t="n"/>
      <c r="BD67" s="41" t="n"/>
      <c r="BE67" s="41" t="n"/>
      <c r="BF67" s="41" t="n"/>
      <c r="BG67" s="41" t="n"/>
      <c r="BH67" s="41" t="n"/>
      <c r="BI67" s="41" t="n"/>
      <c r="BJ67" s="41" t="n"/>
      <c r="BK67" s="41" t="n"/>
      <c r="BL67" s="41" t="n"/>
      <c r="BM67" s="41" t="n"/>
      <c r="BN67" s="41" t="n"/>
    </row>
    <row r="68" ht="18" customHeight="1" s="82">
      <c r="A68" s="36" t="n"/>
      <c r="B68" s="36" t="n"/>
      <c r="C68" s="36" t="n"/>
      <c r="D68" s="36" t="n"/>
      <c r="E68" s="37" t="n"/>
      <c r="F68" s="37" t="n"/>
      <c r="G68" s="37" t="n"/>
      <c r="H68" s="37" t="n"/>
      <c r="I68" s="37" t="n"/>
      <c r="J68" s="37" t="n"/>
      <c r="K68" s="37" t="n"/>
      <c r="L68" s="37" t="n"/>
      <c r="M68" s="37" t="n"/>
      <c r="N68" s="37" t="n"/>
      <c r="O68" s="37" t="n"/>
      <c r="P68" s="37" t="n"/>
      <c r="Q68" s="37" t="n"/>
      <c r="R68" s="37" t="n"/>
      <c r="S68" s="37" t="n"/>
      <c r="T68" s="37" t="n"/>
      <c r="U68" s="37" t="n"/>
      <c r="V68" s="37" t="n"/>
      <c r="W68" s="32" t="n"/>
      <c r="X68" s="37" t="n"/>
      <c r="Y68" s="37" t="n"/>
      <c r="Z68" s="37" t="n"/>
      <c r="AA68" s="37" t="n"/>
      <c r="AB68" s="37" t="n"/>
      <c r="AC68" s="37" t="n"/>
      <c r="AD68" s="32" t="n"/>
      <c r="AE68" s="37" t="n"/>
      <c r="AF68" s="38" t="n"/>
      <c r="AG68" s="67">
        <f>IF(OR(AF68="",AE68=""),"",IFERROR(AF68*INDEX(FXRates[USD per unit],MATCH(AE68,FXRates[Currency],0)),"No rate"))</f>
        <v/>
      </c>
      <c r="AH68" s="36" t="n"/>
      <c r="AI68" s="36" t="n"/>
      <c r="AJ68" s="39">
        <f>IF(A68="","",IF(COUNTIF($A$6:$A$504,A68)&gt;1,"⚠ Duplicate",""))</f>
        <v/>
      </c>
      <c r="AK68" s="38" t="n"/>
      <c r="AL68" s="40" t="n"/>
      <c r="AM68" s="40" t="n"/>
      <c r="AN68" s="40" t="n"/>
      <c r="AO68" s="40" t="n"/>
      <c r="AP68" s="40" t="n"/>
      <c r="AQ68" s="40" t="n"/>
      <c r="AR68" s="40" t="n"/>
      <c r="AS68" s="40" t="n"/>
      <c r="AT68" s="40" t="n"/>
      <c r="AU68" s="40" t="n"/>
      <c r="AV68" s="40" t="n"/>
      <c r="AW68" s="40" t="n"/>
      <c r="AX68" s="40" t="n"/>
      <c r="AY68" s="40" t="n"/>
      <c r="AZ68" s="38" t="n"/>
      <c r="BA68" s="40" t="n"/>
      <c r="BB68" s="40" t="n"/>
      <c r="BC68" s="40" t="n"/>
      <c r="BD68" s="40" t="n"/>
      <c r="BE68" s="40" t="n"/>
      <c r="BF68" s="40" t="n"/>
      <c r="BG68" s="40" t="n"/>
      <c r="BH68" s="40" t="n"/>
      <c r="BI68" s="40" t="n"/>
      <c r="BJ68" s="40" t="n"/>
      <c r="BK68" s="40" t="n"/>
      <c r="BL68" s="40" t="n"/>
      <c r="BM68" s="40" t="n"/>
      <c r="BN68" s="40" t="n"/>
    </row>
    <row r="69" ht="18" customHeight="1" s="82">
      <c r="A69" s="30" t="n"/>
      <c r="B69" s="30" t="n"/>
      <c r="C69" s="30" t="n"/>
      <c r="D69" s="30" t="n"/>
      <c r="E69" s="31" t="n"/>
      <c r="F69" s="31" t="n"/>
      <c r="G69" s="31" t="n"/>
      <c r="H69" s="31" t="n"/>
      <c r="I69" s="31" t="n"/>
      <c r="J69" s="31" t="n"/>
      <c r="K69" s="31" t="n"/>
      <c r="L69" s="31" t="n"/>
      <c r="M69" s="31" t="n"/>
      <c r="N69" s="31" t="n"/>
      <c r="O69" s="31" t="n"/>
      <c r="P69" s="31" t="n"/>
      <c r="Q69" s="31" t="n"/>
      <c r="R69" s="31" t="n"/>
      <c r="S69" s="31" t="n"/>
      <c r="T69" s="31" t="n"/>
      <c r="U69" s="31" t="n"/>
      <c r="V69" s="31" t="n"/>
      <c r="W69" s="32" t="n"/>
      <c r="X69" s="31" t="n"/>
      <c r="Y69" s="31" t="n"/>
      <c r="Z69" s="31" t="n"/>
      <c r="AA69" s="31" t="n"/>
      <c r="AB69" s="31" t="n"/>
      <c r="AC69" s="31" t="n"/>
      <c r="AD69" s="32" t="n"/>
      <c r="AE69" s="31" t="n"/>
      <c r="AF69" s="33" t="n"/>
      <c r="AG69" s="66">
        <f>IF(OR(AF69="",AE69=""),"",IFERROR(AF69*INDEX(FXRates[USD per unit],MATCH(AE69,FXRates[Currency],0)),"No rate"))</f>
        <v/>
      </c>
      <c r="AH69" s="30" t="n"/>
      <c r="AI69" s="30" t="n"/>
      <c r="AJ69" s="34">
        <f>IF(A69="","",IF(COUNTIF($A$6:$A$504,A69)&gt;1,"⚠ Duplicate",""))</f>
        <v/>
      </c>
      <c r="AK69" s="33" t="n"/>
      <c r="AL69" s="41" t="n"/>
      <c r="AM69" s="41" t="n"/>
      <c r="AN69" s="41" t="n"/>
      <c r="AO69" s="41" t="n"/>
      <c r="AP69" s="41" t="n"/>
      <c r="AQ69" s="41" t="n"/>
      <c r="AR69" s="41" t="n"/>
      <c r="AS69" s="41" t="n"/>
      <c r="AT69" s="41" t="n"/>
      <c r="AU69" s="41" t="n"/>
      <c r="AV69" s="41" t="n"/>
      <c r="AW69" s="41" t="n"/>
      <c r="AX69" s="41" t="n"/>
      <c r="AY69" s="41" t="n"/>
      <c r="AZ69" s="33" t="n"/>
      <c r="BA69" s="41" t="n"/>
      <c r="BB69" s="41" t="n"/>
      <c r="BC69" s="41" t="n"/>
      <c r="BD69" s="41" t="n"/>
      <c r="BE69" s="41" t="n"/>
      <c r="BF69" s="41" t="n"/>
      <c r="BG69" s="41" t="n"/>
      <c r="BH69" s="41" t="n"/>
      <c r="BI69" s="41" t="n"/>
      <c r="BJ69" s="41" t="n"/>
      <c r="BK69" s="41" t="n"/>
      <c r="BL69" s="41" t="n"/>
      <c r="BM69" s="41" t="n"/>
      <c r="BN69" s="41" t="n"/>
    </row>
    <row r="70" ht="18" customHeight="1" s="82">
      <c r="A70" s="36" t="n"/>
      <c r="B70" s="36" t="n"/>
      <c r="C70" s="36" t="n"/>
      <c r="D70" s="36" t="n"/>
      <c r="E70" s="37" t="n"/>
      <c r="F70" s="37" t="n"/>
      <c r="G70" s="37" t="n"/>
      <c r="H70" s="37" t="n"/>
      <c r="I70" s="37" t="n"/>
      <c r="J70" s="37" t="n"/>
      <c r="K70" s="37" t="n"/>
      <c r="L70" s="37" t="n"/>
      <c r="M70" s="37" t="n"/>
      <c r="N70" s="37" t="n"/>
      <c r="O70" s="37" t="n"/>
      <c r="P70" s="37" t="n"/>
      <c r="Q70" s="37" t="n"/>
      <c r="R70" s="37" t="n"/>
      <c r="S70" s="37" t="n"/>
      <c r="T70" s="37" t="n"/>
      <c r="U70" s="37" t="n"/>
      <c r="V70" s="37" t="n"/>
      <c r="W70" s="32" t="n"/>
      <c r="X70" s="37" t="n"/>
      <c r="Y70" s="37" t="n"/>
      <c r="Z70" s="37" t="n"/>
      <c r="AA70" s="37" t="n"/>
      <c r="AB70" s="37" t="n"/>
      <c r="AC70" s="37" t="n"/>
      <c r="AD70" s="32" t="n"/>
      <c r="AE70" s="37" t="n"/>
      <c r="AF70" s="38" t="n"/>
      <c r="AG70" s="67">
        <f>IF(OR(AF70="",AE70=""),"",IFERROR(AF70*INDEX(FXRates[USD per unit],MATCH(AE70,FXRates[Currency],0)),"No rate"))</f>
        <v/>
      </c>
      <c r="AH70" s="36" t="n"/>
      <c r="AI70" s="36" t="n"/>
      <c r="AJ70" s="39">
        <f>IF(A70="","",IF(COUNTIF($A$6:$A$504,A70)&gt;1,"⚠ Duplicate",""))</f>
        <v/>
      </c>
      <c r="AK70" s="38" t="n"/>
      <c r="AL70" s="40" t="n"/>
      <c r="AM70" s="40" t="n"/>
      <c r="AN70" s="40" t="n"/>
      <c r="AO70" s="40" t="n"/>
      <c r="AP70" s="40" t="n"/>
      <c r="AQ70" s="40" t="n"/>
      <c r="AR70" s="40" t="n"/>
      <c r="AS70" s="40" t="n"/>
      <c r="AT70" s="40" t="n"/>
      <c r="AU70" s="40" t="n"/>
      <c r="AV70" s="40" t="n"/>
      <c r="AW70" s="40" t="n"/>
      <c r="AX70" s="40" t="n"/>
      <c r="AY70" s="40" t="n"/>
      <c r="AZ70" s="38" t="n"/>
      <c r="BA70" s="40" t="n"/>
      <c r="BB70" s="40" t="n"/>
      <c r="BC70" s="40" t="n"/>
      <c r="BD70" s="40" t="n"/>
      <c r="BE70" s="40" t="n"/>
      <c r="BF70" s="40" t="n"/>
      <c r="BG70" s="40" t="n"/>
      <c r="BH70" s="40" t="n"/>
      <c r="BI70" s="40" t="n"/>
      <c r="BJ70" s="40" t="n"/>
      <c r="BK70" s="40" t="n"/>
      <c r="BL70" s="40" t="n"/>
      <c r="BM70" s="40" t="n"/>
      <c r="BN70" s="40" t="n"/>
    </row>
    <row r="71" ht="18" customHeight="1" s="82">
      <c r="A71" s="30" t="n"/>
      <c r="B71" s="30" t="n"/>
      <c r="C71" s="30" t="n"/>
      <c r="D71" s="30" t="n"/>
      <c r="E71" s="31" t="n"/>
      <c r="F71" s="31" t="n"/>
      <c r="G71" s="31" t="n"/>
      <c r="H71" s="31" t="n"/>
      <c r="I71" s="31" t="n"/>
      <c r="J71" s="31" t="n"/>
      <c r="K71" s="31" t="n"/>
      <c r="L71" s="31" t="n"/>
      <c r="M71" s="31" t="n"/>
      <c r="N71" s="31" t="n"/>
      <c r="O71" s="31" t="n"/>
      <c r="P71" s="31" t="n"/>
      <c r="Q71" s="31" t="n"/>
      <c r="R71" s="31" t="n"/>
      <c r="S71" s="31" t="n"/>
      <c r="T71" s="31" t="n"/>
      <c r="U71" s="31" t="n"/>
      <c r="V71" s="31" t="n"/>
      <c r="W71" s="32" t="n"/>
      <c r="X71" s="31" t="n"/>
      <c r="Y71" s="31" t="n"/>
      <c r="Z71" s="31" t="n"/>
      <c r="AA71" s="31" t="n"/>
      <c r="AB71" s="31" t="n"/>
      <c r="AC71" s="31" t="n"/>
      <c r="AD71" s="32" t="n"/>
      <c r="AE71" s="31" t="n"/>
      <c r="AF71" s="33" t="n"/>
      <c r="AG71" s="66">
        <f>IF(OR(AF71="",AE71=""),"",IFERROR(AF71*INDEX(FXRates[USD per unit],MATCH(AE71,FXRates[Currency],0)),"No rate"))</f>
        <v/>
      </c>
      <c r="AH71" s="30" t="n"/>
      <c r="AI71" s="30" t="n"/>
      <c r="AJ71" s="34">
        <f>IF(A71="","",IF(COUNTIF($A$6:$A$504,A71)&gt;1,"⚠ Duplicate",""))</f>
        <v/>
      </c>
      <c r="AK71" s="33" t="n"/>
      <c r="AL71" s="41" t="n"/>
      <c r="AM71" s="41" t="n"/>
      <c r="AN71" s="41" t="n"/>
      <c r="AO71" s="41" t="n"/>
      <c r="AP71" s="41" t="n"/>
      <c r="AQ71" s="41" t="n"/>
      <c r="AR71" s="41" t="n"/>
      <c r="AS71" s="41" t="n"/>
      <c r="AT71" s="41" t="n"/>
      <c r="AU71" s="41" t="n"/>
      <c r="AV71" s="41" t="n"/>
      <c r="AW71" s="41" t="n"/>
      <c r="AX71" s="41" t="n"/>
      <c r="AY71" s="41" t="n"/>
      <c r="AZ71" s="33" t="n"/>
      <c r="BA71" s="41" t="n"/>
      <c r="BB71" s="41" t="n"/>
      <c r="BC71" s="41" t="n"/>
      <c r="BD71" s="41" t="n"/>
      <c r="BE71" s="41" t="n"/>
      <c r="BF71" s="41" t="n"/>
      <c r="BG71" s="41" t="n"/>
      <c r="BH71" s="41" t="n"/>
      <c r="BI71" s="41" t="n"/>
      <c r="BJ71" s="41" t="n"/>
      <c r="BK71" s="41" t="n"/>
      <c r="BL71" s="41" t="n"/>
      <c r="BM71" s="41" t="n"/>
      <c r="BN71" s="41" t="n"/>
    </row>
    <row r="72" ht="18" customHeight="1" s="82">
      <c r="A72" s="36" t="n"/>
      <c r="B72" s="36" t="n"/>
      <c r="C72" s="36" t="n"/>
      <c r="D72" s="36" t="n"/>
      <c r="E72" s="37" t="n"/>
      <c r="F72" s="37" t="n"/>
      <c r="G72" s="37" t="n"/>
      <c r="H72" s="37" t="n"/>
      <c r="I72" s="37" t="n"/>
      <c r="J72" s="37" t="n"/>
      <c r="K72" s="37" t="n"/>
      <c r="L72" s="37" t="n"/>
      <c r="M72" s="37" t="n"/>
      <c r="N72" s="37" t="n"/>
      <c r="O72" s="37" t="n"/>
      <c r="P72" s="37" t="n"/>
      <c r="Q72" s="37" t="n"/>
      <c r="R72" s="37" t="n"/>
      <c r="S72" s="37" t="n"/>
      <c r="T72" s="37" t="n"/>
      <c r="U72" s="37" t="n"/>
      <c r="V72" s="37" t="n"/>
      <c r="W72" s="32" t="n"/>
      <c r="X72" s="37" t="n"/>
      <c r="Y72" s="37" t="n"/>
      <c r="Z72" s="37" t="n"/>
      <c r="AA72" s="37" t="n"/>
      <c r="AB72" s="37" t="n"/>
      <c r="AC72" s="37" t="n"/>
      <c r="AD72" s="32" t="n"/>
      <c r="AE72" s="37" t="n"/>
      <c r="AF72" s="38" t="n"/>
      <c r="AG72" s="67">
        <f>IF(OR(AF72="",AE72=""),"",IFERROR(AF72*INDEX(FXRates[USD per unit],MATCH(AE72,FXRates[Currency],0)),"No rate"))</f>
        <v/>
      </c>
      <c r="AH72" s="36" t="n"/>
      <c r="AI72" s="36" t="n"/>
      <c r="AJ72" s="39">
        <f>IF(A72="","",IF(COUNTIF($A$6:$A$504,A72)&gt;1,"⚠ Duplicate",""))</f>
        <v/>
      </c>
      <c r="AK72" s="38" t="n"/>
      <c r="AL72" s="40" t="n"/>
      <c r="AM72" s="40" t="n"/>
      <c r="AN72" s="40" t="n"/>
      <c r="AO72" s="40" t="n"/>
      <c r="AP72" s="40" t="n"/>
      <c r="AQ72" s="40" t="n"/>
      <c r="AR72" s="40" t="n"/>
      <c r="AS72" s="40" t="n"/>
      <c r="AT72" s="40" t="n"/>
      <c r="AU72" s="40" t="n"/>
      <c r="AV72" s="40" t="n"/>
      <c r="AW72" s="40" t="n"/>
      <c r="AX72" s="40" t="n"/>
      <c r="AY72" s="40" t="n"/>
      <c r="AZ72" s="38" t="n"/>
      <c r="BA72" s="40" t="n"/>
      <c r="BB72" s="40" t="n"/>
      <c r="BC72" s="40" t="n"/>
      <c r="BD72" s="40" t="n"/>
      <c r="BE72" s="40" t="n"/>
      <c r="BF72" s="40" t="n"/>
      <c r="BG72" s="40" t="n"/>
      <c r="BH72" s="40" t="n"/>
      <c r="BI72" s="40" t="n"/>
      <c r="BJ72" s="40" t="n"/>
      <c r="BK72" s="40" t="n"/>
      <c r="BL72" s="40" t="n"/>
      <c r="BM72" s="40" t="n"/>
      <c r="BN72" s="40" t="n"/>
    </row>
    <row r="73" ht="18" customHeight="1" s="82">
      <c r="A73" s="30" t="n"/>
      <c r="B73" s="30" t="n"/>
      <c r="C73" s="30" t="n"/>
      <c r="D73" s="30" t="n"/>
      <c r="E73" s="31" t="n"/>
      <c r="F73" s="31" t="n"/>
      <c r="G73" s="31" t="n"/>
      <c r="H73" s="31" t="n"/>
      <c r="I73" s="31" t="n"/>
      <c r="J73" s="31" t="n"/>
      <c r="K73" s="31" t="n"/>
      <c r="L73" s="31" t="n"/>
      <c r="M73" s="31" t="n"/>
      <c r="N73" s="31" t="n"/>
      <c r="O73" s="31" t="n"/>
      <c r="P73" s="31" t="n"/>
      <c r="Q73" s="31" t="n"/>
      <c r="R73" s="31" t="n"/>
      <c r="S73" s="31" t="n"/>
      <c r="T73" s="31" t="n"/>
      <c r="U73" s="31" t="n"/>
      <c r="V73" s="31" t="n"/>
      <c r="W73" s="32" t="n"/>
      <c r="X73" s="31" t="n"/>
      <c r="Y73" s="31" t="n"/>
      <c r="Z73" s="31" t="n"/>
      <c r="AA73" s="31" t="n"/>
      <c r="AB73" s="31" t="n"/>
      <c r="AC73" s="31" t="n"/>
      <c r="AD73" s="32" t="n"/>
      <c r="AE73" s="31" t="n"/>
      <c r="AF73" s="33" t="n"/>
      <c r="AG73" s="66">
        <f>IF(OR(AF73="",AE73=""),"",IFERROR(AF73*INDEX(FXRates[USD per unit],MATCH(AE73,FXRates[Currency],0)),"No rate"))</f>
        <v/>
      </c>
      <c r="AH73" s="30" t="n"/>
      <c r="AI73" s="30" t="n"/>
      <c r="AJ73" s="34">
        <f>IF(A73="","",IF(COUNTIF($A$6:$A$504,A73)&gt;1,"⚠ Duplicate",""))</f>
        <v/>
      </c>
      <c r="AK73" s="33" t="n"/>
      <c r="AL73" s="41" t="n"/>
      <c r="AM73" s="41" t="n"/>
      <c r="AN73" s="41" t="n"/>
      <c r="AO73" s="41" t="n"/>
      <c r="AP73" s="41" t="n"/>
      <c r="AQ73" s="41" t="n"/>
      <c r="AR73" s="41" t="n"/>
      <c r="AS73" s="41" t="n"/>
      <c r="AT73" s="41" t="n"/>
      <c r="AU73" s="41" t="n"/>
      <c r="AV73" s="41" t="n"/>
      <c r="AW73" s="41" t="n"/>
      <c r="AX73" s="41" t="n"/>
      <c r="AY73" s="41" t="n"/>
      <c r="AZ73" s="33" t="n"/>
      <c r="BA73" s="41" t="n"/>
      <c r="BB73" s="41" t="n"/>
      <c r="BC73" s="41" t="n"/>
      <c r="BD73" s="41" t="n"/>
      <c r="BE73" s="41" t="n"/>
      <c r="BF73" s="41" t="n"/>
      <c r="BG73" s="41" t="n"/>
      <c r="BH73" s="41" t="n"/>
      <c r="BI73" s="41" t="n"/>
      <c r="BJ73" s="41" t="n"/>
      <c r="BK73" s="41" t="n"/>
      <c r="BL73" s="41" t="n"/>
      <c r="BM73" s="41" t="n"/>
      <c r="BN73" s="41" t="n"/>
    </row>
    <row r="74" ht="18" customHeight="1" s="82">
      <c r="A74" s="36" t="n"/>
      <c r="B74" s="36" t="n"/>
      <c r="C74" s="36" t="n"/>
      <c r="D74" s="36" t="n"/>
      <c r="E74" s="37" t="n"/>
      <c r="F74" s="37" t="n"/>
      <c r="G74" s="37" t="n"/>
      <c r="H74" s="37" t="n"/>
      <c r="I74" s="37" t="n"/>
      <c r="J74" s="37" t="n"/>
      <c r="K74" s="37" t="n"/>
      <c r="L74" s="37" t="n"/>
      <c r="M74" s="37" t="n"/>
      <c r="N74" s="37" t="n"/>
      <c r="O74" s="37" t="n"/>
      <c r="P74" s="37" t="n"/>
      <c r="Q74" s="37" t="n"/>
      <c r="R74" s="37" t="n"/>
      <c r="S74" s="37" t="n"/>
      <c r="T74" s="37" t="n"/>
      <c r="U74" s="37" t="n"/>
      <c r="V74" s="37" t="n"/>
      <c r="W74" s="32" t="n"/>
      <c r="X74" s="37" t="n"/>
      <c r="Y74" s="37" t="n"/>
      <c r="Z74" s="37" t="n"/>
      <c r="AA74" s="37" t="n"/>
      <c r="AB74" s="37" t="n"/>
      <c r="AC74" s="37" t="n"/>
      <c r="AD74" s="32" t="n"/>
      <c r="AE74" s="37" t="n"/>
      <c r="AF74" s="38" t="n"/>
      <c r="AG74" s="67">
        <f>IF(OR(AF74="",AE74=""),"",IFERROR(AF74*INDEX(FXRates[USD per unit],MATCH(AE74,FXRates[Currency],0)),"No rate"))</f>
        <v/>
      </c>
      <c r="AH74" s="36" t="n"/>
      <c r="AI74" s="36" t="n"/>
      <c r="AJ74" s="39">
        <f>IF(A74="","",IF(COUNTIF($A$6:$A$504,A74)&gt;1,"⚠ Duplicate",""))</f>
        <v/>
      </c>
      <c r="AK74" s="38" t="n"/>
      <c r="AL74" s="40" t="n"/>
      <c r="AM74" s="40" t="n"/>
      <c r="AN74" s="40" t="n"/>
      <c r="AO74" s="40" t="n"/>
      <c r="AP74" s="40" t="n"/>
      <c r="AQ74" s="40" t="n"/>
      <c r="AR74" s="40" t="n"/>
      <c r="AS74" s="40" t="n"/>
      <c r="AT74" s="40" t="n"/>
      <c r="AU74" s="40" t="n"/>
      <c r="AV74" s="40" t="n"/>
      <c r="AW74" s="40" t="n"/>
      <c r="AX74" s="40" t="n"/>
      <c r="AY74" s="40" t="n"/>
      <c r="AZ74" s="38" t="n"/>
      <c r="BA74" s="40" t="n"/>
      <c r="BB74" s="40" t="n"/>
      <c r="BC74" s="40" t="n"/>
      <c r="BD74" s="40" t="n"/>
      <c r="BE74" s="40" t="n"/>
      <c r="BF74" s="40" t="n"/>
      <c r="BG74" s="40" t="n"/>
      <c r="BH74" s="40" t="n"/>
      <c r="BI74" s="40" t="n"/>
      <c r="BJ74" s="40" t="n"/>
      <c r="BK74" s="40" t="n"/>
      <c r="BL74" s="40" t="n"/>
      <c r="BM74" s="40" t="n"/>
      <c r="BN74" s="40" t="n"/>
    </row>
    <row r="75" ht="18" customHeight="1" s="82">
      <c r="A75" s="30" t="n"/>
      <c r="B75" s="30" t="n"/>
      <c r="C75" s="30" t="n"/>
      <c r="D75" s="30" t="n"/>
      <c r="E75" s="31" t="n"/>
      <c r="F75" s="31" t="n"/>
      <c r="G75" s="31" t="n"/>
      <c r="H75" s="31" t="n"/>
      <c r="I75" s="31" t="n"/>
      <c r="J75" s="31" t="n"/>
      <c r="K75" s="31" t="n"/>
      <c r="L75" s="31" t="n"/>
      <c r="M75" s="31" t="n"/>
      <c r="N75" s="31" t="n"/>
      <c r="O75" s="31" t="n"/>
      <c r="P75" s="31" t="n"/>
      <c r="Q75" s="31" t="n"/>
      <c r="R75" s="31" t="n"/>
      <c r="S75" s="31" t="n"/>
      <c r="T75" s="31" t="n"/>
      <c r="U75" s="31" t="n"/>
      <c r="V75" s="31" t="n"/>
      <c r="W75" s="32" t="n"/>
      <c r="X75" s="31" t="n"/>
      <c r="Y75" s="31" t="n"/>
      <c r="Z75" s="31" t="n"/>
      <c r="AA75" s="31" t="n"/>
      <c r="AB75" s="31" t="n"/>
      <c r="AC75" s="31" t="n"/>
      <c r="AD75" s="32" t="n"/>
      <c r="AE75" s="31" t="n"/>
      <c r="AF75" s="33" t="n"/>
      <c r="AG75" s="66">
        <f>IF(OR(AF75="",AE75=""),"",IFERROR(AF75*INDEX(FXRates[USD per unit],MATCH(AE75,FXRates[Currency],0)),"No rate"))</f>
        <v/>
      </c>
      <c r="AH75" s="30" t="n"/>
      <c r="AI75" s="30" t="n"/>
      <c r="AJ75" s="34">
        <f>IF(A75="","",IF(COUNTIF($A$6:$A$504,A75)&gt;1,"⚠ Duplicate",""))</f>
        <v/>
      </c>
      <c r="AK75" s="33" t="n"/>
      <c r="AL75" s="41" t="n"/>
      <c r="AM75" s="41" t="n"/>
      <c r="AN75" s="41" t="n"/>
      <c r="AO75" s="41" t="n"/>
      <c r="AP75" s="41" t="n"/>
      <c r="AQ75" s="41" t="n"/>
      <c r="AR75" s="41" t="n"/>
      <c r="AS75" s="41" t="n"/>
      <c r="AT75" s="41" t="n"/>
      <c r="AU75" s="41" t="n"/>
      <c r="AV75" s="41" t="n"/>
      <c r="AW75" s="41" t="n"/>
      <c r="AX75" s="41" t="n"/>
      <c r="AY75" s="41" t="n"/>
      <c r="AZ75" s="33" t="n"/>
      <c r="BA75" s="41" t="n"/>
      <c r="BB75" s="41" t="n"/>
      <c r="BC75" s="41" t="n"/>
      <c r="BD75" s="41" t="n"/>
      <c r="BE75" s="41" t="n"/>
      <c r="BF75" s="41" t="n"/>
      <c r="BG75" s="41" t="n"/>
      <c r="BH75" s="41" t="n"/>
      <c r="BI75" s="41" t="n"/>
      <c r="BJ75" s="41" t="n"/>
      <c r="BK75" s="41" t="n"/>
      <c r="BL75" s="41" t="n"/>
      <c r="BM75" s="41" t="n"/>
      <c r="BN75" s="41" t="n"/>
    </row>
    <row r="76" ht="18" customHeight="1" s="82">
      <c r="A76" s="36" t="n"/>
      <c r="B76" s="36" t="n"/>
      <c r="C76" s="36" t="n"/>
      <c r="D76" s="36" t="n"/>
      <c r="E76" s="37" t="n"/>
      <c r="F76" s="37" t="n"/>
      <c r="G76" s="37" t="n"/>
      <c r="H76" s="37" t="n"/>
      <c r="I76" s="37" t="n"/>
      <c r="J76" s="37" t="n"/>
      <c r="K76" s="37" t="n"/>
      <c r="L76" s="37" t="n"/>
      <c r="M76" s="37" t="n"/>
      <c r="N76" s="37" t="n"/>
      <c r="O76" s="37" t="n"/>
      <c r="P76" s="37" t="n"/>
      <c r="Q76" s="37" t="n"/>
      <c r="R76" s="37" t="n"/>
      <c r="S76" s="37" t="n"/>
      <c r="T76" s="37" t="n"/>
      <c r="U76" s="37" t="n"/>
      <c r="V76" s="37" t="n"/>
      <c r="W76" s="32" t="n"/>
      <c r="X76" s="37" t="n"/>
      <c r="Y76" s="37" t="n"/>
      <c r="Z76" s="37" t="n"/>
      <c r="AA76" s="37" t="n"/>
      <c r="AB76" s="37" t="n"/>
      <c r="AC76" s="37" t="n"/>
      <c r="AD76" s="32" t="n"/>
      <c r="AE76" s="37" t="n"/>
      <c r="AF76" s="38" t="n"/>
      <c r="AG76" s="67">
        <f>IF(OR(AF76="",AE76=""),"",IFERROR(AF76*INDEX(FXRates[USD per unit],MATCH(AE76,FXRates[Currency],0)),"No rate"))</f>
        <v/>
      </c>
      <c r="AH76" s="36" t="n"/>
      <c r="AI76" s="36" t="n"/>
      <c r="AJ76" s="39">
        <f>IF(A76="","",IF(COUNTIF($A$6:$A$504,A76)&gt;1,"⚠ Duplicate",""))</f>
        <v/>
      </c>
      <c r="AK76" s="38" t="n"/>
      <c r="AL76" s="40" t="n"/>
      <c r="AM76" s="40" t="n"/>
      <c r="AN76" s="40" t="n"/>
      <c r="AO76" s="40" t="n"/>
      <c r="AP76" s="40" t="n"/>
      <c r="AQ76" s="40" t="n"/>
      <c r="AR76" s="40" t="n"/>
      <c r="AS76" s="40" t="n"/>
      <c r="AT76" s="40" t="n"/>
      <c r="AU76" s="40" t="n"/>
      <c r="AV76" s="40" t="n"/>
      <c r="AW76" s="40" t="n"/>
      <c r="AX76" s="40" t="n"/>
      <c r="AY76" s="40" t="n"/>
      <c r="AZ76" s="38" t="n"/>
      <c r="BA76" s="40" t="n"/>
      <c r="BB76" s="40" t="n"/>
      <c r="BC76" s="40" t="n"/>
      <c r="BD76" s="40" t="n"/>
      <c r="BE76" s="40" t="n"/>
      <c r="BF76" s="40" t="n"/>
      <c r="BG76" s="40" t="n"/>
      <c r="BH76" s="40" t="n"/>
      <c r="BI76" s="40" t="n"/>
      <c r="BJ76" s="40" t="n"/>
      <c r="BK76" s="40" t="n"/>
      <c r="BL76" s="40" t="n"/>
      <c r="BM76" s="40" t="n"/>
      <c r="BN76" s="40" t="n"/>
    </row>
    <row r="77" ht="18" customHeight="1" s="82">
      <c r="A77" s="30" t="n"/>
      <c r="B77" s="30" t="n"/>
      <c r="C77" s="30" t="n"/>
      <c r="D77" s="30" t="n"/>
      <c r="E77" s="31" t="n"/>
      <c r="F77" s="31" t="n"/>
      <c r="G77" s="31" t="n"/>
      <c r="H77" s="31" t="n"/>
      <c r="I77" s="31" t="n"/>
      <c r="J77" s="31" t="n"/>
      <c r="K77" s="31" t="n"/>
      <c r="L77" s="31" t="n"/>
      <c r="M77" s="31" t="n"/>
      <c r="N77" s="31" t="n"/>
      <c r="O77" s="31" t="n"/>
      <c r="P77" s="31" t="n"/>
      <c r="Q77" s="31" t="n"/>
      <c r="R77" s="31" t="n"/>
      <c r="S77" s="31" t="n"/>
      <c r="T77" s="31" t="n"/>
      <c r="U77" s="31" t="n"/>
      <c r="V77" s="31" t="n"/>
      <c r="W77" s="32" t="n"/>
      <c r="X77" s="31" t="n"/>
      <c r="Y77" s="31" t="n"/>
      <c r="Z77" s="31" t="n"/>
      <c r="AA77" s="31" t="n"/>
      <c r="AB77" s="31" t="n"/>
      <c r="AC77" s="31" t="n"/>
      <c r="AD77" s="32" t="n"/>
      <c r="AE77" s="31" t="n"/>
      <c r="AF77" s="33" t="n"/>
      <c r="AG77" s="66">
        <f>IF(OR(AF77="",AE77=""),"",IFERROR(AF77*INDEX(FXRates[USD per unit],MATCH(AE77,FXRates[Currency],0)),"No rate"))</f>
        <v/>
      </c>
      <c r="AH77" s="30" t="n"/>
      <c r="AI77" s="30" t="n"/>
      <c r="AJ77" s="34">
        <f>IF(A77="","",IF(COUNTIF($A$6:$A$504,A77)&gt;1,"⚠ Duplicate",""))</f>
        <v/>
      </c>
      <c r="AK77" s="33" t="n"/>
      <c r="AL77" s="41" t="n"/>
      <c r="AM77" s="41" t="n"/>
      <c r="AN77" s="41" t="n"/>
      <c r="AO77" s="41" t="n"/>
      <c r="AP77" s="41" t="n"/>
      <c r="AQ77" s="41" t="n"/>
      <c r="AR77" s="41" t="n"/>
      <c r="AS77" s="41" t="n"/>
      <c r="AT77" s="41" t="n"/>
      <c r="AU77" s="41" t="n"/>
      <c r="AV77" s="41" t="n"/>
      <c r="AW77" s="41" t="n"/>
      <c r="AX77" s="41" t="n"/>
      <c r="AY77" s="41" t="n"/>
      <c r="AZ77" s="33" t="n"/>
      <c r="BA77" s="41" t="n"/>
      <c r="BB77" s="41" t="n"/>
      <c r="BC77" s="41" t="n"/>
      <c r="BD77" s="41" t="n"/>
      <c r="BE77" s="41" t="n"/>
      <c r="BF77" s="41" t="n"/>
      <c r="BG77" s="41" t="n"/>
      <c r="BH77" s="41" t="n"/>
      <c r="BI77" s="41" t="n"/>
      <c r="BJ77" s="41" t="n"/>
      <c r="BK77" s="41" t="n"/>
      <c r="BL77" s="41" t="n"/>
      <c r="BM77" s="41" t="n"/>
      <c r="BN77" s="41" t="n"/>
    </row>
    <row r="78" ht="18" customHeight="1" s="82">
      <c r="A78" s="36" t="n"/>
      <c r="B78" s="36" t="n"/>
      <c r="C78" s="36" t="n"/>
      <c r="D78" s="36" t="n"/>
      <c r="E78" s="37" t="n"/>
      <c r="F78" s="37" t="n"/>
      <c r="G78" s="37" t="n"/>
      <c r="H78" s="37" t="n"/>
      <c r="I78" s="37" t="n"/>
      <c r="J78" s="37" t="n"/>
      <c r="K78" s="37" t="n"/>
      <c r="L78" s="37" t="n"/>
      <c r="M78" s="37" t="n"/>
      <c r="N78" s="37" t="n"/>
      <c r="O78" s="37" t="n"/>
      <c r="P78" s="37" t="n"/>
      <c r="Q78" s="37" t="n"/>
      <c r="R78" s="37" t="n"/>
      <c r="S78" s="37" t="n"/>
      <c r="T78" s="37" t="n"/>
      <c r="U78" s="37" t="n"/>
      <c r="V78" s="37" t="n"/>
      <c r="W78" s="32" t="n"/>
      <c r="X78" s="37" t="n"/>
      <c r="Y78" s="37" t="n"/>
      <c r="Z78" s="37" t="n"/>
      <c r="AA78" s="37" t="n"/>
      <c r="AB78" s="37" t="n"/>
      <c r="AC78" s="37" t="n"/>
      <c r="AD78" s="32" t="n"/>
      <c r="AE78" s="37" t="n"/>
      <c r="AF78" s="38" t="n"/>
      <c r="AG78" s="67">
        <f>IF(OR(AF78="",AE78=""),"",IFERROR(AF78*INDEX(FXRates[USD per unit],MATCH(AE78,FXRates[Currency],0)),"No rate"))</f>
        <v/>
      </c>
      <c r="AH78" s="36" t="n"/>
      <c r="AI78" s="36" t="n"/>
      <c r="AJ78" s="39">
        <f>IF(A78="","",IF(COUNTIF($A$6:$A$504,A78)&gt;1,"⚠ Duplicate",""))</f>
        <v/>
      </c>
      <c r="AK78" s="38" t="n"/>
      <c r="AL78" s="40" t="n"/>
      <c r="AM78" s="40" t="n"/>
      <c r="AN78" s="40" t="n"/>
      <c r="AO78" s="40" t="n"/>
      <c r="AP78" s="40" t="n"/>
      <c r="AQ78" s="40" t="n"/>
      <c r="AR78" s="40" t="n"/>
      <c r="AS78" s="40" t="n"/>
      <c r="AT78" s="40" t="n"/>
      <c r="AU78" s="40" t="n"/>
      <c r="AV78" s="40" t="n"/>
      <c r="AW78" s="40" t="n"/>
      <c r="AX78" s="40" t="n"/>
      <c r="AY78" s="40" t="n"/>
      <c r="AZ78" s="38" t="n"/>
      <c r="BA78" s="40" t="n"/>
      <c r="BB78" s="40" t="n"/>
      <c r="BC78" s="40" t="n"/>
      <c r="BD78" s="40" t="n"/>
      <c r="BE78" s="40" t="n"/>
      <c r="BF78" s="40" t="n"/>
      <c r="BG78" s="40" t="n"/>
      <c r="BH78" s="40" t="n"/>
      <c r="BI78" s="40" t="n"/>
      <c r="BJ78" s="40" t="n"/>
      <c r="BK78" s="40" t="n"/>
      <c r="BL78" s="40" t="n"/>
      <c r="BM78" s="40" t="n"/>
      <c r="BN78" s="40" t="n"/>
    </row>
    <row r="79" ht="18" customHeight="1" s="82">
      <c r="A79" s="30" t="n"/>
      <c r="B79" s="30" t="n"/>
      <c r="C79" s="30" t="n"/>
      <c r="D79" s="30" t="n"/>
      <c r="E79" s="31" t="n"/>
      <c r="F79" s="31" t="n"/>
      <c r="G79" s="31" t="n"/>
      <c r="H79" s="31" t="n"/>
      <c r="I79" s="31" t="n"/>
      <c r="J79" s="31" t="n"/>
      <c r="K79" s="31" t="n"/>
      <c r="L79" s="31" t="n"/>
      <c r="M79" s="31" t="n"/>
      <c r="N79" s="31" t="n"/>
      <c r="O79" s="31" t="n"/>
      <c r="P79" s="31" t="n"/>
      <c r="Q79" s="31" t="n"/>
      <c r="R79" s="31" t="n"/>
      <c r="S79" s="31" t="n"/>
      <c r="T79" s="31" t="n"/>
      <c r="U79" s="31" t="n"/>
      <c r="V79" s="31" t="n"/>
      <c r="W79" s="32" t="n"/>
      <c r="X79" s="31" t="n"/>
      <c r="Y79" s="31" t="n"/>
      <c r="Z79" s="31" t="n"/>
      <c r="AA79" s="31" t="n"/>
      <c r="AB79" s="31" t="n"/>
      <c r="AC79" s="31" t="n"/>
      <c r="AD79" s="32" t="n"/>
      <c r="AE79" s="31" t="n"/>
      <c r="AF79" s="33" t="n"/>
      <c r="AG79" s="66">
        <f>IF(OR(AF79="",AE79=""),"",IFERROR(AF79*INDEX(FXRates[USD per unit],MATCH(AE79,FXRates[Currency],0)),"No rate"))</f>
        <v/>
      </c>
      <c r="AH79" s="30" t="n"/>
      <c r="AI79" s="30" t="n"/>
      <c r="AJ79" s="34">
        <f>IF(A79="","",IF(COUNTIF($A$6:$A$504,A79)&gt;1,"⚠ Duplicate",""))</f>
        <v/>
      </c>
      <c r="AK79" s="33" t="n"/>
      <c r="AL79" s="41" t="n"/>
      <c r="AM79" s="41" t="n"/>
      <c r="AN79" s="41" t="n"/>
      <c r="AO79" s="41" t="n"/>
      <c r="AP79" s="41" t="n"/>
      <c r="AQ79" s="41" t="n"/>
      <c r="AR79" s="41" t="n"/>
      <c r="AS79" s="41" t="n"/>
      <c r="AT79" s="41" t="n"/>
      <c r="AU79" s="41" t="n"/>
      <c r="AV79" s="41" t="n"/>
      <c r="AW79" s="41" t="n"/>
      <c r="AX79" s="41" t="n"/>
      <c r="AY79" s="41" t="n"/>
      <c r="AZ79" s="33" t="n"/>
      <c r="BA79" s="41" t="n"/>
      <c r="BB79" s="41" t="n"/>
      <c r="BC79" s="41" t="n"/>
      <c r="BD79" s="41" t="n"/>
      <c r="BE79" s="41" t="n"/>
      <c r="BF79" s="41" t="n"/>
      <c r="BG79" s="41" t="n"/>
      <c r="BH79" s="41" t="n"/>
      <c r="BI79" s="41" t="n"/>
      <c r="BJ79" s="41" t="n"/>
      <c r="BK79" s="41" t="n"/>
      <c r="BL79" s="41" t="n"/>
      <c r="BM79" s="41" t="n"/>
      <c r="BN79" s="41" t="n"/>
    </row>
    <row r="80" ht="18" customHeight="1" s="82">
      <c r="A80" s="36" t="n"/>
      <c r="B80" s="36" t="n"/>
      <c r="C80" s="36" t="n"/>
      <c r="D80" s="36" t="n"/>
      <c r="E80" s="37" t="n"/>
      <c r="F80" s="37" t="n"/>
      <c r="G80" s="37" t="n"/>
      <c r="H80" s="37" t="n"/>
      <c r="I80" s="37" t="n"/>
      <c r="J80" s="37" t="n"/>
      <c r="K80" s="37" t="n"/>
      <c r="L80" s="37" t="n"/>
      <c r="M80" s="37" t="n"/>
      <c r="N80" s="37" t="n"/>
      <c r="O80" s="37" t="n"/>
      <c r="P80" s="37" t="n"/>
      <c r="Q80" s="37" t="n"/>
      <c r="R80" s="37" t="n"/>
      <c r="S80" s="37" t="n"/>
      <c r="T80" s="37" t="n"/>
      <c r="U80" s="37" t="n"/>
      <c r="V80" s="37" t="n"/>
      <c r="W80" s="32" t="n"/>
      <c r="X80" s="37" t="n"/>
      <c r="Y80" s="37" t="n"/>
      <c r="Z80" s="37" t="n"/>
      <c r="AA80" s="37" t="n"/>
      <c r="AB80" s="37" t="n"/>
      <c r="AC80" s="37" t="n"/>
      <c r="AD80" s="32" t="n"/>
      <c r="AE80" s="37" t="n"/>
      <c r="AF80" s="38" t="n"/>
      <c r="AG80" s="67">
        <f>IF(OR(AF80="",AE80=""),"",IFERROR(AF80*INDEX(FXRates[USD per unit],MATCH(AE80,FXRates[Currency],0)),"No rate"))</f>
        <v/>
      </c>
      <c r="AH80" s="36" t="n"/>
      <c r="AI80" s="36" t="n"/>
      <c r="AJ80" s="39">
        <f>IF(A80="","",IF(COUNTIF($A$6:$A$504,A80)&gt;1,"⚠ Duplicate",""))</f>
        <v/>
      </c>
      <c r="AK80" s="38" t="n"/>
      <c r="AL80" s="40" t="n"/>
      <c r="AM80" s="40" t="n"/>
      <c r="AN80" s="40" t="n"/>
      <c r="AO80" s="40" t="n"/>
      <c r="AP80" s="40" t="n"/>
      <c r="AQ80" s="40" t="n"/>
      <c r="AR80" s="40" t="n"/>
      <c r="AS80" s="40" t="n"/>
      <c r="AT80" s="40" t="n"/>
      <c r="AU80" s="40" t="n"/>
      <c r="AV80" s="40" t="n"/>
      <c r="AW80" s="40" t="n"/>
      <c r="AX80" s="40" t="n"/>
      <c r="AY80" s="40" t="n"/>
      <c r="AZ80" s="38" t="n"/>
      <c r="BA80" s="40" t="n"/>
      <c r="BB80" s="40" t="n"/>
      <c r="BC80" s="40" t="n"/>
      <c r="BD80" s="40" t="n"/>
      <c r="BE80" s="40" t="n"/>
      <c r="BF80" s="40" t="n"/>
      <c r="BG80" s="40" t="n"/>
      <c r="BH80" s="40" t="n"/>
      <c r="BI80" s="40" t="n"/>
      <c r="BJ80" s="40" t="n"/>
      <c r="BK80" s="40" t="n"/>
      <c r="BL80" s="40" t="n"/>
      <c r="BM80" s="40" t="n"/>
      <c r="BN80" s="40" t="n"/>
    </row>
    <row r="81" ht="18" customHeight="1" s="82">
      <c r="A81" s="30" t="n"/>
      <c r="B81" s="30" t="n"/>
      <c r="C81" s="30" t="n"/>
      <c r="D81" s="30" t="n"/>
      <c r="E81" s="31" t="n"/>
      <c r="F81" s="31" t="n"/>
      <c r="G81" s="31" t="n"/>
      <c r="H81" s="31" t="n"/>
      <c r="I81" s="31" t="n"/>
      <c r="J81" s="31" t="n"/>
      <c r="K81" s="31" t="n"/>
      <c r="L81" s="31" t="n"/>
      <c r="M81" s="31" t="n"/>
      <c r="N81" s="31" t="n"/>
      <c r="O81" s="31" t="n"/>
      <c r="P81" s="31" t="n"/>
      <c r="Q81" s="31" t="n"/>
      <c r="R81" s="31" t="n"/>
      <c r="S81" s="31" t="n"/>
      <c r="T81" s="31" t="n"/>
      <c r="U81" s="31" t="n"/>
      <c r="V81" s="31" t="n"/>
      <c r="W81" s="32" t="n"/>
      <c r="X81" s="31" t="n"/>
      <c r="Y81" s="31" t="n"/>
      <c r="Z81" s="31" t="n"/>
      <c r="AA81" s="31" t="n"/>
      <c r="AB81" s="31" t="n"/>
      <c r="AC81" s="31" t="n"/>
      <c r="AD81" s="32" t="n"/>
      <c r="AE81" s="31" t="n"/>
      <c r="AF81" s="33" t="n"/>
      <c r="AG81" s="66">
        <f>IF(OR(AF81="",AE81=""),"",IFERROR(AF81*INDEX(FXRates[USD per unit],MATCH(AE81,FXRates[Currency],0)),"No rate"))</f>
        <v/>
      </c>
      <c r="AH81" s="30" t="n"/>
      <c r="AI81" s="30" t="n"/>
      <c r="AJ81" s="34">
        <f>IF(A81="","",IF(COUNTIF($A$6:$A$504,A81)&gt;1,"⚠ Duplicate",""))</f>
        <v/>
      </c>
      <c r="AK81" s="33" t="n"/>
      <c r="AL81" s="41" t="n"/>
      <c r="AM81" s="41" t="n"/>
      <c r="AN81" s="41" t="n"/>
      <c r="AO81" s="41" t="n"/>
      <c r="AP81" s="41" t="n"/>
      <c r="AQ81" s="41" t="n"/>
      <c r="AR81" s="41" t="n"/>
      <c r="AS81" s="41" t="n"/>
      <c r="AT81" s="41" t="n"/>
      <c r="AU81" s="41" t="n"/>
      <c r="AV81" s="41" t="n"/>
      <c r="AW81" s="41" t="n"/>
      <c r="AX81" s="41" t="n"/>
      <c r="AY81" s="41" t="n"/>
      <c r="AZ81" s="33" t="n"/>
      <c r="BA81" s="41" t="n"/>
      <c r="BB81" s="41" t="n"/>
      <c r="BC81" s="41" t="n"/>
      <c r="BD81" s="41" t="n"/>
      <c r="BE81" s="41" t="n"/>
      <c r="BF81" s="41" t="n"/>
      <c r="BG81" s="41" t="n"/>
      <c r="BH81" s="41" t="n"/>
      <c r="BI81" s="41" t="n"/>
      <c r="BJ81" s="41" t="n"/>
      <c r="BK81" s="41" t="n"/>
      <c r="BL81" s="41" t="n"/>
      <c r="BM81" s="41" t="n"/>
      <c r="BN81" s="41" t="n"/>
    </row>
    <row r="82" ht="18" customHeight="1" s="82">
      <c r="A82" s="36" t="n"/>
      <c r="B82" s="36" t="n"/>
      <c r="C82" s="36" t="n"/>
      <c r="D82" s="36" t="n"/>
      <c r="E82" s="37" t="n"/>
      <c r="F82" s="37" t="n"/>
      <c r="G82" s="37" t="n"/>
      <c r="H82" s="37" t="n"/>
      <c r="I82" s="37" t="n"/>
      <c r="J82" s="37" t="n"/>
      <c r="K82" s="37" t="n"/>
      <c r="L82" s="37" t="n"/>
      <c r="M82" s="37" t="n"/>
      <c r="N82" s="37" t="n"/>
      <c r="O82" s="37" t="n"/>
      <c r="P82" s="37" t="n"/>
      <c r="Q82" s="37" t="n"/>
      <c r="R82" s="37" t="n"/>
      <c r="S82" s="37" t="n"/>
      <c r="T82" s="37" t="n"/>
      <c r="U82" s="37" t="n"/>
      <c r="V82" s="37" t="n"/>
      <c r="W82" s="32" t="n"/>
      <c r="X82" s="37" t="n"/>
      <c r="Y82" s="37" t="n"/>
      <c r="Z82" s="37" t="n"/>
      <c r="AA82" s="37" t="n"/>
      <c r="AB82" s="37" t="n"/>
      <c r="AC82" s="37" t="n"/>
      <c r="AD82" s="32" t="n"/>
      <c r="AE82" s="37" t="n"/>
      <c r="AF82" s="38" t="n"/>
      <c r="AG82" s="67">
        <f>IF(OR(AF82="",AE82=""),"",IFERROR(AF82*INDEX(FXRates[USD per unit],MATCH(AE82,FXRates[Currency],0)),"No rate"))</f>
        <v/>
      </c>
      <c r="AH82" s="36" t="n"/>
      <c r="AI82" s="36" t="n"/>
      <c r="AJ82" s="39">
        <f>IF(A82="","",IF(COUNTIF($A$6:$A$504,A82)&gt;1,"⚠ Duplicate",""))</f>
        <v/>
      </c>
      <c r="AK82" s="38" t="n"/>
      <c r="AL82" s="40" t="n"/>
      <c r="AM82" s="40" t="n"/>
      <c r="AN82" s="40" t="n"/>
      <c r="AO82" s="40" t="n"/>
      <c r="AP82" s="40" t="n"/>
      <c r="AQ82" s="40" t="n"/>
      <c r="AR82" s="40" t="n"/>
      <c r="AS82" s="40" t="n"/>
      <c r="AT82" s="40" t="n"/>
      <c r="AU82" s="40" t="n"/>
      <c r="AV82" s="40" t="n"/>
      <c r="AW82" s="40" t="n"/>
      <c r="AX82" s="40" t="n"/>
      <c r="AY82" s="40" t="n"/>
      <c r="AZ82" s="38" t="n"/>
      <c r="BA82" s="40" t="n"/>
      <c r="BB82" s="40" t="n"/>
      <c r="BC82" s="40" t="n"/>
      <c r="BD82" s="40" t="n"/>
      <c r="BE82" s="40" t="n"/>
      <c r="BF82" s="40" t="n"/>
      <c r="BG82" s="40" t="n"/>
      <c r="BH82" s="40" t="n"/>
      <c r="BI82" s="40" t="n"/>
      <c r="BJ82" s="40" t="n"/>
      <c r="BK82" s="40" t="n"/>
      <c r="BL82" s="40" t="n"/>
      <c r="BM82" s="40" t="n"/>
      <c r="BN82" s="40" t="n"/>
    </row>
    <row r="83" ht="18" customHeight="1" s="82">
      <c r="A83" s="30" t="n"/>
      <c r="B83" s="30" t="n"/>
      <c r="C83" s="30" t="n"/>
      <c r="D83" s="30" t="n"/>
      <c r="E83" s="31" t="n"/>
      <c r="F83" s="31" t="n"/>
      <c r="G83" s="31" t="n"/>
      <c r="H83" s="31" t="n"/>
      <c r="I83" s="31" t="n"/>
      <c r="J83" s="31" t="n"/>
      <c r="K83" s="31" t="n"/>
      <c r="L83" s="31" t="n"/>
      <c r="M83" s="31" t="n"/>
      <c r="N83" s="31" t="n"/>
      <c r="O83" s="31" t="n"/>
      <c r="P83" s="31" t="n"/>
      <c r="Q83" s="31" t="n"/>
      <c r="R83" s="31" t="n"/>
      <c r="S83" s="31" t="n"/>
      <c r="T83" s="31" t="n"/>
      <c r="U83" s="31" t="n"/>
      <c r="V83" s="31" t="n"/>
      <c r="W83" s="32" t="n"/>
      <c r="X83" s="31" t="n"/>
      <c r="Y83" s="31" t="n"/>
      <c r="Z83" s="31" t="n"/>
      <c r="AA83" s="31" t="n"/>
      <c r="AB83" s="31" t="n"/>
      <c r="AC83" s="31" t="n"/>
      <c r="AD83" s="32" t="n"/>
      <c r="AE83" s="31" t="n"/>
      <c r="AF83" s="33" t="n"/>
      <c r="AG83" s="66">
        <f>IF(OR(AF83="",AE83=""),"",IFERROR(AF83*INDEX(FXRates[USD per unit],MATCH(AE83,FXRates[Currency],0)),"No rate"))</f>
        <v/>
      </c>
      <c r="AH83" s="30" t="n"/>
      <c r="AI83" s="30" t="n"/>
      <c r="AJ83" s="34">
        <f>IF(A83="","",IF(COUNTIF($A$6:$A$504,A83)&gt;1,"⚠ Duplicate",""))</f>
        <v/>
      </c>
      <c r="AK83" s="33" t="n"/>
      <c r="AL83" s="41" t="n"/>
      <c r="AM83" s="41" t="n"/>
      <c r="AN83" s="41" t="n"/>
      <c r="AO83" s="41" t="n"/>
      <c r="AP83" s="41" t="n"/>
      <c r="AQ83" s="41" t="n"/>
      <c r="AR83" s="41" t="n"/>
      <c r="AS83" s="41" t="n"/>
      <c r="AT83" s="41" t="n"/>
      <c r="AU83" s="41" t="n"/>
      <c r="AV83" s="41" t="n"/>
      <c r="AW83" s="41" t="n"/>
      <c r="AX83" s="41" t="n"/>
      <c r="AY83" s="41" t="n"/>
      <c r="AZ83" s="33" t="n"/>
      <c r="BA83" s="41" t="n"/>
      <c r="BB83" s="41" t="n"/>
      <c r="BC83" s="41" t="n"/>
      <c r="BD83" s="41" t="n"/>
      <c r="BE83" s="41" t="n"/>
      <c r="BF83" s="41" t="n"/>
      <c r="BG83" s="41" t="n"/>
      <c r="BH83" s="41" t="n"/>
      <c r="BI83" s="41" t="n"/>
      <c r="BJ83" s="41" t="n"/>
      <c r="BK83" s="41" t="n"/>
      <c r="BL83" s="41" t="n"/>
      <c r="BM83" s="41" t="n"/>
      <c r="BN83" s="41" t="n"/>
    </row>
    <row r="84" ht="18" customHeight="1" s="82">
      <c r="A84" s="36" t="n"/>
      <c r="B84" s="36" t="n"/>
      <c r="C84" s="36" t="n"/>
      <c r="D84" s="36" t="n"/>
      <c r="E84" s="37" t="n"/>
      <c r="F84" s="37" t="n"/>
      <c r="G84" s="37" t="n"/>
      <c r="H84" s="37" t="n"/>
      <c r="I84" s="37" t="n"/>
      <c r="J84" s="37" t="n"/>
      <c r="K84" s="37" t="n"/>
      <c r="L84" s="37" t="n"/>
      <c r="M84" s="37" t="n"/>
      <c r="N84" s="37" t="n"/>
      <c r="O84" s="37" t="n"/>
      <c r="P84" s="37" t="n"/>
      <c r="Q84" s="37" t="n"/>
      <c r="R84" s="37" t="n"/>
      <c r="S84" s="37" t="n"/>
      <c r="T84" s="37" t="n"/>
      <c r="U84" s="37" t="n"/>
      <c r="V84" s="37" t="n"/>
      <c r="W84" s="32" t="n"/>
      <c r="X84" s="37" t="n"/>
      <c r="Y84" s="37" t="n"/>
      <c r="Z84" s="37" t="n"/>
      <c r="AA84" s="37" t="n"/>
      <c r="AB84" s="37" t="n"/>
      <c r="AC84" s="37" t="n"/>
      <c r="AD84" s="32" t="n"/>
      <c r="AE84" s="37" t="n"/>
      <c r="AF84" s="38" t="n"/>
      <c r="AG84" s="67">
        <f>IF(OR(AF84="",AE84=""),"",IFERROR(AF84*INDEX(FXRates[USD per unit],MATCH(AE84,FXRates[Currency],0)),"No rate"))</f>
        <v/>
      </c>
      <c r="AH84" s="36" t="n"/>
      <c r="AI84" s="36" t="n"/>
      <c r="AJ84" s="39">
        <f>IF(A84="","",IF(COUNTIF($A$6:$A$504,A84)&gt;1,"⚠ Duplicate",""))</f>
        <v/>
      </c>
      <c r="AK84" s="38" t="n"/>
      <c r="AL84" s="40" t="n"/>
      <c r="AM84" s="40" t="n"/>
      <c r="AN84" s="40" t="n"/>
      <c r="AO84" s="40" t="n"/>
      <c r="AP84" s="40" t="n"/>
      <c r="AQ84" s="40" t="n"/>
      <c r="AR84" s="40" t="n"/>
      <c r="AS84" s="40" t="n"/>
      <c r="AT84" s="40" t="n"/>
      <c r="AU84" s="40" t="n"/>
      <c r="AV84" s="40" t="n"/>
      <c r="AW84" s="40" t="n"/>
      <c r="AX84" s="40" t="n"/>
      <c r="AY84" s="40" t="n"/>
      <c r="AZ84" s="38" t="n"/>
      <c r="BA84" s="40" t="n"/>
      <c r="BB84" s="40" t="n"/>
      <c r="BC84" s="40" t="n"/>
      <c r="BD84" s="40" t="n"/>
      <c r="BE84" s="40" t="n"/>
      <c r="BF84" s="40" t="n"/>
      <c r="BG84" s="40" t="n"/>
      <c r="BH84" s="40" t="n"/>
      <c r="BI84" s="40" t="n"/>
      <c r="BJ84" s="40" t="n"/>
      <c r="BK84" s="40" t="n"/>
      <c r="BL84" s="40" t="n"/>
      <c r="BM84" s="40" t="n"/>
      <c r="BN84" s="40" t="n"/>
    </row>
    <row r="85" ht="18" customHeight="1" s="82">
      <c r="A85" s="30" t="n"/>
      <c r="B85" s="30" t="n"/>
      <c r="C85" s="30" t="n"/>
      <c r="D85" s="30" t="n"/>
      <c r="E85" s="31" t="n"/>
      <c r="F85" s="31" t="n"/>
      <c r="G85" s="31" t="n"/>
      <c r="H85" s="31" t="n"/>
      <c r="I85" s="31" t="n"/>
      <c r="J85" s="31" t="n"/>
      <c r="K85" s="31" t="n"/>
      <c r="L85" s="31" t="n"/>
      <c r="M85" s="31" t="n"/>
      <c r="N85" s="31" t="n"/>
      <c r="O85" s="31" t="n"/>
      <c r="P85" s="31" t="n"/>
      <c r="Q85" s="31" t="n"/>
      <c r="R85" s="31" t="n"/>
      <c r="S85" s="31" t="n"/>
      <c r="T85" s="31" t="n"/>
      <c r="U85" s="31" t="n"/>
      <c r="V85" s="31" t="n"/>
      <c r="W85" s="32" t="n"/>
      <c r="X85" s="31" t="n"/>
      <c r="Y85" s="31" t="n"/>
      <c r="Z85" s="31" t="n"/>
      <c r="AA85" s="31" t="n"/>
      <c r="AB85" s="31" t="n"/>
      <c r="AC85" s="31" t="n"/>
      <c r="AD85" s="32" t="n"/>
      <c r="AE85" s="31" t="n"/>
      <c r="AF85" s="33" t="n"/>
      <c r="AG85" s="66">
        <f>IF(OR(AF85="",AE85=""),"",IFERROR(AF85*INDEX(FXRates[USD per unit],MATCH(AE85,FXRates[Currency],0)),"No rate"))</f>
        <v/>
      </c>
      <c r="AH85" s="30" t="n"/>
      <c r="AI85" s="30" t="n"/>
      <c r="AJ85" s="34">
        <f>IF(A85="","",IF(COUNTIF($A$6:$A$504,A85)&gt;1,"⚠ Duplicate",""))</f>
        <v/>
      </c>
      <c r="AK85" s="33" t="n"/>
      <c r="AL85" s="41" t="n"/>
      <c r="AM85" s="41" t="n"/>
      <c r="AN85" s="41" t="n"/>
      <c r="AO85" s="41" t="n"/>
      <c r="AP85" s="41" t="n"/>
      <c r="AQ85" s="41" t="n"/>
      <c r="AR85" s="41" t="n"/>
      <c r="AS85" s="41" t="n"/>
      <c r="AT85" s="41" t="n"/>
      <c r="AU85" s="41" t="n"/>
      <c r="AV85" s="41" t="n"/>
      <c r="AW85" s="41" t="n"/>
      <c r="AX85" s="41" t="n"/>
      <c r="AY85" s="41" t="n"/>
      <c r="AZ85" s="33" t="n"/>
      <c r="BA85" s="41" t="n"/>
      <c r="BB85" s="41" t="n"/>
      <c r="BC85" s="41" t="n"/>
      <c r="BD85" s="41" t="n"/>
      <c r="BE85" s="41" t="n"/>
      <c r="BF85" s="41" t="n"/>
      <c r="BG85" s="41" t="n"/>
      <c r="BH85" s="41" t="n"/>
      <c r="BI85" s="41" t="n"/>
      <c r="BJ85" s="41" t="n"/>
      <c r="BK85" s="41" t="n"/>
      <c r="BL85" s="41" t="n"/>
      <c r="BM85" s="41" t="n"/>
      <c r="BN85" s="41" t="n"/>
    </row>
    <row r="86" ht="18" customHeight="1" s="82">
      <c r="A86" s="36" t="n"/>
      <c r="B86" s="36" t="n"/>
      <c r="C86" s="36" t="n"/>
      <c r="D86" s="36" t="n"/>
      <c r="E86" s="37" t="n"/>
      <c r="F86" s="37" t="n"/>
      <c r="G86" s="37" t="n"/>
      <c r="H86" s="37" t="n"/>
      <c r="I86" s="37" t="n"/>
      <c r="J86" s="37" t="n"/>
      <c r="K86" s="37" t="n"/>
      <c r="L86" s="37" t="n"/>
      <c r="M86" s="37" t="n"/>
      <c r="N86" s="37" t="n"/>
      <c r="O86" s="37" t="n"/>
      <c r="P86" s="37" t="n"/>
      <c r="Q86" s="37" t="n"/>
      <c r="R86" s="37" t="n"/>
      <c r="S86" s="37" t="n"/>
      <c r="T86" s="37" t="n"/>
      <c r="U86" s="37" t="n"/>
      <c r="V86" s="37" t="n"/>
      <c r="W86" s="32" t="n"/>
      <c r="X86" s="37" t="n"/>
      <c r="Y86" s="37" t="n"/>
      <c r="Z86" s="37" t="n"/>
      <c r="AA86" s="37" t="n"/>
      <c r="AB86" s="37" t="n"/>
      <c r="AC86" s="37" t="n"/>
      <c r="AD86" s="32" t="n"/>
      <c r="AE86" s="37" t="n"/>
      <c r="AF86" s="38" t="n"/>
      <c r="AG86" s="67">
        <f>IF(OR(AF86="",AE86=""),"",IFERROR(AF86*INDEX(FXRates[USD per unit],MATCH(AE86,FXRates[Currency],0)),"No rate"))</f>
        <v/>
      </c>
      <c r="AH86" s="36" t="n"/>
      <c r="AI86" s="36" t="n"/>
      <c r="AJ86" s="39">
        <f>IF(A86="","",IF(COUNTIF($A$6:$A$504,A86)&gt;1,"⚠ Duplicate",""))</f>
        <v/>
      </c>
      <c r="AK86" s="38" t="n"/>
      <c r="AL86" s="40" t="n"/>
      <c r="AM86" s="40" t="n"/>
      <c r="AN86" s="40" t="n"/>
      <c r="AO86" s="40" t="n"/>
      <c r="AP86" s="40" t="n"/>
      <c r="AQ86" s="40" t="n"/>
      <c r="AR86" s="40" t="n"/>
      <c r="AS86" s="40" t="n"/>
      <c r="AT86" s="40" t="n"/>
      <c r="AU86" s="40" t="n"/>
      <c r="AV86" s="40" t="n"/>
      <c r="AW86" s="40" t="n"/>
      <c r="AX86" s="40" t="n"/>
      <c r="AY86" s="40" t="n"/>
      <c r="AZ86" s="38" t="n"/>
      <c r="BA86" s="40" t="n"/>
      <c r="BB86" s="40" t="n"/>
      <c r="BC86" s="40" t="n"/>
      <c r="BD86" s="40" t="n"/>
      <c r="BE86" s="40" t="n"/>
      <c r="BF86" s="40" t="n"/>
      <c r="BG86" s="40" t="n"/>
      <c r="BH86" s="40" t="n"/>
      <c r="BI86" s="40" t="n"/>
      <c r="BJ86" s="40" t="n"/>
      <c r="BK86" s="40" t="n"/>
      <c r="BL86" s="40" t="n"/>
      <c r="BM86" s="40" t="n"/>
      <c r="BN86" s="40" t="n"/>
    </row>
    <row r="87" ht="18" customHeight="1" s="82">
      <c r="A87" s="30" t="n"/>
      <c r="B87" s="30" t="n"/>
      <c r="C87" s="30" t="n"/>
      <c r="D87" s="30" t="n"/>
      <c r="E87" s="31" t="n"/>
      <c r="F87" s="31" t="n"/>
      <c r="G87" s="31" t="n"/>
      <c r="H87" s="31" t="n"/>
      <c r="I87" s="31" t="n"/>
      <c r="J87" s="31" t="n"/>
      <c r="K87" s="31" t="n"/>
      <c r="L87" s="31" t="n"/>
      <c r="M87" s="31" t="n"/>
      <c r="N87" s="31" t="n"/>
      <c r="O87" s="31" t="n"/>
      <c r="P87" s="31" t="n"/>
      <c r="Q87" s="31" t="n"/>
      <c r="R87" s="31" t="n"/>
      <c r="S87" s="31" t="n"/>
      <c r="T87" s="31" t="n"/>
      <c r="U87" s="31" t="n"/>
      <c r="V87" s="31" t="n"/>
      <c r="W87" s="32" t="n"/>
      <c r="X87" s="31" t="n"/>
      <c r="Y87" s="31" t="n"/>
      <c r="Z87" s="31" t="n"/>
      <c r="AA87" s="31" t="n"/>
      <c r="AB87" s="31" t="n"/>
      <c r="AC87" s="31" t="n"/>
      <c r="AD87" s="32" t="n"/>
      <c r="AE87" s="31" t="n"/>
      <c r="AF87" s="33" t="n"/>
      <c r="AG87" s="66">
        <f>IF(OR(AF87="",AE87=""),"",IFERROR(AF87*INDEX(FXRates[USD per unit],MATCH(AE87,FXRates[Currency],0)),"No rate"))</f>
        <v/>
      </c>
      <c r="AH87" s="30" t="n"/>
      <c r="AI87" s="30" t="n"/>
      <c r="AJ87" s="34">
        <f>IF(A87="","",IF(COUNTIF($A$6:$A$504,A87)&gt;1,"⚠ Duplicate",""))</f>
        <v/>
      </c>
      <c r="AK87" s="33" t="n"/>
      <c r="AL87" s="41" t="n"/>
      <c r="AM87" s="41" t="n"/>
      <c r="AN87" s="41" t="n"/>
      <c r="AO87" s="41" t="n"/>
      <c r="AP87" s="41" t="n"/>
      <c r="AQ87" s="41" t="n"/>
      <c r="AR87" s="41" t="n"/>
      <c r="AS87" s="41" t="n"/>
      <c r="AT87" s="41" t="n"/>
      <c r="AU87" s="41" t="n"/>
      <c r="AV87" s="41" t="n"/>
      <c r="AW87" s="41" t="n"/>
      <c r="AX87" s="41" t="n"/>
      <c r="AY87" s="41" t="n"/>
      <c r="AZ87" s="33" t="n"/>
      <c r="BA87" s="41" t="n"/>
      <c r="BB87" s="41" t="n"/>
      <c r="BC87" s="41" t="n"/>
      <c r="BD87" s="41" t="n"/>
      <c r="BE87" s="41" t="n"/>
      <c r="BF87" s="41" t="n"/>
      <c r="BG87" s="41" t="n"/>
      <c r="BH87" s="41" t="n"/>
      <c r="BI87" s="41" t="n"/>
      <c r="BJ87" s="41" t="n"/>
      <c r="BK87" s="41" t="n"/>
      <c r="BL87" s="41" t="n"/>
      <c r="BM87" s="41" t="n"/>
      <c r="BN87" s="41" t="n"/>
    </row>
    <row r="88" ht="18" customHeight="1" s="82">
      <c r="A88" s="36" t="n"/>
      <c r="B88" s="36" t="n"/>
      <c r="C88" s="36" t="n"/>
      <c r="D88" s="36" t="n"/>
      <c r="E88" s="37" t="n"/>
      <c r="F88" s="37" t="n"/>
      <c r="G88" s="37" t="n"/>
      <c r="H88" s="37" t="n"/>
      <c r="I88" s="37" t="n"/>
      <c r="J88" s="37" t="n"/>
      <c r="K88" s="37" t="n"/>
      <c r="L88" s="37" t="n"/>
      <c r="M88" s="37" t="n"/>
      <c r="N88" s="37" t="n"/>
      <c r="O88" s="37" t="n"/>
      <c r="P88" s="37" t="n"/>
      <c r="Q88" s="37" t="n"/>
      <c r="R88" s="37" t="n"/>
      <c r="S88" s="37" t="n"/>
      <c r="T88" s="37" t="n"/>
      <c r="U88" s="37" t="n"/>
      <c r="V88" s="37" t="n"/>
      <c r="W88" s="32" t="n"/>
      <c r="X88" s="37" t="n"/>
      <c r="Y88" s="37" t="n"/>
      <c r="Z88" s="37" t="n"/>
      <c r="AA88" s="37" t="n"/>
      <c r="AB88" s="37" t="n"/>
      <c r="AC88" s="37" t="n"/>
      <c r="AD88" s="32" t="n"/>
      <c r="AE88" s="37" t="n"/>
      <c r="AF88" s="38" t="n"/>
      <c r="AG88" s="67">
        <f>IF(OR(AF88="",AE88=""),"",IFERROR(AF88*INDEX(FXRates[USD per unit],MATCH(AE88,FXRates[Currency],0)),"No rate"))</f>
        <v/>
      </c>
      <c r="AH88" s="36" t="n"/>
      <c r="AI88" s="36" t="n"/>
      <c r="AJ88" s="39">
        <f>IF(A88="","",IF(COUNTIF($A$6:$A$504,A88)&gt;1,"⚠ Duplicate",""))</f>
        <v/>
      </c>
      <c r="AK88" s="38" t="n"/>
      <c r="AL88" s="40" t="n"/>
      <c r="AM88" s="40" t="n"/>
      <c r="AN88" s="40" t="n"/>
      <c r="AO88" s="40" t="n"/>
      <c r="AP88" s="40" t="n"/>
      <c r="AQ88" s="40" t="n"/>
      <c r="AR88" s="40" t="n"/>
      <c r="AS88" s="40" t="n"/>
      <c r="AT88" s="40" t="n"/>
      <c r="AU88" s="40" t="n"/>
      <c r="AV88" s="40" t="n"/>
      <c r="AW88" s="40" t="n"/>
      <c r="AX88" s="40" t="n"/>
      <c r="AY88" s="40" t="n"/>
      <c r="AZ88" s="38" t="n"/>
      <c r="BA88" s="40" t="n"/>
      <c r="BB88" s="40" t="n"/>
      <c r="BC88" s="40" t="n"/>
      <c r="BD88" s="40" t="n"/>
      <c r="BE88" s="40" t="n"/>
      <c r="BF88" s="40" t="n"/>
      <c r="BG88" s="40" t="n"/>
      <c r="BH88" s="40" t="n"/>
      <c r="BI88" s="40" t="n"/>
      <c r="BJ88" s="40" t="n"/>
      <c r="BK88" s="40" t="n"/>
      <c r="BL88" s="40" t="n"/>
      <c r="BM88" s="40" t="n"/>
      <c r="BN88" s="40" t="n"/>
    </row>
    <row r="89" ht="18" customHeight="1" s="82">
      <c r="A89" s="30" t="n"/>
      <c r="B89" s="30" t="n"/>
      <c r="C89" s="30" t="n"/>
      <c r="D89" s="30" t="n"/>
      <c r="E89" s="31" t="n"/>
      <c r="F89" s="31" t="n"/>
      <c r="G89" s="31" t="n"/>
      <c r="H89" s="31" t="n"/>
      <c r="I89" s="31" t="n"/>
      <c r="J89" s="31" t="n"/>
      <c r="K89" s="31" t="n"/>
      <c r="L89" s="31" t="n"/>
      <c r="M89" s="31" t="n"/>
      <c r="N89" s="31" t="n"/>
      <c r="O89" s="31" t="n"/>
      <c r="P89" s="31" t="n"/>
      <c r="Q89" s="31" t="n"/>
      <c r="R89" s="31" t="n"/>
      <c r="S89" s="31" t="n"/>
      <c r="T89" s="31" t="n"/>
      <c r="U89" s="31" t="n"/>
      <c r="V89" s="31" t="n"/>
      <c r="W89" s="32" t="n"/>
      <c r="X89" s="31" t="n"/>
      <c r="Y89" s="31" t="n"/>
      <c r="Z89" s="31" t="n"/>
      <c r="AA89" s="31" t="n"/>
      <c r="AB89" s="31" t="n"/>
      <c r="AC89" s="31" t="n"/>
      <c r="AD89" s="32" t="n"/>
      <c r="AE89" s="31" t="n"/>
      <c r="AF89" s="33" t="n"/>
      <c r="AG89" s="66">
        <f>IF(OR(AF89="",AE89=""),"",IFERROR(AF89*INDEX(FXRates[USD per unit],MATCH(AE89,FXRates[Currency],0)),"No rate"))</f>
        <v/>
      </c>
      <c r="AH89" s="30" t="n"/>
      <c r="AI89" s="30" t="n"/>
      <c r="AJ89" s="34">
        <f>IF(A89="","",IF(COUNTIF($A$6:$A$504,A89)&gt;1,"⚠ Duplicate",""))</f>
        <v/>
      </c>
      <c r="AK89" s="33" t="n"/>
      <c r="AL89" s="41" t="n"/>
      <c r="AM89" s="41" t="n"/>
      <c r="AN89" s="41" t="n"/>
      <c r="AO89" s="41" t="n"/>
      <c r="AP89" s="41" t="n"/>
      <c r="AQ89" s="41" t="n"/>
      <c r="AR89" s="41" t="n"/>
      <c r="AS89" s="41" t="n"/>
      <c r="AT89" s="41" t="n"/>
      <c r="AU89" s="41" t="n"/>
      <c r="AV89" s="41" t="n"/>
      <c r="AW89" s="41" t="n"/>
      <c r="AX89" s="41" t="n"/>
      <c r="AY89" s="41" t="n"/>
      <c r="AZ89" s="33" t="n"/>
      <c r="BA89" s="41" t="n"/>
      <c r="BB89" s="41" t="n"/>
      <c r="BC89" s="41" t="n"/>
      <c r="BD89" s="41" t="n"/>
      <c r="BE89" s="41" t="n"/>
      <c r="BF89" s="41" t="n"/>
      <c r="BG89" s="41" t="n"/>
      <c r="BH89" s="41" t="n"/>
      <c r="BI89" s="41" t="n"/>
      <c r="BJ89" s="41" t="n"/>
      <c r="BK89" s="41" t="n"/>
      <c r="BL89" s="41" t="n"/>
      <c r="BM89" s="41" t="n"/>
      <c r="BN89" s="41" t="n"/>
    </row>
    <row r="90" ht="18" customHeight="1" s="82">
      <c r="A90" s="36" t="n"/>
      <c r="B90" s="36" t="n"/>
      <c r="C90" s="36" t="n"/>
      <c r="D90" s="36" t="n"/>
      <c r="E90" s="37" t="n"/>
      <c r="F90" s="37" t="n"/>
      <c r="G90" s="37" t="n"/>
      <c r="H90" s="37" t="n"/>
      <c r="I90" s="37" t="n"/>
      <c r="J90" s="37" t="n"/>
      <c r="K90" s="37" t="n"/>
      <c r="L90" s="37" t="n"/>
      <c r="M90" s="37" t="n"/>
      <c r="N90" s="37" t="n"/>
      <c r="O90" s="37" t="n"/>
      <c r="P90" s="37" t="n"/>
      <c r="Q90" s="37" t="n"/>
      <c r="R90" s="37" t="n"/>
      <c r="S90" s="37" t="n"/>
      <c r="T90" s="37" t="n"/>
      <c r="U90" s="37" t="n"/>
      <c r="V90" s="37" t="n"/>
      <c r="W90" s="32" t="n"/>
      <c r="X90" s="37" t="n"/>
      <c r="Y90" s="37" t="n"/>
      <c r="Z90" s="37" t="n"/>
      <c r="AA90" s="37" t="n"/>
      <c r="AB90" s="37" t="n"/>
      <c r="AC90" s="37" t="n"/>
      <c r="AD90" s="32" t="n"/>
      <c r="AE90" s="37" t="n"/>
      <c r="AF90" s="38" t="n"/>
      <c r="AG90" s="67">
        <f>IF(OR(AF90="",AE90=""),"",IFERROR(AF90*INDEX(FXRates[USD per unit],MATCH(AE90,FXRates[Currency],0)),"No rate"))</f>
        <v/>
      </c>
      <c r="AH90" s="36" t="n"/>
      <c r="AI90" s="36" t="n"/>
      <c r="AJ90" s="39">
        <f>IF(A90="","",IF(COUNTIF($A$6:$A$504,A90)&gt;1,"⚠ Duplicate",""))</f>
        <v/>
      </c>
      <c r="AK90" s="38" t="n"/>
      <c r="AL90" s="40" t="n"/>
      <c r="AM90" s="40" t="n"/>
      <c r="AN90" s="40" t="n"/>
      <c r="AO90" s="40" t="n"/>
      <c r="AP90" s="40" t="n"/>
      <c r="AQ90" s="40" t="n"/>
      <c r="AR90" s="40" t="n"/>
      <c r="AS90" s="40" t="n"/>
      <c r="AT90" s="40" t="n"/>
      <c r="AU90" s="40" t="n"/>
      <c r="AV90" s="40" t="n"/>
      <c r="AW90" s="40" t="n"/>
      <c r="AX90" s="40" t="n"/>
      <c r="AY90" s="40" t="n"/>
      <c r="AZ90" s="38" t="n"/>
      <c r="BA90" s="40" t="n"/>
      <c r="BB90" s="40" t="n"/>
      <c r="BC90" s="40" t="n"/>
      <c r="BD90" s="40" t="n"/>
      <c r="BE90" s="40" t="n"/>
      <c r="BF90" s="40" t="n"/>
      <c r="BG90" s="40" t="n"/>
      <c r="BH90" s="40" t="n"/>
      <c r="BI90" s="40" t="n"/>
      <c r="BJ90" s="40" t="n"/>
      <c r="BK90" s="40" t="n"/>
      <c r="BL90" s="40" t="n"/>
      <c r="BM90" s="40" t="n"/>
      <c r="BN90" s="40" t="n"/>
    </row>
    <row r="91" ht="18" customHeight="1" s="82">
      <c r="A91" s="30" t="n"/>
      <c r="B91" s="30" t="n"/>
      <c r="C91" s="30" t="n"/>
      <c r="D91" s="30" t="n"/>
      <c r="E91" s="31" t="n"/>
      <c r="F91" s="31" t="n"/>
      <c r="G91" s="31" t="n"/>
      <c r="H91" s="31" t="n"/>
      <c r="I91" s="31" t="n"/>
      <c r="J91" s="31" t="n"/>
      <c r="K91" s="31" t="n"/>
      <c r="L91" s="31" t="n"/>
      <c r="M91" s="31" t="n"/>
      <c r="N91" s="31" t="n"/>
      <c r="O91" s="31" t="n"/>
      <c r="P91" s="31" t="n"/>
      <c r="Q91" s="31" t="n"/>
      <c r="R91" s="31" t="n"/>
      <c r="S91" s="31" t="n"/>
      <c r="T91" s="31" t="n"/>
      <c r="U91" s="31" t="n"/>
      <c r="V91" s="31" t="n"/>
      <c r="W91" s="32" t="n"/>
      <c r="X91" s="31" t="n"/>
      <c r="Y91" s="31" t="n"/>
      <c r="Z91" s="31" t="n"/>
      <c r="AA91" s="31" t="n"/>
      <c r="AB91" s="31" t="n"/>
      <c r="AC91" s="31" t="n"/>
      <c r="AD91" s="32" t="n"/>
      <c r="AE91" s="31" t="n"/>
      <c r="AF91" s="33" t="n"/>
      <c r="AG91" s="66">
        <f>IF(OR(AF91="",AE91=""),"",IFERROR(AF91*INDEX(FXRates[USD per unit],MATCH(AE91,FXRates[Currency],0)),"No rate"))</f>
        <v/>
      </c>
      <c r="AH91" s="30" t="n"/>
      <c r="AI91" s="30" t="n"/>
      <c r="AJ91" s="34">
        <f>IF(A91="","",IF(COUNTIF($A$6:$A$504,A91)&gt;1,"⚠ Duplicate",""))</f>
        <v/>
      </c>
      <c r="AK91" s="33" t="n"/>
      <c r="AL91" s="41" t="n"/>
      <c r="AM91" s="41" t="n"/>
      <c r="AN91" s="41" t="n"/>
      <c r="AO91" s="41" t="n"/>
      <c r="AP91" s="41" t="n"/>
      <c r="AQ91" s="41" t="n"/>
      <c r="AR91" s="41" t="n"/>
      <c r="AS91" s="41" t="n"/>
      <c r="AT91" s="41" t="n"/>
      <c r="AU91" s="41" t="n"/>
      <c r="AV91" s="41" t="n"/>
      <c r="AW91" s="41" t="n"/>
      <c r="AX91" s="41" t="n"/>
      <c r="AY91" s="41" t="n"/>
      <c r="AZ91" s="33" t="n"/>
      <c r="BA91" s="41" t="n"/>
      <c r="BB91" s="41" t="n"/>
      <c r="BC91" s="41" t="n"/>
      <c r="BD91" s="41" t="n"/>
      <c r="BE91" s="41" t="n"/>
      <c r="BF91" s="41" t="n"/>
      <c r="BG91" s="41" t="n"/>
      <c r="BH91" s="41" t="n"/>
      <c r="BI91" s="41" t="n"/>
      <c r="BJ91" s="41" t="n"/>
      <c r="BK91" s="41" t="n"/>
      <c r="BL91" s="41" t="n"/>
      <c r="BM91" s="41" t="n"/>
      <c r="BN91" s="41" t="n"/>
    </row>
    <row r="92" ht="18" customHeight="1" s="82">
      <c r="A92" s="36" t="n"/>
      <c r="B92" s="36" t="n"/>
      <c r="C92" s="36" t="n"/>
      <c r="D92" s="36" t="n"/>
      <c r="E92" s="37" t="n"/>
      <c r="F92" s="37" t="n"/>
      <c r="G92" s="37" t="n"/>
      <c r="H92" s="37" t="n"/>
      <c r="I92" s="37" t="n"/>
      <c r="J92" s="37" t="n"/>
      <c r="K92" s="37" t="n"/>
      <c r="L92" s="37" t="n"/>
      <c r="M92" s="37" t="n"/>
      <c r="N92" s="37" t="n"/>
      <c r="O92" s="37" t="n"/>
      <c r="P92" s="37" t="n"/>
      <c r="Q92" s="37" t="n"/>
      <c r="R92" s="37" t="n"/>
      <c r="S92" s="37" t="n"/>
      <c r="T92" s="37" t="n"/>
      <c r="U92" s="37" t="n"/>
      <c r="V92" s="37" t="n"/>
      <c r="W92" s="32" t="n"/>
      <c r="X92" s="37" t="n"/>
      <c r="Y92" s="37" t="n"/>
      <c r="Z92" s="37" t="n"/>
      <c r="AA92" s="37" t="n"/>
      <c r="AB92" s="37" t="n"/>
      <c r="AC92" s="37" t="n"/>
      <c r="AD92" s="32" t="n"/>
      <c r="AE92" s="37" t="n"/>
      <c r="AF92" s="38" t="n"/>
      <c r="AG92" s="67">
        <f>IF(OR(AF92="",AE92=""),"",IFERROR(AF92*INDEX(FXRates[USD per unit],MATCH(AE92,FXRates[Currency],0)),"No rate"))</f>
        <v/>
      </c>
      <c r="AH92" s="36" t="n"/>
      <c r="AI92" s="36" t="n"/>
      <c r="AJ92" s="39">
        <f>IF(A92="","",IF(COUNTIF($A$6:$A$504,A92)&gt;1,"⚠ Duplicate",""))</f>
        <v/>
      </c>
      <c r="AK92" s="38" t="n"/>
      <c r="AL92" s="40" t="n"/>
      <c r="AM92" s="40" t="n"/>
      <c r="AN92" s="40" t="n"/>
      <c r="AO92" s="40" t="n"/>
      <c r="AP92" s="40" t="n"/>
      <c r="AQ92" s="40" t="n"/>
      <c r="AR92" s="40" t="n"/>
      <c r="AS92" s="40" t="n"/>
      <c r="AT92" s="40" t="n"/>
      <c r="AU92" s="40" t="n"/>
      <c r="AV92" s="40" t="n"/>
      <c r="AW92" s="40" t="n"/>
      <c r="AX92" s="40" t="n"/>
      <c r="AY92" s="40" t="n"/>
      <c r="AZ92" s="38" t="n"/>
      <c r="BA92" s="40" t="n"/>
      <c r="BB92" s="40" t="n"/>
      <c r="BC92" s="40" t="n"/>
      <c r="BD92" s="40" t="n"/>
      <c r="BE92" s="40" t="n"/>
      <c r="BF92" s="40" t="n"/>
      <c r="BG92" s="40" t="n"/>
      <c r="BH92" s="40" t="n"/>
      <c r="BI92" s="40" t="n"/>
      <c r="BJ92" s="40" t="n"/>
      <c r="BK92" s="40" t="n"/>
      <c r="BL92" s="40" t="n"/>
      <c r="BM92" s="40" t="n"/>
      <c r="BN92" s="40" t="n"/>
    </row>
    <row r="93" ht="18" customHeight="1" s="82">
      <c r="A93" s="30" t="n"/>
      <c r="B93" s="30" t="n"/>
      <c r="C93" s="30" t="n"/>
      <c r="D93" s="30" t="n"/>
      <c r="E93" s="31" t="n"/>
      <c r="F93" s="31" t="n"/>
      <c r="G93" s="31" t="n"/>
      <c r="H93" s="31" t="n"/>
      <c r="I93" s="31" t="n"/>
      <c r="J93" s="31" t="n"/>
      <c r="K93" s="31" t="n"/>
      <c r="L93" s="31" t="n"/>
      <c r="M93" s="31" t="n"/>
      <c r="N93" s="31" t="n"/>
      <c r="O93" s="31" t="n"/>
      <c r="P93" s="31" t="n"/>
      <c r="Q93" s="31" t="n"/>
      <c r="R93" s="31" t="n"/>
      <c r="S93" s="31" t="n"/>
      <c r="T93" s="31" t="n"/>
      <c r="U93" s="31" t="n"/>
      <c r="V93" s="31" t="n"/>
      <c r="W93" s="32" t="n"/>
      <c r="X93" s="31" t="n"/>
      <c r="Y93" s="31" t="n"/>
      <c r="Z93" s="31" t="n"/>
      <c r="AA93" s="31" t="n"/>
      <c r="AB93" s="31" t="n"/>
      <c r="AC93" s="31" t="n"/>
      <c r="AD93" s="32" t="n"/>
      <c r="AE93" s="31" t="n"/>
      <c r="AF93" s="33" t="n"/>
      <c r="AG93" s="66">
        <f>IF(OR(AF93="",AE93=""),"",IFERROR(AF93*INDEX(FXRates[USD per unit],MATCH(AE93,FXRates[Currency],0)),"No rate"))</f>
        <v/>
      </c>
      <c r="AH93" s="30" t="n"/>
      <c r="AI93" s="30" t="n"/>
      <c r="AJ93" s="34">
        <f>IF(A93="","",IF(COUNTIF($A$6:$A$504,A93)&gt;1,"⚠ Duplicate",""))</f>
        <v/>
      </c>
      <c r="AK93" s="33" t="n"/>
      <c r="AL93" s="41" t="n"/>
      <c r="AM93" s="41" t="n"/>
      <c r="AN93" s="41" t="n"/>
      <c r="AO93" s="41" t="n"/>
      <c r="AP93" s="41" t="n"/>
      <c r="AQ93" s="41" t="n"/>
      <c r="AR93" s="41" t="n"/>
      <c r="AS93" s="41" t="n"/>
      <c r="AT93" s="41" t="n"/>
      <c r="AU93" s="41" t="n"/>
      <c r="AV93" s="41" t="n"/>
      <c r="AW93" s="41" t="n"/>
      <c r="AX93" s="41" t="n"/>
      <c r="AY93" s="41" t="n"/>
      <c r="AZ93" s="33" t="n"/>
      <c r="BA93" s="41" t="n"/>
      <c r="BB93" s="41" t="n"/>
      <c r="BC93" s="41" t="n"/>
      <c r="BD93" s="41" t="n"/>
      <c r="BE93" s="41" t="n"/>
      <c r="BF93" s="41" t="n"/>
      <c r="BG93" s="41" t="n"/>
      <c r="BH93" s="41" t="n"/>
      <c r="BI93" s="41" t="n"/>
      <c r="BJ93" s="41" t="n"/>
      <c r="BK93" s="41" t="n"/>
      <c r="BL93" s="41" t="n"/>
      <c r="BM93" s="41" t="n"/>
      <c r="BN93" s="41" t="n"/>
    </row>
    <row r="94" ht="18" customHeight="1" s="82">
      <c r="A94" s="36" t="n"/>
      <c r="B94" s="36" t="n"/>
      <c r="C94" s="36" t="n"/>
      <c r="D94" s="36" t="n"/>
      <c r="E94" s="37" t="n"/>
      <c r="F94" s="37" t="n"/>
      <c r="G94" s="37" t="n"/>
      <c r="H94" s="37" t="n"/>
      <c r="I94" s="37" t="n"/>
      <c r="J94" s="37" t="n"/>
      <c r="K94" s="37" t="n"/>
      <c r="L94" s="37" t="n"/>
      <c r="M94" s="37" t="n"/>
      <c r="N94" s="37" t="n"/>
      <c r="O94" s="37" t="n"/>
      <c r="P94" s="37" t="n"/>
      <c r="Q94" s="37" t="n"/>
      <c r="R94" s="37" t="n"/>
      <c r="S94" s="37" t="n"/>
      <c r="T94" s="37" t="n"/>
      <c r="U94" s="37" t="n"/>
      <c r="V94" s="37" t="n"/>
      <c r="W94" s="32" t="n"/>
      <c r="X94" s="37" t="n"/>
      <c r="Y94" s="37" t="n"/>
      <c r="Z94" s="37" t="n"/>
      <c r="AA94" s="37" t="n"/>
      <c r="AB94" s="37" t="n"/>
      <c r="AC94" s="37" t="n"/>
      <c r="AD94" s="32" t="n"/>
      <c r="AE94" s="37" t="n"/>
      <c r="AF94" s="38" t="n"/>
      <c r="AG94" s="67">
        <f>IF(OR(AF94="",AE94=""),"",IFERROR(AF94*INDEX(FXRates[USD per unit],MATCH(AE94,FXRates[Currency],0)),"No rate"))</f>
        <v/>
      </c>
      <c r="AH94" s="36" t="n"/>
      <c r="AI94" s="36" t="n"/>
      <c r="AJ94" s="39">
        <f>IF(A94="","",IF(COUNTIF($A$6:$A$504,A94)&gt;1,"⚠ Duplicate",""))</f>
        <v/>
      </c>
      <c r="AK94" s="38" t="n"/>
      <c r="AL94" s="40" t="n"/>
      <c r="AM94" s="40" t="n"/>
      <c r="AN94" s="40" t="n"/>
      <c r="AO94" s="40" t="n"/>
      <c r="AP94" s="40" t="n"/>
      <c r="AQ94" s="40" t="n"/>
      <c r="AR94" s="40" t="n"/>
      <c r="AS94" s="40" t="n"/>
      <c r="AT94" s="40" t="n"/>
      <c r="AU94" s="40" t="n"/>
      <c r="AV94" s="40" t="n"/>
      <c r="AW94" s="40" t="n"/>
      <c r="AX94" s="40" t="n"/>
      <c r="AY94" s="40" t="n"/>
      <c r="AZ94" s="38" t="n"/>
      <c r="BA94" s="40" t="n"/>
      <c r="BB94" s="40" t="n"/>
      <c r="BC94" s="40" t="n"/>
      <c r="BD94" s="40" t="n"/>
      <c r="BE94" s="40" t="n"/>
      <c r="BF94" s="40" t="n"/>
      <c r="BG94" s="40" t="n"/>
      <c r="BH94" s="40" t="n"/>
      <c r="BI94" s="40" t="n"/>
      <c r="BJ94" s="40" t="n"/>
      <c r="BK94" s="40" t="n"/>
      <c r="BL94" s="40" t="n"/>
      <c r="BM94" s="40" t="n"/>
      <c r="BN94" s="40" t="n"/>
    </row>
    <row r="95" ht="18" customHeight="1" s="82">
      <c r="A95" s="30" t="n"/>
      <c r="B95" s="30" t="n"/>
      <c r="C95" s="30" t="n"/>
      <c r="D95" s="30" t="n"/>
      <c r="E95" s="31" t="n"/>
      <c r="F95" s="31" t="n"/>
      <c r="G95" s="31" t="n"/>
      <c r="H95" s="31" t="n"/>
      <c r="I95" s="31" t="n"/>
      <c r="J95" s="31" t="n"/>
      <c r="K95" s="31" t="n"/>
      <c r="L95" s="31" t="n"/>
      <c r="M95" s="31" t="n"/>
      <c r="N95" s="31" t="n"/>
      <c r="O95" s="31" t="n"/>
      <c r="P95" s="31" t="n"/>
      <c r="Q95" s="31" t="n"/>
      <c r="R95" s="31" t="n"/>
      <c r="S95" s="31" t="n"/>
      <c r="T95" s="31" t="n"/>
      <c r="U95" s="31" t="n"/>
      <c r="V95" s="31" t="n"/>
      <c r="W95" s="32" t="n"/>
      <c r="X95" s="31" t="n"/>
      <c r="Y95" s="31" t="n"/>
      <c r="Z95" s="31" t="n"/>
      <c r="AA95" s="31" t="n"/>
      <c r="AB95" s="31" t="n"/>
      <c r="AC95" s="31" t="n"/>
      <c r="AD95" s="32" t="n"/>
      <c r="AE95" s="31" t="n"/>
      <c r="AF95" s="33" t="n"/>
      <c r="AG95" s="66">
        <f>IF(OR(AF95="",AE95=""),"",IFERROR(AF95*INDEX(FXRates[USD per unit],MATCH(AE95,FXRates[Currency],0)),"No rate"))</f>
        <v/>
      </c>
      <c r="AH95" s="30" t="n"/>
      <c r="AI95" s="30" t="n"/>
      <c r="AJ95" s="34">
        <f>IF(A95="","",IF(COUNTIF($A$6:$A$504,A95)&gt;1,"⚠ Duplicate",""))</f>
        <v/>
      </c>
      <c r="AK95" s="33" t="n"/>
      <c r="AL95" s="41" t="n"/>
      <c r="AM95" s="41" t="n"/>
      <c r="AN95" s="41" t="n"/>
      <c r="AO95" s="41" t="n"/>
      <c r="AP95" s="41" t="n"/>
      <c r="AQ95" s="41" t="n"/>
      <c r="AR95" s="41" t="n"/>
      <c r="AS95" s="41" t="n"/>
      <c r="AT95" s="41" t="n"/>
      <c r="AU95" s="41" t="n"/>
      <c r="AV95" s="41" t="n"/>
      <c r="AW95" s="41" t="n"/>
      <c r="AX95" s="41" t="n"/>
      <c r="AY95" s="41" t="n"/>
      <c r="AZ95" s="33" t="n"/>
      <c r="BA95" s="41" t="n"/>
      <c r="BB95" s="41" t="n"/>
      <c r="BC95" s="41" t="n"/>
      <c r="BD95" s="41" t="n"/>
      <c r="BE95" s="41" t="n"/>
      <c r="BF95" s="41" t="n"/>
      <c r="BG95" s="41" t="n"/>
      <c r="BH95" s="41" t="n"/>
      <c r="BI95" s="41" t="n"/>
      <c r="BJ95" s="41" t="n"/>
      <c r="BK95" s="41" t="n"/>
      <c r="BL95" s="41" t="n"/>
      <c r="BM95" s="41" t="n"/>
      <c r="BN95" s="41" t="n"/>
    </row>
    <row r="96" ht="18" customHeight="1" s="82">
      <c r="A96" s="36" t="n"/>
      <c r="B96" s="36" t="n"/>
      <c r="C96" s="36" t="n"/>
      <c r="D96" s="36" t="n"/>
      <c r="E96" s="37" t="n"/>
      <c r="F96" s="37" t="n"/>
      <c r="G96" s="37" t="n"/>
      <c r="H96" s="37" t="n"/>
      <c r="I96" s="37" t="n"/>
      <c r="J96" s="37" t="n"/>
      <c r="K96" s="37" t="n"/>
      <c r="L96" s="37" t="n"/>
      <c r="M96" s="37" t="n"/>
      <c r="N96" s="37" t="n"/>
      <c r="O96" s="37" t="n"/>
      <c r="P96" s="37" t="n"/>
      <c r="Q96" s="37" t="n"/>
      <c r="R96" s="37" t="n"/>
      <c r="S96" s="37" t="n"/>
      <c r="T96" s="37" t="n"/>
      <c r="U96" s="37" t="n"/>
      <c r="V96" s="37" t="n"/>
      <c r="W96" s="32" t="n"/>
      <c r="X96" s="37" t="n"/>
      <c r="Y96" s="37" t="n"/>
      <c r="Z96" s="37" t="n"/>
      <c r="AA96" s="37" t="n"/>
      <c r="AB96" s="37" t="n"/>
      <c r="AC96" s="37" t="n"/>
      <c r="AD96" s="32" t="n"/>
      <c r="AE96" s="37" t="n"/>
      <c r="AF96" s="38" t="n"/>
      <c r="AG96" s="67">
        <f>IF(OR(AF96="",AE96=""),"",IFERROR(AF96*INDEX(FXRates[USD per unit],MATCH(AE96,FXRates[Currency],0)),"No rate"))</f>
        <v/>
      </c>
      <c r="AH96" s="36" t="n"/>
      <c r="AI96" s="36" t="n"/>
      <c r="AJ96" s="39">
        <f>IF(A96="","",IF(COUNTIF($A$6:$A$504,A96)&gt;1,"⚠ Duplicate",""))</f>
        <v/>
      </c>
      <c r="AK96" s="38" t="n"/>
      <c r="AL96" s="40" t="n"/>
      <c r="AM96" s="40" t="n"/>
      <c r="AN96" s="40" t="n"/>
      <c r="AO96" s="40" t="n"/>
      <c r="AP96" s="40" t="n"/>
      <c r="AQ96" s="40" t="n"/>
      <c r="AR96" s="40" t="n"/>
      <c r="AS96" s="40" t="n"/>
      <c r="AT96" s="40" t="n"/>
      <c r="AU96" s="40" t="n"/>
      <c r="AV96" s="40" t="n"/>
      <c r="AW96" s="40" t="n"/>
      <c r="AX96" s="40" t="n"/>
      <c r="AY96" s="40" t="n"/>
      <c r="AZ96" s="38" t="n"/>
      <c r="BA96" s="40" t="n"/>
      <c r="BB96" s="40" t="n"/>
      <c r="BC96" s="40" t="n"/>
      <c r="BD96" s="40" t="n"/>
      <c r="BE96" s="40" t="n"/>
      <c r="BF96" s="40" t="n"/>
      <c r="BG96" s="40" t="n"/>
      <c r="BH96" s="40" t="n"/>
      <c r="BI96" s="40" t="n"/>
      <c r="BJ96" s="40" t="n"/>
      <c r="BK96" s="40" t="n"/>
      <c r="BL96" s="40" t="n"/>
      <c r="BM96" s="40" t="n"/>
      <c r="BN96" s="40" t="n"/>
    </row>
    <row r="97" ht="18" customHeight="1" s="82">
      <c r="A97" s="30" t="n"/>
      <c r="B97" s="30" t="n"/>
      <c r="C97" s="30" t="n"/>
      <c r="D97" s="30" t="n"/>
      <c r="E97" s="31" t="n"/>
      <c r="F97" s="31" t="n"/>
      <c r="G97" s="31" t="n"/>
      <c r="H97" s="31" t="n"/>
      <c r="I97" s="31" t="n"/>
      <c r="J97" s="31" t="n"/>
      <c r="K97" s="31" t="n"/>
      <c r="L97" s="31" t="n"/>
      <c r="M97" s="31" t="n"/>
      <c r="N97" s="31" t="n"/>
      <c r="O97" s="31" t="n"/>
      <c r="P97" s="31" t="n"/>
      <c r="Q97" s="31" t="n"/>
      <c r="R97" s="31" t="n"/>
      <c r="S97" s="31" t="n"/>
      <c r="T97" s="31" t="n"/>
      <c r="U97" s="31" t="n"/>
      <c r="V97" s="31" t="n"/>
      <c r="W97" s="32" t="n"/>
      <c r="X97" s="31" t="n"/>
      <c r="Y97" s="31" t="n"/>
      <c r="Z97" s="31" t="n"/>
      <c r="AA97" s="31" t="n"/>
      <c r="AB97" s="31" t="n"/>
      <c r="AC97" s="31" t="n"/>
      <c r="AD97" s="32" t="n"/>
      <c r="AE97" s="31" t="n"/>
      <c r="AF97" s="33" t="n"/>
      <c r="AG97" s="66">
        <f>IF(OR(AF97="",AE97=""),"",IFERROR(AF97*INDEX(FXRates[USD per unit],MATCH(AE97,FXRates[Currency],0)),"No rate"))</f>
        <v/>
      </c>
      <c r="AH97" s="30" t="n"/>
      <c r="AI97" s="30" t="n"/>
      <c r="AJ97" s="34">
        <f>IF(A97="","",IF(COUNTIF($A$6:$A$504,A97)&gt;1,"⚠ Duplicate",""))</f>
        <v/>
      </c>
      <c r="AK97" s="33" t="n"/>
      <c r="AL97" s="41" t="n"/>
      <c r="AM97" s="41" t="n"/>
      <c r="AN97" s="41" t="n"/>
      <c r="AO97" s="41" t="n"/>
      <c r="AP97" s="41" t="n"/>
      <c r="AQ97" s="41" t="n"/>
      <c r="AR97" s="41" t="n"/>
      <c r="AS97" s="41" t="n"/>
      <c r="AT97" s="41" t="n"/>
      <c r="AU97" s="41" t="n"/>
      <c r="AV97" s="41" t="n"/>
      <c r="AW97" s="41" t="n"/>
      <c r="AX97" s="41" t="n"/>
      <c r="AY97" s="41" t="n"/>
      <c r="AZ97" s="33" t="n"/>
      <c r="BA97" s="41" t="n"/>
      <c r="BB97" s="41" t="n"/>
      <c r="BC97" s="41" t="n"/>
      <c r="BD97" s="41" t="n"/>
      <c r="BE97" s="41" t="n"/>
      <c r="BF97" s="41" t="n"/>
      <c r="BG97" s="41" t="n"/>
      <c r="BH97" s="41" t="n"/>
      <c r="BI97" s="41" t="n"/>
      <c r="BJ97" s="41" t="n"/>
      <c r="BK97" s="41" t="n"/>
      <c r="BL97" s="41" t="n"/>
      <c r="BM97" s="41" t="n"/>
      <c r="BN97" s="41" t="n"/>
    </row>
    <row r="98" ht="18" customHeight="1" s="82">
      <c r="A98" s="36" t="n"/>
      <c r="B98" s="36" t="n"/>
      <c r="C98" s="36" t="n"/>
      <c r="D98" s="36" t="n"/>
      <c r="E98" s="37" t="n"/>
      <c r="F98" s="37" t="n"/>
      <c r="G98" s="37" t="n"/>
      <c r="H98" s="37" t="n"/>
      <c r="I98" s="37" t="n"/>
      <c r="J98" s="37" t="n"/>
      <c r="K98" s="37" t="n"/>
      <c r="L98" s="37" t="n"/>
      <c r="M98" s="37" t="n"/>
      <c r="N98" s="37" t="n"/>
      <c r="O98" s="37" t="n"/>
      <c r="P98" s="37" t="n"/>
      <c r="Q98" s="37" t="n"/>
      <c r="R98" s="37" t="n"/>
      <c r="S98" s="37" t="n"/>
      <c r="T98" s="37" t="n"/>
      <c r="U98" s="37" t="n"/>
      <c r="V98" s="37" t="n"/>
      <c r="W98" s="32" t="n"/>
      <c r="X98" s="37" t="n"/>
      <c r="Y98" s="37" t="n"/>
      <c r="Z98" s="37" t="n"/>
      <c r="AA98" s="37" t="n"/>
      <c r="AB98" s="37" t="n"/>
      <c r="AC98" s="37" t="n"/>
      <c r="AD98" s="32" t="n"/>
      <c r="AE98" s="37" t="n"/>
      <c r="AF98" s="38" t="n"/>
      <c r="AG98" s="67">
        <f>IF(OR(AF98="",AE98=""),"",IFERROR(AF98*INDEX(FXRates[USD per unit],MATCH(AE98,FXRates[Currency],0)),"No rate"))</f>
        <v/>
      </c>
      <c r="AH98" s="36" t="n"/>
      <c r="AI98" s="36" t="n"/>
      <c r="AJ98" s="39">
        <f>IF(A98="","",IF(COUNTIF($A$6:$A$504,A98)&gt;1,"⚠ Duplicate",""))</f>
        <v/>
      </c>
      <c r="AK98" s="38" t="n"/>
      <c r="AL98" s="40" t="n"/>
      <c r="AM98" s="40" t="n"/>
      <c r="AN98" s="40" t="n"/>
      <c r="AO98" s="40" t="n"/>
      <c r="AP98" s="40" t="n"/>
      <c r="AQ98" s="40" t="n"/>
      <c r="AR98" s="40" t="n"/>
      <c r="AS98" s="40" t="n"/>
      <c r="AT98" s="40" t="n"/>
      <c r="AU98" s="40" t="n"/>
      <c r="AV98" s="40" t="n"/>
      <c r="AW98" s="40" t="n"/>
      <c r="AX98" s="40" t="n"/>
      <c r="AY98" s="40" t="n"/>
      <c r="AZ98" s="38" t="n"/>
      <c r="BA98" s="40" t="n"/>
      <c r="BB98" s="40" t="n"/>
      <c r="BC98" s="40" t="n"/>
      <c r="BD98" s="40" t="n"/>
      <c r="BE98" s="40" t="n"/>
      <c r="BF98" s="40" t="n"/>
      <c r="BG98" s="40" t="n"/>
      <c r="BH98" s="40" t="n"/>
      <c r="BI98" s="40" t="n"/>
      <c r="BJ98" s="40" t="n"/>
      <c r="BK98" s="40" t="n"/>
      <c r="BL98" s="40" t="n"/>
      <c r="BM98" s="40" t="n"/>
      <c r="BN98" s="40" t="n"/>
    </row>
    <row r="99" ht="18" customHeight="1" s="82">
      <c r="A99" s="30" t="n"/>
      <c r="B99" s="30" t="n"/>
      <c r="C99" s="30" t="n"/>
      <c r="D99" s="30" t="n"/>
      <c r="E99" s="31" t="n"/>
      <c r="F99" s="31" t="n"/>
      <c r="G99" s="31" t="n"/>
      <c r="H99" s="31" t="n"/>
      <c r="I99" s="31" t="n"/>
      <c r="J99" s="31" t="n"/>
      <c r="K99" s="31" t="n"/>
      <c r="L99" s="31" t="n"/>
      <c r="M99" s="31" t="n"/>
      <c r="N99" s="31" t="n"/>
      <c r="O99" s="31" t="n"/>
      <c r="P99" s="31" t="n"/>
      <c r="Q99" s="31" t="n"/>
      <c r="R99" s="31" t="n"/>
      <c r="S99" s="31" t="n"/>
      <c r="T99" s="31" t="n"/>
      <c r="U99" s="31" t="n"/>
      <c r="V99" s="31" t="n"/>
      <c r="W99" s="32" t="n"/>
      <c r="X99" s="31" t="n"/>
      <c r="Y99" s="31" t="n"/>
      <c r="Z99" s="31" t="n"/>
      <c r="AA99" s="31" t="n"/>
      <c r="AB99" s="31" t="n"/>
      <c r="AC99" s="31" t="n"/>
      <c r="AD99" s="32" t="n"/>
      <c r="AE99" s="31" t="n"/>
      <c r="AF99" s="33" t="n"/>
      <c r="AG99" s="66">
        <f>IF(OR(AF99="",AE99=""),"",IFERROR(AF99*INDEX(FXRates[USD per unit],MATCH(AE99,FXRates[Currency],0)),"No rate"))</f>
        <v/>
      </c>
      <c r="AH99" s="30" t="n"/>
      <c r="AI99" s="30" t="n"/>
      <c r="AJ99" s="34">
        <f>IF(A99="","",IF(COUNTIF($A$6:$A$504,A99)&gt;1,"⚠ Duplicate",""))</f>
        <v/>
      </c>
      <c r="AK99" s="33" t="n"/>
      <c r="AL99" s="41" t="n"/>
      <c r="AM99" s="41" t="n"/>
      <c r="AN99" s="41" t="n"/>
      <c r="AO99" s="41" t="n"/>
      <c r="AP99" s="41" t="n"/>
      <c r="AQ99" s="41" t="n"/>
      <c r="AR99" s="41" t="n"/>
      <c r="AS99" s="41" t="n"/>
      <c r="AT99" s="41" t="n"/>
      <c r="AU99" s="41" t="n"/>
      <c r="AV99" s="41" t="n"/>
      <c r="AW99" s="41" t="n"/>
      <c r="AX99" s="41" t="n"/>
      <c r="AY99" s="41" t="n"/>
      <c r="AZ99" s="33" t="n"/>
      <c r="BA99" s="41" t="n"/>
      <c r="BB99" s="41" t="n"/>
      <c r="BC99" s="41" t="n"/>
      <c r="BD99" s="41" t="n"/>
      <c r="BE99" s="41" t="n"/>
      <c r="BF99" s="41" t="n"/>
      <c r="BG99" s="41" t="n"/>
      <c r="BH99" s="41" t="n"/>
      <c r="BI99" s="41" t="n"/>
      <c r="BJ99" s="41" t="n"/>
      <c r="BK99" s="41" t="n"/>
      <c r="BL99" s="41" t="n"/>
      <c r="BM99" s="41" t="n"/>
      <c r="BN99" s="41" t="n"/>
    </row>
    <row r="100" ht="18" customHeight="1" s="82">
      <c r="A100" s="36" t="n"/>
      <c r="B100" s="36" t="n"/>
      <c r="C100" s="36" t="n"/>
      <c r="D100" s="36" t="n"/>
      <c r="E100" s="37" t="n"/>
      <c r="F100" s="37" t="n"/>
      <c r="G100" s="37" t="n"/>
      <c r="H100" s="37" t="n"/>
      <c r="I100" s="37" t="n"/>
      <c r="J100" s="37" t="n"/>
      <c r="K100" s="37" t="n"/>
      <c r="L100" s="37" t="n"/>
      <c r="M100" s="37" t="n"/>
      <c r="N100" s="37" t="n"/>
      <c r="O100" s="37" t="n"/>
      <c r="P100" s="37" t="n"/>
      <c r="Q100" s="37" t="n"/>
      <c r="R100" s="37" t="n"/>
      <c r="S100" s="37" t="n"/>
      <c r="T100" s="37" t="n"/>
      <c r="U100" s="37" t="n"/>
      <c r="V100" s="37" t="n"/>
      <c r="W100" s="32" t="n"/>
      <c r="X100" s="37" t="n"/>
      <c r="Y100" s="37" t="n"/>
      <c r="Z100" s="37" t="n"/>
      <c r="AA100" s="37" t="n"/>
      <c r="AB100" s="37" t="n"/>
      <c r="AC100" s="37" t="n"/>
      <c r="AD100" s="32" t="n"/>
      <c r="AE100" s="37" t="n"/>
      <c r="AF100" s="38" t="n"/>
      <c r="AG100" s="67">
        <f>IF(OR(AF100="",AE100=""),"",IFERROR(AF100*INDEX(FXRates[USD per unit],MATCH(AE100,FXRates[Currency],0)),"No rate"))</f>
        <v/>
      </c>
      <c r="AH100" s="36" t="n"/>
      <c r="AI100" s="36" t="n"/>
      <c r="AJ100" s="39">
        <f>IF(A100="","",IF(COUNTIF($A$6:$A$504,A100)&gt;1,"⚠ Duplicate",""))</f>
        <v/>
      </c>
      <c r="AK100" s="38" t="n"/>
      <c r="AL100" s="40" t="n"/>
      <c r="AM100" s="40" t="n"/>
      <c r="AN100" s="40" t="n"/>
      <c r="AO100" s="40" t="n"/>
      <c r="AP100" s="40" t="n"/>
      <c r="AQ100" s="40" t="n"/>
      <c r="AR100" s="40" t="n"/>
      <c r="AS100" s="40" t="n"/>
      <c r="AT100" s="40" t="n"/>
      <c r="AU100" s="40" t="n"/>
      <c r="AV100" s="40" t="n"/>
      <c r="AW100" s="40" t="n"/>
      <c r="AX100" s="40" t="n"/>
      <c r="AY100" s="40" t="n"/>
      <c r="AZ100" s="38" t="n"/>
      <c r="BA100" s="40" t="n"/>
      <c r="BB100" s="40" t="n"/>
      <c r="BC100" s="40" t="n"/>
      <c r="BD100" s="40" t="n"/>
      <c r="BE100" s="40" t="n"/>
      <c r="BF100" s="40" t="n"/>
      <c r="BG100" s="40" t="n"/>
      <c r="BH100" s="40" t="n"/>
      <c r="BI100" s="40" t="n"/>
      <c r="BJ100" s="40" t="n"/>
      <c r="BK100" s="40" t="n"/>
      <c r="BL100" s="40" t="n"/>
      <c r="BM100" s="40" t="n"/>
      <c r="BN100" s="40" t="n"/>
    </row>
    <row r="101" ht="18" customHeight="1" s="82">
      <c r="A101" s="30" t="n"/>
      <c r="B101" s="30" t="n"/>
      <c r="C101" s="30" t="n"/>
      <c r="D101" s="30" t="n"/>
      <c r="E101" s="31" t="n"/>
      <c r="F101" s="31" t="n"/>
      <c r="G101" s="31" t="n"/>
      <c r="H101" s="31" t="n"/>
      <c r="I101" s="31" t="n"/>
      <c r="J101" s="31" t="n"/>
      <c r="K101" s="31" t="n"/>
      <c r="L101" s="31" t="n"/>
      <c r="M101" s="31" t="n"/>
      <c r="N101" s="31" t="n"/>
      <c r="O101" s="31" t="n"/>
      <c r="P101" s="31" t="n"/>
      <c r="Q101" s="31" t="n"/>
      <c r="R101" s="31" t="n"/>
      <c r="S101" s="31" t="n"/>
      <c r="T101" s="31" t="n"/>
      <c r="U101" s="31" t="n"/>
      <c r="V101" s="31" t="n"/>
      <c r="W101" s="32" t="n"/>
      <c r="X101" s="31" t="n"/>
      <c r="Y101" s="31" t="n"/>
      <c r="Z101" s="31" t="n"/>
      <c r="AA101" s="31" t="n"/>
      <c r="AB101" s="31" t="n"/>
      <c r="AC101" s="31" t="n"/>
      <c r="AD101" s="32" t="n"/>
      <c r="AE101" s="31" t="n"/>
      <c r="AF101" s="33" t="n"/>
      <c r="AG101" s="66">
        <f>IF(OR(AF101="",AE101=""),"",IFERROR(AF101*INDEX(FXRates[USD per unit],MATCH(AE101,FXRates[Currency],0)),"No rate"))</f>
        <v/>
      </c>
      <c r="AH101" s="30" t="n"/>
      <c r="AI101" s="30" t="n"/>
      <c r="AJ101" s="34">
        <f>IF(A101="","",IF(COUNTIF($A$6:$A$504,A101)&gt;1,"⚠ Duplicate",""))</f>
        <v/>
      </c>
      <c r="AK101" s="33" t="n"/>
      <c r="AL101" s="41" t="n"/>
      <c r="AM101" s="41" t="n"/>
      <c r="AN101" s="41" t="n"/>
      <c r="AO101" s="41" t="n"/>
      <c r="AP101" s="41" t="n"/>
      <c r="AQ101" s="41" t="n"/>
      <c r="AR101" s="41" t="n"/>
      <c r="AS101" s="41" t="n"/>
      <c r="AT101" s="41" t="n"/>
      <c r="AU101" s="41" t="n"/>
      <c r="AV101" s="41" t="n"/>
      <c r="AW101" s="41" t="n"/>
      <c r="AX101" s="41" t="n"/>
      <c r="AY101" s="41" t="n"/>
      <c r="AZ101" s="33" t="n"/>
      <c r="BA101" s="41" t="n"/>
      <c r="BB101" s="41" t="n"/>
      <c r="BC101" s="41" t="n"/>
      <c r="BD101" s="41" t="n"/>
      <c r="BE101" s="41" t="n"/>
      <c r="BF101" s="41" t="n"/>
      <c r="BG101" s="41" t="n"/>
      <c r="BH101" s="41" t="n"/>
      <c r="BI101" s="41" t="n"/>
      <c r="BJ101" s="41" t="n"/>
      <c r="BK101" s="41" t="n"/>
      <c r="BL101" s="41" t="n"/>
      <c r="BM101" s="41" t="n"/>
      <c r="BN101" s="41" t="n"/>
    </row>
    <row r="102" ht="18" customHeight="1" s="82">
      <c r="A102" s="36" t="n"/>
      <c r="B102" s="36" t="n"/>
      <c r="C102" s="36" t="n"/>
      <c r="D102" s="36" t="n"/>
      <c r="E102" s="37" t="n"/>
      <c r="F102" s="37" t="n"/>
      <c r="G102" s="37" t="n"/>
      <c r="H102" s="37" t="n"/>
      <c r="I102" s="37" t="n"/>
      <c r="J102" s="37" t="n"/>
      <c r="K102" s="37" t="n"/>
      <c r="L102" s="37" t="n"/>
      <c r="M102" s="37" t="n"/>
      <c r="N102" s="37" t="n"/>
      <c r="O102" s="37" t="n"/>
      <c r="P102" s="37" t="n"/>
      <c r="Q102" s="37" t="n"/>
      <c r="R102" s="37" t="n"/>
      <c r="S102" s="37" t="n"/>
      <c r="T102" s="37" t="n"/>
      <c r="U102" s="37" t="n"/>
      <c r="V102" s="37" t="n"/>
      <c r="W102" s="32" t="n"/>
      <c r="X102" s="37" t="n"/>
      <c r="Y102" s="37" t="n"/>
      <c r="Z102" s="37" t="n"/>
      <c r="AA102" s="37" t="n"/>
      <c r="AB102" s="37" t="n"/>
      <c r="AC102" s="37" t="n"/>
      <c r="AD102" s="32" t="n"/>
      <c r="AE102" s="37" t="n"/>
      <c r="AF102" s="38" t="n"/>
      <c r="AG102" s="67">
        <f>IF(OR(AF102="",AE102=""),"",IFERROR(AF102*INDEX(FXRates[USD per unit],MATCH(AE102,FXRates[Currency],0)),"No rate"))</f>
        <v/>
      </c>
      <c r="AH102" s="36" t="n"/>
      <c r="AI102" s="36" t="n"/>
      <c r="AJ102" s="39">
        <f>IF(A102="","",IF(COUNTIF($A$6:$A$504,A102)&gt;1,"⚠ Duplicate",""))</f>
        <v/>
      </c>
      <c r="AK102" s="38" t="n"/>
      <c r="AL102" s="40" t="n"/>
      <c r="AM102" s="40" t="n"/>
      <c r="AN102" s="40" t="n"/>
      <c r="AO102" s="40" t="n"/>
      <c r="AP102" s="40" t="n"/>
      <c r="AQ102" s="40" t="n"/>
      <c r="AR102" s="40" t="n"/>
      <c r="AS102" s="40" t="n"/>
      <c r="AT102" s="40" t="n"/>
      <c r="AU102" s="40" t="n"/>
      <c r="AV102" s="40" t="n"/>
      <c r="AW102" s="40" t="n"/>
      <c r="AX102" s="40" t="n"/>
      <c r="AY102" s="40" t="n"/>
      <c r="AZ102" s="38" t="n"/>
      <c r="BA102" s="40" t="n"/>
      <c r="BB102" s="40" t="n"/>
      <c r="BC102" s="40" t="n"/>
      <c r="BD102" s="40" t="n"/>
      <c r="BE102" s="40" t="n"/>
      <c r="BF102" s="40" t="n"/>
      <c r="BG102" s="40" t="n"/>
      <c r="BH102" s="40" t="n"/>
      <c r="BI102" s="40" t="n"/>
      <c r="BJ102" s="40" t="n"/>
      <c r="BK102" s="40" t="n"/>
      <c r="BL102" s="40" t="n"/>
      <c r="BM102" s="40" t="n"/>
      <c r="BN102" s="40" t="n"/>
    </row>
    <row r="103" ht="18" customHeight="1" s="82">
      <c r="A103" s="30" t="n"/>
      <c r="B103" s="30" t="n"/>
      <c r="C103" s="30" t="n"/>
      <c r="D103" s="30" t="n"/>
      <c r="E103" s="31" t="n"/>
      <c r="F103" s="31" t="n"/>
      <c r="G103" s="31" t="n"/>
      <c r="H103" s="31" t="n"/>
      <c r="I103" s="31" t="n"/>
      <c r="J103" s="31" t="n"/>
      <c r="K103" s="31" t="n"/>
      <c r="L103" s="31" t="n"/>
      <c r="M103" s="31" t="n"/>
      <c r="N103" s="31" t="n"/>
      <c r="O103" s="31" t="n"/>
      <c r="P103" s="31" t="n"/>
      <c r="Q103" s="31" t="n"/>
      <c r="R103" s="31" t="n"/>
      <c r="S103" s="31" t="n"/>
      <c r="T103" s="31" t="n"/>
      <c r="U103" s="31" t="n"/>
      <c r="V103" s="31" t="n"/>
      <c r="W103" s="32" t="n"/>
      <c r="X103" s="31" t="n"/>
      <c r="Y103" s="31" t="n"/>
      <c r="Z103" s="31" t="n"/>
      <c r="AA103" s="31" t="n"/>
      <c r="AB103" s="31" t="n"/>
      <c r="AC103" s="31" t="n"/>
      <c r="AD103" s="32" t="n"/>
      <c r="AE103" s="31" t="n"/>
      <c r="AF103" s="33" t="n"/>
      <c r="AG103" s="66">
        <f>IF(OR(AF103="",AE103=""),"",IFERROR(AF103*INDEX(FXRates[USD per unit],MATCH(AE103,FXRates[Currency],0)),"No rate"))</f>
        <v/>
      </c>
      <c r="AH103" s="30" t="n"/>
      <c r="AI103" s="30" t="n"/>
      <c r="AJ103" s="34">
        <f>IF(A103="","",IF(COUNTIF($A$6:$A$504,A103)&gt;1,"⚠ Duplicate",""))</f>
        <v/>
      </c>
      <c r="AK103" s="33" t="n"/>
      <c r="AL103" s="41" t="n"/>
      <c r="AM103" s="41" t="n"/>
      <c r="AN103" s="41" t="n"/>
      <c r="AO103" s="41" t="n"/>
      <c r="AP103" s="41" t="n"/>
      <c r="AQ103" s="41" t="n"/>
      <c r="AR103" s="41" t="n"/>
      <c r="AS103" s="41" t="n"/>
      <c r="AT103" s="41" t="n"/>
      <c r="AU103" s="41" t="n"/>
      <c r="AV103" s="41" t="n"/>
      <c r="AW103" s="41" t="n"/>
      <c r="AX103" s="41" t="n"/>
      <c r="AY103" s="41" t="n"/>
      <c r="AZ103" s="33" t="n"/>
      <c r="BA103" s="41" t="n"/>
      <c r="BB103" s="41" t="n"/>
      <c r="BC103" s="41" t="n"/>
      <c r="BD103" s="41" t="n"/>
      <c r="BE103" s="41" t="n"/>
      <c r="BF103" s="41" t="n"/>
      <c r="BG103" s="41" t="n"/>
      <c r="BH103" s="41" t="n"/>
      <c r="BI103" s="41" t="n"/>
      <c r="BJ103" s="41" t="n"/>
      <c r="BK103" s="41" t="n"/>
      <c r="BL103" s="41" t="n"/>
      <c r="BM103" s="41" t="n"/>
      <c r="BN103" s="41" t="n"/>
    </row>
    <row r="104" ht="18" customHeight="1" s="82">
      <c r="A104" s="36" t="n"/>
      <c r="B104" s="36" t="n"/>
      <c r="C104" s="36" t="n"/>
      <c r="D104" s="36" t="n"/>
      <c r="E104" s="37" t="n"/>
      <c r="F104" s="37" t="n"/>
      <c r="G104" s="37" t="n"/>
      <c r="H104" s="37" t="n"/>
      <c r="I104" s="37" t="n"/>
      <c r="J104" s="37" t="n"/>
      <c r="K104" s="37" t="n"/>
      <c r="L104" s="37" t="n"/>
      <c r="M104" s="37" t="n"/>
      <c r="N104" s="37" t="n"/>
      <c r="O104" s="37" t="n"/>
      <c r="P104" s="37" t="n"/>
      <c r="Q104" s="37" t="n"/>
      <c r="R104" s="37" t="n"/>
      <c r="S104" s="37" t="n"/>
      <c r="T104" s="37" t="n"/>
      <c r="U104" s="37" t="n"/>
      <c r="V104" s="37" t="n"/>
      <c r="W104" s="32" t="n"/>
      <c r="X104" s="37" t="n"/>
      <c r="Y104" s="37" t="n"/>
      <c r="Z104" s="37" t="n"/>
      <c r="AA104" s="37" t="n"/>
      <c r="AB104" s="37" t="n"/>
      <c r="AC104" s="37" t="n"/>
      <c r="AD104" s="32" t="n"/>
      <c r="AE104" s="37" t="n"/>
      <c r="AF104" s="38" t="n"/>
      <c r="AG104" s="67">
        <f>IF(OR(AF104="",AE104=""),"",IFERROR(AF104*INDEX(FXRates[USD per unit],MATCH(AE104,FXRates[Currency],0)),"No rate"))</f>
        <v/>
      </c>
      <c r="AH104" s="36" t="n"/>
      <c r="AI104" s="36" t="n"/>
      <c r="AJ104" s="39">
        <f>IF(A104="","",IF(COUNTIF($A$6:$A$504,A104)&gt;1,"⚠ Duplicate",""))</f>
        <v/>
      </c>
      <c r="AK104" s="38" t="n"/>
      <c r="AL104" s="40" t="n"/>
      <c r="AM104" s="40" t="n"/>
      <c r="AN104" s="40" t="n"/>
      <c r="AO104" s="40" t="n"/>
      <c r="AP104" s="40" t="n"/>
      <c r="AQ104" s="40" t="n"/>
      <c r="AR104" s="40" t="n"/>
      <c r="AS104" s="40" t="n"/>
      <c r="AT104" s="40" t="n"/>
      <c r="AU104" s="40" t="n"/>
      <c r="AV104" s="40" t="n"/>
      <c r="AW104" s="40" t="n"/>
      <c r="AX104" s="40" t="n"/>
      <c r="AY104" s="40" t="n"/>
      <c r="AZ104" s="38" t="n"/>
      <c r="BA104" s="40" t="n"/>
      <c r="BB104" s="40" t="n"/>
      <c r="BC104" s="40" t="n"/>
      <c r="BD104" s="40" t="n"/>
      <c r="BE104" s="40" t="n"/>
      <c r="BF104" s="40" t="n"/>
      <c r="BG104" s="40" t="n"/>
      <c r="BH104" s="40" t="n"/>
      <c r="BI104" s="40" t="n"/>
      <c r="BJ104" s="40" t="n"/>
      <c r="BK104" s="40" t="n"/>
      <c r="BL104" s="40" t="n"/>
      <c r="BM104" s="40" t="n"/>
      <c r="BN104" s="40" t="n"/>
    </row>
    <row r="105" ht="18" customHeight="1" s="82">
      <c r="A105" s="30" t="n"/>
      <c r="B105" s="30" t="n"/>
      <c r="C105" s="30" t="n"/>
      <c r="D105" s="30" t="n"/>
      <c r="E105" s="31" t="n"/>
      <c r="F105" s="31" t="n"/>
      <c r="G105" s="31" t="n"/>
      <c r="H105" s="31" t="n"/>
      <c r="I105" s="31" t="n"/>
      <c r="J105" s="31" t="n"/>
      <c r="K105" s="31" t="n"/>
      <c r="L105" s="31" t="n"/>
      <c r="M105" s="31" t="n"/>
      <c r="N105" s="31" t="n"/>
      <c r="O105" s="31" t="n"/>
      <c r="P105" s="31" t="n"/>
      <c r="Q105" s="31" t="n"/>
      <c r="R105" s="31" t="n"/>
      <c r="S105" s="31" t="n"/>
      <c r="T105" s="31" t="n"/>
      <c r="U105" s="31" t="n"/>
      <c r="V105" s="31" t="n"/>
      <c r="W105" s="32" t="n"/>
      <c r="X105" s="31" t="n"/>
      <c r="Y105" s="31" t="n"/>
      <c r="Z105" s="31" t="n"/>
      <c r="AA105" s="31" t="n"/>
      <c r="AB105" s="31" t="n"/>
      <c r="AC105" s="31" t="n"/>
      <c r="AD105" s="32" t="n"/>
      <c r="AE105" s="31" t="n"/>
      <c r="AF105" s="33" t="n"/>
      <c r="AG105" s="66">
        <f>IF(OR(AF105="",AE105=""),"",IFERROR(AF105*INDEX(FXRates[USD per unit],MATCH(AE105,FXRates[Currency],0)),"No rate"))</f>
        <v/>
      </c>
      <c r="AH105" s="30" t="n"/>
      <c r="AI105" s="30" t="n"/>
      <c r="AJ105" s="34">
        <f>IF(A105="","",IF(COUNTIF($A$6:$A$504,A105)&gt;1,"⚠ Duplicate",""))</f>
        <v/>
      </c>
      <c r="AK105" s="33" t="n"/>
      <c r="AL105" s="41" t="n"/>
      <c r="AM105" s="41" t="n"/>
      <c r="AN105" s="41" t="n"/>
      <c r="AO105" s="41" t="n"/>
      <c r="AP105" s="41" t="n"/>
      <c r="AQ105" s="41" t="n"/>
      <c r="AR105" s="41" t="n"/>
      <c r="AS105" s="41" t="n"/>
      <c r="AT105" s="41" t="n"/>
      <c r="AU105" s="41" t="n"/>
      <c r="AV105" s="41" t="n"/>
      <c r="AW105" s="41" t="n"/>
      <c r="AX105" s="41" t="n"/>
      <c r="AY105" s="41" t="n"/>
      <c r="AZ105" s="33" t="n"/>
      <c r="BA105" s="41" t="n"/>
      <c r="BB105" s="41" t="n"/>
      <c r="BC105" s="41" t="n"/>
      <c r="BD105" s="41" t="n"/>
      <c r="BE105" s="41" t="n"/>
      <c r="BF105" s="41" t="n"/>
      <c r="BG105" s="41" t="n"/>
      <c r="BH105" s="41" t="n"/>
      <c r="BI105" s="41" t="n"/>
      <c r="BJ105" s="41" t="n"/>
      <c r="BK105" s="41" t="n"/>
      <c r="BL105" s="41" t="n"/>
      <c r="BM105" s="41" t="n"/>
      <c r="BN105" s="41" t="n"/>
    </row>
    <row r="106" ht="18" customHeight="1" s="82">
      <c r="A106" s="36" t="n"/>
      <c r="B106" s="36" t="n"/>
      <c r="C106" s="36" t="n"/>
      <c r="D106" s="36" t="n"/>
      <c r="E106" s="37" t="n"/>
      <c r="F106" s="37" t="n"/>
      <c r="G106" s="37" t="n"/>
      <c r="H106" s="37" t="n"/>
      <c r="I106" s="37" t="n"/>
      <c r="J106" s="37" t="n"/>
      <c r="K106" s="37" t="n"/>
      <c r="L106" s="37" t="n"/>
      <c r="M106" s="37" t="n"/>
      <c r="N106" s="37" t="n"/>
      <c r="O106" s="37" t="n"/>
      <c r="P106" s="37" t="n"/>
      <c r="Q106" s="37" t="n"/>
      <c r="R106" s="37" t="n"/>
      <c r="S106" s="37" t="n"/>
      <c r="T106" s="37" t="n"/>
      <c r="U106" s="37" t="n"/>
      <c r="V106" s="37" t="n"/>
      <c r="W106" s="32" t="n"/>
      <c r="X106" s="37" t="n"/>
      <c r="Y106" s="37" t="n"/>
      <c r="Z106" s="37" t="n"/>
      <c r="AA106" s="37" t="n"/>
      <c r="AB106" s="37" t="n"/>
      <c r="AC106" s="37" t="n"/>
      <c r="AD106" s="32" t="n"/>
      <c r="AE106" s="37" t="n"/>
      <c r="AF106" s="38" t="n"/>
      <c r="AG106" s="67">
        <f>IF(OR(AF106="",AE106=""),"",IFERROR(AF106*INDEX(FXRates[USD per unit],MATCH(AE106,FXRates[Currency],0)),"No rate"))</f>
        <v/>
      </c>
      <c r="AH106" s="36" t="n"/>
      <c r="AI106" s="36" t="n"/>
      <c r="AJ106" s="39">
        <f>IF(A106="","",IF(COUNTIF($A$6:$A$504,A106)&gt;1,"⚠ Duplicate",""))</f>
        <v/>
      </c>
      <c r="AK106" s="38" t="n"/>
      <c r="AL106" s="40" t="n"/>
      <c r="AM106" s="40" t="n"/>
      <c r="AN106" s="40" t="n"/>
      <c r="AO106" s="40" t="n"/>
      <c r="AP106" s="40" t="n"/>
      <c r="AQ106" s="40" t="n"/>
      <c r="AR106" s="40" t="n"/>
      <c r="AS106" s="40" t="n"/>
      <c r="AT106" s="40" t="n"/>
      <c r="AU106" s="40" t="n"/>
      <c r="AV106" s="40" t="n"/>
      <c r="AW106" s="40" t="n"/>
      <c r="AX106" s="40" t="n"/>
      <c r="AY106" s="40" t="n"/>
      <c r="AZ106" s="38" t="n"/>
      <c r="BA106" s="40" t="n"/>
      <c r="BB106" s="40" t="n"/>
      <c r="BC106" s="40" t="n"/>
      <c r="BD106" s="40" t="n"/>
      <c r="BE106" s="40" t="n"/>
      <c r="BF106" s="40" t="n"/>
      <c r="BG106" s="40" t="n"/>
      <c r="BH106" s="40" t="n"/>
      <c r="BI106" s="40" t="n"/>
      <c r="BJ106" s="40" t="n"/>
      <c r="BK106" s="40" t="n"/>
      <c r="BL106" s="40" t="n"/>
      <c r="BM106" s="40" t="n"/>
      <c r="BN106" s="40" t="n"/>
    </row>
    <row r="107" ht="18" customHeight="1" s="82">
      <c r="A107" s="30" t="n"/>
      <c r="B107" s="30" t="n"/>
      <c r="C107" s="30" t="n"/>
      <c r="D107" s="30" t="n"/>
      <c r="E107" s="31" t="n"/>
      <c r="F107" s="31" t="n"/>
      <c r="G107" s="31" t="n"/>
      <c r="H107" s="31" t="n"/>
      <c r="I107" s="31" t="n"/>
      <c r="J107" s="31" t="n"/>
      <c r="K107" s="31" t="n"/>
      <c r="L107" s="31" t="n"/>
      <c r="M107" s="31" t="n"/>
      <c r="N107" s="31" t="n"/>
      <c r="O107" s="31" t="n"/>
      <c r="P107" s="31" t="n"/>
      <c r="Q107" s="31" t="n"/>
      <c r="R107" s="31" t="n"/>
      <c r="S107" s="31" t="n"/>
      <c r="T107" s="31" t="n"/>
      <c r="U107" s="31" t="n"/>
      <c r="V107" s="31" t="n"/>
      <c r="W107" s="32" t="n"/>
      <c r="X107" s="31" t="n"/>
      <c r="Y107" s="31" t="n"/>
      <c r="Z107" s="31" t="n"/>
      <c r="AA107" s="31" t="n"/>
      <c r="AB107" s="31" t="n"/>
      <c r="AC107" s="31" t="n"/>
      <c r="AD107" s="32" t="n"/>
      <c r="AE107" s="31" t="n"/>
      <c r="AF107" s="33" t="n"/>
      <c r="AG107" s="66">
        <f>IF(OR(AF107="",AE107=""),"",IFERROR(AF107*INDEX(FXRates[USD per unit],MATCH(AE107,FXRates[Currency],0)),"No rate"))</f>
        <v/>
      </c>
      <c r="AH107" s="30" t="n"/>
      <c r="AI107" s="30" t="n"/>
      <c r="AJ107" s="34">
        <f>IF(A107="","",IF(COUNTIF($A$6:$A$504,A107)&gt;1,"⚠ Duplicate",""))</f>
        <v/>
      </c>
      <c r="AK107" s="33" t="n"/>
      <c r="AL107" s="41" t="n"/>
      <c r="AM107" s="41" t="n"/>
      <c r="AN107" s="41" t="n"/>
      <c r="AO107" s="41" t="n"/>
      <c r="AP107" s="41" t="n"/>
      <c r="AQ107" s="41" t="n"/>
      <c r="AR107" s="41" t="n"/>
      <c r="AS107" s="41" t="n"/>
      <c r="AT107" s="41" t="n"/>
      <c r="AU107" s="41" t="n"/>
      <c r="AV107" s="41" t="n"/>
      <c r="AW107" s="41" t="n"/>
      <c r="AX107" s="41" t="n"/>
      <c r="AY107" s="41" t="n"/>
      <c r="AZ107" s="33" t="n"/>
      <c r="BA107" s="41" t="n"/>
      <c r="BB107" s="41" t="n"/>
      <c r="BC107" s="41" t="n"/>
      <c r="BD107" s="41" t="n"/>
      <c r="BE107" s="41" t="n"/>
      <c r="BF107" s="41" t="n"/>
      <c r="BG107" s="41" t="n"/>
      <c r="BH107" s="41" t="n"/>
      <c r="BI107" s="41" t="n"/>
      <c r="BJ107" s="41" t="n"/>
      <c r="BK107" s="41" t="n"/>
      <c r="BL107" s="41" t="n"/>
      <c r="BM107" s="41" t="n"/>
      <c r="BN107" s="41" t="n"/>
    </row>
    <row r="108" ht="18" customHeight="1" s="82">
      <c r="A108" s="36" t="n"/>
      <c r="B108" s="36" t="n"/>
      <c r="C108" s="36" t="n"/>
      <c r="D108" s="36" t="n"/>
      <c r="E108" s="37" t="n"/>
      <c r="F108" s="37" t="n"/>
      <c r="G108" s="37" t="n"/>
      <c r="H108" s="37" t="n"/>
      <c r="I108" s="37" t="n"/>
      <c r="J108" s="37" t="n"/>
      <c r="K108" s="37" t="n"/>
      <c r="L108" s="37" t="n"/>
      <c r="M108" s="37" t="n"/>
      <c r="N108" s="37" t="n"/>
      <c r="O108" s="37" t="n"/>
      <c r="P108" s="37" t="n"/>
      <c r="Q108" s="37" t="n"/>
      <c r="R108" s="37" t="n"/>
      <c r="S108" s="37" t="n"/>
      <c r="T108" s="37" t="n"/>
      <c r="U108" s="37" t="n"/>
      <c r="V108" s="37" t="n"/>
      <c r="W108" s="32" t="n"/>
      <c r="X108" s="37" t="n"/>
      <c r="Y108" s="37" t="n"/>
      <c r="Z108" s="37" t="n"/>
      <c r="AA108" s="37" t="n"/>
      <c r="AB108" s="37" t="n"/>
      <c r="AC108" s="37" t="n"/>
      <c r="AD108" s="32" t="n"/>
      <c r="AE108" s="37" t="n"/>
      <c r="AF108" s="38" t="n"/>
      <c r="AG108" s="67">
        <f>IF(OR(AF108="",AE108=""),"",IFERROR(AF108*INDEX(FXRates[USD per unit],MATCH(AE108,FXRates[Currency],0)),"No rate"))</f>
        <v/>
      </c>
      <c r="AH108" s="36" t="n"/>
      <c r="AI108" s="36" t="n"/>
      <c r="AJ108" s="39">
        <f>IF(A108="","",IF(COUNTIF($A$6:$A$504,A108)&gt;1,"⚠ Duplicate",""))</f>
        <v/>
      </c>
      <c r="AK108" s="38" t="n"/>
      <c r="AL108" s="40" t="n"/>
      <c r="AM108" s="40" t="n"/>
      <c r="AN108" s="40" t="n"/>
      <c r="AO108" s="40" t="n"/>
      <c r="AP108" s="40" t="n"/>
      <c r="AQ108" s="40" t="n"/>
      <c r="AR108" s="40" t="n"/>
      <c r="AS108" s="40" t="n"/>
      <c r="AT108" s="40" t="n"/>
      <c r="AU108" s="40" t="n"/>
      <c r="AV108" s="40" t="n"/>
      <c r="AW108" s="40" t="n"/>
      <c r="AX108" s="40" t="n"/>
      <c r="AY108" s="40" t="n"/>
      <c r="AZ108" s="38" t="n"/>
      <c r="BA108" s="40" t="n"/>
      <c r="BB108" s="40" t="n"/>
      <c r="BC108" s="40" t="n"/>
      <c r="BD108" s="40" t="n"/>
      <c r="BE108" s="40" t="n"/>
      <c r="BF108" s="40" t="n"/>
      <c r="BG108" s="40" t="n"/>
      <c r="BH108" s="40" t="n"/>
      <c r="BI108" s="40" t="n"/>
      <c r="BJ108" s="40" t="n"/>
      <c r="BK108" s="40" t="n"/>
      <c r="BL108" s="40" t="n"/>
      <c r="BM108" s="40" t="n"/>
      <c r="BN108" s="40" t="n"/>
    </row>
    <row r="109" ht="18" customHeight="1" s="82">
      <c r="A109" s="30" t="n"/>
      <c r="B109" s="30" t="n"/>
      <c r="C109" s="30" t="n"/>
      <c r="D109" s="30" t="n"/>
      <c r="E109" s="31" t="n"/>
      <c r="F109" s="31" t="n"/>
      <c r="G109" s="31" t="n"/>
      <c r="H109" s="31" t="n"/>
      <c r="I109" s="31" t="n"/>
      <c r="J109" s="31" t="n"/>
      <c r="K109" s="31" t="n"/>
      <c r="L109" s="31" t="n"/>
      <c r="M109" s="31" t="n"/>
      <c r="N109" s="31" t="n"/>
      <c r="O109" s="31" t="n"/>
      <c r="P109" s="31" t="n"/>
      <c r="Q109" s="31" t="n"/>
      <c r="R109" s="31" t="n"/>
      <c r="S109" s="31" t="n"/>
      <c r="T109" s="31" t="n"/>
      <c r="U109" s="31" t="n"/>
      <c r="V109" s="31" t="n"/>
      <c r="W109" s="32" t="n"/>
      <c r="X109" s="31" t="n"/>
      <c r="Y109" s="31" t="n"/>
      <c r="Z109" s="31" t="n"/>
      <c r="AA109" s="31" t="n"/>
      <c r="AB109" s="31" t="n"/>
      <c r="AC109" s="31" t="n"/>
      <c r="AD109" s="32" t="n"/>
      <c r="AE109" s="31" t="n"/>
      <c r="AF109" s="33" t="n"/>
      <c r="AG109" s="66">
        <f>IF(OR(AF109="",AE109=""),"",IFERROR(AF109*INDEX(FXRates[USD per unit],MATCH(AE109,FXRates[Currency],0)),"No rate"))</f>
        <v/>
      </c>
      <c r="AH109" s="30" t="n"/>
      <c r="AI109" s="30" t="n"/>
      <c r="AJ109" s="34">
        <f>IF(A109="","",IF(COUNTIF($A$6:$A$504,A109)&gt;1,"⚠ Duplicate",""))</f>
        <v/>
      </c>
      <c r="AK109" s="33" t="n"/>
      <c r="AL109" s="41" t="n"/>
      <c r="AM109" s="41" t="n"/>
      <c r="AN109" s="41" t="n"/>
      <c r="AO109" s="41" t="n"/>
      <c r="AP109" s="41" t="n"/>
      <c r="AQ109" s="41" t="n"/>
      <c r="AR109" s="41" t="n"/>
      <c r="AS109" s="41" t="n"/>
      <c r="AT109" s="41" t="n"/>
      <c r="AU109" s="41" t="n"/>
      <c r="AV109" s="41" t="n"/>
      <c r="AW109" s="41" t="n"/>
      <c r="AX109" s="41" t="n"/>
      <c r="AY109" s="41" t="n"/>
      <c r="AZ109" s="33" t="n"/>
      <c r="BA109" s="41" t="n"/>
      <c r="BB109" s="41" t="n"/>
      <c r="BC109" s="41" t="n"/>
      <c r="BD109" s="41" t="n"/>
      <c r="BE109" s="41" t="n"/>
      <c r="BF109" s="41" t="n"/>
      <c r="BG109" s="41" t="n"/>
      <c r="BH109" s="41" t="n"/>
      <c r="BI109" s="41" t="n"/>
      <c r="BJ109" s="41" t="n"/>
      <c r="BK109" s="41" t="n"/>
      <c r="BL109" s="41" t="n"/>
      <c r="BM109" s="41" t="n"/>
      <c r="BN109" s="41" t="n"/>
    </row>
    <row r="110" ht="18" customHeight="1" s="82">
      <c r="A110" s="36" t="n"/>
      <c r="B110" s="36" t="n"/>
      <c r="C110" s="36" t="n"/>
      <c r="D110" s="36" t="n"/>
      <c r="E110" s="37" t="n"/>
      <c r="F110" s="37" t="n"/>
      <c r="G110" s="37" t="n"/>
      <c r="H110" s="37" t="n"/>
      <c r="I110" s="37" t="n"/>
      <c r="J110" s="37" t="n"/>
      <c r="K110" s="37" t="n"/>
      <c r="L110" s="37" t="n"/>
      <c r="M110" s="37" t="n"/>
      <c r="N110" s="37" t="n"/>
      <c r="O110" s="37" t="n"/>
      <c r="P110" s="37" t="n"/>
      <c r="Q110" s="37" t="n"/>
      <c r="R110" s="37" t="n"/>
      <c r="S110" s="37" t="n"/>
      <c r="T110" s="37" t="n"/>
      <c r="U110" s="37" t="n"/>
      <c r="V110" s="37" t="n"/>
      <c r="W110" s="32" t="n"/>
      <c r="X110" s="37" t="n"/>
      <c r="Y110" s="37" t="n"/>
      <c r="Z110" s="37" t="n"/>
      <c r="AA110" s="37" t="n"/>
      <c r="AB110" s="37" t="n"/>
      <c r="AC110" s="37" t="n"/>
      <c r="AD110" s="32" t="n"/>
      <c r="AE110" s="37" t="n"/>
      <c r="AF110" s="38" t="n"/>
      <c r="AG110" s="67">
        <f>IF(OR(AF110="",AE110=""),"",IFERROR(AF110*INDEX(FXRates[USD per unit],MATCH(AE110,FXRates[Currency],0)),"No rate"))</f>
        <v/>
      </c>
      <c r="AH110" s="36" t="n"/>
      <c r="AI110" s="36" t="n"/>
      <c r="AJ110" s="39">
        <f>IF(A110="","",IF(COUNTIF($A$6:$A$504,A110)&gt;1,"⚠ Duplicate",""))</f>
        <v/>
      </c>
      <c r="AK110" s="38" t="n"/>
      <c r="AL110" s="40" t="n"/>
      <c r="AM110" s="40" t="n"/>
      <c r="AN110" s="40" t="n"/>
      <c r="AO110" s="40" t="n"/>
      <c r="AP110" s="40" t="n"/>
      <c r="AQ110" s="40" t="n"/>
      <c r="AR110" s="40" t="n"/>
      <c r="AS110" s="40" t="n"/>
      <c r="AT110" s="40" t="n"/>
      <c r="AU110" s="40" t="n"/>
      <c r="AV110" s="40" t="n"/>
      <c r="AW110" s="40" t="n"/>
      <c r="AX110" s="40" t="n"/>
      <c r="AY110" s="40" t="n"/>
      <c r="AZ110" s="38" t="n"/>
      <c r="BA110" s="40" t="n"/>
      <c r="BB110" s="40" t="n"/>
      <c r="BC110" s="40" t="n"/>
      <c r="BD110" s="40" t="n"/>
      <c r="BE110" s="40" t="n"/>
      <c r="BF110" s="40" t="n"/>
      <c r="BG110" s="40" t="n"/>
      <c r="BH110" s="40" t="n"/>
      <c r="BI110" s="40" t="n"/>
      <c r="BJ110" s="40" t="n"/>
      <c r="BK110" s="40" t="n"/>
      <c r="BL110" s="40" t="n"/>
      <c r="BM110" s="40" t="n"/>
      <c r="BN110" s="40" t="n"/>
    </row>
    <row r="111" ht="18" customHeight="1" s="82">
      <c r="A111" s="30" t="n"/>
      <c r="B111" s="30" t="n"/>
      <c r="C111" s="30" t="n"/>
      <c r="D111" s="30" t="n"/>
      <c r="E111" s="31" t="n"/>
      <c r="F111" s="31" t="n"/>
      <c r="G111" s="31" t="n"/>
      <c r="H111" s="31" t="n"/>
      <c r="I111" s="31" t="n"/>
      <c r="J111" s="31" t="n"/>
      <c r="K111" s="31" t="n"/>
      <c r="L111" s="31" t="n"/>
      <c r="M111" s="31" t="n"/>
      <c r="N111" s="31" t="n"/>
      <c r="O111" s="31" t="n"/>
      <c r="P111" s="31" t="n"/>
      <c r="Q111" s="31" t="n"/>
      <c r="R111" s="31" t="n"/>
      <c r="S111" s="31" t="n"/>
      <c r="T111" s="31" t="n"/>
      <c r="U111" s="31" t="n"/>
      <c r="V111" s="31" t="n"/>
      <c r="W111" s="32" t="n"/>
      <c r="X111" s="31" t="n"/>
      <c r="Y111" s="31" t="n"/>
      <c r="Z111" s="31" t="n"/>
      <c r="AA111" s="31" t="n"/>
      <c r="AB111" s="31" t="n"/>
      <c r="AC111" s="31" t="n"/>
      <c r="AD111" s="32" t="n"/>
      <c r="AE111" s="31" t="n"/>
      <c r="AF111" s="33" t="n"/>
      <c r="AG111" s="66">
        <f>IF(OR(AF111="",AE111=""),"",IFERROR(AF111*INDEX(FXRates[USD per unit],MATCH(AE111,FXRates[Currency],0)),"No rate"))</f>
        <v/>
      </c>
      <c r="AH111" s="30" t="n"/>
      <c r="AI111" s="30" t="n"/>
      <c r="AJ111" s="34">
        <f>IF(A111="","",IF(COUNTIF($A$6:$A$504,A111)&gt;1,"⚠ Duplicate",""))</f>
        <v/>
      </c>
      <c r="AK111" s="33" t="n"/>
      <c r="AL111" s="41" t="n"/>
      <c r="AM111" s="41" t="n"/>
      <c r="AN111" s="41" t="n"/>
      <c r="AO111" s="41" t="n"/>
      <c r="AP111" s="41" t="n"/>
      <c r="AQ111" s="41" t="n"/>
      <c r="AR111" s="41" t="n"/>
      <c r="AS111" s="41" t="n"/>
      <c r="AT111" s="41" t="n"/>
      <c r="AU111" s="41" t="n"/>
      <c r="AV111" s="41" t="n"/>
      <c r="AW111" s="41" t="n"/>
      <c r="AX111" s="41" t="n"/>
      <c r="AY111" s="41" t="n"/>
      <c r="AZ111" s="33" t="n"/>
      <c r="BA111" s="41" t="n"/>
      <c r="BB111" s="41" t="n"/>
      <c r="BC111" s="41" t="n"/>
      <c r="BD111" s="41" t="n"/>
      <c r="BE111" s="41" t="n"/>
      <c r="BF111" s="41" t="n"/>
      <c r="BG111" s="41" t="n"/>
      <c r="BH111" s="41" t="n"/>
      <c r="BI111" s="41" t="n"/>
      <c r="BJ111" s="41" t="n"/>
      <c r="BK111" s="41" t="n"/>
      <c r="BL111" s="41" t="n"/>
      <c r="BM111" s="41" t="n"/>
      <c r="BN111" s="41" t="n"/>
    </row>
    <row r="112" ht="18" customHeight="1" s="82">
      <c r="A112" s="36" t="n"/>
      <c r="B112" s="36" t="n"/>
      <c r="C112" s="36" t="n"/>
      <c r="D112" s="36" t="n"/>
      <c r="E112" s="37" t="n"/>
      <c r="F112" s="37" t="n"/>
      <c r="G112" s="37" t="n"/>
      <c r="H112" s="37" t="n"/>
      <c r="I112" s="37" t="n"/>
      <c r="J112" s="37" t="n"/>
      <c r="K112" s="37" t="n"/>
      <c r="L112" s="37" t="n"/>
      <c r="M112" s="37" t="n"/>
      <c r="N112" s="37" t="n"/>
      <c r="O112" s="37" t="n"/>
      <c r="P112" s="37" t="n"/>
      <c r="Q112" s="37" t="n"/>
      <c r="R112" s="37" t="n"/>
      <c r="S112" s="37" t="n"/>
      <c r="T112" s="37" t="n"/>
      <c r="U112" s="37" t="n"/>
      <c r="V112" s="37" t="n"/>
      <c r="W112" s="32" t="n"/>
      <c r="X112" s="37" t="n"/>
      <c r="Y112" s="37" t="n"/>
      <c r="Z112" s="37" t="n"/>
      <c r="AA112" s="37" t="n"/>
      <c r="AB112" s="37" t="n"/>
      <c r="AC112" s="37" t="n"/>
      <c r="AD112" s="32" t="n"/>
      <c r="AE112" s="37" t="n"/>
      <c r="AF112" s="38" t="n"/>
      <c r="AG112" s="67">
        <f>IF(OR(AF112="",AE112=""),"",IFERROR(AF112*INDEX(FXRates[USD per unit],MATCH(AE112,FXRates[Currency],0)),"No rate"))</f>
        <v/>
      </c>
      <c r="AH112" s="36" t="n"/>
      <c r="AI112" s="36" t="n"/>
      <c r="AJ112" s="39">
        <f>IF(A112="","",IF(COUNTIF($A$6:$A$504,A112)&gt;1,"⚠ Duplicate",""))</f>
        <v/>
      </c>
      <c r="AK112" s="38" t="n"/>
      <c r="AL112" s="40" t="n"/>
      <c r="AM112" s="40" t="n"/>
      <c r="AN112" s="40" t="n"/>
      <c r="AO112" s="40" t="n"/>
      <c r="AP112" s="40" t="n"/>
      <c r="AQ112" s="40" t="n"/>
      <c r="AR112" s="40" t="n"/>
      <c r="AS112" s="40" t="n"/>
      <c r="AT112" s="40" t="n"/>
      <c r="AU112" s="40" t="n"/>
      <c r="AV112" s="40" t="n"/>
      <c r="AW112" s="40" t="n"/>
      <c r="AX112" s="40" t="n"/>
      <c r="AY112" s="40" t="n"/>
      <c r="AZ112" s="38" t="n"/>
      <c r="BA112" s="40" t="n"/>
      <c r="BB112" s="40" t="n"/>
      <c r="BC112" s="40" t="n"/>
      <c r="BD112" s="40" t="n"/>
      <c r="BE112" s="40" t="n"/>
      <c r="BF112" s="40" t="n"/>
      <c r="BG112" s="40" t="n"/>
      <c r="BH112" s="40" t="n"/>
      <c r="BI112" s="40" t="n"/>
      <c r="BJ112" s="40" t="n"/>
      <c r="BK112" s="40" t="n"/>
      <c r="BL112" s="40" t="n"/>
      <c r="BM112" s="40" t="n"/>
      <c r="BN112" s="40" t="n"/>
    </row>
    <row r="113" ht="18" customHeight="1" s="82">
      <c r="A113" s="30" t="n"/>
      <c r="B113" s="30" t="n"/>
      <c r="C113" s="30" t="n"/>
      <c r="D113" s="30" t="n"/>
      <c r="E113" s="31" t="n"/>
      <c r="F113" s="31" t="n"/>
      <c r="G113" s="31" t="n"/>
      <c r="H113" s="31" t="n"/>
      <c r="I113" s="31" t="n"/>
      <c r="J113" s="31" t="n"/>
      <c r="K113" s="31" t="n"/>
      <c r="L113" s="31" t="n"/>
      <c r="M113" s="31" t="n"/>
      <c r="N113" s="31" t="n"/>
      <c r="O113" s="31" t="n"/>
      <c r="P113" s="31" t="n"/>
      <c r="Q113" s="31" t="n"/>
      <c r="R113" s="31" t="n"/>
      <c r="S113" s="31" t="n"/>
      <c r="T113" s="31" t="n"/>
      <c r="U113" s="31" t="n"/>
      <c r="V113" s="31" t="n"/>
      <c r="W113" s="32" t="n"/>
      <c r="X113" s="31" t="n"/>
      <c r="Y113" s="31" t="n"/>
      <c r="Z113" s="31" t="n"/>
      <c r="AA113" s="31" t="n"/>
      <c r="AB113" s="31" t="n"/>
      <c r="AC113" s="31" t="n"/>
      <c r="AD113" s="32" t="n"/>
      <c r="AE113" s="31" t="n"/>
      <c r="AF113" s="33" t="n"/>
      <c r="AG113" s="66">
        <f>IF(OR(AF113="",AE113=""),"",IFERROR(AF113*INDEX(FXRates[USD per unit],MATCH(AE113,FXRates[Currency],0)),"No rate"))</f>
        <v/>
      </c>
      <c r="AH113" s="30" t="n"/>
      <c r="AI113" s="30" t="n"/>
      <c r="AJ113" s="34">
        <f>IF(A113="","",IF(COUNTIF($A$6:$A$504,A113)&gt;1,"⚠ Duplicate",""))</f>
        <v/>
      </c>
      <c r="AK113" s="33" t="n"/>
      <c r="AL113" s="41" t="n"/>
      <c r="AM113" s="41" t="n"/>
      <c r="AN113" s="41" t="n"/>
      <c r="AO113" s="41" t="n"/>
      <c r="AP113" s="41" t="n"/>
      <c r="AQ113" s="41" t="n"/>
      <c r="AR113" s="41" t="n"/>
      <c r="AS113" s="41" t="n"/>
      <c r="AT113" s="41" t="n"/>
      <c r="AU113" s="41" t="n"/>
      <c r="AV113" s="41" t="n"/>
      <c r="AW113" s="41" t="n"/>
      <c r="AX113" s="41" t="n"/>
      <c r="AY113" s="41" t="n"/>
      <c r="AZ113" s="33" t="n"/>
      <c r="BA113" s="41" t="n"/>
      <c r="BB113" s="41" t="n"/>
      <c r="BC113" s="41" t="n"/>
      <c r="BD113" s="41" t="n"/>
      <c r="BE113" s="41" t="n"/>
      <c r="BF113" s="41" t="n"/>
      <c r="BG113" s="41" t="n"/>
      <c r="BH113" s="41" t="n"/>
      <c r="BI113" s="41" t="n"/>
      <c r="BJ113" s="41" t="n"/>
      <c r="BK113" s="41" t="n"/>
      <c r="BL113" s="41" t="n"/>
      <c r="BM113" s="41" t="n"/>
      <c r="BN113" s="41" t="n"/>
    </row>
    <row r="114" ht="18" customHeight="1" s="82">
      <c r="A114" s="36" t="n"/>
      <c r="B114" s="36" t="n"/>
      <c r="C114" s="36" t="n"/>
      <c r="D114" s="36" t="n"/>
      <c r="E114" s="37" t="n"/>
      <c r="F114" s="37" t="n"/>
      <c r="G114" s="37" t="n"/>
      <c r="H114" s="37" t="n"/>
      <c r="I114" s="37" t="n"/>
      <c r="J114" s="37" t="n"/>
      <c r="K114" s="37" t="n"/>
      <c r="L114" s="37" t="n"/>
      <c r="M114" s="37" t="n"/>
      <c r="N114" s="37" t="n"/>
      <c r="O114" s="37" t="n"/>
      <c r="P114" s="37" t="n"/>
      <c r="Q114" s="37" t="n"/>
      <c r="R114" s="37" t="n"/>
      <c r="S114" s="37" t="n"/>
      <c r="T114" s="37" t="n"/>
      <c r="U114" s="37" t="n"/>
      <c r="V114" s="37" t="n"/>
      <c r="W114" s="32" t="n"/>
      <c r="X114" s="37" t="n"/>
      <c r="Y114" s="37" t="n"/>
      <c r="Z114" s="37" t="n"/>
      <c r="AA114" s="37" t="n"/>
      <c r="AB114" s="37" t="n"/>
      <c r="AC114" s="37" t="n"/>
      <c r="AD114" s="32" t="n"/>
      <c r="AE114" s="37" t="n"/>
      <c r="AF114" s="38" t="n"/>
      <c r="AG114" s="67">
        <f>IF(OR(AF114="",AE114=""),"",IFERROR(AF114*INDEX(FXRates[USD per unit],MATCH(AE114,FXRates[Currency],0)),"No rate"))</f>
        <v/>
      </c>
      <c r="AH114" s="36" t="n"/>
      <c r="AI114" s="36" t="n"/>
      <c r="AJ114" s="39">
        <f>IF(A114="","",IF(COUNTIF($A$6:$A$504,A114)&gt;1,"⚠ Duplicate",""))</f>
        <v/>
      </c>
      <c r="AK114" s="38" t="n"/>
      <c r="AL114" s="40" t="n"/>
      <c r="AM114" s="40" t="n"/>
      <c r="AN114" s="40" t="n"/>
      <c r="AO114" s="40" t="n"/>
      <c r="AP114" s="40" t="n"/>
      <c r="AQ114" s="40" t="n"/>
      <c r="AR114" s="40" t="n"/>
      <c r="AS114" s="40" t="n"/>
      <c r="AT114" s="40" t="n"/>
      <c r="AU114" s="40" t="n"/>
      <c r="AV114" s="40" t="n"/>
      <c r="AW114" s="40" t="n"/>
      <c r="AX114" s="40" t="n"/>
      <c r="AY114" s="40" t="n"/>
      <c r="AZ114" s="38" t="n"/>
      <c r="BA114" s="40" t="n"/>
      <c r="BB114" s="40" t="n"/>
      <c r="BC114" s="40" t="n"/>
      <c r="BD114" s="40" t="n"/>
      <c r="BE114" s="40" t="n"/>
      <c r="BF114" s="40" t="n"/>
      <c r="BG114" s="40" t="n"/>
      <c r="BH114" s="40" t="n"/>
      <c r="BI114" s="40" t="n"/>
      <c r="BJ114" s="40" t="n"/>
      <c r="BK114" s="40" t="n"/>
      <c r="BL114" s="40" t="n"/>
      <c r="BM114" s="40" t="n"/>
      <c r="BN114" s="40" t="n"/>
    </row>
    <row r="115" ht="18" customHeight="1" s="82">
      <c r="A115" s="30" t="n"/>
      <c r="B115" s="30" t="n"/>
      <c r="C115" s="30" t="n"/>
      <c r="D115" s="30" t="n"/>
      <c r="E115" s="31" t="n"/>
      <c r="F115" s="31" t="n"/>
      <c r="G115" s="31" t="n"/>
      <c r="H115" s="31" t="n"/>
      <c r="I115" s="31" t="n"/>
      <c r="J115" s="31" t="n"/>
      <c r="K115" s="31" t="n"/>
      <c r="L115" s="31" t="n"/>
      <c r="M115" s="31" t="n"/>
      <c r="N115" s="31" t="n"/>
      <c r="O115" s="31" t="n"/>
      <c r="P115" s="31" t="n"/>
      <c r="Q115" s="31" t="n"/>
      <c r="R115" s="31" t="n"/>
      <c r="S115" s="31" t="n"/>
      <c r="T115" s="31" t="n"/>
      <c r="U115" s="31" t="n"/>
      <c r="V115" s="31" t="n"/>
      <c r="W115" s="32" t="n"/>
      <c r="X115" s="31" t="n"/>
      <c r="Y115" s="31" t="n"/>
      <c r="Z115" s="31" t="n"/>
      <c r="AA115" s="31" t="n"/>
      <c r="AB115" s="31" t="n"/>
      <c r="AC115" s="31" t="n"/>
      <c r="AD115" s="32" t="n"/>
      <c r="AE115" s="31" t="n"/>
      <c r="AF115" s="33" t="n"/>
      <c r="AG115" s="66">
        <f>IF(OR(AF115="",AE115=""),"",IFERROR(AF115*INDEX(FXRates[USD per unit],MATCH(AE115,FXRates[Currency],0)),"No rate"))</f>
        <v/>
      </c>
      <c r="AH115" s="30" t="n"/>
      <c r="AI115" s="30" t="n"/>
      <c r="AJ115" s="34">
        <f>IF(A115="","",IF(COUNTIF($A$6:$A$504,A115)&gt;1,"⚠ Duplicate",""))</f>
        <v/>
      </c>
      <c r="AK115" s="33" t="n"/>
      <c r="AL115" s="41" t="n"/>
      <c r="AM115" s="41" t="n"/>
      <c r="AN115" s="41" t="n"/>
      <c r="AO115" s="41" t="n"/>
      <c r="AP115" s="41" t="n"/>
      <c r="AQ115" s="41" t="n"/>
      <c r="AR115" s="41" t="n"/>
      <c r="AS115" s="41" t="n"/>
      <c r="AT115" s="41" t="n"/>
      <c r="AU115" s="41" t="n"/>
      <c r="AV115" s="41" t="n"/>
      <c r="AW115" s="41" t="n"/>
      <c r="AX115" s="41" t="n"/>
      <c r="AY115" s="41" t="n"/>
      <c r="AZ115" s="33" t="n"/>
      <c r="BA115" s="41" t="n"/>
      <c r="BB115" s="41" t="n"/>
      <c r="BC115" s="41" t="n"/>
      <c r="BD115" s="41" t="n"/>
      <c r="BE115" s="41" t="n"/>
      <c r="BF115" s="41" t="n"/>
      <c r="BG115" s="41" t="n"/>
      <c r="BH115" s="41" t="n"/>
      <c r="BI115" s="41" t="n"/>
      <c r="BJ115" s="41" t="n"/>
      <c r="BK115" s="41" t="n"/>
      <c r="BL115" s="41" t="n"/>
      <c r="BM115" s="41" t="n"/>
      <c r="BN115" s="41" t="n"/>
    </row>
    <row r="116" ht="18" customHeight="1" s="82">
      <c r="A116" s="36" t="n"/>
      <c r="B116" s="36" t="n"/>
      <c r="C116" s="36" t="n"/>
      <c r="D116" s="36" t="n"/>
      <c r="E116" s="37" t="n"/>
      <c r="F116" s="37" t="n"/>
      <c r="G116" s="37" t="n"/>
      <c r="H116" s="37" t="n"/>
      <c r="I116" s="37" t="n"/>
      <c r="J116" s="37" t="n"/>
      <c r="K116" s="37" t="n"/>
      <c r="L116" s="37" t="n"/>
      <c r="M116" s="37" t="n"/>
      <c r="N116" s="37" t="n"/>
      <c r="O116" s="37" t="n"/>
      <c r="P116" s="37" t="n"/>
      <c r="Q116" s="37" t="n"/>
      <c r="R116" s="37" t="n"/>
      <c r="S116" s="37" t="n"/>
      <c r="T116" s="37" t="n"/>
      <c r="U116" s="37" t="n"/>
      <c r="V116" s="37" t="n"/>
      <c r="W116" s="32" t="n"/>
      <c r="X116" s="37" t="n"/>
      <c r="Y116" s="37" t="n"/>
      <c r="Z116" s="37" t="n"/>
      <c r="AA116" s="37" t="n"/>
      <c r="AB116" s="37" t="n"/>
      <c r="AC116" s="37" t="n"/>
      <c r="AD116" s="32" t="n"/>
      <c r="AE116" s="37" t="n"/>
      <c r="AF116" s="38" t="n"/>
      <c r="AG116" s="67">
        <f>IF(OR(AF116="",AE116=""),"",IFERROR(AF116*INDEX(FXRates[USD per unit],MATCH(AE116,FXRates[Currency],0)),"No rate"))</f>
        <v/>
      </c>
      <c r="AH116" s="36" t="n"/>
      <c r="AI116" s="36" t="n"/>
      <c r="AJ116" s="39">
        <f>IF(A116="","",IF(COUNTIF($A$6:$A$504,A116)&gt;1,"⚠ Duplicate",""))</f>
        <v/>
      </c>
      <c r="AK116" s="38" t="n"/>
      <c r="AL116" s="40" t="n"/>
      <c r="AM116" s="40" t="n"/>
      <c r="AN116" s="40" t="n"/>
      <c r="AO116" s="40" t="n"/>
      <c r="AP116" s="40" t="n"/>
      <c r="AQ116" s="40" t="n"/>
      <c r="AR116" s="40" t="n"/>
      <c r="AS116" s="40" t="n"/>
      <c r="AT116" s="40" t="n"/>
      <c r="AU116" s="40" t="n"/>
      <c r="AV116" s="40" t="n"/>
      <c r="AW116" s="40" t="n"/>
      <c r="AX116" s="40" t="n"/>
      <c r="AY116" s="40" t="n"/>
      <c r="AZ116" s="38" t="n"/>
      <c r="BA116" s="40" t="n"/>
      <c r="BB116" s="40" t="n"/>
      <c r="BC116" s="40" t="n"/>
      <c r="BD116" s="40" t="n"/>
      <c r="BE116" s="40" t="n"/>
      <c r="BF116" s="40" t="n"/>
      <c r="BG116" s="40" t="n"/>
      <c r="BH116" s="40" t="n"/>
      <c r="BI116" s="40" t="n"/>
      <c r="BJ116" s="40" t="n"/>
      <c r="BK116" s="40" t="n"/>
      <c r="BL116" s="40" t="n"/>
      <c r="BM116" s="40" t="n"/>
      <c r="BN116" s="40" t="n"/>
    </row>
    <row r="117" ht="18" customHeight="1" s="82">
      <c r="A117" s="30" t="n"/>
      <c r="B117" s="30" t="n"/>
      <c r="C117" s="30" t="n"/>
      <c r="D117" s="30" t="n"/>
      <c r="E117" s="31" t="n"/>
      <c r="F117" s="31" t="n"/>
      <c r="G117" s="31" t="n"/>
      <c r="H117" s="31" t="n"/>
      <c r="I117" s="31" t="n"/>
      <c r="J117" s="31" t="n"/>
      <c r="K117" s="31" t="n"/>
      <c r="L117" s="31" t="n"/>
      <c r="M117" s="31" t="n"/>
      <c r="N117" s="31" t="n"/>
      <c r="O117" s="31" t="n"/>
      <c r="P117" s="31" t="n"/>
      <c r="Q117" s="31" t="n"/>
      <c r="R117" s="31" t="n"/>
      <c r="S117" s="31" t="n"/>
      <c r="T117" s="31" t="n"/>
      <c r="U117" s="31" t="n"/>
      <c r="V117" s="31" t="n"/>
      <c r="W117" s="32" t="n"/>
      <c r="X117" s="31" t="n"/>
      <c r="Y117" s="31" t="n"/>
      <c r="Z117" s="31" t="n"/>
      <c r="AA117" s="31" t="n"/>
      <c r="AB117" s="31" t="n"/>
      <c r="AC117" s="31" t="n"/>
      <c r="AD117" s="32" t="n"/>
      <c r="AE117" s="31" t="n"/>
      <c r="AF117" s="33" t="n"/>
      <c r="AG117" s="66">
        <f>IF(OR(AF117="",AE117=""),"",IFERROR(AF117*INDEX(FXRates[USD per unit],MATCH(AE117,FXRates[Currency],0)),"No rate"))</f>
        <v/>
      </c>
      <c r="AH117" s="30" t="n"/>
      <c r="AI117" s="30" t="n"/>
      <c r="AJ117" s="34">
        <f>IF(A117="","",IF(COUNTIF($A$6:$A$504,A117)&gt;1,"⚠ Duplicate",""))</f>
        <v/>
      </c>
      <c r="AK117" s="33" t="n"/>
      <c r="AL117" s="41" t="n"/>
      <c r="AM117" s="41" t="n"/>
      <c r="AN117" s="41" t="n"/>
      <c r="AO117" s="41" t="n"/>
      <c r="AP117" s="41" t="n"/>
      <c r="AQ117" s="41" t="n"/>
      <c r="AR117" s="41" t="n"/>
      <c r="AS117" s="41" t="n"/>
      <c r="AT117" s="41" t="n"/>
      <c r="AU117" s="41" t="n"/>
      <c r="AV117" s="41" t="n"/>
      <c r="AW117" s="41" t="n"/>
      <c r="AX117" s="41" t="n"/>
      <c r="AY117" s="41" t="n"/>
      <c r="AZ117" s="33" t="n"/>
      <c r="BA117" s="41" t="n"/>
      <c r="BB117" s="41" t="n"/>
      <c r="BC117" s="41" t="n"/>
      <c r="BD117" s="41" t="n"/>
      <c r="BE117" s="41" t="n"/>
      <c r="BF117" s="41" t="n"/>
      <c r="BG117" s="41" t="n"/>
      <c r="BH117" s="41" t="n"/>
      <c r="BI117" s="41" t="n"/>
      <c r="BJ117" s="41" t="n"/>
      <c r="BK117" s="41" t="n"/>
      <c r="BL117" s="41" t="n"/>
      <c r="BM117" s="41" t="n"/>
      <c r="BN117" s="41" t="n"/>
    </row>
    <row r="118" ht="18" customHeight="1" s="82">
      <c r="A118" s="36" t="n"/>
      <c r="B118" s="36" t="n"/>
      <c r="C118" s="36" t="n"/>
      <c r="D118" s="36" t="n"/>
      <c r="E118" s="37" t="n"/>
      <c r="F118" s="37" t="n"/>
      <c r="G118" s="37" t="n"/>
      <c r="H118" s="37" t="n"/>
      <c r="I118" s="37" t="n"/>
      <c r="J118" s="37" t="n"/>
      <c r="K118" s="37" t="n"/>
      <c r="L118" s="37" t="n"/>
      <c r="M118" s="37" t="n"/>
      <c r="N118" s="37" t="n"/>
      <c r="O118" s="37" t="n"/>
      <c r="P118" s="37" t="n"/>
      <c r="Q118" s="37" t="n"/>
      <c r="R118" s="37" t="n"/>
      <c r="S118" s="37" t="n"/>
      <c r="T118" s="37" t="n"/>
      <c r="U118" s="37" t="n"/>
      <c r="V118" s="37" t="n"/>
      <c r="W118" s="32" t="n"/>
      <c r="X118" s="37" t="n"/>
      <c r="Y118" s="37" t="n"/>
      <c r="Z118" s="37" t="n"/>
      <c r="AA118" s="37" t="n"/>
      <c r="AB118" s="37" t="n"/>
      <c r="AC118" s="37" t="n"/>
      <c r="AD118" s="32" t="n"/>
      <c r="AE118" s="37" t="n"/>
      <c r="AF118" s="38" t="n"/>
      <c r="AG118" s="67">
        <f>IF(OR(AF118="",AE118=""),"",IFERROR(AF118*INDEX(FXRates[USD per unit],MATCH(AE118,FXRates[Currency],0)),"No rate"))</f>
        <v/>
      </c>
      <c r="AH118" s="36" t="n"/>
      <c r="AI118" s="36" t="n"/>
      <c r="AJ118" s="39">
        <f>IF(A118="","",IF(COUNTIF($A$6:$A$504,A118)&gt;1,"⚠ Duplicate",""))</f>
        <v/>
      </c>
      <c r="AK118" s="38" t="n"/>
      <c r="AL118" s="40" t="n"/>
      <c r="AM118" s="40" t="n"/>
      <c r="AN118" s="40" t="n"/>
      <c r="AO118" s="40" t="n"/>
      <c r="AP118" s="40" t="n"/>
      <c r="AQ118" s="40" t="n"/>
      <c r="AR118" s="40" t="n"/>
      <c r="AS118" s="40" t="n"/>
      <c r="AT118" s="40" t="n"/>
      <c r="AU118" s="40" t="n"/>
      <c r="AV118" s="40" t="n"/>
      <c r="AW118" s="40" t="n"/>
      <c r="AX118" s="40" t="n"/>
      <c r="AY118" s="40" t="n"/>
      <c r="AZ118" s="38" t="n"/>
      <c r="BA118" s="40" t="n"/>
      <c r="BB118" s="40" t="n"/>
      <c r="BC118" s="40" t="n"/>
      <c r="BD118" s="40" t="n"/>
      <c r="BE118" s="40" t="n"/>
      <c r="BF118" s="40" t="n"/>
      <c r="BG118" s="40" t="n"/>
      <c r="BH118" s="40" t="n"/>
      <c r="BI118" s="40" t="n"/>
      <c r="BJ118" s="40" t="n"/>
      <c r="BK118" s="40" t="n"/>
      <c r="BL118" s="40" t="n"/>
      <c r="BM118" s="40" t="n"/>
      <c r="BN118" s="40" t="n"/>
    </row>
    <row r="119" ht="18" customHeight="1" s="82">
      <c r="A119" s="30" t="n"/>
      <c r="B119" s="30" t="n"/>
      <c r="C119" s="30" t="n"/>
      <c r="D119" s="30" t="n"/>
      <c r="E119" s="31" t="n"/>
      <c r="F119" s="31" t="n"/>
      <c r="G119" s="31" t="n"/>
      <c r="H119" s="31" t="n"/>
      <c r="I119" s="31" t="n"/>
      <c r="J119" s="31" t="n"/>
      <c r="K119" s="31" t="n"/>
      <c r="L119" s="31" t="n"/>
      <c r="M119" s="31" t="n"/>
      <c r="N119" s="31" t="n"/>
      <c r="O119" s="31" t="n"/>
      <c r="P119" s="31" t="n"/>
      <c r="Q119" s="31" t="n"/>
      <c r="R119" s="31" t="n"/>
      <c r="S119" s="31" t="n"/>
      <c r="T119" s="31" t="n"/>
      <c r="U119" s="31" t="n"/>
      <c r="V119" s="31" t="n"/>
      <c r="W119" s="32" t="n"/>
      <c r="X119" s="31" t="n"/>
      <c r="Y119" s="31" t="n"/>
      <c r="Z119" s="31" t="n"/>
      <c r="AA119" s="31" t="n"/>
      <c r="AB119" s="31" t="n"/>
      <c r="AC119" s="31" t="n"/>
      <c r="AD119" s="32" t="n"/>
      <c r="AE119" s="31" t="n"/>
      <c r="AF119" s="33" t="n"/>
      <c r="AG119" s="66">
        <f>IF(OR(AF119="",AE119=""),"",IFERROR(AF119*INDEX(FXRates[USD per unit],MATCH(AE119,FXRates[Currency],0)),"No rate"))</f>
        <v/>
      </c>
      <c r="AH119" s="30" t="n"/>
      <c r="AI119" s="30" t="n"/>
      <c r="AJ119" s="34">
        <f>IF(A119="","",IF(COUNTIF($A$6:$A$504,A119)&gt;1,"⚠ Duplicate",""))</f>
        <v/>
      </c>
      <c r="AK119" s="33" t="n"/>
      <c r="AL119" s="41" t="n"/>
      <c r="AM119" s="41" t="n"/>
      <c r="AN119" s="41" t="n"/>
      <c r="AO119" s="41" t="n"/>
      <c r="AP119" s="41" t="n"/>
      <c r="AQ119" s="41" t="n"/>
      <c r="AR119" s="41" t="n"/>
      <c r="AS119" s="41" t="n"/>
      <c r="AT119" s="41" t="n"/>
      <c r="AU119" s="41" t="n"/>
      <c r="AV119" s="41" t="n"/>
      <c r="AW119" s="41" t="n"/>
      <c r="AX119" s="41" t="n"/>
      <c r="AY119" s="41" t="n"/>
      <c r="AZ119" s="33" t="n"/>
      <c r="BA119" s="41" t="n"/>
      <c r="BB119" s="41" t="n"/>
      <c r="BC119" s="41" t="n"/>
      <c r="BD119" s="41" t="n"/>
      <c r="BE119" s="41" t="n"/>
      <c r="BF119" s="41" t="n"/>
      <c r="BG119" s="41" t="n"/>
      <c r="BH119" s="41" t="n"/>
      <c r="BI119" s="41" t="n"/>
      <c r="BJ119" s="41" t="n"/>
      <c r="BK119" s="41" t="n"/>
      <c r="BL119" s="41" t="n"/>
      <c r="BM119" s="41" t="n"/>
      <c r="BN119" s="41" t="n"/>
    </row>
    <row r="120" ht="18" customHeight="1" s="82">
      <c r="A120" s="36" t="n"/>
      <c r="B120" s="36" t="n"/>
      <c r="C120" s="36" t="n"/>
      <c r="D120" s="36" t="n"/>
      <c r="E120" s="37" t="n"/>
      <c r="F120" s="37" t="n"/>
      <c r="G120" s="37" t="n"/>
      <c r="H120" s="37" t="n"/>
      <c r="I120" s="37" t="n"/>
      <c r="J120" s="37" t="n"/>
      <c r="K120" s="37" t="n"/>
      <c r="L120" s="37" t="n"/>
      <c r="M120" s="37" t="n"/>
      <c r="N120" s="37" t="n"/>
      <c r="O120" s="37" t="n"/>
      <c r="P120" s="37" t="n"/>
      <c r="Q120" s="37" t="n"/>
      <c r="R120" s="37" t="n"/>
      <c r="S120" s="37" t="n"/>
      <c r="T120" s="37" t="n"/>
      <c r="U120" s="37" t="n"/>
      <c r="V120" s="37" t="n"/>
      <c r="W120" s="32" t="n"/>
      <c r="X120" s="37" t="n"/>
      <c r="Y120" s="37" t="n"/>
      <c r="Z120" s="37" t="n"/>
      <c r="AA120" s="37" t="n"/>
      <c r="AB120" s="37" t="n"/>
      <c r="AC120" s="37" t="n"/>
      <c r="AD120" s="32" t="n"/>
      <c r="AE120" s="37" t="n"/>
      <c r="AF120" s="38" t="n"/>
      <c r="AG120" s="67">
        <f>IF(OR(AF120="",AE120=""),"",IFERROR(AF120*INDEX(FXRates[USD per unit],MATCH(AE120,FXRates[Currency],0)),"No rate"))</f>
        <v/>
      </c>
      <c r="AH120" s="36" t="n"/>
      <c r="AI120" s="36" t="n"/>
      <c r="AJ120" s="39">
        <f>IF(A120="","",IF(COUNTIF($A$6:$A$504,A120)&gt;1,"⚠ Duplicate",""))</f>
        <v/>
      </c>
      <c r="AK120" s="38" t="n"/>
      <c r="AL120" s="40" t="n"/>
      <c r="AM120" s="40" t="n"/>
      <c r="AN120" s="40" t="n"/>
      <c r="AO120" s="40" t="n"/>
      <c r="AP120" s="40" t="n"/>
      <c r="AQ120" s="40" t="n"/>
      <c r="AR120" s="40" t="n"/>
      <c r="AS120" s="40" t="n"/>
      <c r="AT120" s="40" t="n"/>
      <c r="AU120" s="40" t="n"/>
      <c r="AV120" s="40" t="n"/>
      <c r="AW120" s="40" t="n"/>
      <c r="AX120" s="40" t="n"/>
      <c r="AY120" s="40" t="n"/>
      <c r="AZ120" s="38" t="n"/>
      <c r="BA120" s="40" t="n"/>
      <c r="BB120" s="40" t="n"/>
      <c r="BC120" s="40" t="n"/>
      <c r="BD120" s="40" t="n"/>
      <c r="BE120" s="40" t="n"/>
      <c r="BF120" s="40" t="n"/>
      <c r="BG120" s="40" t="n"/>
      <c r="BH120" s="40" t="n"/>
      <c r="BI120" s="40" t="n"/>
      <c r="BJ120" s="40" t="n"/>
      <c r="BK120" s="40" t="n"/>
      <c r="BL120" s="40" t="n"/>
      <c r="BM120" s="40" t="n"/>
      <c r="BN120" s="40" t="n"/>
    </row>
    <row r="121" ht="18" customHeight="1" s="82">
      <c r="A121" s="30" t="n"/>
      <c r="B121" s="30" t="n"/>
      <c r="C121" s="30" t="n"/>
      <c r="D121" s="30" t="n"/>
      <c r="E121" s="31" t="n"/>
      <c r="F121" s="31" t="n"/>
      <c r="G121" s="31" t="n"/>
      <c r="H121" s="31" t="n"/>
      <c r="I121" s="31" t="n"/>
      <c r="J121" s="31" t="n"/>
      <c r="K121" s="31" t="n"/>
      <c r="L121" s="31" t="n"/>
      <c r="M121" s="31" t="n"/>
      <c r="N121" s="31" t="n"/>
      <c r="O121" s="31" t="n"/>
      <c r="P121" s="31" t="n"/>
      <c r="Q121" s="31" t="n"/>
      <c r="R121" s="31" t="n"/>
      <c r="S121" s="31" t="n"/>
      <c r="T121" s="31" t="n"/>
      <c r="U121" s="31" t="n"/>
      <c r="V121" s="31" t="n"/>
      <c r="W121" s="32" t="n"/>
      <c r="X121" s="31" t="n"/>
      <c r="Y121" s="31" t="n"/>
      <c r="Z121" s="31" t="n"/>
      <c r="AA121" s="31" t="n"/>
      <c r="AB121" s="31" t="n"/>
      <c r="AC121" s="31" t="n"/>
      <c r="AD121" s="32" t="n"/>
      <c r="AE121" s="31" t="n"/>
      <c r="AF121" s="33" t="n"/>
      <c r="AG121" s="66">
        <f>IF(OR(AF121="",AE121=""),"",IFERROR(AF121*INDEX(FXRates[USD per unit],MATCH(AE121,FXRates[Currency],0)),"No rate"))</f>
        <v/>
      </c>
      <c r="AH121" s="30" t="n"/>
      <c r="AI121" s="30" t="n"/>
      <c r="AJ121" s="34">
        <f>IF(A121="","",IF(COUNTIF($A$6:$A$504,A121)&gt;1,"⚠ Duplicate",""))</f>
        <v/>
      </c>
      <c r="AK121" s="33" t="n"/>
      <c r="AL121" s="41" t="n"/>
      <c r="AM121" s="41" t="n"/>
      <c r="AN121" s="41" t="n"/>
      <c r="AO121" s="41" t="n"/>
      <c r="AP121" s="41" t="n"/>
      <c r="AQ121" s="41" t="n"/>
      <c r="AR121" s="41" t="n"/>
      <c r="AS121" s="41" t="n"/>
      <c r="AT121" s="41" t="n"/>
      <c r="AU121" s="41" t="n"/>
      <c r="AV121" s="41" t="n"/>
      <c r="AW121" s="41" t="n"/>
      <c r="AX121" s="41" t="n"/>
      <c r="AY121" s="41" t="n"/>
      <c r="AZ121" s="33" t="n"/>
      <c r="BA121" s="41" t="n"/>
      <c r="BB121" s="41" t="n"/>
      <c r="BC121" s="41" t="n"/>
      <c r="BD121" s="41" t="n"/>
      <c r="BE121" s="41" t="n"/>
      <c r="BF121" s="41" t="n"/>
      <c r="BG121" s="41" t="n"/>
      <c r="BH121" s="41" t="n"/>
      <c r="BI121" s="41" t="n"/>
      <c r="BJ121" s="41" t="n"/>
      <c r="BK121" s="41" t="n"/>
      <c r="BL121" s="41" t="n"/>
      <c r="BM121" s="41" t="n"/>
      <c r="BN121" s="41" t="n"/>
    </row>
    <row r="122" ht="18" customHeight="1" s="82">
      <c r="A122" s="36" t="n"/>
      <c r="B122" s="36" t="n"/>
      <c r="C122" s="36" t="n"/>
      <c r="D122" s="36" t="n"/>
      <c r="E122" s="37" t="n"/>
      <c r="F122" s="37" t="n"/>
      <c r="G122" s="37" t="n"/>
      <c r="H122" s="37" t="n"/>
      <c r="I122" s="37" t="n"/>
      <c r="J122" s="37" t="n"/>
      <c r="K122" s="37" t="n"/>
      <c r="L122" s="37" t="n"/>
      <c r="M122" s="37" t="n"/>
      <c r="N122" s="37" t="n"/>
      <c r="O122" s="37" t="n"/>
      <c r="P122" s="37" t="n"/>
      <c r="Q122" s="37" t="n"/>
      <c r="R122" s="37" t="n"/>
      <c r="S122" s="37" t="n"/>
      <c r="T122" s="37" t="n"/>
      <c r="U122" s="37" t="n"/>
      <c r="V122" s="37" t="n"/>
      <c r="W122" s="32" t="n"/>
      <c r="X122" s="37" t="n"/>
      <c r="Y122" s="37" t="n"/>
      <c r="Z122" s="37" t="n"/>
      <c r="AA122" s="37" t="n"/>
      <c r="AB122" s="37" t="n"/>
      <c r="AC122" s="37" t="n"/>
      <c r="AD122" s="32" t="n"/>
      <c r="AE122" s="37" t="n"/>
      <c r="AF122" s="38" t="n"/>
      <c r="AG122" s="67">
        <f>IF(OR(AF122="",AE122=""),"",IFERROR(AF122*INDEX(FXRates[USD per unit],MATCH(AE122,FXRates[Currency],0)),"No rate"))</f>
        <v/>
      </c>
      <c r="AH122" s="36" t="n"/>
      <c r="AI122" s="36" t="n"/>
      <c r="AJ122" s="39">
        <f>IF(A122="","",IF(COUNTIF($A$6:$A$504,A122)&gt;1,"⚠ Duplicate",""))</f>
        <v/>
      </c>
      <c r="AK122" s="38" t="n"/>
      <c r="AL122" s="40" t="n"/>
      <c r="AM122" s="40" t="n"/>
      <c r="AN122" s="40" t="n"/>
      <c r="AO122" s="40" t="n"/>
      <c r="AP122" s="40" t="n"/>
      <c r="AQ122" s="40" t="n"/>
      <c r="AR122" s="40" t="n"/>
      <c r="AS122" s="40" t="n"/>
      <c r="AT122" s="40" t="n"/>
      <c r="AU122" s="40" t="n"/>
      <c r="AV122" s="40" t="n"/>
      <c r="AW122" s="40" t="n"/>
      <c r="AX122" s="40" t="n"/>
      <c r="AY122" s="40" t="n"/>
      <c r="AZ122" s="38" t="n"/>
      <c r="BA122" s="40" t="n"/>
      <c r="BB122" s="40" t="n"/>
      <c r="BC122" s="40" t="n"/>
      <c r="BD122" s="40" t="n"/>
      <c r="BE122" s="40" t="n"/>
      <c r="BF122" s="40" t="n"/>
      <c r="BG122" s="40" t="n"/>
      <c r="BH122" s="40" t="n"/>
      <c r="BI122" s="40" t="n"/>
      <c r="BJ122" s="40" t="n"/>
      <c r="BK122" s="40" t="n"/>
      <c r="BL122" s="40" t="n"/>
      <c r="BM122" s="40" t="n"/>
      <c r="BN122" s="40" t="n"/>
    </row>
    <row r="123" ht="18" customHeight="1" s="82">
      <c r="A123" s="30" t="n"/>
      <c r="B123" s="30" t="n"/>
      <c r="C123" s="30" t="n"/>
      <c r="D123" s="30" t="n"/>
      <c r="E123" s="31" t="n"/>
      <c r="F123" s="31" t="n"/>
      <c r="G123" s="31" t="n"/>
      <c r="H123" s="31" t="n"/>
      <c r="I123" s="31" t="n"/>
      <c r="J123" s="31" t="n"/>
      <c r="K123" s="31" t="n"/>
      <c r="L123" s="31" t="n"/>
      <c r="M123" s="31" t="n"/>
      <c r="N123" s="31" t="n"/>
      <c r="O123" s="31" t="n"/>
      <c r="P123" s="31" t="n"/>
      <c r="Q123" s="31" t="n"/>
      <c r="R123" s="31" t="n"/>
      <c r="S123" s="31" t="n"/>
      <c r="T123" s="31" t="n"/>
      <c r="U123" s="31" t="n"/>
      <c r="V123" s="31" t="n"/>
      <c r="W123" s="32" t="n"/>
      <c r="X123" s="31" t="n"/>
      <c r="Y123" s="31" t="n"/>
      <c r="Z123" s="31" t="n"/>
      <c r="AA123" s="31" t="n"/>
      <c r="AB123" s="31" t="n"/>
      <c r="AC123" s="31" t="n"/>
      <c r="AD123" s="32" t="n"/>
      <c r="AE123" s="31" t="n"/>
      <c r="AF123" s="33" t="n"/>
      <c r="AG123" s="66">
        <f>IF(OR(AF123="",AE123=""),"",IFERROR(AF123*INDEX(FXRates[USD per unit],MATCH(AE123,FXRates[Currency],0)),"No rate"))</f>
        <v/>
      </c>
      <c r="AH123" s="30" t="n"/>
      <c r="AI123" s="30" t="n"/>
      <c r="AJ123" s="34">
        <f>IF(A123="","",IF(COUNTIF($A$6:$A$504,A123)&gt;1,"⚠ Duplicate",""))</f>
        <v/>
      </c>
      <c r="AK123" s="33" t="n"/>
      <c r="AL123" s="41" t="n"/>
      <c r="AM123" s="41" t="n"/>
      <c r="AN123" s="41" t="n"/>
      <c r="AO123" s="41" t="n"/>
      <c r="AP123" s="41" t="n"/>
      <c r="AQ123" s="41" t="n"/>
      <c r="AR123" s="41" t="n"/>
      <c r="AS123" s="41" t="n"/>
      <c r="AT123" s="41" t="n"/>
      <c r="AU123" s="41" t="n"/>
      <c r="AV123" s="41" t="n"/>
      <c r="AW123" s="41" t="n"/>
      <c r="AX123" s="41" t="n"/>
      <c r="AY123" s="41" t="n"/>
      <c r="AZ123" s="33" t="n"/>
      <c r="BA123" s="41" t="n"/>
      <c r="BB123" s="41" t="n"/>
      <c r="BC123" s="41" t="n"/>
      <c r="BD123" s="41" t="n"/>
      <c r="BE123" s="41" t="n"/>
      <c r="BF123" s="41" t="n"/>
      <c r="BG123" s="41" t="n"/>
      <c r="BH123" s="41" t="n"/>
      <c r="BI123" s="41" t="n"/>
      <c r="BJ123" s="41" t="n"/>
      <c r="BK123" s="41" t="n"/>
      <c r="BL123" s="41" t="n"/>
      <c r="BM123" s="41" t="n"/>
      <c r="BN123" s="41" t="n"/>
    </row>
    <row r="124" ht="18" customHeight="1" s="82">
      <c r="A124" s="36" t="n"/>
      <c r="B124" s="36" t="n"/>
      <c r="C124" s="36" t="n"/>
      <c r="D124" s="36" t="n"/>
      <c r="E124" s="37" t="n"/>
      <c r="F124" s="37" t="n"/>
      <c r="G124" s="37" t="n"/>
      <c r="H124" s="37" t="n"/>
      <c r="I124" s="37" t="n"/>
      <c r="J124" s="37" t="n"/>
      <c r="K124" s="37" t="n"/>
      <c r="L124" s="37" t="n"/>
      <c r="M124" s="37" t="n"/>
      <c r="N124" s="37" t="n"/>
      <c r="O124" s="37" t="n"/>
      <c r="P124" s="37" t="n"/>
      <c r="Q124" s="37" t="n"/>
      <c r="R124" s="37" t="n"/>
      <c r="S124" s="37" t="n"/>
      <c r="T124" s="37" t="n"/>
      <c r="U124" s="37" t="n"/>
      <c r="V124" s="37" t="n"/>
      <c r="W124" s="32" t="n"/>
      <c r="X124" s="37" t="n"/>
      <c r="Y124" s="37" t="n"/>
      <c r="Z124" s="37" t="n"/>
      <c r="AA124" s="37" t="n"/>
      <c r="AB124" s="37" t="n"/>
      <c r="AC124" s="37" t="n"/>
      <c r="AD124" s="32" t="n"/>
      <c r="AE124" s="37" t="n"/>
      <c r="AF124" s="38" t="n"/>
      <c r="AG124" s="67">
        <f>IF(OR(AF124="",AE124=""),"",IFERROR(AF124*INDEX(FXRates[USD per unit],MATCH(AE124,FXRates[Currency],0)),"No rate"))</f>
        <v/>
      </c>
      <c r="AH124" s="36" t="n"/>
      <c r="AI124" s="36" t="n"/>
      <c r="AJ124" s="39">
        <f>IF(A124="","",IF(COUNTIF($A$6:$A$504,A124)&gt;1,"⚠ Duplicate",""))</f>
        <v/>
      </c>
      <c r="AK124" s="38" t="n"/>
      <c r="AL124" s="40" t="n"/>
      <c r="AM124" s="40" t="n"/>
      <c r="AN124" s="40" t="n"/>
      <c r="AO124" s="40" t="n"/>
      <c r="AP124" s="40" t="n"/>
      <c r="AQ124" s="40" t="n"/>
      <c r="AR124" s="40" t="n"/>
      <c r="AS124" s="40" t="n"/>
      <c r="AT124" s="40" t="n"/>
      <c r="AU124" s="40" t="n"/>
      <c r="AV124" s="40" t="n"/>
      <c r="AW124" s="40" t="n"/>
      <c r="AX124" s="40" t="n"/>
      <c r="AY124" s="40" t="n"/>
      <c r="AZ124" s="38" t="n"/>
      <c r="BA124" s="40" t="n"/>
      <c r="BB124" s="40" t="n"/>
      <c r="BC124" s="40" t="n"/>
      <c r="BD124" s="40" t="n"/>
      <c r="BE124" s="40" t="n"/>
      <c r="BF124" s="40" t="n"/>
      <c r="BG124" s="40" t="n"/>
      <c r="BH124" s="40" t="n"/>
      <c r="BI124" s="40" t="n"/>
      <c r="BJ124" s="40" t="n"/>
      <c r="BK124" s="40" t="n"/>
      <c r="BL124" s="40" t="n"/>
      <c r="BM124" s="40" t="n"/>
      <c r="BN124" s="40" t="n"/>
    </row>
    <row r="125" ht="18" customHeight="1" s="82">
      <c r="A125" s="30" t="n"/>
      <c r="B125" s="30" t="n"/>
      <c r="C125" s="30" t="n"/>
      <c r="D125" s="30" t="n"/>
      <c r="E125" s="31" t="n"/>
      <c r="F125" s="31" t="n"/>
      <c r="G125" s="31" t="n"/>
      <c r="H125" s="31" t="n"/>
      <c r="I125" s="31" t="n"/>
      <c r="J125" s="31" t="n"/>
      <c r="K125" s="31" t="n"/>
      <c r="L125" s="31" t="n"/>
      <c r="M125" s="31" t="n"/>
      <c r="N125" s="31" t="n"/>
      <c r="O125" s="31" t="n"/>
      <c r="P125" s="31" t="n"/>
      <c r="Q125" s="31" t="n"/>
      <c r="R125" s="31" t="n"/>
      <c r="S125" s="31" t="n"/>
      <c r="T125" s="31" t="n"/>
      <c r="U125" s="31" t="n"/>
      <c r="V125" s="31" t="n"/>
      <c r="W125" s="32" t="n"/>
      <c r="X125" s="31" t="n"/>
      <c r="Y125" s="31" t="n"/>
      <c r="Z125" s="31" t="n"/>
      <c r="AA125" s="31" t="n"/>
      <c r="AB125" s="31" t="n"/>
      <c r="AC125" s="31" t="n"/>
      <c r="AD125" s="32" t="n"/>
      <c r="AE125" s="31" t="n"/>
      <c r="AF125" s="33" t="n"/>
      <c r="AG125" s="66">
        <f>IF(OR(AF125="",AE125=""),"",IFERROR(AF125*INDEX(FXRates[USD per unit],MATCH(AE125,FXRates[Currency],0)),"No rate"))</f>
        <v/>
      </c>
      <c r="AH125" s="30" t="n"/>
      <c r="AI125" s="30" t="n"/>
      <c r="AJ125" s="34">
        <f>IF(A125="","",IF(COUNTIF($A$6:$A$504,A125)&gt;1,"⚠ Duplicate",""))</f>
        <v/>
      </c>
      <c r="AK125" s="33" t="n"/>
      <c r="AL125" s="41" t="n"/>
      <c r="AM125" s="41" t="n"/>
      <c r="AN125" s="41" t="n"/>
      <c r="AO125" s="41" t="n"/>
      <c r="AP125" s="41" t="n"/>
      <c r="AQ125" s="41" t="n"/>
      <c r="AR125" s="41" t="n"/>
      <c r="AS125" s="41" t="n"/>
      <c r="AT125" s="41" t="n"/>
      <c r="AU125" s="41" t="n"/>
      <c r="AV125" s="41" t="n"/>
      <c r="AW125" s="41" t="n"/>
      <c r="AX125" s="41" t="n"/>
      <c r="AY125" s="41" t="n"/>
      <c r="AZ125" s="33" t="n"/>
      <c r="BA125" s="41" t="n"/>
      <c r="BB125" s="41" t="n"/>
      <c r="BC125" s="41" t="n"/>
      <c r="BD125" s="41" t="n"/>
      <c r="BE125" s="41" t="n"/>
      <c r="BF125" s="41" t="n"/>
      <c r="BG125" s="41" t="n"/>
      <c r="BH125" s="41" t="n"/>
      <c r="BI125" s="41" t="n"/>
      <c r="BJ125" s="41" t="n"/>
      <c r="BK125" s="41" t="n"/>
      <c r="BL125" s="41" t="n"/>
      <c r="BM125" s="41" t="n"/>
      <c r="BN125" s="41" t="n"/>
    </row>
    <row r="126" ht="18" customHeight="1" s="82">
      <c r="A126" s="36" t="n"/>
      <c r="B126" s="36" t="n"/>
      <c r="C126" s="36" t="n"/>
      <c r="D126" s="36" t="n"/>
      <c r="E126" s="37" t="n"/>
      <c r="F126" s="37" t="n"/>
      <c r="G126" s="37" t="n"/>
      <c r="H126" s="37" t="n"/>
      <c r="I126" s="37" t="n"/>
      <c r="J126" s="37" t="n"/>
      <c r="K126" s="37" t="n"/>
      <c r="L126" s="37" t="n"/>
      <c r="M126" s="37" t="n"/>
      <c r="N126" s="37" t="n"/>
      <c r="O126" s="37" t="n"/>
      <c r="P126" s="37" t="n"/>
      <c r="Q126" s="37" t="n"/>
      <c r="R126" s="37" t="n"/>
      <c r="S126" s="37" t="n"/>
      <c r="T126" s="37" t="n"/>
      <c r="U126" s="37" t="n"/>
      <c r="V126" s="37" t="n"/>
      <c r="W126" s="32" t="n"/>
      <c r="X126" s="37" t="n"/>
      <c r="Y126" s="37" t="n"/>
      <c r="Z126" s="37" t="n"/>
      <c r="AA126" s="37" t="n"/>
      <c r="AB126" s="37" t="n"/>
      <c r="AC126" s="37" t="n"/>
      <c r="AD126" s="32" t="n"/>
      <c r="AE126" s="37" t="n"/>
      <c r="AF126" s="38" t="n"/>
      <c r="AG126" s="67">
        <f>IF(OR(AF126="",AE126=""),"",IFERROR(AF126*INDEX(FXRates[USD per unit],MATCH(AE126,FXRates[Currency],0)),"No rate"))</f>
        <v/>
      </c>
      <c r="AH126" s="36" t="n"/>
      <c r="AI126" s="36" t="n"/>
      <c r="AJ126" s="39">
        <f>IF(A126="","",IF(COUNTIF($A$6:$A$504,A126)&gt;1,"⚠ Duplicate",""))</f>
        <v/>
      </c>
      <c r="AK126" s="38" t="n"/>
      <c r="AL126" s="40" t="n"/>
      <c r="AM126" s="40" t="n"/>
      <c r="AN126" s="40" t="n"/>
      <c r="AO126" s="40" t="n"/>
      <c r="AP126" s="40" t="n"/>
      <c r="AQ126" s="40" t="n"/>
      <c r="AR126" s="40" t="n"/>
      <c r="AS126" s="40" t="n"/>
      <c r="AT126" s="40" t="n"/>
      <c r="AU126" s="40" t="n"/>
      <c r="AV126" s="40" t="n"/>
      <c r="AW126" s="40" t="n"/>
      <c r="AX126" s="40" t="n"/>
      <c r="AY126" s="40" t="n"/>
      <c r="AZ126" s="38" t="n"/>
      <c r="BA126" s="40" t="n"/>
      <c r="BB126" s="40" t="n"/>
      <c r="BC126" s="40" t="n"/>
      <c r="BD126" s="40" t="n"/>
      <c r="BE126" s="40" t="n"/>
      <c r="BF126" s="40" t="n"/>
      <c r="BG126" s="40" t="n"/>
      <c r="BH126" s="40" t="n"/>
      <c r="BI126" s="40" t="n"/>
      <c r="BJ126" s="40" t="n"/>
      <c r="BK126" s="40" t="n"/>
      <c r="BL126" s="40" t="n"/>
      <c r="BM126" s="40" t="n"/>
      <c r="BN126" s="40" t="n"/>
    </row>
    <row r="127" ht="18" customHeight="1" s="82">
      <c r="A127" s="30" t="n"/>
      <c r="B127" s="30" t="n"/>
      <c r="C127" s="30" t="n"/>
      <c r="D127" s="30" t="n"/>
      <c r="E127" s="31" t="n"/>
      <c r="F127" s="31" t="n"/>
      <c r="G127" s="31" t="n"/>
      <c r="H127" s="31" t="n"/>
      <c r="I127" s="31" t="n"/>
      <c r="J127" s="31" t="n"/>
      <c r="K127" s="31" t="n"/>
      <c r="L127" s="31" t="n"/>
      <c r="M127" s="31" t="n"/>
      <c r="N127" s="31" t="n"/>
      <c r="O127" s="31" t="n"/>
      <c r="P127" s="31" t="n"/>
      <c r="Q127" s="31" t="n"/>
      <c r="R127" s="31" t="n"/>
      <c r="S127" s="31" t="n"/>
      <c r="T127" s="31" t="n"/>
      <c r="U127" s="31" t="n"/>
      <c r="V127" s="31" t="n"/>
      <c r="W127" s="32" t="n"/>
      <c r="X127" s="31" t="n"/>
      <c r="Y127" s="31" t="n"/>
      <c r="Z127" s="31" t="n"/>
      <c r="AA127" s="31" t="n"/>
      <c r="AB127" s="31" t="n"/>
      <c r="AC127" s="31" t="n"/>
      <c r="AD127" s="32" t="n"/>
      <c r="AE127" s="31" t="n"/>
      <c r="AF127" s="33" t="n"/>
      <c r="AG127" s="66">
        <f>IF(OR(AF127="",AE127=""),"",IFERROR(AF127*INDEX(FXRates[USD per unit],MATCH(AE127,FXRates[Currency],0)),"No rate"))</f>
        <v/>
      </c>
      <c r="AH127" s="30" t="n"/>
      <c r="AI127" s="30" t="n"/>
      <c r="AJ127" s="34">
        <f>IF(A127="","",IF(COUNTIF($A$6:$A$504,A127)&gt;1,"⚠ Duplicate",""))</f>
        <v/>
      </c>
      <c r="AK127" s="33" t="n"/>
      <c r="AL127" s="41" t="n"/>
      <c r="AM127" s="41" t="n"/>
      <c r="AN127" s="41" t="n"/>
      <c r="AO127" s="41" t="n"/>
      <c r="AP127" s="41" t="n"/>
      <c r="AQ127" s="41" t="n"/>
      <c r="AR127" s="41" t="n"/>
      <c r="AS127" s="41" t="n"/>
      <c r="AT127" s="41" t="n"/>
      <c r="AU127" s="41" t="n"/>
      <c r="AV127" s="41" t="n"/>
      <c r="AW127" s="41" t="n"/>
      <c r="AX127" s="41" t="n"/>
      <c r="AY127" s="41" t="n"/>
      <c r="AZ127" s="33" t="n"/>
      <c r="BA127" s="41" t="n"/>
      <c r="BB127" s="41" t="n"/>
      <c r="BC127" s="41" t="n"/>
      <c r="BD127" s="41" t="n"/>
      <c r="BE127" s="41" t="n"/>
      <c r="BF127" s="41" t="n"/>
      <c r="BG127" s="41" t="n"/>
      <c r="BH127" s="41" t="n"/>
      <c r="BI127" s="41" t="n"/>
      <c r="BJ127" s="41" t="n"/>
      <c r="BK127" s="41" t="n"/>
      <c r="BL127" s="41" t="n"/>
      <c r="BM127" s="41" t="n"/>
      <c r="BN127" s="41" t="n"/>
    </row>
    <row r="128" ht="18" customHeight="1" s="82">
      <c r="A128" s="36" t="n"/>
      <c r="B128" s="36" t="n"/>
      <c r="C128" s="36" t="n"/>
      <c r="D128" s="36" t="n"/>
      <c r="E128" s="37" t="n"/>
      <c r="F128" s="37" t="n"/>
      <c r="G128" s="37" t="n"/>
      <c r="H128" s="37" t="n"/>
      <c r="I128" s="37" t="n"/>
      <c r="J128" s="37" t="n"/>
      <c r="K128" s="37" t="n"/>
      <c r="L128" s="37" t="n"/>
      <c r="M128" s="37" t="n"/>
      <c r="N128" s="37" t="n"/>
      <c r="O128" s="37" t="n"/>
      <c r="P128" s="37" t="n"/>
      <c r="Q128" s="37" t="n"/>
      <c r="R128" s="37" t="n"/>
      <c r="S128" s="37" t="n"/>
      <c r="T128" s="37" t="n"/>
      <c r="U128" s="37" t="n"/>
      <c r="V128" s="37" t="n"/>
      <c r="W128" s="32" t="n"/>
      <c r="X128" s="37" t="n"/>
      <c r="Y128" s="37" t="n"/>
      <c r="Z128" s="37" t="n"/>
      <c r="AA128" s="37" t="n"/>
      <c r="AB128" s="37" t="n"/>
      <c r="AC128" s="37" t="n"/>
      <c r="AD128" s="32" t="n"/>
      <c r="AE128" s="37" t="n"/>
      <c r="AF128" s="38" t="n"/>
      <c r="AG128" s="67">
        <f>IF(OR(AF128="",AE128=""),"",IFERROR(AF128*INDEX(FXRates[USD per unit],MATCH(AE128,FXRates[Currency],0)),"No rate"))</f>
        <v/>
      </c>
      <c r="AH128" s="36" t="n"/>
      <c r="AI128" s="36" t="n"/>
      <c r="AJ128" s="39">
        <f>IF(A128="","",IF(COUNTIF($A$6:$A$504,A128)&gt;1,"⚠ Duplicate",""))</f>
        <v/>
      </c>
      <c r="AK128" s="38" t="n"/>
      <c r="AL128" s="40" t="n"/>
      <c r="AM128" s="40" t="n"/>
      <c r="AN128" s="40" t="n"/>
      <c r="AO128" s="40" t="n"/>
      <c r="AP128" s="40" t="n"/>
      <c r="AQ128" s="40" t="n"/>
      <c r="AR128" s="40" t="n"/>
      <c r="AS128" s="40" t="n"/>
      <c r="AT128" s="40" t="n"/>
      <c r="AU128" s="40" t="n"/>
      <c r="AV128" s="40" t="n"/>
      <c r="AW128" s="40" t="n"/>
      <c r="AX128" s="40" t="n"/>
      <c r="AY128" s="40" t="n"/>
      <c r="AZ128" s="38" t="n"/>
      <c r="BA128" s="40" t="n"/>
      <c r="BB128" s="40" t="n"/>
      <c r="BC128" s="40" t="n"/>
      <c r="BD128" s="40" t="n"/>
      <c r="BE128" s="40" t="n"/>
      <c r="BF128" s="40" t="n"/>
      <c r="BG128" s="40" t="n"/>
      <c r="BH128" s="40" t="n"/>
      <c r="BI128" s="40" t="n"/>
      <c r="BJ128" s="40" t="n"/>
      <c r="BK128" s="40" t="n"/>
      <c r="BL128" s="40" t="n"/>
      <c r="BM128" s="40" t="n"/>
      <c r="BN128" s="40" t="n"/>
    </row>
    <row r="129" ht="18" customHeight="1" s="82">
      <c r="A129" s="30" t="n"/>
      <c r="B129" s="30" t="n"/>
      <c r="C129" s="30" t="n"/>
      <c r="D129" s="30" t="n"/>
      <c r="E129" s="31" t="n"/>
      <c r="F129" s="31" t="n"/>
      <c r="G129" s="31" t="n"/>
      <c r="H129" s="31" t="n"/>
      <c r="I129" s="31" t="n"/>
      <c r="J129" s="31" t="n"/>
      <c r="K129" s="31" t="n"/>
      <c r="L129" s="31" t="n"/>
      <c r="M129" s="31" t="n"/>
      <c r="N129" s="31" t="n"/>
      <c r="O129" s="31" t="n"/>
      <c r="P129" s="31" t="n"/>
      <c r="Q129" s="31" t="n"/>
      <c r="R129" s="31" t="n"/>
      <c r="S129" s="31" t="n"/>
      <c r="T129" s="31" t="n"/>
      <c r="U129" s="31" t="n"/>
      <c r="V129" s="31" t="n"/>
      <c r="W129" s="32" t="n"/>
      <c r="X129" s="31" t="n"/>
      <c r="Y129" s="31" t="n"/>
      <c r="Z129" s="31" t="n"/>
      <c r="AA129" s="31" t="n"/>
      <c r="AB129" s="31" t="n"/>
      <c r="AC129" s="31" t="n"/>
      <c r="AD129" s="32" t="n"/>
      <c r="AE129" s="31" t="n"/>
      <c r="AF129" s="33" t="n"/>
      <c r="AG129" s="66">
        <f>IF(OR(AF129="",AE129=""),"",IFERROR(AF129*INDEX(FXRates[USD per unit],MATCH(AE129,FXRates[Currency],0)),"No rate"))</f>
        <v/>
      </c>
      <c r="AH129" s="30" t="n"/>
      <c r="AI129" s="30" t="n"/>
      <c r="AJ129" s="34">
        <f>IF(A129="","",IF(COUNTIF($A$6:$A$504,A129)&gt;1,"⚠ Duplicate",""))</f>
        <v/>
      </c>
      <c r="AK129" s="33" t="n"/>
      <c r="AL129" s="41" t="n"/>
      <c r="AM129" s="41" t="n"/>
      <c r="AN129" s="41" t="n"/>
      <c r="AO129" s="41" t="n"/>
      <c r="AP129" s="41" t="n"/>
      <c r="AQ129" s="41" t="n"/>
      <c r="AR129" s="41" t="n"/>
      <c r="AS129" s="41" t="n"/>
      <c r="AT129" s="41" t="n"/>
      <c r="AU129" s="41" t="n"/>
      <c r="AV129" s="41" t="n"/>
      <c r="AW129" s="41" t="n"/>
      <c r="AX129" s="41" t="n"/>
      <c r="AY129" s="41" t="n"/>
      <c r="AZ129" s="33" t="n"/>
      <c r="BA129" s="41" t="n"/>
      <c r="BB129" s="41" t="n"/>
      <c r="BC129" s="41" t="n"/>
      <c r="BD129" s="41" t="n"/>
      <c r="BE129" s="41" t="n"/>
      <c r="BF129" s="41" t="n"/>
      <c r="BG129" s="41" t="n"/>
      <c r="BH129" s="41" t="n"/>
      <c r="BI129" s="41" t="n"/>
      <c r="BJ129" s="41" t="n"/>
      <c r="BK129" s="41" t="n"/>
      <c r="BL129" s="41" t="n"/>
      <c r="BM129" s="41" t="n"/>
      <c r="BN129" s="41" t="n"/>
    </row>
    <row r="130" ht="18" customHeight="1" s="82">
      <c r="A130" s="36" t="n"/>
      <c r="B130" s="36" t="n"/>
      <c r="C130" s="36" t="n"/>
      <c r="D130" s="36" t="n"/>
      <c r="E130" s="37" t="n"/>
      <c r="F130" s="37" t="n"/>
      <c r="G130" s="37" t="n"/>
      <c r="H130" s="37" t="n"/>
      <c r="I130" s="37" t="n"/>
      <c r="J130" s="37" t="n"/>
      <c r="K130" s="37" t="n"/>
      <c r="L130" s="37" t="n"/>
      <c r="M130" s="37" t="n"/>
      <c r="N130" s="37" t="n"/>
      <c r="O130" s="37" t="n"/>
      <c r="P130" s="37" t="n"/>
      <c r="Q130" s="37" t="n"/>
      <c r="R130" s="37" t="n"/>
      <c r="S130" s="37" t="n"/>
      <c r="T130" s="37" t="n"/>
      <c r="U130" s="37" t="n"/>
      <c r="V130" s="37" t="n"/>
      <c r="W130" s="32" t="n"/>
      <c r="X130" s="37" t="n"/>
      <c r="Y130" s="37" t="n"/>
      <c r="Z130" s="37" t="n"/>
      <c r="AA130" s="37" t="n"/>
      <c r="AB130" s="37" t="n"/>
      <c r="AC130" s="37" t="n"/>
      <c r="AD130" s="32" t="n"/>
      <c r="AE130" s="37" t="n"/>
      <c r="AF130" s="38" t="n"/>
      <c r="AG130" s="67">
        <f>IF(OR(AF130="",AE130=""),"",IFERROR(AF130*INDEX(FXRates[USD per unit],MATCH(AE130,FXRates[Currency],0)),"No rate"))</f>
        <v/>
      </c>
      <c r="AH130" s="36" t="n"/>
      <c r="AI130" s="36" t="n"/>
      <c r="AJ130" s="39">
        <f>IF(A130="","",IF(COUNTIF($A$6:$A$504,A130)&gt;1,"⚠ Duplicate",""))</f>
        <v/>
      </c>
      <c r="AK130" s="38" t="n"/>
      <c r="AL130" s="40" t="n"/>
      <c r="AM130" s="40" t="n"/>
      <c r="AN130" s="40" t="n"/>
      <c r="AO130" s="40" t="n"/>
      <c r="AP130" s="40" t="n"/>
      <c r="AQ130" s="40" t="n"/>
      <c r="AR130" s="40" t="n"/>
      <c r="AS130" s="40" t="n"/>
      <c r="AT130" s="40" t="n"/>
      <c r="AU130" s="40" t="n"/>
      <c r="AV130" s="40" t="n"/>
      <c r="AW130" s="40" t="n"/>
      <c r="AX130" s="40" t="n"/>
      <c r="AY130" s="40" t="n"/>
      <c r="AZ130" s="38" t="n"/>
      <c r="BA130" s="40" t="n"/>
      <c r="BB130" s="40" t="n"/>
      <c r="BC130" s="40" t="n"/>
      <c r="BD130" s="40" t="n"/>
      <c r="BE130" s="40" t="n"/>
      <c r="BF130" s="40" t="n"/>
      <c r="BG130" s="40" t="n"/>
      <c r="BH130" s="40" t="n"/>
      <c r="BI130" s="40" t="n"/>
      <c r="BJ130" s="40" t="n"/>
      <c r="BK130" s="40" t="n"/>
      <c r="BL130" s="40" t="n"/>
      <c r="BM130" s="40" t="n"/>
      <c r="BN130" s="40" t="n"/>
    </row>
    <row r="131" ht="18" customHeight="1" s="82">
      <c r="A131" s="30" t="n"/>
      <c r="B131" s="30" t="n"/>
      <c r="C131" s="30" t="n"/>
      <c r="D131" s="30" t="n"/>
      <c r="E131" s="31" t="n"/>
      <c r="F131" s="31" t="n"/>
      <c r="G131" s="31" t="n"/>
      <c r="H131" s="31" t="n"/>
      <c r="I131" s="31" t="n"/>
      <c r="J131" s="31" t="n"/>
      <c r="K131" s="31" t="n"/>
      <c r="L131" s="31" t="n"/>
      <c r="M131" s="31" t="n"/>
      <c r="N131" s="31" t="n"/>
      <c r="O131" s="31" t="n"/>
      <c r="P131" s="31" t="n"/>
      <c r="Q131" s="31" t="n"/>
      <c r="R131" s="31" t="n"/>
      <c r="S131" s="31" t="n"/>
      <c r="T131" s="31" t="n"/>
      <c r="U131" s="31" t="n"/>
      <c r="V131" s="31" t="n"/>
      <c r="W131" s="32" t="n"/>
      <c r="X131" s="31" t="n"/>
      <c r="Y131" s="31" t="n"/>
      <c r="Z131" s="31" t="n"/>
      <c r="AA131" s="31" t="n"/>
      <c r="AB131" s="31" t="n"/>
      <c r="AC131" s="31" t="n"/>
      <c r="AD131" s="32" t="n"/>
      <c r="AE131" s="31" t="n"/>
      <c r="AF131" s="33" t="n"/>
      <c r="AG131" s="66">
        <f>IF(OR(AF131="",AE131=""),"",IFERROR(AF131*INDEX(FXRates[USD per unit],MATCH(AE131,FXRates[Currency],0)),"No rate"))</f>
        <v/>
      </c>
      <c r="AH131" s="30" t="n"/>
      <c r="AI131" s="30" t="n"/>
      <c r="AJ131" s="34">
        <f>IF(A131="","",IF(COUNTIF($A$6:$A$504,A131)&gt;1,"⚠ Duplicate",""))</f>
        <v/>
      </c>
      <c r="AK131" s="33" t="n"/>
      <c r="AL131" s="41" t="n"/>
      <c r="AM131" s="41" t="n"/>
      <c r="AN131" s="41" t="n"/>
      <c r="AO131" s="41" t="n"/>
      <c r="AP131" s="41" t="n"/>
      <c r="AQ131" s="41" t="n"/>
      <c r="AR131" s="41" t="n"/>
      <c r="AS131" s="41" t="n"/>
      <c r="AT131" s="41" t="n"/>
      <c r="AU131" s="41" t="n"/>
      <c r="AV131" s="41" t="n"/>
      <c r="AW131" s="41" t="n"/>
      <c r="AX131" s="41" t="n"/>
      <c r="AY131" s="41" t="n"/>
      <c r="AZ131" s="33" t="n"/>
      <c r="BA131" s="41" t="n"/>
      <c r="BB131" s="41" t="n"/>
      <c r="BC131" s="41" t="n"/>
      <c r="BD131" s="41" t="n"/>
      <c r="BE131" s="41" t="n"/>
      <c r="BF131" s="41" t="n"/>
      <c r="BG131" s="41" t="n"/>
      <c r="BH131" s="41" t="n"/>
      <c r="BI131" s="41" t="n"/>
      <c r="BJ131" s="41" t="n"/>
      <c r="BK131" s="41" t="n"/>
      <c r="BL131" s="41" t="n"/>
      <c r="BM131" s="41" t="n"/>
      <c r="BN131" s="41" t="n"/>
    </row>
    <row r="132" ht="18" customHeight="1" s="82">
      <c r="A132" s="36" t="n"/>
      <c r="B132" s="36" t="n"/>
      <c r="C132" s="36" t="n"/>
      <c r="D132" s="36" t="n"/>
      <c r="E132" s="37" t="n"/>
      <c r="F132" s="37" t="n"/>
      <c r="G132" s="37" t="n"/>
      <c r="H132" s="37" t="n"/>
      <c r="I132" s="37" t="n"/>
      <c r="J132" s="37" t="n"/>
      <c r="K132" s="37" t="n"/>
      <c r="L132" s="37" t="n"/>
      <c r="M132" s="37" t="n"/>
      <c r="N132" s="37" t="n"/>
      <c r="O132" s="37" t="n"/>
      <c r="P132" s="37" t="n"/>
      <c r="Q132" s="37" t="n"/>
      <c r="R132" s="37" t="n"/>
      <c r="S132" s="37" t="n"/>
      <c r="T132" s="37" t="n"/>
      <c r="U132" s="37" t="n"/>
      <c r="V132" s="37" t="n"/>
      <c r="W132" s="32" t="n"/>
      <c r="X132" s="37" t="n"/>
      <c r="Y132" s="37" t="n"/>
      <c r="Z132" s="37" t="n"/>
      <c r="AA132" s="37" t="n"/>
      <c r="AB132" s="37" t="n"/>
      <c r="AC132" s="37" t="n"/>
      <c r="AD132" s="32" t="n"/>
      <c r="AE132" s="37" t="n"/>
      <c r="AF132" s="38" t="n"/>
      <c r="AG132" s="67">
        <f>IF(OR(AF132="",AE132=""),"",IFERROR(AF132*INDEX(FXRates[USD per unit],MATCH(AE132,FXRates[Currency],0)),"No rate"))</f>
        <v/>
      </c>
      <c r="AH132" s="36" t="n"/>
      <c r="AI132" s="36" t="n"/>
      <c r="AJ132" s="39">
        <f>IF(A132="","",IF(COUNTIF($A$6:$A$504,A132)&gt;1,"⚠ Duplicate",""))</f>
        <v/>
      </c>
      <c r="AK132" s="38" t="n"/>
      <c r="AL132" s="40" t="n"/>
      <c r="AM132" s="40" t="n"/>
      <c r="AN132" s="40" t="n"/>
      <c r="AO132" s="40" t="n"/>
      <c r="AP132" s="40" t="n"/>
      <c r="AQ132" s="40" t="n"/>
      <c r="AR132" s="40" t="n"/>
      <c r="AS132" s="40" t="n"/>
      <c r="AT132" s="40" t="n"/>
      <c r="AU132" s="40" t="n"/>
      <c r="AV132" s="40" t="n"/>
      <c r="AW132" s="40" t="n"/>
      <c r="AX132" s="40" t="n"/>
      <c r="AY132" s="40" t="n"/>
      <c r="AZ132" s="38" t="n"/>
      <c r="BA132" s="40" t="n"/>
      <c r="BB132" s="40" t="n"/>
      <c r="BC132" s="40" t="n"/>
      <c r="BD132" s="40" t="n"/>
      <c r="BE132" s="40" t="n"/>
      <c r="BF132" s="40" t="n"/>
      <c r="BG132" s="40" t="n"/>
      <c r="BH132" s="40" t="n"/>
      <c r="BI132" s="40" t="n"/>
      <c r="BJ132" s="40" t="n"/>
      <c r="BK132" s="40" t="n"/>
      <c r="BL132" s="40" t="n"/>
      <c r="BM132" s="40" t="n"/>
      <c r="BN132" s="40" t="n"/>
    </row>
    <row r="133" ht="18" customHeight="1" s="82">
      <c r="A133" s="30" t="n"/>
      <c r="B133" s="30" t="n"/>
      <c r="C133" s="30" t="n"/>
      <c r="D133" s="30" t="n"/>
      <c r="E133" s="31" t="n"/>
      <c r="F133" s="31" t="n"/>
      <c r="G133" s="31" t="n"/>
      <c r="H133" s="31" t="n"/>
      <c r="I133" s="31" t="n"/>
      <c r="J133" s="31" t="n"/>
      <c r="K133" s="31" t="n"/>
      <c r="L133" s="31" t="n"/>
      <c r="M133" s="31" t="n"/>
      <c r="N133" s="31" t="n"/>
      <c r="O133" s="31" t="n"/>
      <c r="P133" s="31" t="n"/>
      <c r="Q133" s="31" t="n"/>
      <c r="R133" s="31" t="n"/>
      <c r="S133" s="31" t="n"/>
      <c r="T133" s="31" t="n"/>
      <c r="U133" s="31" t="n"/>
      <c r="V133" s="31" t="n"/>
      <c r="W133" s="32" t="n"/>
      <c r="X133" s="31" t="n"/>
      <c r="Y133" s="31" t="n"/>
      <c r="Z133" s="31" t="n"/>
      <c r="AA133" s="31" t="n"/>
      <c r="AB133" s="31" t="n"/>
      <c r="AC133" s="31" t="n"/>
      <c r="AD133" s="32" t="n"/>
      <c r="AE133" s="31" t="n"/>
      <c r="AF133" s="33" t="n"/>
      <c r="AG133" s="66">
        <f>IF(OR(AF133="",AE133=""),"",IFERROR(AF133*INDEX(FXRates[USD per unit],MATCH(AE133,FXRates[Currency],0)),"No rate"))</f>
        <v/>
      </c>
      <c r="AH133" s="30" t="n"/>
      <c r="AI133" s="30" t="n"/>
      <c r="AJ133" s="34">
        <f>IF(A133="","",IF(COUNTIF($A$6:$A$504,A133)&gt;1,"⚠ Duplicate",""))</f>
        <v/>
      </c>
      <c r="AK133" s="33" t="n"/>
      <c r="AL133" s="41" t="n"/>
      <c r="AM133" s="41" t="n"/>
      <c r="AN133" s="41" t="n"/>
      <c r="AO133" s="41" t="n"/>
      <c r="AP133" s="41" t="n"/>
      <c r="AQ133" s="41" t="n"/>
      <c r="AR133" s="41" t="n"/>
      <c r="AS133" s="41" t="n"/>
      <c r="AT133" s="41" t="n"/>
      <c r="AU133" s="41" t="n"/>
      <c r="AV133" s="41" t="n"/>
      <c r="AW133" s="41" t="n"/>
      <c r="AX133" s="41" t="n"/>
      <c r="AY133" s="41" t="n"/>
      <c r="AZ133" s="33" t="n"/>
      <c r="BA133" s="41" t="n"/>
      <c r="BB133" s="41" t="n"/>
      <c r="BC133" s="41" t="n"/>
      <c r="BD133" s="41" t="n"/>
      <c r="BE133" s="41" t="n"/>
      <c r="BF133" s="41" t="n"/>
      <c r="BG133" s="41" t="n"/>
      <c r="BH133" s="41" t="n"/>
      <c r="BI133" s="41" t="n"/>
      <c r="BJ133" s="41" t="n"/>
      <c r="BK133" s="41" t="n"/>
      <c r="BL133" s="41" t="n"/>
      <c r="BM133" s="41" t="n"/>
      <c r="BN133" s="41" t="n"/>
    </row>
    <row r="134" ht="18" customHeight="1" s="82">
      <c r="A134" s="36" t="n"/>
      <c r="B134" s="36" t="n"/>
      <c r="C134" s="36" t="n"/>
      <c r="D134" s="36" t="n"/>
      <c r="E134" s="37" t="n"/>
      <c r="F134" s="37" t="n"/>
      <c r="G134" s="37" t="n"/>
      <c r="H134" s="37" t="n"/>
      <c r="I134" s="37" t="n"/>
      <c r="J134" s="37" t="n"/>
      <c r="K134" s="37" t="n"/>
      <c r="L134" s="37" t="n"/>
      <c r="M134" s="37" t="n"/>
      <c r="N134" s="37" t="n"/>
      <c r="O134" s="37" t="n"/>
      <c r="P134" s="37" t="n"/>
      <c r="Q134" s="37" t="n"/>
      <c r="R134" s="37" t="n"/>
      <c r="S134" s="37" t="n"/>
      <c r="T134" s="37" t="n"/>
      <c r="U134" s="37" t="n"/>
      <c r="V134" s="37" t="n"/>
      <c r="W134" s="32" t="n"/>
      <c r="X134" s="37" t="n"/>
      <c r="Y134" s="37" t="n"/>
      <c r="Z134" s="37" t="n"/>
      <c r="AA134" s="37" t="n"/>
      <c r="AB134" s="37" t="n"/>
      <c r="AC134" s="37" t="n"/>
      <c r="AD134" s="32" t="n"/>
      <c r="AE134" s="37" t="n"/>
      <c r="AF134" s="38" t="n"/>
      <c r="AG134" s="67">
        <f>IF(OR(AF134="",AE134=""),"",IFERROR(AF134*INDEX(FXRates[USD per unit],MATCH(AE134,FXRates[Currency],0)),"No rate"))</f>
        <v/>
      </c>
      <c r="AH134" s="36" t="n"/>
      <c r="AI134" s="36" t="n"/>
      <c r="AJ134" s="39">
        <f>IF(A134="","",IF(COUNTIF($A$6:$A$504,A134)&gt;1,"⚠ Duplicate",""))</f>
        <v/>
      </c>
      <c r="AK134" s="38" t="n"/>
      <c r="AL134" s="40" t="n"/>
      <c r="AM134" s="40" t="n"/>
      <c r="AN134" s="40" t="n"/>
      <c r="AO134" s="40" t="n"/>
      <c r="AP134" s="40" t="n"/>
      <c r="AQ134" s="40" t="n"/>
      <c r="AR134" s="40" t="n"/>
      <c r="AS134" s="40" t="n"/>
      <c r="AT134" s="40" t="n"/>
      <c r="AU134" s="40" t="n"/>
      <c r="AV134" s="40" t="n"/>
      <c r="AW134" s="40" t="n"/>
      <c r="AX134" s="40" t="n"/>
      <c r="AY134" s="40" t="n"/>
      <c r="AZ134" s="38" t="n"/>
      <c r="BA134" s="40" t="n"/>
      <c r="BB134" s="40" t="n"/>
      <c r="BC134" s="40" t="n"/>
      <c r="BD134" s="40" t="n"/>
      <c r="BE134" s="40" t="n"/>
      <c r="BF134" s="40" t="n"/>
      <c r="BG134" s="40" t="n"/>
      <c r="BH134" s="40" t="n"/>
      <c r="BI134" s="40" t="n"/>
      <c r="BJ134" s="40" t="n"/>
      <c r="BK134" s="40" t="n"/>
      <c r="BL134" s="40" t="n"/>
      <c r="BM134" s="40" t="n"/>
      <c r="BN134" s="40" t="n"/>
    </row>
    <row r="135" ht="18" customHeight="1" s="82">
      <c r="A135" s="30" t="n"/>
      <c r="B135" s="30" t="n"/>
      <c r="C135" s="30" t="n"/>
      <c r="D135" s="30" t="n"/>
      <c r="E135" s="31" t="n"/>
      <c r="F135" s="31" t="n"/>
      <c r="G135" s="31" t="n"/>
      <c r="H135" s="31" t="n"/>
      <c r="I135" s="31" t="n"/>
      <c r="J135" s="31" t="n"/>
      <c r="K135" s="31" t="n"/>
      <c r="L135" s="31" t="n"/>
      <c r="M135" s="31" t="n"/>
      <c r="N135" s="31" t="n"/>
      <c r="O135" s="31" t="n"/>
      <c r="P135" s="31" t="n"/>
      <c r="Q135" s="31" t="n"/>
      <c r="R135" s="31" t="n"/>
      <c r="S135" s="31" t="n"/>
      <c r="T135" s="31" t="n"/>
      <c r="U135" s="31" t="n"/>
      <c r="V135" s="31" t="n"/>
      <c r="W135" s="32" t="n"/>
      <c r="X135" s="31" t="n"/>
      <c r="Y135" s="31" t="n"/>
      <c r="Z135" s="31" t="n"/>
      <c r="AA135" s="31" t="n"/>
      <c r="AB135" s="31" t="n"/>
      <c r="AC135" s="31" t="n"/>
      <c r="AD135" s="32" t="n"/>
      <c r="AE135" s="31" t="n"/>
      <c r="AF135" s="33" t="n"/>
      <c r="AG135" s="66">
        <f>IF(OR(AF135="",AE135=""),"",IFERROR(AF135*INDEX(FXRates[USD per unit],MATCH(AE135,FXRates[Currency],0)),"No rate"))</f>
        <v/>
      </c>
      <c r="AH135" s="30" t="n"/>
      <c r="AI135" s="30" t="n"/>
      <c r="AJ135" s="34">
        <f>IF(A135="","",IF(COUNTIF($A$6:$A$504,A135)&gt;1,"⚠ Duplicate",""))</f>
        <v/>
      </c>
      <c r="AK135" s="33" t="n"/>
      <c r="AL135" s="41" t="n"/>
      <c r="AM135" s="41" t="n"/>
      <c r="AN135" s="41" t="n"/>
      <c r="AO135" s="41" t="n"/>
      <c r="AP135" s="41" t="n"/>
      <c r="AQ135" s="41" t="n"/>
      <c r="AR135" s="41" t="n"/>
      <c r="AS135" s="41" t="n"/>
      <c r="AT135" s="41" t="n"/>
      <c r="AU135" s="41" t="n"/>
      <c r="AV135" s="41" t="n"/>
      <c r="AW135" s="41" t="n"/>
      <c r="AX135" s="41" t="n"/>
      <c r="AY135" s="41" t="n"/>
      <c r="AZ135" s="33" t="n"/>
      <c r="BA135" s="41" t="n"/>
      <c r="BB135" s="41" t="n"/>
      <c r="BC135" s="41" t="n"/>
      <c r="BD135" s="41" t="n"/>
      <c r="BE135" s="41" t="n"/>
      <c r="BF135" s="41" t="n"/>
      <c r="BG135" s="41" t="n"/>
      <c r="BH135" s="41" t="n"/>
      <c r="BI135" s="41" t="n"/>
      <c r="BJ135" s="41" t="n"/>
      <c r="BK135" s="41" t="n"/>
      <c r="BL135" s="41" t="n"/>
      <c r="BM135" s="41" t="n"/>
      <c r="BN135" s="41" t="n"/>
    </row>
    <row r="136" ht="18" customHeight="1" s="82">
      <c r="A136" s="36" t="n"/>
      <c r="B136" s="36" t="n"/>
      <c r="C136" s="36" t="n"/>
      <c r="D136" s="36" t="n"/>
      <c r="E136" s="37" t="n"/>
      <c r="F136" s="37" t="n"/>
      <c r="G136" s="37" t="n"/>
      <c r="H136" s="37" t="n"/>
      <c r="I136" s="37" t="n"/>
      <c r="J136" s="37" t="n"/>
      <c r="K136" s="37" t="n"/>
      <c r="L136" s="37" t="n"/>
      <c r="M136" s="37" t="n"/>
      <c r="N136" s="37" t="n"/>
      <c r="O136" s="37" t="n"/>
      <c r="P136" s="37" t="n"/>
      <c r="Q136" s="37" t="n"/>
      <c r="R136" s="37" t="n"/>
      <c r="S136" s="37" t="n"/>
      <c r="T136" s="37" t="n"/>
      <c r="U136" s="37" t="n"/>
      <c r="V136" s="37" t="n"/>
      <c r="W136" s="32" t="n"/>
      <c r="X136" s="37" t="n"/>
      <c r="Y136" s="37" t="n"/>
      <c r="Z136" s="37" t="n"/>
      <c r="AA136" s="37" t="n"/>
      <c r="AB136" s="37" t="n"/>
      <c r="AC136" s="37" t="n"/>
      <c r="AD136" s="32" t="n"/>
      <c r="AE136" s="37" t="n"/>
      <c r="AF136" s="38" t="n"/>
      <c r="AG136" s="67">
        <f>IF(OR(AF136="",AE136=""),"",IFERROR(AF136*INDEX(FXRates[USD per unit],MATCH(AE136,FXRates[Currency],0)),"No rate"))</f>
        <v/>
      </c>
      <c r="AH136" s="36" t="n"/>
      <c r="AI136" s="36" t="n"/>
      <c r="AJ136" s="39">
        <f>IF(A136="","",IF(COUNTIF($A$6:$A$504,A136)&gt;1,"⚠ Duplicate",""))</f>
        <v/>
      </c>
      <c r="AK136" s="38" t="n"/>
      <c r="AL136" s="40" t="n"/>
      <c r="AM136" s="40" t="n"/>
      <c r="AN136" s="40" t="n"/>
      <c r="AO136" s="40" t="n"/>
      <c r="AP136" s="40" t="n"/>
      <c r="AQ136" s="40" t="n"/>
      <c r="AR136" s="40" t="n"/>
      <c r="AS136" s="40" t="n"/>
      <c r="AT136" s="40" t="n"/>
      <c r="AU136" s="40" t="n"/>
      <c r="AV136" s="40" t="n"/>
      <c r="AW136" s="40" t="n"/>
      <c r="AX136" s="40" t="n"/>
      <c r="AY136" s="40" t="n"/>
      <c r="AZ136" s="38" t="n"/>
      <c r="BA136" s="40" t="n"/>
      <c r="BB136" s="40" t="n"/>
      <c r="BC136" s="40" t="n"/>
      <c r="BD136" s="40" t="n"/>
      <c r="BE136" s="40" t="n"/>
      <c r="BF136" s="40" t="n"/>
      <c r="BG136" s="40" t="n"/>
      <c r="BH136" s="40" t="n"/>
      <c r="BI136" s="40" t="n"/>
      <c r="BJ136" s="40" t="n"/>
      <c r="BK136" s="40" t="n"/>
      <c r="BL136" s="40" t="n"/>
      <c r="BM136" s="40" t="n"/>
      <c r="BN136" s="40" t="n"/>
    </row>
    <row r="137" ht="18" customHeight="1" s="82">
      <c r="A137" s="30" t="n"/>
      <c r="B137" s="30" t="n"/>
      <c r="C137" s="30" t="n"/>
      <c r="D137" s="30" t="n"/>
      <c r="E137" s="31" t="n"/>
      <c r="F137" s="31" t="n"/>
      <c r="G137" s="31" t="n"/>
      <c r="H137" s="31" t="n"/>
      <c r="I137" s="31" t="n"/>
      <c r="J137" s="31" t="n"/>
      <c r="K137" s="31" t="n"/>
      <c r="L137" s="31" t="n"/>
      <c r="M137" s="31" t="n"/>
      <c r="N137" s="31" t="n"/>
      <c r="O137" s="31" t="n"/>
      <c r="P137" s="31" t="n"/>
      <c r="Q137" s="31" t="n"/>
      <c r="R137" s="31" t="n"/>
      <c r="S137" s="31" t="n"/>
      <c r="T137" s="31" t="n"/>
      <c r="U137" s="31" t="n"/>
      <c r="V137" s="31" t="n"/>
      <c r="W137" s="32" t="n"/>
      <c r="X137" s="31" t="n"/>
      <c r="Y137" s="31" t="n"/>
      <c r="Z137" s="31" t="n"/>
      <c r="AA137" s="31" t="n"/>
      <c r="AB137" s="31" t="n"/>
      <c r="AC137" s="31" t="n"/>
      <c r="AD137" s="32" t="n"/>
      <c r="AE137" s="31" t="n"/>
      <c r="AF137" s="33" t="n"/>
      <c r="AG137" s="66">
        <f>IF(OR(AF137="",AE137=""),"",IFERROR(AF137*INDEX(FXRates[USD per unit],MATCH(AE137,FXRates[Currency],0)),"No rate"))</f>
        <v/>
      </c>
      <c r="AH137" s="30" t="n"/>
      <c r="AI137" s="30" t="n"/>
      <c r="AJ137" s="34">
        <f>IF(A137="","",IF(COUNTIF($A$6:$A$504,A137)&gt;1,"⚠ Duplicate",""))</f>
        <v/>
      </c>
      <c r="AK137" s="33" t="n"/>
      <c r="AL137" s="41" t="n"/>
      <c r="AM137" s="41" t="n"/>
      <c r="AN137" s="41" t="n"/>
      <c r="AO137" s="41" t="n"/>
      <c r="AP137" s="41" t="n"/>
      <c r="AQ137" s="41" t="n"/>
      <c r="AR137" s="41" t="n"/>
      <c r="AS137" s="41" t="n"/>
      <c r="AT137" s="41" t="n"/>
      <c r="AU137" s="41" t="n"/>
      <c r="AV137" s="41" t="n"/>
      <c r="AW137" s="41" t="n"/>
      <c r="AX137" s="41" t="n"/>
      <c r="AY137" s="41" t="n"/>
      <c r="AZ137" s="33" t="n"/>
      <c r="BA137" s="41" t="n"/>
      <c r="BB137" s="41" t="n"/>
      <c r="BC137" s="41" t="n"/>
      <c r="BD137" s="41" t="n"/>
      <c r="BE137" s="41" t="n"/>
      <c r="BF137" s="41" t="n"/>
      <c r="BG137" s="41" t="n"/>
      <c r="BH137" s="41" t="n"/>
      <c r="BI137" s="41" t="n"/>
      <c r="BJ137" s="41" t="n"/>
      <c r="BK137" s="41" t="n"/>
      <c r="BL137" s="41" t="n"/>
      <c r="BM137" s="41" t="n"/>
      <c r="BN137" s="41" t="n"/>
    </row>
    <row r="138" ht="18" customHeight="1" s="82">
      <c r="A138" s="36" t="n"/>
      <c r="B138" s="36" t="n"/>
      <c r="C138" s="36" t="n"/>
      <c r="D138" s="36" t="n"/>
      <c r="E138" s="37" t="n"/>
      <c r="F138" s="37" t="n"/>
      <c r="G138" s="37" t="n"/>
      <c r="H138" s="37" t="n"/>
      <c r="I138" s="37" t="n"/>
      <c r="J138" s="37" t="n"/>
      <c r="K138" s="37" t="n"/>
      <c r="L138" s="37" t="n"/>
      <c r="M138" s="37" t="n"/>
      <c r="N138" s="37" t="n"/>
      <c r="O138" s="37" t="n"/>
      <c r="P138" s="37" t="n"/>
      <c r="Q138" s="37" t="n"/>
      <c r="R138" s="37" t="n"/>
      <c r="S138" s="37" t="n"/>
      <c r="T138" s="37" t="n"/>
      <c r="U138" s="37" t="n"/>
      <c r="V138" s="37" t="n"/>
      <c r="W138" s="32" t="n"/>
      <c r="X138" s="37" t="n"/>
      <c r="Y138" s="37" t="n"/>
      <c r="Z138" s="37" t="n"/>
      <c r="AA138" s="37" t="n"/>
      <c r="AB138" s="37" t="n"/>
      <c r="AC138" s="37" t="n"/>
      <c r="AD138" s="32" t="n"/>
      <c r="AE138" s="37" t="n"/>
      <c r="AF138" s="38" t="n"/>
      <c r="AG138" s="67">
        <f>IF(OR(AF138="",AE138=""),"",IFERROR(AF138*INDEX(FXRates[USD per unit],MATCH(AE138,FXRates[Currency],0)),"No rate"))</f>
        <v/>
      </c>
      <c r="AH138" s="36" t="n"/>
      <c r="AI138" s="36" t="n"/>
      <c r="AJ138" s="39">
        <f>IF(A138="","",IF(COUNTIF($A$6:$A$504,A138)&gt;1,"⚠ Duplicate",""))</f>
        <v/>
      </c>
      <c r="AK138" s="38" t="n"/>
      <c r="AL138" s="40" t="n"/>
      <c r="AM138" s="40" t="n"/>
      <c r="AN138" s="40" t="n"/>
      <c r="AO138" s="40" t="n"/>
      <c r="AP138" s="40" t="n"/>
      <c r="AQ138" s="40" t="n"/>
      <c r="AR138" s="40" t="n"/>
      <c r="AS138" s="40" t="n"/>
      <c r="AT138" s="40" t="n"/>
      <c r="AU138" s="40" t="n"/>
      <c r="AV138" s="40" t="n"/>
      <c r="AW138" s="40" t="n"/>
      <c r="AX138" s="40" t="n"/>
      <c r="AY138" s="40" t="n"/>
      <c r="AZ138" s="38" t="n"/>
      <c r="BA138" s="40" t="n"/>
      <c r="BB138" s="40" t="n"/>
      <c r="BC138" s="40" t="n"/>
      <c r="BD138" s="40" t="n"/>
      <c r="BE138" s="40" t="n"/>
      <c r="BF138" s="40" t="n"/>
      <c r="BG138" s="40" t="n"/>
      <c r="BH138" s="40" t="n"/>
      <c r="BI138" s="40" t="n"/>
      <c r="BJ138" s="40" t="n"/>
      <c r="BK138" s="40" t="n"/>
      <c r="BL138" s="40" t="n"/>
      <c r="BM138" s="40" t="n"/>
      <c r="BN138" s="40" t="n"/>
    </row>
    <row r="139" ht="18" customHeight="1" s="82">
      <c r="A139" s="30" t="n"/>
      <c r="B139" s="30" t="n"/>
      <c r="C139" s="30" t="n"/>
      <c r="D139" s="30" t="n"/>
      <c r="E139" s="31" t="n"/>
      <c r="F139" s="31" t="n"/>
      <c r="G139" s="31" t="n"/>
      <c r="H139" s="31" t="n"/>
      <c r="I139" s="31" t="n"/>
      <c r="J139" s="31" t="n"/>
      <c r="K139" s="31" t="n"/>
      <c r="L139" s="31" t="n"/>
      <c r="M139" s="31" t="n"/>
      <c r="N139" s="31" t="n"/>
      <c r="O139" s="31" t="n"/>
      <c r="P139" s="31" t="n"/>
      <c r="Q139" s="31" t="n"/>
      <c r="R139" s="31" t="n"/>
      <c r="S139" s="31" t="n"/>
      <c r="T139" s="31" t="n"/>
      <c r="U139" s="31" t="n"/>
      <c r="V139" s="31" t="n"/>
      <c r="W139" s="32" t="n"/>
      <c r="X139" s="31" t="n"/>
      <c r="Y139" s="31" t="n"/>
      <c r="Z139" s="31" t="n"/>
      <c r="AA139" s="31" t="n"/>
      <c r="AB139" s="31" t="n"/>
      <c r="AC139" s="31" t="n"/>
      <c r="AD139" s="32" t="n"/>
      <c r="AE139" s="31" t="n"/>
      <c r="AF139" s="33" t="n"/>
      <c r="AG139" s="66">
        <f>IF(OR(AF139="",AE139=""),"",IFERROR(AF139*INDEX(FXRates[USD per unit],MATCH(AE139,FXRates[Currency],0)),"No rate"))</f>
        <v/>
      </c>
      <c r="AH139" s="30" t="n"/>
      <c r="AI139" s="30" t="n"/>
      <c r="AJ139" s="34">
        <f>IF(A139="","",IF(COUNTIF($A$6:$A$504,A139)&gt;1,"⚠ Duplicate",""))</f>
        <v/>
      </c>
      <c r="AK139" s="33" t="n"/>
      <c r="AL139" s="41" t="n"/>
      <c r="AM139" s="41" t="n"/>
      <c r="AN139" s="41" t="n"/>
      <c r="AO139" s="41" t="n"/>
      <c r="AP139" s="41" t="n"/>
      <c r="AQ139" s="41" t="n"/>
      <c r="AR139" s="41" t="n"/>
      <c r="AS139" s="41" t="n"/>
      <c r="AT139" s="41" t="n"/>
      <c r="AU139" s="41" t="n"/>
      <c r="AV139" s="41" t="n"/>
      <c r="AW139" s="41" t="n"/>
      <c r="AX139" s="41" t="n"/>
      <c r="AY139" s="41" t="n"/>
      <c r="AZ139" s="33" t="n"/>
      <c r="BA139" s="41" t="n"/>
      <c r="BB139" s="41" t="n"/>
      <c r="BC139" s="41" t="n"/>
      <c r="BD139" s="41" t="n"/>
      <c r="BE139" s="41" t="n"/>
      <c r="BF139" s="41" t="n"/>
      <c r="BG139" s="41" t="n"/>
      <c r="BH139" s="41" t="n"/>
      <c r="BI139" s="41" t="n"/>
      <c r="BJ139" s="41" t="n"/>
      <c r="BK139" s="41" t="n"/>
      <c r="BL139" s="41" t="n"/>
      <c r="BM139" s="41" t="n"/>
      <c r="BN139" s="41" t="n"/>
    </row>
    <row r="140" ht="18" customHeight="1" s="82">
      <c r="A140" s="36" t="n"/>
      <c r="B140" s="36" t="n"/>
      <c r="C140" s="36" t="n"/>
      <c r="D140" s="36" t="n"/>
      <c r="E140" s="37" t="n"/>
      <c r="F140" s="37" t="n"/>
      <c r="G140" s="37" t="n"/>
      <c r="H140" s="37" t="n"/>
      <c r="I140" s="37" t="n"/>
      <c r="J140" s="37" t="n"/>
      <c r="K140" s="37" t="n"/>
      <c r="L140" s="37" t="n"/>
      <c r="M140" s="37" t="n"/>
      <c r="N140" s="37" t="n"/>
      <c r="O140" s="37" t="n"/>
      <c r="P140" s="37" t="n"/>
      <c r="Q140" s="37" t="n"/>
      <c r="R140" s="37" t="n"/>
      <c r="S140" s="37" t="n"/>
      <c r="T140" s="37" t="n"/>
      <c r="U140" s="37" t="n"/>
      <c r="V140" s="37" t="n"/>
      <c r="W140" s="32" t="n"/>
      <c r="X140" s="37" t="n"/>
      <c r="Y140" s="37" t="n"/>
      <c r="Z140" s="37" t="n"/>
      <c r="AA140" s="37" t="n"/>
      <c r="AB140" s="37" t="n"/>
      <c r="AC140" s="37" t="n"/>
      <c r="AD140" s="32" t="n"/>
      <c r="AE140" s="37" t="n"/>
      <c r="AF140" s="38" t="n"/>
      <c r="AG140" s="67">
        <f>IF(OR(AF140="",AE140=""),"",IFERROR(AF140*INDEX(FXRates[USD per unit],MATCH(AE140,FXRates[Currency],0)),"No rate"))</f>
        <v/>
      </c>
      <c r="AH140" s="36" t="n"/>
      <c r="AI140" s="36" t="n"/>
      <c r="AJ140" s="39">
        <f>IF(A140="","",IF(COUNTIF($A$6:$A$504,A140)&gt;1,"⚠ Duplicate",""))</f>
        <v/>
      </c>
      <c r="AK140" s="38" t="n"/>
      <c r="AL140" s="40" t="n"/>
      <c r="AM140" s="40" t="n"/>
      <c r="AN140" s="40" t="n"/>
      <c r="AO140" s="40" t="n"/>
      <c r="AP140" s="40" t="n"/>
      <c r="AQ140" s="40" t="n"/>
      <c r="AR140" s="40" t="n"/>
      <c r="AS140" s="40" t="n"/>
      <c r="AT140" s="40" t="n"/>
      <c r="AU140" s="40" t="n"/>
      <c r="AV140" s="40" t="n"/>
      <c r="AW140" s="40" t="n"/>
      <c r="AX140" s="40" t="n"/>
      <c r="AY140" s="40" t="n"/>
      <c r="AZ140" s="38" t="n"/>
      <c r="BA140" s="40" t="n"/>
      <c r="BB140" s="40" t="n"/>
      <c r="BC140" s="40" t="n"/>
      <c r="BD140" s="40" t="n"/>
      <c r="BE140" s="40" t="n"/>
      <c r="BF140" s="40" t="n"/>
      <c r="BG140" s="40" t="n"/>
      <c r="BH140" s="40" t="n"/>
      <c r="BI140" s="40" t="n"/>
      <c r="BJ140" s="40" t="n"/>
      <c r="BK140" s="40" t="n"/>
      <c r="BL140" s="40" t="n"/>
      <c r="BM140" s="40" t="n"/>
      <c r="BN140" s="40" t="n"/>
    </row>
    <row r="141" ht="18" customHeight="1" s="82">
      <c r="A141" s="30" t="n"/>
      <c r="B141" s="30" t="n"/>
      <c r="C141" s="30" t="n"/>
      <c r="D141" s="30" t="n"/>
      <c r="E141" s="31" t="n"/>
      <c r="F141" s="31" t="n"/>
      <c r="G141" s="31" t="n"/>
      <c r="H141" s="31" t="n"/>
      <c r="I141" s="31" t="n"/>
      <c r="J141" s="31" t="n"/>
      <c r="K141" s="31" t="n"/>
      <c r="L141" s="31" t="n"/>
      <c r="M141" s="31" t="n"/>
      <c r="N141" s="31" t="n"/>
      <c r="O141" s="31" t="n"/>
      <c r="P141" s="31" t="n"/>
      <c r="Q141" s="31" t="n"/>
      <c r="R141" s="31" t="n"/>
      <c r="S141" s="31" t="n"/>
      <c r="T141" s="31" t="n"/>
      <c r="U141" s="31" t="n"/>
      <c r="V141" s="31" t="n"/>
      <c r="W141" s="32" t="n"/>
      <c r="X141" s="31" t="n"/>
      <c r="Y141" s="31" t="n"/>
      <c r="Z141" s="31" t="n"/>
      <c r="AA141" s="31" t="n"/>
      <c r="AB141" s="31" t="n"/>
      <c r="AC141" s="31" t="n"/>
      <c r="AD141" s="32" t="n"/>
      <c r="AE141" s="31" t="n"/>
      <c r="AF141" s="33" t="n"/>
      <c r="AG141" s="66">
        <f>IF(OR(AF141="",AE141=""),"",IFERROR(AF141*INDEX(FXRates[USD per unit],MATCH(AE141,FXRates[Currency],0)),"No rate"))</f>
        <v/>
      </c>
      <c r="AH141" s="30" t="n"/>
      <c r="AI141" s="30" t="n"/>
      <c r="AJ141" s="34">
        <f>IF(A141="","",IF(COUNTIF($A$6:$A$504,A141)&gt;1,"⚠ Duplicate",""))</f>
        <v/>
      </c>
      <c r="AK141" s="33" t="n"/>
      <c r="AL141" s="41" t="n"/>
      <c r="AM141" s="41" t="n"/>
      <c r="AN141" s="41" t="n"/>
      <c r="AO141" s="41" t="n"/>
      <c r="AP141" s="41" t="n"/>
      <c r="AQ141" s="41" t="n"/>
      <c r="AR141" s="41" t="n"/>
      <c r="AS141" s="41" t="n"/>
      <c r="AT141" s="41" t="n"/>
      <c r="AU141" s="41" t="n"/>
      <c r="AV141" s="41" t="n"/>
      <c r="AW141" s="41" t="n"/>
      <c r="AX141" s="41" t="n"/>
      <c r="AY141" s="41" t="n"/>
      <c r="AZ141" s="33" t="n"/>
      <c r="BA141" s="41" t="n"/>
      <c r="BB141" s="41" t="n"/>
      <c r="BC141" s="41" t="n"/>
      <c r="BD141" s="41" t="n"/>
      <c r="BE141" s="41" t="n"/>
      <c r="BF141" s="41" t="n"/>
      <c r="BG141" s="41" t="n"/>
      <c r="BH141" s="41" t="n"/>
      <c r="BI141" s="41" t="n"/>
      <c r="BJ141" s="41" t="n"/>
      <c r="BK141" s="41" t="n"/>
      <c r="BL141" s="41" t="n"/>
      <c r="BM141" s="41" t="n"/>
      <c r="BN141" s="41" t="n"/>
    </row>
    <row r="142" ht="18" customHeight="1" s="82">
      <c r="A142" s="36" t="n"/>
      <c r="B142" s="36" t="n"/>
      <c r="C142" s="36" t="n"/>
      <c r="D142" s="36" t="n"/>
      <c r="E142" s="37" t="n"/>
      <c r="F142" s="37" t="n"/>
      <c r="G142" s="37" t="n"/>
      <c r="H142" s="37" t="n"/>
      <c r="I142" s="37" t="n"/>
      <c r="J142" s="37" t="n"/>
      <c r="K142" s="37" t="n"/>
      <c r="L142" s="37" t="n"/>
      <c r="M142" s="37" t="n"/>
      <c r="N142" s="37" t="n"/>
      <c r="O142" s="37" t="n"/>
      <c r="P142" s="37" t="n"/>
      <c r="Q142" s="37" t="n"/>
      <c r="R142" s="37" t="n"/>
      <c r="S142" s="37" t="n"/>
      <c r="T142" s="37" t="n"/>
      <c r="U142" s="37" t="n"/>
      <c r="V142" s="37" t="n"/>
      <c r="W142" s="32" t="n"/>
      <c r="X142" s="37" t="n"/>
      <c r="Y142" s="37" t="n"/>
      <c r="Z142" s="37" t="n"/>
      <c r="AA142" s="37" t="n"/>
      <c r="AB142" s="37" t="n"/>
      <c r="AC142" s="37" t="n"/>
      <c r="AD142" s="32" t="n"/>
      <c r="AE142" s="37" t="n"/>
      <c r="AF142" s="38" t="n"/>
      <c r="AG142" s="67">
        <f>IF(OR(AF142="",AE142=""),"",IFERROR(AF142*INDEX(FXRates[USD per unit],MATCH(AE142,FXRates[Currency],0)),"No rate"))</f>
        <v/>
      </c>
      <c r="AH142" s="36" t="n"/>
      <c r="AI142" s="36" t="n"/>
      <c r="AJ142" s="39">
        <f>IF(A142="","",IF(COUNTIF($A$6:$A$504,A142)&gt;1,"⚠ Duplicate",""))</f>
        <v/>
      </c>
      <c r="AK142" s="38" t="n"/>
      <c r="AL142" s="40" t="n"/>
      <c r="AM142" s="40" t="n"/>
      <c r="AN142" s="40" t="n"/>
      <c r="AO142" s="40" t="n"/>
      <c r="AP142" s="40" t="n"/>
      <c r="AQ142" s="40" t="n"/>
      <c r="AR142" s="40" t="n"/>
      <c r="AS142" s="40" t="n"/>
      <c r="AT142" s="40" t="n"/>
      <c r="AU142" s="40" t="n"/>
      <c r="AV142" s="40" t="n"/>
      <c r="AW142" s="40" t="n"/>
      <c r="AX142" s="40" t="n"/>
      <c r="AY142" s="40" t="n"/>
      <c r="AZ142" s="38" t="n"/>
      <c r="BA142" s="40" t="n"/>
      <c r="BB142" s="40" t="n"/>
      <c r="BC142" s="40" t="n"/>
      <c r="BD142" s="40" t="n"/>
      <c r="BE142" s="40" t="n"/>
      <c r="BF142" s="40" t="n"/>
      <c r="BG142" s="40" t="n"/>
      <c r="BH142" s="40" t="n"/>
      <c r="BI142" s="40" t="n"/>
      <c r="BJ142" s="40" t="n"/>
      <c r="BK142" s="40" t="n"/>
      <c r="BL142" s="40" t="n"/>
      <c r="BM142" s="40" t="n"/>
      <c r="BN142" s="40" t="n"/>
    </row>
    <row r="143" ht="18" customHeight="1" s="82">
      <c r="A143" s="30" t="n"/>
      <c r="B143" s="30" t="n"/>
      <c r="C143" s="30" t="n"/>
      <c r="D143" s="30" t="n"/>
      <c r="E143" s="31" t="n"/>
      <c r="F143" s="31" t="n"/>
      <c r="G143" s="31" t="n"/>
      <c r="H143" s="31" t="n"/>
      <c r="I143" s="31" t="n"/>
      <c r="J143" s="31" t="n"/>
      <c r="K143" s="31" t="n"/>
      <c r="L143" s="31" t="n"/>
      <c r="M143" s="31" t="n"/>
      <c r="N143" s="31" t="n"/>
      <c r="O143" s="31" t="n"/>
      <c r="P143" s="31" t="n"/>
      <c r="Q143" s="31" t="n"/>
      <c r="R143" s="31" t="n"/>
      <c r="S143" s="31" t="n"/>
      <c r="T143" s="31" t="n"/>
      <c r="U143" s="31" t="n"/>
      <c r="V143" s="31" t="n"/>
      <c r="W143" s="32" t="n"/>
      <c r="X143" s="31" t="n"/>
      <c r="Y143" s="31" t="n"/>
      <c r="Z143" s="31" t="n"/>
      <c r="AA143" s="31" t="n"/>
      <c r="AB143" s="31" t="n"/>
      <c r="AC143" s="31" t="n"/>
      <c r="AD143" s="32" t="n"/>
      <c r="AE143" s="31" t="n"/>
      <c r="AF143" s="33" t="n"/>
      <c r="AG143" s="66">
        <f>IF(OR(AF143="",AE143=""),"",IFERROR(AF143*INDEX(FXRates[USD per unit],MATCH(AE143,FXRates[Currency],0)),"No rate"))</f>
        <v/>
      </c>
      <c r="AH143" s="30" t="n"/>
      <c r="AI143" s="30" t="n"/>
      <c r="AJ143" s="34">
        <f>IF(A143="","",IF(COUNTIF($A$6:$A$504,A143)&gt;1,"⚠ Duplicate",""))</f>
        <v/>
      </c>
      <c r="AK143" s="33" t="n"/>
      <c r="AL143" s="41" t="n"/>
      <c r="AM143" s="41" t="n"/>
      <c r="AN143" s="41" t="n"/>
      <c r="AO143" s="41" t="n"/>
      <c r="AP143" s="41" t="n"/>
      <c r="AQ143" s="41" t="n"/>
      <c r="AR143" s="41" t="n"/>
      <c r="AS143" s="41" t="n"/>
      <c r="AT143" s="41" t="n"/>
      <c r="AU143" s="41" t="n"/>
      <c r="AV143" s="41" t="n"/>
      <c r="AW143" s="41" t="n"/>
      <c r="AX143" s="41" t="n"/>
      <c r="AY143" s="41" t="n"/>
      <c r="AZ143" s="33" t="n"/>
      <c r="BA143" s="41" t="n"/>
      <c r="BB143" s="41" t="n"/>
      <c r="BC143" s="41" t="n"/>
      <c r="BD143" s="41" t="n"/>
      <c r="BE143" s="41" t="n"/>
      <c r="BF143" s="41" t="n"/>
      <c r="BG143" s="41" t="n"/>
      <c r="BH143" s="41" t="n"/>
      <c r="BI143" s="41" t="n"/>
      <c r="BJ143" s="41" t="n"/>
      <c r="BK143" s="41" t="n"/>
      <c r="BL143" s="41" t="n"/>
      <c r="BM143" s="41" t="n"/>
      <c r="BN143" s="41" t="n"/>
    </row>
    <row r="144" ht="18" customHeight="1" s="82">
      <c r="A144" s="36" t="n"/>
      <c r="B144" s="36" t="n"/>
      <c r="C144" s="36" t="n"/>
      <c r="D144" s="36" t="n"/>
      <c r="E144" s="37" t="n"/>
      <c r="F144" s="37" t="n"/>
      <c r="G144" s="37" t="n"/>
      <c r="H144" s="37" t="n"/>
      <c r="I144" s="37" t="n"/>
      <c r="J144" s="37" t="n"/>
      <c r="K144" s="37" t="n"/>
      <c r="L144" s="37" t="n"/>
      <c r="M144" s="37" t="n"/>
      <c r="N144" s="37" t="n"/>
      <c r="O144" s="37" t="n"/>
      <c r="P144" s="37" t="n"/>
      <c r="Q144" s="37" t="n"/>
      <c r="R144" s="37" t="n"/>
      <c r="S144" s="37" t="n"/>
      <c r="T144" s="37" t="n"/>
      <c r="U144" s="37" t="n"/>
      <c r="V144" s="37" t="n"/>
      <c r="W144" s="32" t="n"/>
      <c r="X144" s="37" t="n"/>
      <c r="Y144" s="37" t="n"/>
      <c r="Z144" s="37" t="n"/>
      <c r="AA144" s="37" t="n"/>
      <c r="AB144" s="37" t="n"/>
      <c r="AC144" s="37" t="n"/>
      <c r="AD144" s="32" t="n"/>
      <c r="AE144" s="37" t="n"/>
      <c r="AF144" s="38" t="n"/>
      <c r="AG144" s="67">
        <f>IF(OR(AF144="",AE144=""),"",IFERROR(AF144*INDEX(FXRates[USD per unit],MATCH(AE144,FXRates[Currency],0)),"No rate"))</f>
        <v/>
      </c>
      <c r="AH144" s="36" t="n"/>
      <c r="AI144" s="36" t="n"/>
      <c r="AJ144" s="39">
        <f>IF(A144="","",IF(COUNTIF($A$6:$A$504,A144)&gt;1,"⚠ Duplicate",""))</f>
        <v/>
      </c>
      <c r="AK144" s="38" t="n"/>
      <c r="AL144" s="40" t="n"/>
      <c r="AM144" s="40" t="n"/>
      <c r="AN144" s="40" t="n"/>
      <c r="AO144" s="40" t="n"/>
      <c r="AP144" s="40" t="n"/>
      <c r="AQ144" s="40" t="n"/>
      <c r="AR144" s="40" t="n"/>
      <c r="AS144" s="40" t="n"/>
      <c r="AT144" s="40" t="n"/>
      <c r="AU144" s="40" t="n"/>
      <c r="AV144" s="40" t="n"/>
      <c r="AW144" s="40" t="n"/>
      <c r="AX144" s="40" t="n"/>
      <c r="AY144" s="40" t="n"/>
      <c r="AZ144" s="38" t="n"/>
      <c r="BA144" s="40" t="n"/>
      <c r="BB144" s="40" t="n"/>
      <c r="BC144" s="40" t="n"/>
      <c r="BD144" s="40" t="n"/>
      <c r="BE144" s="40" t="n"/>
      <c r="BF144" s="40" t="n"/>
      <c r="BG144" s="40" t="n"/>
      <c r="BH144" s="40" t="n"/>
      <c r="BI144" s="40" t="n"/>
      <c r="BJ144" s="40" t="n"/>
      <c r="BK144" s="40" t="n"/>
      <c r="BL144" s="40" t="n"/>
      <c r="BM144" s="40" t="n"/>
      <c r="BN144" s="40" t="n"/>
    </row>
    <row r="145" ht="18" customHeight="1" s="82">
      <c r="A145" s="30" t="n"/>
      <c r="B145" s="30" t="n"/>
      <c r="C145" s="30" t="n"/>
      <c r="D145" s="30" t="n"/>
      <c r="E145" s="31" t="n"/>
      <c r="F145" s="31" t="n"/>
      <c r="G145" s="31" t="n"/>
      <c r="H145" s="31" t="n"/>
      <c r="I145" s="31" t="n"/>
      <c r="J145" s="31" t="n"/>
      <c r="K145" s="31" t="n"/>
      <c r="L145" s="31" t="n"/>
      <c r="M145" s="31" t="n"/>
      <c r="N145" s="31" t="n"/>
      <c r="O145" s="31" t="n"/>
      <c r="P145" s="31" t="n"/>
      <c r="Q145" s="31" t="n"/>
      <c r="R145" s="31" t="n"/>
      <c r="S145" s="31" t="n"/>
      <c r="T145" s="31" t="n"/>
      <c r="U145" s="31" t="n"/>
      <c r="V145" s="31" t="n"/>
      <c r="W145" s="32" t="n"/>
      <c r="X145" s="31" t="n"/>
      <c r="Y145" s="31" t="n"/>
      <c r="Z145" s="31" t="n"/>
      <c r="AA145" s="31" t="n"/>
      <c r="AB145" s="31" t="n"/>
      <c r="AC145" s="31" t="n"/>
      <c r="AD145" s="32" t="n"/>
      <c r="AE145" s="31" t="n"/>
      <c r="AF145" s="33" t="n"/>
      <c r="AG145" s="66">
        <f>IF(OR(AF145="",AE145=""),"",IFERROR(AF145*INDEX(FXRates[USD per unit],MATCH(AE145,FXRates[Currency],0)),"No rate"))</f>
        <v/>
      </c>
      <c r="AH145" s="30" t="n"/>
      <c r="AI145" s="30" t="n"/>
      <c r="AJ145" s="34">
        <f>IF(A145="","",IF(COUNTIF($A$6:$A$504,A145)&gt;1,"⚠ Duplicate",""))</f>
        <v/>
      </c>
      <c r="AK145" s="33" t="n"/>
      <c r="AL145" s="41" t="n"/>
      <c r="AM145" s="41" t="n"/>
      <c r="AN145" s="41" t="n"/>
      <c r="AO145" s="41" t="n"/>
      <c r="AP145" s="41" t="n"/>
      <c r="AQ145" s="41" t="n"/>
      <c r="AR145" s="41" t="n"/>
      <c r="AS145" s="41" t="n"/>
      <c r="AT145" s="41" t="n"/>
      <c r="AU145" s="41" t="n"/>
      <c r="AV145" s="41" t="n"/>
      <c r="AW145" s="41" t="n"/>
      <c r="AX145" s="41" t="n"/>
      <c r="AY145" s="41" t="n"/>
      <c r="AZ145" s="33" t="n"/>
      <c r="BA145" s="41" t="n"/>
      <c r="BB145" s="41" t="n"/>
      <c r="BC145" s="41" t="n"/>
      <c r="BD145" s="41" t="n"/>
      <c r="BE145" s="41" t="n"/>
      <c r="BF145" s="41" t="n"/>
      <c r="BG145" s="41" t="n"/>
      <c r="BH145" s="41" t="n"/>
      <c r="BI145" s="41" t="n"/>
      <c r="BJ145" s="41" t="n"/>
      <c r="BK145" s="41" t="n"/>
      <c r="BL145" s="41" t="n"/>
      <c r="BM145" s="41" t="n"/>
      <c r="BN145" s="41" t="n"/>
    </row>
    <row r="146" ht="18" customHeight="1" s="82">
      <c r="A146" s="36" t="n"/>
      <c r="B146" s="36" t="n"/>
      <c r="C146" s="36" t="n"/>
      <c r="D146" s="36" t="n"/>
      <c r="E146" s="37" t="n"/>
      <c r="F146" s="37" t="n"/>
      <c r="G146" s="37" t="n"/>
      <c r="H146" s="37" t="n"/>
      <c r="I146" s="37" t="n"/>
      <c r="J146" s="37" t="n"/>
      <c r="K146" s="37" t="n"/>
      <c r="L146" s="37" t="n"/>
      <c r="M146" s="37" t="n"/>
      <c r="N146" s="37" t="n"/>
      <c r="O146" s="37" t="n"/>
      <c r="P146" s="37" t="n"/>
      <c r="Q146" s="37" t="n"/>
      <c r="R146" s="37" t="n"/>
      <c r="S146" s="37" t="n"/>
      <c r="T146" s="37" t="n"/>
      <c r="U146" s="37" t="n"/>
      <c r="V146" s="37" t="n"/>
      <c r="W146" s="32" t="n"/>
      <c r="X146" s="37" t="n"/>
      <c r="Y146" s="37" t="n"/>
      <c r="Z146" s="37" t="n"/>
      <c r="AA146" s="37" t="n"/>
      <c r="AB146" s="37" t="n"/>
      <c r="AC146" s="37" t="n"/>
      <c r="AD146" s="32" t="n"/>
      <c r="AE146" s="37" t="n"/>
      <c r="AF146" s="38" t="n"/>
      <c r="AG146" s="67">
        <f>IF(OR(AF146="",AE146=""),"",IFERROR(AF146*INDEX(FXRates[USD per unit],MATCH(AE146,FXRates[Currency],0)),"No rate"))</f>
        <v/>
      </c>
      <c r="AH146" s="36" t="n"/>
      <c r="AI146" s="36" t="n"/>
      <c r="AJ146" s="39">
        <f>IF(A146="","",IF(COUNTIF($A$6:$A$504,A146)&gt;1,"⚠ Duplicate",""))</f>
        <v/>
      </c>
      <c r="AK146" s="38" t="n"/>
      <c r="AL146" s="40" t="n"/>
      <c r="AM146" s="40" t="n"/>
      <c r="AN146" s="40" t="n"/>
      <c r="AO146" s="40" t="n"/>
      <c r="AP146" s="40" t="n"/>
      <c r="AQ146" s="40" t="n"/>
      <c r="AR146" s="40" t="n"/>
      <c r="AS146" s="40" t="n"/>
      <c r="AT146" s="40" t="n"/>
      <c r="AU146" s="40" t="n"/>
      <c r="AV146" s="40" t="n"/>
      <c r="AW146" s="40" t="n"/>
      <c r="AX146" s="40" t="n"/>
      <c r="AY146" s="40" t="n"/>
      <c r="AZ146" s="38" t="n"/>
      <c r="BA146" s="40" t="n"/>
      <c r="BB146" s="40" t="n"/>
      <c r="BC146" s="40" t="n"/>
      <c r="BD146" s="40" t="n"/>
      <c r="BE146" s="40" t="n"/>
      <c r="BF146" s="40" t="n"/>
      <c r="BG146" s="40" t="n"/>
      <c r="BH146" s="40" t="n"/>
      <c r="BI146" s="40" t="n"/>
      <c r="BJ146" s="40" t="n"/>
      <c r="BK146" s="40" t="n"/>
      <c r="BL146" s="40" t="n"/>
      <c r="BM146" s="40" t="n"/>
      <c r="BN146" s="40" t="n"/>
    </row>
    <row r="147" ht="18" customHeight="1" s="82">
      <c r="A147" s="30" t="n"/>
      <c r="B147" s="30" t="n"/>
      <c r="C147" s="30" t="n"/>
      <c r="D147" s="30" t="n"/>
      <c r="E147" s="31" t="n"/>
      <c r="F147" s="31" t="n"/>
      <c r="G147" s="31" t="n"/>
      <c r="H147" s="31" t="n"/>
      <c r="I147" s="31" t="n"/>
      <c r="J147" s="31" t="n"/>
      <c r="K147" s="31" t="n"/>
      <c r="L147" s="31" t="n"/>
      <c r="M147" s="31" t="n"/>
      <c r="N147" s="31" t="n"/>
      <c r="O147" s="31" t="n"/>
      <c r="P147" s="31" t="n"/>
      <c r="Q147" s="31" t="n"/>
      <c r="R147" s="31" t="n"/>
      <c r="S147" s="31" t="n"/>
      <c r="T147" s="31" t="n"/>
      <c r="U147" s="31" t="n"/>
      <c r="V147" s="31" t="n"/>
      <c r="W147" s="32" t="n"/>
      <c r="X147" s="31" t="n"/>
      <c r="Y147" s="31" t="n"/>
      <c r="Z147" s="31" t="n"/>
      <c r="AA147" s="31" t="n"/>
      <c r="AB147" s="31" t="n"/>
      <c r="AC147" s="31" t="n"/>
      <c r="AD147" s="32" t="n"/>
      <c r="AE147" s="31" t="n"/>
      <c r="AF147" s="33" t="n"/>
      <c r="AG147" s="66">
        <f>IF(OR(AF147="",AE147=""),"",IFERROR(AF147*INDEX(FXRates[USD per unit],MATCH(AE147,FXRates[Currency],0)),"No rate"))</f>
        <v/>
      </c>
      <c r="AH147" s="30" t="n"/>
      <c r="AI147" s="30" t="n"/>
      <c r="AJ147" s="34">
        <f>IF(A147="","",IF(COUNTIF($A$6:$A$504,A147)&gt;1,"⚠ Duplicate",""))</f>
        <v/>
      </c>
      <c r="AK147" s="33" t="n"/>
      <c r="AL147" s="41" t="n"/>
      <c r="AM147" s="41" t="n"/>
      <c r="AN147" s="41" t="n"/>
      <c r="AO147" s="41" t="n"/>
      <c r="AP147" s="41" t="n"/>
      <c r="AQ147" s="41" t="n"/>
      <c r="AR147" s="41" t="n"/>
      <c r="AS147" s="41" t="n"/>
      <c r="AT147" s="41" t="n"/>
      <c r="AU147" s="41" t="n"/>
      <c r="AV147" s="41" t="n"/>
      <c r="AW147" s="41" t="n"/>
      <c r="AX147" s="41" t="n"/>
      <c r="AY147" s="41" t="n"/>
      <c r="AZ147" s="33" t="n"/>
      <c r="BA147" s="41" t="n"/>
      <c r="BB147" s="41" t="n"/>
      <c r="BC147" s="41" t="n"/>
      <c r="BD147" s="41" t="n"/>
      <c r="BE147" s="41" t="n"/>
      <c r="BF147" s="41" t="n"/>
      <c r="BG147" s="41" t="n"/>
      <c r="BH147" s="41" t="n"/>
      <c r="BI147" s="41" t="n"/>
      <c r="BJ147" s="41" t="n"/>
      <c r="BK147" s="41" t="n"/>
      <c r="BL147" s="41" t="n"/>
      <c r="BM147" s="41" t="n"/>
      <c r="BN147" s="41" t="n"/>
    </row>
    <row r="148" ht="18" customHeight="1" s="82">
      <c r="A148" s="36" t="n"/>
      <c r="B148" s="36" t="n"/>
      <c r="C148" s="36" t="n"/>
      <c r="D148" s="36" t="n"/>
      <c r="E148" s="37" t="n"/>
      <c r="F148" s="37" t="n"/>
      <c r="G148" s="37" t="n"/>
      <c r="H148" s="37" t="n"/>
      <c r="I148" s="37" t="n"/>
      <c r="J148" s="37" t="n"/>
      <c r="K148" s="37" t="n"/>
      <c r="L148" s="37" t="n"/>
      <c r="M148" s="37" t="n"/>
      <c r="N148" s="37" t="n"/>
      <c r="O148" s="37" t="n"/>
      <c r="P148" s="37" t="n"/>
      <c r="Q148" s="37" t="n"/>
      <c r="R148" s="37" t="n"/>
      <c r="S148" s="37" t="n"/>
      <c r="T148" s="37" t="n"/>
      <c r="U148" s="37" t="n"/>
      <c r="V148" s="37" t="n"/>
      <c r="W148" s="32" t="n"/>
      <c r="X148" s="37" t="n"/>
      <c r="Y148" s="37" t="n"/>
      <c r="Z148" s="37" t="n"/>
      <c r="AA148" s="37" t="n"/>
      <c r="AB148" s="37" t="n"/>
      <c r="AC148" s="37" t="n"/>
      <c r="AD148" s="32" t="n"/>
      <c r="AE148" s="37" t="n"/>
      <c r="AF148" s="38" t="n"/>
      <c r="AG148" s="67">
        <f>IF(OR(AF148="",AE148=""),"",IFERROR(AF148*INDEX(FXRates[USD per unit],MATCH(AE148,FXRates[Currency],0)),"No rate"))</f>
        <v/>
      </c>
      <c r="AH148" s="36" t="n"/>
      <c r="AI148" s="36" t="n"/>
      <c r="AJ148" s="39">
        <f>IF(A148="","",IF(COUNTIF($A$6:$A$504,A148)&gt;1,"⚠ Duplicate",""))</f>
        <v/>
      </c>
      <c r="AK148" s="38" t="n"/>
      <c r="AL148" s="40" t="n"/>
      <c r="AM148" s="40" t="n"/>
      <c r="AN148" s="40" t="n"/>
      <c r="AO148" s="40" t="n"/>
      <c r="AP148" s="40" t="n"/>
      <c r="AQ148" s="40" t="n"/>
      <c r="AR148" s="40" t="n"/>
      <c r="AS148" s="40" t="n"/>
      <c r="AT148" s="40" t="n"/>
      <c r="AU148" s="40" t="n"/>
      <c r="AV148" s="40" t="n"/>
      <c r="AW148" s="40" t="n"/>
      <c r="AX148" s="40" t="n"/>
      <c r="AY148" s="40" t="n"/>
      <c r="AZ148" s="38" t="n"/>
      <c r="BA148" s="40" t="n"/>
      <c r="BB148" s="40" t="n"/>
      <c r="BC148" s="40" t="n"/>
      <c r="BD148" s="40" t="n"/>
      <c r="BE148" s="40" t="n"/>
      <c r="BF148" s="40" t="n"/>
      <c r="BG148" s="40" t="n"/>
      <c r="BH148" s="40" t="n"/>
      <c r="BI148" s="40" t="n"/>
      <c r="BJ148" s="40" t="n"/>
      <c r="BK148" s="40" t="n"/>
      <c r="BL148" s="40" t="n"/>
      <c r="BM148" s="40" t="n"/>
      <c r="BN148" s="40" t="n"/>
    </row>
    <row r="149" ht="18" customHeight="1" s="82">
      <c r="A149" s="30" t="n"/>
      <c r="B149" s="30" t="n"/>
      <c r="C149" s="30" t="n"/>
      <c r="D149" s="30" t="n"/>
      <c r="E149" s="31" t="n"/>
      <c r="F149" s="31" t="n"/>
      <c r="G149" s="31" t="n"/>
      <c r="H149" s="31" t="n"/>
      <c r="I149" s="31" t="n"/>
      <c r="J149" s="31" t="n"/>
      <c r="K149" s="31" t="n"/>
      <c r="L149" s="31" t="n"/>
      <c r="M149" s="31" t="n"/>
      <c r="N149" s="31" t="n"/>
      <c r="O149" s="31" t="n"/>
      <c r="P149" s="31" t="n"/>
      <c r="Q149" s="31" t="n"/>
      <c r="R149" s="31" t="n"/>
      <c r="S149" s="31" t="n"/>
      <c r="T149" s="31" t="n"/>
      <c r="U149" s="31" t="n"/>
      <c r="V149" s="31" t="n"/>
      <c r="W149" s="32" t="n"/>
      <c r="X149" s="31" t="n"/>
      <c r="Y149" s="31" t="n"/>
      <c r="Z149" s="31" t="n"/>
      <c r="AA149" s="31" t="n"/>
      <c r="AB149" s="31" t="n"/>
      <c r="AC149" s="31" t="n"/>
      <c r="AD149" s="32" t="n"/>
      <c r="AE149" s="31" t="n"/>
      <c r="AF149" s="33" t="n"/>
      <c r="AG149" s="66">
        <f>IF(OR(AF149="",AE149=""),"",IFERROR(AF149*INDEX(FXRates[USD per unit],MATCH(AE149,FXRates[Currency],0)),"No rate"))</f>
        <v/>
      </c>
      <c r="AH149" s="30" t="n"/>
      <c r="AI149" s="30" t="n"/>
      <c r="AJ149" s="34">
        <f>IF(A149="","",IF(COUNTIF($A$6:$A$504,A149)&gt;1,"⚠ Duplicate",""))</f>
        <v/>
      </c>
      <c r="AK149" s="33" t="n"/>
      <c r="AL149" s="41" t="n"/>
      <c r="AM149" s="41" t="n"/>
      <c r="AN149" s="41" t="n"/>
      <c r="AO149" s="41" t="n"/>
      <c r="AP149" s="41" t="n"/>
      <c r="AQ149" s="41" t="n"/>
      <c r="AR149" s="41" t="n"/>
      <c r="AS149" s="41" t="n"/>
      <c r="AT149" s="41" t="n"/>
      <c r="AU149" s="41" t="n"/>
      <c r="AV149" s="41" t="n"/>
      <c r="AW149" s="41" t="n"/>
      <c r="AX149" s="41" t="n"/>
      <c r="AY149" s="41" t="n"/>
      <c r="AZ149" s="33" t="n"/>
      <c r="BA149" s="41" t="n"/>
      <c r="BB149" s="41" t="n"/>
      <c r="BC149" s="41" t="n"/>
      <c r="BD149" s="41" t="n"/>
      <c r="BE149" s="41" t="n"/>
      <c r="BF149" s="41" t="n"/>
      <c r="BG149" s="41" t="n"/>
      <c r="BH149" s="41" t="n"/>
      <c r="BI149" s="41" t="n"/>
      <c r="BJ149" s="41" t="n"/>
      <c r="BK149" s="41" t="n"/>
      <c r="BL149" s="41" t="n"/>
      <c r="BM149" s="41" t="n"/>
      <c r="BN149" s="41" t="n"/>
    </row>
    <row r="150" ht="18" customHeight="1" s="82">
      <c r="A150" s="36" t="n"/>
      <c r="B150" s="36" t="n"/>
      <c r="C150" s="36" t="n"/>
      <c r="D150" s="36" t="n"/>
      <c r="E150" s="37" t="n"/>
      <c r="F150" s="37" t="n"/>
      <c r="G150" s="37" t="n"/>
      <c r="H150" s="37" t="n"/>
      <c r="I150" s="37" t="n"/>
      <c r="J150" s="37" t="n"/>
      <c r="K150" s="37" t="n"/>
      <c r="L150" s="37" t="n"/>
      <c r="M150" s="37" t="n"/>
      <c r="N150" s="37" t="n"/>
      <c r="O150" s="37" t="n"/>
      <c r="P150" s="37" t="n"/>
      <c r="Q150" s="37" t="n"/>
      <c r="R150" s="37" t="n"/>
      <c r="S150" s="37" t="n"/>
      <c r="T150" s="37" t="n"/>
      <c r="U150" s="37" t="n"/>
      <c r="V150" s="37" t="n"/>
      <c r="W150" s="32" t="n"/>
      <c r="X150" s="37" t="n"/>
      <c r="Y150" s="37" t="n"/>
      <c r="Z150" s="37" t="n"/>
      <c r="AA150" s="37" t="n"/>
      <c r="AB150" s="37" t="n"/>
      <c r="AC150" s="37" t="n"/>
      <c r="AD150" s="32" t="n"/>
      <c r="AE150" s="37" t="n"/>
      <c r="AF150" s="38" t="n"/>
      <c r="AG150" s="67">
        <f>IF(OR(AF150="",AE150=""),"",IFERROR(AF150*INDEX(FXRates[USD per unit],MATCH(AE150,FXRates[Currency],0)),"No rate"))</f>
        <v/>
      </c>
      <c r="AH150" s="36" t="n"/>
      <c r="AI150" s="36" t="n"/>
      <c r="AJ150" s="39">
        <f>IF(A150="","",IF(COUNTIF($A$6:$A$504,A150)&gt;1,"⚠ Duplicate",""))</f>
        <v/>
      </c>
      <c r="AK150" s="38" t="n"/>
      <c r="AL150" s="40" t="n"/>
      <c r="AM150" s="40" t="n"/>
      <c r="AN150" s="40" t="n"/>
      <c r="AO150" s="40" t="n"/>
      <c r="AP150" s="40" t="n"/>
      <c r="AQ150" s="40" t="n"/>
      <c r="AR150" s="40" t="n"/>
      <c r="AS150" s="40" t="n"/>
      <c r="AT150" s="40" t="n"/>
      <c r="AU150" s="40" t="n"/>
      <c r="AV150" s="40" t="n"/>
      <c r="AW150" s="40" t="n"/>
      <c r="AX150" s="40" t="n"/>
      <c r="AY150" s="40" t="n"/>
      <c r="AZ150" s="38" t="n"/>
      <c r="BA150" s="40" t="n"/>
      <c r="BB150" s="40" t="n"/>
      <c r="BC150" s="40" t="n"/>
      <c r="BD150" s="40" t="n"/>
      <c r="BE150" s="40" t="n"/>
      <c r="BF150" s="40" t="n"/>
      <c r="BG150" s="40" t="n"/>
      <c r="BH150" s="40" t="n"/>
      <c r="BI150" s="40" t="n"/>
      <c r="BJ150" s="40" t="n"/>
      <c r="BK150" s="40" t="n"/>
      <c r="BL150" s="40" t="n"/>
      <c r="BM150" s="40" t="n"/>
      <c r="BN150" s="40" t="n"/>
    </row>
    <row r="151" ht="18" customHeight="1" s="82">
      <c r="A151" s="30" t="n"/>
      <c r="B151" s="30" t="n"/>
      <c r="C151" s="30" t="n"/>
      <c r="D151" s="30" t="n"/>
      <c r="E151" s="31" t="n"/>
      <c r="F151" s="31" t="n"/>
      <c r="G151" s="31" t="n"/>
      <c r="H151" s="31" t="n"/>
      <c r="I151" s="31" t="n"/>
      <c r="J151" s="31" t="n"/>
      <c r="K151" s="31" t="n"/>
      <c r="L151" s="31" t="n"/>
      <c r="M151" s="31" t="n"/>
      <c r="N151" s="31" t="n"/>
      <c r="O151" s="31" t="n"/>
      <c r="P151" s="31" t="n"/>
      <c r="Q151" s="31" t="n"/>
      <c r="R151" s="31" t="n"/>
      <c r="S151" s="31" t="n"/>
      <c r="T151" s="31" t="n"/>
      <c r="U151" s="31" t="n"/>
      <c r="V151" s="31" t="n"/>
      <c r="W151" s="32" t="n"/>
      <c r="X151" s="31" t="n"/>
      <c r="Y151" s="31" t="n"/>
      <c r="Z151" s="31" t="n"/>
      <c r="AA151" s="31" t="n"/>
      <c r="AB151" s="31" t="n"/>
      <c r="AC151" s="31" t="n"/>
      <c r="AD151" s="32" t="n"/>
      <c r="AE151" s="31" t="n"/>
      <c r="AF151" s="33" t="n"/>
      <c r="AG151" s="66">
        <f>IF(OR(AF151="",AE151=""),"",IFERROR(AF151*INDEX(FXRates[USD per unit],MATCH(AE151,FXRates[Currency],0)),"No rate"))</f>
        <v/>
      </c>
      <c r="AH151" s="30" t="n"/>
      <c r="AI151" s="30" t="n"/>
      <c r="AJ151" s="34">
        <f>IF(A151="","",IF(COUNTIF($A$6:$A$504,A151)&gt;1,"⚠ Duplicate",""))</f>
        <v/>
      </c>
      <c r="AK151" s="33" t="n"/>
      <c r="AL151" s="41" t="n"/>
      <c r="AM151" s="41" t="n"/>
      <c r="AN151" s="41" t="n"/>
      <c r="AO151" s="41" t="n"/>
      <c r="AP151" s="41" t="n"/>
      <c r="AQ151" s="41" t="n"/>
      <c r="AR151" s="41" t="n"/>
      <c r="AS151" s="41" t="n"/>
      <c r="AT151" s="41" t="n"/>
      <c r="AU151" s="41" t="n"/>
      <c r="AV151" s="41" t="n"/>
      <c r="AW151" s="41" t="n"/>
      <c r="AX151" s="41" t="n"/>
      <c r="AY151" s="41" t="n"/>
      <c r="AZ151" s="33" t="n"/>
      <c r="BA151" s="41" t="n"/>
      <c r="BB151" s="41" t="n"/>
      <c r="BC151" s="41" t="n"/>
      <c r="BD151" s="41" t="n"/>
      <c r="BE151" s="41" t="n"/>
      <c r="BF151" s="41" t="n"/>
      <c r="BG151" s="41" t="n"/>
      <c r="BH151" s="41" t="n"/>
      <c r="BI151" s="41" t="n"/>
      <c r="BJ151" s="41" t="n"/>
      <c r="BK151" s="41" t="n"/>
      <c r="BL151" s="41" t="n"/>
      <c r="BM151" s="41" t="n"/>
      <c r="BN151" s="41" t="n"/>
    </row>
    <row r="152" ht="18" customHeight="1" s="82">
      <c r="A152" s="36" t="n"/>
      <c r="B152" s="36" t="n"/>
      <c r="C152" s="36" t="n"/>
      <c r="D152" s="36" t="n"/>
      <c r="E152" s="37" t="n"/>
      <c r="F152" s="37" t="n"/>
      <c r="G152" s="37" t="n"/>
      <c r="H152" s="37" t="n"/>
      <c r="I152" s="37" t="n"/>
      <c r="J152" s="37" t="n"/>
      <c r="K152" s="37" t="n"/>
      <c r="L152" s="37" t="n"/>
      <c r="M152" s="37" t="n"/>
      <c r="N152" s="37" t="n"/>
      <c r="O152" s="37" t="n"/>
      <c r="P152" s="37" t="n"/>
      <c r="Q152" s="37" t="n"/>
      <c r="R152" s="37" t="n"/>
      <c r="S152" s="37" t="n"/>
      <c r="T152" s="37" t="n"/>
      <c r="U152" s="37" t="n"/>
      <c r="V152" s="37" t="n"/>
      <c r="W152" s="32" t="n"/>
      <c r="X152" s="37" t="n"/>
      <c r="Y152" s="37" t="n"/>
      <c r="Z152" s="37" t="n"/>
      <c r="AA152" s="37" t="n"/>
      <c r="AB152" s="37" t="n"/>
      <c r="AC152" s="37" t="n"/>
      <c r="AD152" s="32" t="n"/>
      <c r="AE152" s="37" t="n"/>
      <c r="AF152" s="38" t="n"/>
      <c r="AG152" s="67">
        <f>IF(OR(AF152="",AE152=""),"",IFERROR(AF152*INDEX(FXRates[USD per unit],MATCH(AE152,FXRates[Currency],0)),"No rate"))</f>
        <v/>
      </c>
      <c r="AH152" s="36" t="n"/>
      <c r="AI152" s="36" t="n"/>
      <c r="AJ152" s="39">
        <f>IF(A152="","",IF(COUNTIF($A$6:$A$504,A152)&gt;1,"⚠ Duplicate",""))</f>
        <v/>
      </c>
      <c r="AK152" s="38" t="n"/>
      <c r="AL152" s="40" t="n"/>
      <c r="AM152" s="40" t="n"/>
      <c r="AN152" s="40" t="n"/>
      <c r="AO152" s="40" t="n"/>
      <c r="AP152" s="40" t="n"/>
      <c r="AQ152" s="40" t="n"/>
      <c r="AR152" s="40" t="n"/>
      <c r="AS152" s="40" t="n"/>
      <c r="AT152" s="40" t="n"/>
      <c r="AU152" s="40" t="n"/>
      <c r="AV152" s="40" t="n"/>
      <c r="AW152" s="40" t="n"/>
      <c r="AX152" s="40" t="n"/>
      <c r="AY152" s="40" t="n"/>
      <c r="AZ152" s="38" t="n"/>
      <c r="BA152" s="40" t="n"/>
      <c r="BB152" s="40" t="n"/>
      <c r="BC152" s="40" t="n"/>
      <c r="BD152" s="40" t="n"/>
      <c r="BE152" s="40" t="n"/>
      <c r="BF152" s="40" t="n"/>
      <c r="BG152" s="40" t="n"/>
      <c r="BH152" s="40" t="n"/>
      <c r="BI152" s="40" t="n"/>
      <c r="BJ152" s="40" t="n"/>
      <c r="BK152" s="40" t="n"/>
      <c r="BL152" s="40" t="n"/>
      <c r="BM152" s="40" t="n"/>
      <c r="BN152" s="40" t="n"/>
    </row>
    <row r="153" ht="18" customHeight="1" s="82">
      <c r="A153" s="30" t="n"/>
      <c r="B153" s="30" t="n"/>
      <c r="C153" s="30" t="n"/>
      <c r="D153" s="30" t="n"/>
      <c r="E153" s="31" t="n"/>
      <c r="F153" s="31" t="n"/>
      <c r="G153" s="31" t="n"/>
      <c r="H153" s="31" t="n"/>
      <c r="I153" s="31" t="n"/>
      <c r="J153" s="31" t="n"/>
      <c r="K153" s="31" t="n"/>
      <c r="L153" s="31" t="n"/>
      <c r="M153" s="31" t="n"/>
      <c r="N153" s="31" t="n"/>
      <c r="O153" s="31" t="n"/>
      <c r="P153" s="31" t="n"/>
      <c r="Q153" s="31" t="n"/>
      <c r="R153" s="31" t="n"/>
      <c r="S153" s="31" t="n"/>
      <c r="T153" s="31" t="n"/>
      <c r="U153" s="31" t="n"/>
      <c r="V153" s="31" t="n"/>
      <c r="W153" s="32" t="n"/>
      <c r="X153" s="31" t="n"/>
      <c r="Y153" s="31" t="n"/>
      <c r="Z153" s="31" t="n"/>
      <c r="AA153" s="31" t="n"/>
      <c r="AB153" s="31" t="n"/>
      <c r="AC153" s="31" t="n"/>
      <c r="AD153" s="32" t="n"/>
      <c r="AE153" s="31" t="n"/>
      <c r="AF153" s="33" t="n"/>
      <c r="AG153" s="66">
        <f>IF(OR(AF153="",AE153=""),"",IFERROR(AF153*INDEX(FXRates[USD per unit],MATCH(AE153,FXRates[Currency],0)),"No rate"))</f>
        <v/>
      </c>
      <c r="AH153" s="30" t="n"/>
      <c r="AI153" s="30" t="n"/>
      <c r="AJ153" s="34">
        <f>IF(A153="","",IF(COUNTIF($A$6:$A$504,A153)&gt;1,"⚠ Duplicate",""))</f>
        <v/>
      </c>
      <c r="AK153" s="33" t="n"/>
      <c r="AL153" s="41" t="n"/>
      <c r="AM153" s="41" t="n"/>
      <c r="AN153" s="41" t="n"/>
      <c r="AO153" s="41" t="n"/>
      <c r="AP153" s="41" t="n"/>
      <c r="AQ153" s="41" t="n"/>
      <c r="AR153" s="41" t="n"/>
      <c r="AS153" s="41" t="n"/>
      <c r="AT153" s="41" t="n"/>
      <c r="AU153" s="41" t="n"/>
      <c r="AV153" s="41" t="n"/>
      <c r="AW153" s="41" t="n"/>
      <c r="AX153" s="41" t="n"/>
      <c r="AY153" s="41" t="n"/>
      <c r="AZ153" s="33" t="n"/>
      <c r="BA153" s="41" t="n"/>
      <c r="BB153" s="41" t="n"/>
      <c r="BC153" s="41" t="n"/>
      <c r="BD153" s="41" t="n"/>
      <c r="BE153" s="41" t="n"/>
      <c r="BF153" s="41" t="n"/>
      <c r="BG153" s="41" t="n"/>
      <c r="BH153" s="41" t="n"/>
      <c r="BI153" s="41" t="n"/>
      <c r="BJ153" s="41" t="n"/>
      <c r="BK153" s="41" t="n"/>
      <c r="BL153" s="41" t="n"/>
      <c r="BM153" s="41" t="n"/>
      <c r="BN153" s="41" t="n"/>
    </row>
    <row r="154" ht="18" customHeight="1" s="82">
      <c r="A154" s="36" t="n"/>
      <c r="B154" s="36" t="n"/>
      <c r="C154" s="36" t="n"/>
      <c r="D154" s="36" t="n"/>
      <c r="E154" s="37" t="n"/>
      <c r="F154" s="37" t="n"/>
      <c r="G154" s="37" t="n"/>
      <c r="H154" s="37" t="n"/>
      <c r="I154" s="37" t="n"/>
      <c r="J154" s="37" t="n"/>
      <c r="K154" s="37" t="n"/>
      <c r="L154" s="37" t="n"/>
      <c r="M154" s="37" t="n"/>
      <c r="N154" s="37" t="n"/>
      <c r="O154" s="37" t="n"/>
      <c r="P154" s="37" t="n"/>
      <c r="Q154" s="37" t="n"/>
      <c r="R154" s="37" t="n"/>
      <c r="S154" s="37" t="n"/>
      <c r="T154" s="37" t="n"/>
      <c r="U154" s="37" t="n"/>
      <c r="V154" s="37" t="n"/>
      <c r="W154" s="32" t="n"/>
      <c r="X154" s="37" t="n"/>
      <c r="Y154" s="37" t="n"/>
      <c r="Z154" s="37" t="n"/>
      <c r="AA154" s="37" t="n"/>
      <c r="AB154" s="37" t="n"/>
      <c r="AC154" s="37" t="n"/>
      <c r="AD154" s="32" t="n"/>
      <c r="AE154" s="37" t="n"/>
      <c r="AF154" s="38" t="n"/>
      <c r="AG154" s="67">
        <f>IF(OR(AF154="",AE154=""),"",IFERROR(AF154*INDEX(FXRates[USD per unit],MATCH(AE154,FXRates[Currency],0)),"No rate"))</f>
        <v/>
      </c>
      <c r="AH154" s="36" t="n"/>
      <c r="AI154" s="36" t="n"/>
      <c r="AJ154" s="39">
        <f>IF(A154="","",IF(COUNTIF($A$6:$A$504,A154)&gt;1,"⚠ Duplicate",""))</f>
        <v/>
      </c>
      <c r="AK154" s="38" t="n"/>
      <c r="AL154" s="40" t="n"/>
      <c r="AM154" s="40" t="n"/>
      <c r="AN154" s="40" t="n"/>
      <c r="AO154" s="40" t="n"/>
      <c r="AP154" s="40" t="n"/>
      <c r="AQ154" s="40" t="n"/>
      <c r="AR154" s="40" t="n"/>
      <c r="AS154" s="40" t="n"/>
      <c r="AT154" s="40" t="n"/>
      <c r="AU154" s="40" t="n"/>
      <c r="AV154" s="40" t="n"/>
      <c r="AW154" s="40" t="n"/>
      <c r="AX154" s="40" t="n"/>
      <c r="AY154" s="40" t="n"/>
      <c r="AZ154" s="38" t="n"/>
      <c r="BA154" s="40" t="n"/>
      <c r="BB154" s="40" t="n"/>
      <c r="BC154" s="40" t="n"/>
      <c r="BD154" s="40" t="n"/>
      <c r="BE154" s="40" t="n"/>
      <c r="BF154" s="40" t="n"/>
      <c r="BG154" s="40" t="n"/>
      <c r="BH154" s="40" t="n"/>
      <c r="BI154" s="40" t="n"/>
      <c r="BJ154" s="40" t="n"/>
      <c r="BK154" s="40" t="n"/>
      <c r="BL154" s="40" t="n"/>
      <c r="BM154" s="40" t="n"/>
      <c r="BN154" s="40" t="n"/>
    </row>
    <row r="155" ht="18" customHeight="1" s="82">
      <c r="A155" s="30" t="n"/>
      <c r="B155" s="30" t="n"/>
      <c r="C155" s="30" t="n"/>
      <c r="D155" s="30" t="n"/>
      <c r="E155" s="31" t="n"/>
      <c r="F155" s="31" t="n"/>
      <c r="G155" s="31" t="n"/>
      <c r="H155" s="31" t="n"/>
      <c r="I155" s="31" t="n"/>
      <c r="J155" s="31" t="n"/>
      <c r="K155" s="31" t="n"/>
      <c r="L155" s="31" t="n"/>
      <c r="M155" s="31" t="n"/>
      <c r="N155" s="31" t="n"/>
      <c r="O155" s="31" t="n"/>
      <c r="P155" s="31" t="n"/>
      <c r="Q155" s="31" t="n"/>
      <c r="R155" s="31" t="n"/>
      <c r="S155" s="31" t="n"/>
      <c r="T155" s="31" t="n"/>
      <c r="U155" s="31" t="n"/>
      <c r="V155" s="31" t="n"/>
      <c r="W155" s="32" t="n"/>
      <c r="X155" s="31" t="n"/>
      <c r="Y155" s="31" t="n"/>
      <c r="Z155" s="31" t="n"/>
      <c r="AA155" s="31" t="n"/>
      <c r="AB155" s="31" t="n"/>
      <c r="AC155" s="31" t="n"/>
      <c r="AD155" s="32" t="n"/>
      <c r="AE155" s="31" t="n"/>
      <c r="AF155" s="33" t="n"/>
      <c r="AG155" s="66">
        <f>IF(OR(AF155="",AE155=""),"",IFERROR(AF155*INDEX(FXRates[USD per unit],MATCH(AE155,FXRates[Currency],0)),"No rate"))</f>
        <v/>
      </c>
      <c r="AH155" s="30" t="n"/>
      <c r="AI155" s="30" t="n"/>
      <c r="AJ155" s="34">
        <f>IF(A155="","",IF(COUNTIF($A$6:$A$504,A155)&gt;1,"⚠ Duplicate",""))</f>
        <v/>
      </c>
      <c r="AK155" s="33" t="n"/>
      <c r="AL155" s="41" t="n"/>
      <c r="AM155" s="41" t="n"/>
      <c r="AN155" s="41" t="n"/>
      <c r="AO155" s="41" t="n"/>
      <c r="AP155" s="41" t="n"/>
      <c r="AQ155" s="41" t="n"/>
      <c r="AR155" s="41" t="n"/>
      <c r="AS155" s="41" t="n"/>
      <c r="AT155" s="41" t="n"/>
      <c r="AU155" s="41" t="n"/>
      <c r="AV155" s="41" t="n"/>
      <c r="AW155" s="41" t="n"/>
      <c r="AX155" s="41" t="n"/>
      <c r="AY155" s="41" t="n"/>
      <c r="AZ155" s="33" t="n"/>
      <c r="BA155" s="41" t="n"/>
      <c r="BB155" s="41" t="n"/>
      <c r="BC155" s="41" t="n"/>
      <c r="BD155" s="41" t="n"/>
      <c r="BE155" s="41" t="n"/>
      <c r="BF155" s="41" t="n"/>
      <c r="BG155" s="41" t="n"/>
      <c r="BH155" s="41" t="n"/>
      <c r="BI155" s="41" t="n"/>
      <c r="BJ155" s="41" t="n"/>
      <c r="BK155" s="41" t="n"/>
      <c r="BL155" s="41" t="n"/>
      <c r="BM155" s="41" t="n"/>
      <c r="BN155" s="41" t="n"/>
    </row>
    <row r="156" ht="18" customHeight="1" s="82">
      <c r="A156" s="36" t="n"/>
      <c r="B156" s="36" t="n"/>
      <c r="C156" s="36" t="n"/>
      <c r="D156" s="36" t="n"/>
      <c r="E156" s="37" t="n"/>
      <c r="F156" s="37" t="n"/>
      <c r="G156" s="37" t="n"/>
      <c r="H156" s="37" t="n"/>
      <c r="I156" s="37" t="n"/>
      <c r="J156" s="37" t="n"/>
      <c r="K156" s="37" t="n"/>
      <c r="L156" s="37" t="n"/>
      <c r="M156" s="37" t="n"/>
      <c r="N156" s="37" t="n"/>
      <c r="O156" s="37" t="n"/>
      <c r="P156" s="37" t="n"/>
      <c r="Q156" s="37" t="n"/>
      <c r="R156" s="37" t="n"/>
      <c r="S156" s="37" t="n"/>
      <c r="T156" s="37" t="n"/>
      <c r="U156" s="37" t="n"/>
      <c r="V156" s="37" t="n"/>
      <c r="W156" s="32" t="n"/>
      <c r="X156" s="37" t="n"/>
      <c r="Y156" s="37" t="n"/>
      <c r="Z156" s="37" t="n"/>
      <c r="AA156" s="37" t="n"/>
      <c r="AB156" s="37" t="n"/>
      <c r="AC156" s="37" t="n"/>
      <c r="AD156" s="32" t="n"/>
      <c r="AE156" s="37" t="n"/>
      <c r="AF156" s="38" t="n"/>
      <c r="AG156" s="67">
        <f>IF(OR(AF156="",AE156=""),"",IFERROR(AF156*INDEX(FXRates[USD per unit],MATCH(AE156,FXRates[Currency],0)),"No rate"))</f>
        <v/>
      </c>
      <c r="AH156" s="36" t="n"/>
      <c r="AI156" s="36" t="n"/>
      <c r="AJ156" s="39">
        <f>IF(A156="","",IF(COUNTIF($A$6:$A$504,A156)&gt;1,"⚠ Duplicate",""))</f>
        <v/>
      </c>
      <c r="AK156" s="38" t="n"/>
      <c r="AL156" s="40" t="n"/>
      <c r="AM156" s="40" t="n"/>
      <c r="AN156" s="40" t="n"/>
      <c r="AO156" s="40" t="n"/>
      <c r="AP156" s="40" t="n"/>
      <c r="AQ156" s="40" t="n"/>
      <c r="AR156" s="40" t="n"/>
      <c r="AS156" s="40" t="n"/>
      <c r="AT156" s="40" t="n"/>
      <c r="AU156" s="40" t="n"/>
      <c r="AV156" s="40" t="n"/>
      <c r="AW156" s="40" t="n"/>
      <c r="AX156" s="40" t="n"/>
      <c r="AY156" s="40" t="n"/>
      <c r="AZ156" s="38" t="n"/>
      <c r="BA156" s="40" t="n"/>
      <c r="BB156" s="40" t="n"/>
      <c r="BC156" s="40" t="n"/>
      <c r="BD156" s="40" t="n"/>
      <c r="BE156" s="40" t="n"/>
      <c r="BF156" s="40" t="n"/>
      <c r="BG156" s="40" t="n"/>
      <c r="BH156" s="40" t="n"/>
      <c r="BI156" s="40" t="n"/>
      <c r="BJ156" s="40" t="n"/>
      <c r="BK156" s="40" t="n"/>
      <c r="BL156" s="40" t="n"/>
      <c r="BM156" s="40" t="n"/>
      <c r="BN156" s="40" t="n"/>
    </row>
    <row r="157" ht="18" customHeight="1" s="82">
      <c r="A157" s="30" t="n"/>
      <c r="B157" s="30" t="n"/>
      <c r="C157" s="30" t="n"/>
      <c r="D157" s="30" t="n"/>
      <c r="E157" s="31" t="n"/>
      <c r="F157" s="31" t="n"/>
      <c r="G157" s="31" t="n"/>
      <c r="H157" s="31" t="n"/>
      <c r="I157" s="31" t="n"/>
      <c r="J157" s="31" t="n"/>
      <c r="K157" s="31" t="n"/>
      <c r="L157" s="31" t="n"/>
      <c r="M157" s="31" t="n"/>
      <c r="N157" s="31" t="n"/>
      <c r="O157" s="31" t="n"/>
      <c r="P157" s="31" t="n"/>
      <c r="Q157" s="31" t="n"/>
      <c r="R157" s="31" t="n"/>
      <c r="S157" s="31" t="n"/>
      <c r="T157" s="31" t="n"/>
      <c r="U157" s="31" t="n"/>
      <c r="V157" s="31" t="n"/>
      <c r="W157" s="32" t="n"/>
      <c r="X157" s="31" t="n"/>
      <c r="Y157" s="31" t="n"/>
      <c r="Z157" s="31" t="n"/>
      <c r="AA157" s="31" t="n"/>
      <c r="AB157" s="31" t="n"/>
      <c r="AC157" s="31" t="n"/>
      <c r="AD157" s="32" t="n"/>
      <c r="AE157" s="31" t="n"/>
      <c r="AF157" s="33" t="n"/>
      <c r="AG157" s="66">
        <f>IF(OR(AF157="",AE157=""),"",IFERROR(AF157*INDEX(FXRates[USD per unit],MATCH(AE157,FXRates[Currency],0)),"No rate"))</f>
        <v/>
      </c>
      <c r="AH157" s="30" t="n"/>
      <c r="AI157" s="30" t="n"/>
      <c r="AJ157" s="34">
        <f>IF(A157="","",IF(COUNTIF($A$6:$A$504,A157)&gt;1,"⚠ Duplicate",""))</f>
        <v/>
      </c>
      <c r="AK157" s="33" t="n"/>
      <c r="AL157" s="41" t="n"/>
      <c r="AM157" s="41" t="n"/>
      <c r="AN157" s="41" t="n"/>
      <c r="AO157" s="41" t="n"/>
      <c r="AP157" s="41" t="n"/>
      <c r="AQ157" s="41" t="n"/>
      <c r="AR157" s="41" t="n"/>
      <c r="AS157" s="41" t="n"/>
      <c r="AT157" s="41" t="n"/>
      <c r="AU157" s="41" t="n"/>
      <c r="AV157" s="41" t="n"/>
      <c r="AW157" s="41" t="n"/>
      <c r="AX157" s="41" t="n"/>
      <c r="AY157" s="41" t="n"/>
      <c r="AZ157" s="33" t="n"/>
      <c r="BA157" s="41" t="n"/>
      <c r="BB157" s="41" t="n"/>
      <c r="BC157" s="41" t="n"/>
      <c r="BD157" s="41" t="n"/>
      <c r="BE157" s="41" t="n"/>
      <c r="BF157" s="41" t="n"/>
      <c r="BG157" s="41" t="n"/>
      <c r="BH157" s="41" t="n"/>
      <c r="BI157" s="41" t="n"/>
      <c r="BJ157" s="41" t="n"/>
      <c r="BK157" s="41" t="n"/>
      <c r="BL157" s="41" t="n"/>
      <c r="BM157" s="41" t="n"/>
      <c r="BN157" s="41" t="n"/>
    </row>
    <row r="158" ht="18" customHeight="1" s="82">
      <c r="A158" s="36" t="n"/>
      <c r="B158" s="36" t="n"/>
      <c r="C158" s="36" t="n"/>
      <c r="D158" s="36" t="n"/>
      <c r="E158" s="37" t="n"/>
      <c r="F158" s="37" t="n"/>
      <c r="G158" s="37" t="n"/>
      <c r="H158" s="37" t="n"/>
      <c r="I158" s="37" t="n"/>
      <c r="J158" s="37" t="n"/>
      <c r="K158" s="37" t="n"/>
      <c r="L158" s="37" t="n"/>
      <c r="M158" s="37" t="n"/>
      <c r="N158" s="37" t="n"/>
      <c r="O158" s="37" t="n"/>
      <c r="P158" s="37" t="n"/>
      <c r="Q158" s="37" t="n"/>
      <c r="R158" s="37" t="n"/>
      <c r="S158" s="37" t="n"/>
      <c r="T158" s="37" t="n"/>
      <c r="U158" s="37" t="n"/>
      <c r="V158" s="37" t="n"/>
      <c r="W158" s="32" t="n"/>
      <c r="X158" s="37" t="n"/>
      <c r="Y158" s="37" t="n"/>
      <c r="Z158" s="37" t="n"/>
      <c r="AA158" s="37" t="n"/>
      <c r="AB158" s="37" t="n"/>
      <c r="AC158" s="37" t="n"/>
      <c r="AD158" s="32" t="n"/>
      <c r="AE158" s="37" t="n"/>
      <c r="AF158" s="38" t="n"/>
      <c r="AG158" s="67">
        <f>IF(OR(AF158="",AE158=""),"",IFERROR(AF158*INDEX(FXRates[USD per unit],MATCH(AE158,FXRates[Currency],0)),"No rate"))</f>
        <v/>
      </c>
      <c r="AH158" s="36" t="n"/>
      <c r="AI158" s="36" t="n"/>
      <c r="AJ158" s="39">
        <f>IF(A158="","",IF(COUNTIF($A$6:$A$504,A158)&gt;1,"⚠ Duplicate",""))</f>
        <v/>
      </c>
      <c r="AK158" s="38" t="n"/>
      <c r="AL158" s="40" t="n"/>
      <c r="AM158" s="40" t="n"/>
      <c r="AN158" s="40" t="n"/>
      <c r="AO158" s="40" t="n"/>
      <c r="AP158" s="40" t="n"/>
      <c r="AQ158" s="40" t="n"/>
      <c r="AR158" s="40" t="n"/>
      <c r="AS158" s="40" t="n"/>
      <c r="AT158" s="40" t="n"/>
      <c r="AU158" s="40" t="n"/>
      <c r="AV158" s="40" t="n"/>
      <c r="AW158" s="40" t="n"/>
      <c r="AX158" s="40" t="n"/>
      <c r="AY158" s="40" t="n"/>
      <c r="AZ158" s="38" t="n"/>
      <c r="BA158" s="40" t="n"/>
      <c r="BB158" s="40" t="n"/>
      <c r="BC158" s="40" t="n"/>
      <c r="BD158" s="40" t="n"/>
      <c r="BE158" s="40" t="n"/>
      <c r="BF158" s="40" t="n"/>
      <c r="BG158" s="40" t="n"/>
      <c r="BH158" s="40" t="n"/>
      <c r="BI158" s="40" t="n"/>
      <c r="BJ158" s="40" t="n"/>
      <c r="BK158" s="40" t="n"/>
      <c r="BL158" s="40" t="n"/>
      <c r="BM158" s="40" t="n"/>
      <c r="BN158" s="40" t="n"/>
    </row>
    <row r="159" ht="18" customHeight="1" s="82">
      <c r="A159" s="30" t="n"/>
      <c r="B159" s="30" t="n"/>
      <c r="C159" s="30" t="n"/>
      <c r="D159" s="30" t="n"/>
      <c r="E159" s="31" t="n"/>
      <c r="F159" s="31" t="n"/>
      <c r="G159" s="31" t="n"/>
      <c r="H159" s="31" t="n"/>
      <c r="I159" s="31" t="n"/>
      <c r="J159" s="31" t="n"/>
      <c r="K159" s="31" t="n"/>
      <c r="L159" s="31" t="n"/>
      <c r="M159" s="31" t="n"/>
      <c r="N159" s="31" t="n"/>
      <c r="O159" s="31" t="n"/>
      <c r="P159" s="31" t="n"/>
      <c r="Q159" s="31" t="n"/>
      <c r="R159" s="31" t="n"/>
      <c r="S159" s="31" t="n"/>
      <c r="T159" s="31" t="n"/>
      <c r="U159" s="31" t="n"/>
      <c r="V159" s="31" t="n"/>
      <c r="W159" s="32" t="n"/>
      <c r="X159" s="31" t="n"/>
      <c r="Y159" s="31" t="n"/>
      <c r="Z159" s="31" t="n"/>
      <c r="AA159" s="31" t="n"/>
      <c r="AB159" s="31" t="n"/>
      <c r="AC159" s="31" t="n"/>
      <c r="AD159" s="32" t="n"/>
      <c r="AE159" s="31" t="n"/>
      <c r="AF159" s="33" t="n"/>
      <c r="AG159" s="66">
        <f>IF(OR(AF159="",AE159=""),"",IFERROR(AF159*INDEX(FXRates[USD per unit],MATCH(AE159,FXRates[Currency],0)),"No rate"))</f>
        <v/>
      </c>
      <c r="AH159" s="30" t="n"/>
      <c r="AI159" s="30" t="n"/>
      <c r="AJ159" s="34">
        <f>IF(A159="","",IF(COUNTIF($A$6:$A$504,A159)&gt;1,"⚠ Duplicate",""))</f>
        <v/>
      </c>
      <c r="AK159" s="33" t="n"/>
      <c r="AL159" s="41" t="n"/>
      <c r="AM159" s="41" t="n"/>
      <c r="AN159" s="41" t="n"/>
      <c r="AO159" s="41" t="n"/>
      <c r="AP159" s="41" t="n"/>
      <c r="AQ159" s="41" t="n"/>
      <c r="AR159" s="41" t="n"/>
      <c r="AS159" s="41" t="n"/>
      <c r="AT159" s="41" t="n"/>
      <c r="AU159" s="41" t="n"/>
      <c r="AV159" s="41" t="n"/>
      <c r="AW159" s="41" t="n"/>
      <c r="AX159" s="41" t="n"/>
      <c r="AY159" s="41" t="n"/>
      <c r="AZ159" s="33" t="n"/>
      <c r="BA159" s="41" t="n"/>
      <c r="BB159" s="41" t="n"/>
      <c r="BC159" s="41" t="n"/>
      <c r="BD159" s="41" t="n"/>
      <c r="BE159" s="41" t="n"/>
      <c r="BF159" s="41" t="n"/>
      <c r="BG159" s="41" t="n"/>
      <c r="BH159" s="41" t="n"/>
      <c r="BI159" s="41" t="n"/>
      <c r="BJ159" s="41" t="n"/>
      <c r="BK159" s="41" t="n"/>
      <c r="BL159" s="41" t="n"/>
      <c r="BM159" s="41" t="n"/>
      <c r="BN159" s="41" t="n"/>
    </row>
    <row r="160" ht="18" customHeight="1" s="82">
      <c r="A160" s="36" t="n"/>
      <c r="B160" s="36" t="n"/>
      <c r="C160" s="36" t="n"/>
      <c r="D160" s="36" t="n"/>
      <c r="E160" s="37" t="n"/>
      <c r="F160" s="37" t="n"/>
      <c r="G160" s="37" t="n"/>
      <c r="H160" s="37" t="n"/>
      <c r="I160" s="37" t="n"/>
      <c r="J160" s="37" t="n"/>
      <c r="K160" s="37" t="n"/>
      <c r="L160" s="37" t="n"/>
      <c r="M160" s="37" t="n"/>
      <c r="N160" s="37" t="n"/>
      <c r="O160" s="37" t="n"/>
      <c r="P160" s="37" t="n"/>
      <c r="Q160" s="37" t="n"/>
      <c r="R160" s="37" t="n"/>
      <c r="S160" s="37" t="n"/>
      <c r="T160" s="37" t="n"/>
      <c r="U160" s="37" t="n"/>
      <c r="V160" s="37" t="n"/>
      <c r="W160" s="32" t="n"/>
      <c r="X160" s="37" t="n"/>
      <c r="Y160" s="37" t="n"/>
      <c r="Z160" s="37" t="n"/>
      <c r="AA160" s="37" t="n"/>
      <c r="AB160" s="37" t="n"/>
      <c r="AC160" s="37" t="n"/>
      <c r="AD160" s="32" t="n"/>
      <c r="AE160" s="37" t="n"/>
      <c r="AF160" s="38" t="n"/>
      <c r="AG160" s="67">
        <f>IF(OR(AF160="",AE160=""),"",IFERROR(AF160*INDEX(FXRates[USD per unit],MATCH(AE160,FXRates[Currency],0)),"No rate"))</f>
        <v/>
      </c>
      <c r="AH160" s="36" t="n"/>
      <c r="AI160" s="36" t="n"/>
      <c r="AJ160" s="39">
        <f>IF(A160="","",IF(COUNTIF($A$6:$A$504,A160)&gt;1,"⚠ Duplicate",""))</f>
        <v/>
      </c>
      <c r="AK160" s="38" t="n"/>
      <c r="AL160" s="40" t="n"/>
      <c r="AM160" s="40" t="n"/>
      <c r="AN160" s="40" t="n"/>
      <c r="AO160" s="40" t="n"/>
      <c r="AP160" s="40" t="n"/>
      <c r="AQ160" s="40" t="n"/>
      <c r="AR160" s="40" t="n"/>
      <c r="AS160" s="40" t="n"/>
      <c r="AT160" s="40" t="n"/>
      <c r="AU160" s="40" t="n"/>
      <c r="AV160" s="40" t="n"/>
      <c r="AW160" s="40" t="n"/>
      <c r="AX160" s="40" t="n"/>
      <c r="AY160" s="40" t="n"/>
      <c r="AZ160" s="38" t="n"/>
      <c r="BA160" s="40" t="n"/>
      <c r="BB160" s="40" t="n"/>
      <c r="BC160" s="40" t="n"/>
      <c r="BD160" s="40" t="n"/>
      <c r="BE160" s="40" t="n"/>
      <c r="BF160" s="40" t="n"/>
      <c r="BG160" s="40" t="n"/>
      <c r="BH160" s="40" t="n"/>
      <c r="BI160" s="40" t="n"/>
      <c r="BJ160" s="40" t="n"/>
      <c r="BK160" s="40" t="n"/>
      <c r="BL160" s="40" t="n"/>
      <c r="BM160" s="40" t="n"/>
      <c r="BN160" s="40" t="n"/>
    </row>
    <row r="161" ht="18" customHeight="1" s="82">
      <c r="A161" s="30" t="n"/>
      <c r="B161" s="30" t="n"/>
      <c r="C161" s="30" t="n"/>
      <c r="D161" s="30" t="n"/>
      <c r="E161" s="31" t="n"/>
      <c r="F161" s="31" t="n"/>
      <c r="G161" s="31" t="n"/>
      <c r="H161" s="31" t="n"/>
      <c r="I161" s="31" t="n"/>
      <c r="J161" s="31" t="n"/>
      <c r="K161" s="31" t="n"/>
      <c r="L161" s="31" t="n"/>
      <c r="M161" s="31" t="n"/>
      <c r="N161" s="31" t="n"/>
      <c r="O161" s="31" t="n"/>
      <c r="P161" s="31" t="n"/>
      <c r="Q161" s="31" t="n"/>
      <c r="R161" s="31" t="n"/>
      <c r="S161" s="31" t="n"/>
      <c r="T161" s="31" t="n"/>
      <c r="U161" s="31" t="n"/>
      <c r="V161" s="31" t="n"/>
      <c r="W161" s="32" t="n"/>
      <c r="X161" s="31" t="n"/>
      <c r="Y161" s="31" t="n"/>
      <c r="Z161" s="31" t="n"/>
      <c r="AA161" s="31" t="n"/>
      <c r="AB161" s="31" t="n"/>
      <c r="AC161" s="31" t="n"/>
      <c r="AD161" s="32" t="n"/>
      <c r="AE161" s="31" t="n"/>
      <c r="AF161" s="33" t="n"/>
      <c r="AG161" s="66">
        <f>IF(OR(AF161="",AE161=""),"",IFERROR(AF161*INDEX(FXRates[USD per unit],MATCH(AE161,FXRates[Currency],0)),"No rate"))</f>
        <v/>
      </c>
      <c r="AH161" s="30" t="n"/>
      <c r="AI161" s="30" t="n"/>
      <c r="AJ161" s="34">
        <f>IF(A161="","",IF(COUNTIF($A$6:$A$504,A161)&gt;1,"⚠ Duplicate",""))</f>
        <v/>
      </c>
      <c r="AK161" s="33" t="n"/>
      <c r="AL161" s="41" t="n"/>
      <c r="AM161" s="41" t="n"/>
      <c r="AN161" s="41" t="n"/>
      <c r="AO161" s="41" t="n"/>
      <c r="AP161" s="41" t="n"/>
      <c r="AQ161" s="41" t="n"/>
      <c r="AR161" s="41" t="n"/>
      <c r="AS161" s="41" t="n"/>
      <c r="AT161" s="41" t="n"/>
      <c r="AU161" s="41" t="n"/>
      <c r="AV161" s="41" t="n"/>
      <c r="AW161" s="41" t="n"/>
      <c r="AX161" s="41" t="n"/>
      <c r="AY161" s="41" t="n"/>
      <c r="AZ161" s="33" t="n"/>
      <c r="BA161" s="41" t="n"/>
      <c r="BB161" s="41" t="n"/>
      <c r="BC161" s="41" t="n"/>
      <c r="BD161" s="41" t="n"/>
      <c r="BE161" s="41" t="n"/>
      <c r="BF161" s="41" t="n"/>
      <c r="BG161" s="41" t="n"/>
      <c r="BH161" s="41" t="n"/>
      <c r="BI161" s="41" t="n"/>
      <c r="BJ161" s="41" t="n"/>
      <c r="BK161" s="41" t="n"/>
      <c r="BL161" s="41" t="n"/>
      <c r="BM161" s="41" t="n"/>
      <c r="BN161" s="41" t="n"/>
    </row>
    <row r="162" ht="18" customHeight="1" s="82">
      <c r="A162" s="36" t="n"/>
      <c r="B162" s="36" t="n"/>
      <c r="C162" s="36" t="n"/>
      <c r="D162" s="36" t="n"/>
      <c r="E162" s="37" t="n"/>
      <c r="F162" s="37" t="n"/>
      <c r="G162" s="37" t="n"/>
      <c r="H162" s="37" t="n"/>
      <c r="I162" s="37" t="n"/>
      <c r="J162" s="37" t="n"/>
      <c r="K162" s="37" t="n"/>
      <c r="L162" s="37" t="n"/>
      <c r="M162" s="37" t="n"/>
      <c r="N162" s="37" t="n"/>
      <c r="O162" s="37" t="n"/>
      <c r="P162" s="37" t="n"/>
      <c r="Q162" s="37" t="n"/>
      <c r="R162" s="37" t="n"/>
      <c r="S162" s="37" t="n"/>
      <c r="T162" s="37" t="n"/>
      <c r="U162" s="37" t="n"/>
      <c r="V162" s="37" t="n"/>
      <c r="W162" s="32" t="n"/>
      <c r="X162" s="37" t="n"/>
      <c r="Y162" s="37" t="n"/>
      <c r="Z162" s="37" t="n"/>
      <c r="AA162" s="37" t="n"/>
      <c r="AB162" s="37" t="n"/>
      <c r="AC162" s="37" t="n"/>
      <c r="AD162" s="32" t="n"/>
      <c r="AE162" s="37" t="n"/>
      <c r="AF162" s="38" t="n"/>
      <c r="AG162" s="67">
        <f>IF(OR(AF162="",AE162=""),"",IFERROR(AF162*INDEX(FXRates[USD per unit],MATCH(AE162,FXRates[Currency],0)),"No rate"))</f>
        <v/>
      </c>
      <c r="AH162" s="36" t="n"/>
      <c r="AI162" s="36" t="n"/>
      <c r="AJ162" s="39">
        <f>IF(A162="","",IF(COUNTIF($A$6:$A$504,A162)&gt;1,"⚠ Duplicate",""))</f>
        <v/>
      </c>
      <c r="AK162" s="38" t="n"/>
      <c r="AL162" s="40" t="n"/>
      <c r="AM162" s="40" t="n"/>
      <c r="AN162" s="40" t="n"/>
      <c r="AO162" s="40" t="n"/>
      <c r="AP162" s="40" t="n"/>
      <c r="AQ162" s="40" t="n"/>
      <c r="AR162" s="40" t="n"/>
      <c r="AS162" s="40" t="n"/>
      <c r="AT162" s="40" t="n"/>
      <c r="AU162" s="40" t="n"/>
      <c r="AV162" s="40" t="n"/>
      <c r="AW162" s="40" t="n"/>
      <c r="AX162" s="40" t="n"/>
      <c r="AY162" s="40" t="n"/>
      <c r="AZ162" s="38" t="n"/>
      <c r="BA162" s="40" t="n"/>
      <c r="BB162" s="40" t="n"/>
      <c r="BC162" s="40" t="n"/>
      <c r="BD162" s="40" t="n"/>
      <c r="BE162" s="40" t="n"/>
      <c r="BF162" s="40" t="n"/>
      <c r="BG162" s="40" t="n"/>
      <c r="BH162" s="40" t="n"/>
      <c r="BI162" s="40" t="n"/>
      <c r="BJ162" s="40" t="n"/>
      <c r="BK162" s="40" t="n"/>
      <c r="BL162" s="40" t="n"/>
      <c r="BM162" s="40" t="n"/>
      <c r="BN162" s="40" t="n"/>
    </row>
    <row r="163" ht="18" customHeight="1" s="82">
      <c r="A163" s="30" t="n"/>
      <c r="B163" s="30" t="n"/>
      <c r="C163" s="30" t="n"/>
      <c r="D163" s="30" t="n"/>
      <c r="E163" s="31" t="n"/>
      <c r="F163" s="31" t="n"/>
      <c r="G163" s="31" t="n"/>
      <c r="H163" s="31" t="n"/>
      <c r="I163" s="31" t="n"/>
      <c r="J163" s="31" t="n"/>
      <c r="K163" s="31" t="n"/>
      <c r="L163" s="31" t="n"/>
      <c r="M163" s="31" t="n"/>
      <c r="N163" s="31" t="n"/>
      <c r="O163" s="31" t="n"/>
      <c r="P163" s="31" t="n"/>
      <c r="Q163" s="31" t="n"/>
      <c r="R163" s="31" t="n"/>
      <c r="S163" s="31" t="n"/>
      <c r="T163" s="31" t="n"/>
      <c r="U163" s="31" t="n"/>
      <c r="V163" s="31" t="n"/>
      <c r="W163" s="32" t="n"/>
      <c r="X163" s="31" t="n"/>
      <c r="Y163" s="31" t="n"/>
      <c r="Z163" s="31" t="n"/>
      <c r="AA163" s="31" t="n"/>
      <c r="AB163" s="31" t="n"/>
      <c r="AC163" s="31" t="n"/>
      <c r="AD163" s="32" t="n"/>
      <c r="AE163" s="31" t="n"/>
      <c r="AF163" s="33" t="n"/>
      <c r="AG163" s="66">
        <f>IF(OR(AF163="",AE163=""),"",IFERROR(AF163*INDEX(FXRates[USD per unit],MATCH(AE163,FXRates[Currency],0)),"No rate"))</f>
        <v/>
      </c>
      <c r="AH163" s="30" t="n"/>
      <c r="AI163" s="30" t="n"/>
      <c r="AJ163" s="34">
        <f>IF(A163="","",IF(COUNTIF($A$6:$A$504,A163)&gt;1,"⚠ Duplicate",""))</f>
        <v/>
      </c>
      <c r="AK163" s="33" t="n"/>
      <c r="AL163" s="41" t="n"/>
      <c r="AM163" s="41" t="n"/>
      <c r="AN163" s="41" t="n"/>
      <c r="AO163" s="41" t="n"/>
      <c r="AP163" s="41" t="n"/>
      <c r="AQ163" s="41" t="n"/>
      <c r="AR163" s="41" t="n"/>
      <c r="AS163" s="41" t="n"/>
      <c r="AT163" s="41" t="n"/>
      <c r="AU163" s="41" t="n"/>
      <c r="AV163" s="41" t="n"/>
      <c r="AW163" s="41" t="n"/>
      <c r="AX163" s="41" t="n"/>
      <c r="AY163" s="41" t="n"/>
      <c r="AZ163" s="33" t="n"/>
      <c r="BA163" s="41" t="n"/>
      <c r="BB163" s="41" t="n"/>
      <c r="BC163" s="41" t="n"/>
      <c r="BD163" s="41" t="n"/>
      <c r="BE163" s="41" t="n"/>
      <c r="BF163" s="41" t="n"/>
      <c r="BG163" s="41" t="n"/>
      <c r="BH163" s="41" t="n"/>
      <c r="BI163" s="41" t="n"/>
      <c r="BJ163" s="41" t="n"/>
      <c r="BK163" s="41" t="n"/>
      <c r="BL163" s="41" t="n"/>
      <c r="BM163" s="41" t="n"/>
      <c r="BN163" s="41" t="n"/>
    </row>
    <row r="164" ht="18" customHeight="1" s="82">
      <c r="A164" s="36" t="n"/>
      <c r="B164" s="36" t="n"/>
      <c r="C164" s="36" t="n"/>
      <c r="D164" s="36" t="n"/>
      <c r="E164" s="37" t="n"/>
      <c r="F164" s="37" t="n"/>
      <c r="G164" s="37" t="n"/>
      <c r="H164" s="37" t="n"/>
      <c r="I164" s="37" t="n"/>
      <c r="J164" s="37" t="n"/>
      <c r="K164" s="37" t="n"/>
      <c r="L164" s="37" t="n"/>
      <c r="M164" s="37" t="n"/>
      <c r="N164" s="37" t="n"/>
      <c r="O164" s="37" t="n"/>
      <c r="P164" s="37" t="n"/>
      <c r="Q164" s="37" t="n"/>
      <c r="R164" s="37" t="n"/>
      <c r="S164" s="37" t="n"/>
      <c r="T164" s="37" t="n"/>
      <c r="U164" s="37" t="n"/>
      <c r="V164" s="37" t="n"/>
      <c r="W164" s="32" t="n"/>
      <c r="X164" s="37" t="n"/>
      <c r="Y164" s="37" t="n"/>
      <c r="Z164" s="37" t="n"/>
      <c r="AA164" s="37" t="n"/>
      <c r="AB164" s="37" t="n"/>
      <c r="AC164" s="37" t="n"/>
      <c r="AD164" s="32" t="n"/>
      <c r="AE164" s="37" t="n"/>
      <c r="AF164" s="38" t="n"/>
      <c r="AG164" s="67">
        <f>IF(OR(AF164="",AE164=""),"",IFERROR(AF164*INDEX(FXRates[USD per unit],MATCH(AE164,FXRates[Currency],0)),"No rate"))</f>
        <v/>
      </c>
      <c r="AH164" s="36" t="n"/>
      <c r="AI164" s="36" t="n"/>
      <c r="AJ164" s="39">
        <f>IF(A164="","",IF(COUNTIF($A$6:$A$504,A164)&gt;1,"⚠ Duplicate",""))</f>
        <v/>
      </c>
      <c r="AK164" s="38" t="n"/>
      <c r="AL164" s="40" t="n"/>
      <c r="AM164" s="40" t="n"/>
      <c r="AN164" s="40" t="n"/>
      <c r="AO164" s="40" t="n"/>
      <c r="AP164" s="40" t="n"/>
      <c r="AQ164" s="40" t="n"/>
      <c r="AR164" s="40" t="n"/>
      <c r="AS164" s="40" t="n"/>
      <c r="AT164" s="40" t="n"/>
      <c r="AU164" s="40" t="n"/>
      <c r="AV164" s="40" t="n"/>
      <c r="AW164" s="40" t="n"/>
      <c r="AX164" s="40" t="n"/>
      <c r="AY164" s="40" t="n"/>
      <c r="AZ164" s="38" t="n"/>
      <c r="BA164" s="40" t="n"/>
      <c r="BB164" s="40" t="n"/>
      <c r="BC164" s="40" t="n"/>
      <c r="BD164" s="40" t="n"/>
      <c r="BE164" s="40" t="n"/>
      <c r="BF164" s="40" t="n"/>
      <c r="BG164" s="40" t="n"/>
      <c r="BH164" s="40" t="n"/>
      <c r="BI164" s="40" t="n"/>
      <c r="BJ164" s="40" t="n"/>
      <c r="BK164" s="40" t="n"/>
      <c r="BL164" s="40" t="n"/>
      <c r="BM164" s="40" t="n"/>
      <c r="BN164" s="40" t="n"/>
    </row>
    <row r="165" ht="18" customHeight="1" s="82">
      <c r="A165" s="30" t="n"/>
      <c r="B165" s="30" t="n"/>
      <c r="C165" s="30" t="n"/>
      <c r="D165" s="30" t="n"/>
      <c r="E165" s="31" t="n"/>
      <c r="F165" s="31" t="n"/>
      <c r="G165" s="31" t="n"/>
      <c r="H165" s="31" t="n"/>
      <c r="I165" s="31" t="n"/>
      <c r="J165" s="31" t="n"/>
      <c r="K165" s="31" t="n"/>
      <c r="L165" s="31" t="n"/>
      <c r="M165" s="31" t="n"/>
      <c r="N165" s="31" t="n"/>
      <c r="O165" s="31" t="n"/>
      <c r="P165" s="31" t="n"/>
      <c r="Q165" s="31" t="n"/>
      <c r="R165" s="31" t="n"/>
      <c r="S165" s="31" t="n"/>
      <c r="T165" s="31" t="n"/>
      <c r="U165" s="31" t="n"/>
      <c r="V165" s="31" t="n"/>
      <c r="W165" s="32" t="n"/>
      <c r="X165" s="31" t="n"/>
      <c r="Y165" s="31" t="n"/>
      <c r="Z165" s="31" t="n"/>
      <c r="AA165" s="31" t="n"/>
      <c r="AB165" s="31" t="n"/>
      <c r="AC165" s="31" t="n"/>
      <c r="AD165" s="32" t="n"/>
      <c r="AE165" s="31" t="n"/>
      <c r="AF165" s="33" t="n"/>
      <c r="AG165" s="66">
        <f>IF(OR(AF165="",AE165=""),"",IFERROR(AF165*INDEX(FXRates[USD per unit],MATCH(AE165,FXRates[Currency],0)),"No rate"))</f>
        <v/>
      </c>
      <c r="AH165" s="30" t="n"/>
      <c r="AI165" s="30" t="n"/>
      <c r="AJ165" s="34">
        <f>IF(A165="","",IF(COUNTIF($A$6:$A$504,A165)&gt;1,"⚠ Duplicate",""))</f>
        <v/>
      </c>
      <c r="AK165" s="33" t="n"/>
      <c r="AL165" s="41" t="n"/>
      <c r="AM165" s="41" t="n"/>
      <c r="AN165" s="41" t="n"/>
      <c r="AO165" s="41" t="n"/>
      <c r="AP165" s="41" t="n"/>
      <c r="AQ165" s="41" t="n"/>
      <c r="AR165" s="41" t="n"/>
      <c r="AS165" s="41" t="n"/>
      <c r="AT165" s="41" t="n"/>
      <c r="AU165" s="41" t="n"/>
      <c r="AV165" s="41" t="n"/>
      <c r="AW165" s="41" t="n"/>
      <c r="AX165" s="41" t="n"/>
      <c r="AY165" s="41" t="n"/>
      <c r="AZ165" s="33" t="n"/>
      <c r="BA165" s="41" t="n"/>
      <c r="BB165" s="41" t="n"/>
      <c r="BC165" s="41" t="n"/>
      <c r="BD165" s="41" t="n"/>
      <c r="BE165" s="41" t="n"/>
      <c r="BF165" s="41" t="n"/>
      <c r="BG165" s="41" t="n"/>
      <c r="BH165" s="41" t="n"/>
      <c r="BI165" s="41" t="n"/>
      <c r="BJ165" s="41" t="n"/>
      <c r="BK165" s="41" t="n"/>
      <c r="BL165" s="41" t="n"/>
      <c r="BM165" s="41" t="n"/>
      <c r="BN165" s="41" t="n"/>
    </row>
    <row r="166" ht="18" customHeight="1" s="82">
      <c r="A166" s="36" t="n"/>
      <c r="B166" s="36" t="n"/>
      <c r="C166" s="36" t="n"/>
      <c r="D166" s="36" t="n"/>
      <c r="E166" s="37" t="n"/>
      <c r="F166" s="37" t="n"/>
      <c r="G166" s="37" t="n"/>
      <c r="H166" s="37" t="n"/>
      <c r="I166" s="37" t="n"/>
      <c r="J166" s="37" t="n"/>
      <c r="K166" s="37" t="n"/>
      <c r="L166" s="37" t="n"/>
      <c r="M166" s="37" t="n"/>
      <c r="N166" s="37" t="n"/>
      <c r="O166" s="37" t="n"/>
      <c r="P166" s="37" t="n"/>
      <c r="Q166" s="37" t="n"/>
      <c r="R166" s="37" t="n"/>
      <c r="S166" s="37" t="n"/>
      <c r="T166" s="37" t="n"/>
      <c r="U166" s="37" t="n"/>
      <c r="V166" s="37" t="n"/>
      <c r="W166" s="32" t="n"/>
      <c r="X166" s="37" t="n"/>
      <c r="Y166" s="37" t="n"/>
      <c r="Z166" s="37" t="n"/>
      <c r="AA166" s="37" t="n"/>
      <c r="AB166" s="37" t="n"/>
      <c r="AC166" s="37" t="n"/>
      <c r="AD166" s="32" t="n"/>
      <c r="AE166" s="37" t="n"/>
      <c r="AF166" s="38" t="n"/>
      <c r="AG166" s="67">
        <f>IF(OR(AF166="",AE166=""),"",IFERROR(AF166*INDEX(FXRates[USD per unit],MATCH(AE166,FXRates[Currency],0)),"No rate"))</f>
        <v/>
      </c>
      <c r="AH166" s="36" t="n"/>
      <c r="AI166" s="36" t="n"/>
      <c r="AJ166" s="39">
        <f>IF(A166="","",IF(COUNTIF($A$6:$A$504,A166)&gt;1,"⚠ Duplicate",""))</f>
        <v/>
      </c>
      <c r="AK166" s="38" t="n"/>
      <c r="AL166" s="40" t="n"/>
      <c r="AM166" s="40" t="n"/>
      <c r="AN166" s="40" t="n"/>
      <c r="AO166" s="40" t="n"/>
      <c r="AP166" s="40" t="n"/>
      <c r="AQ166" s="40" t="n"/>
      <c r="AR166" s="40" t="n"/>
      <c r="AS166" s="40" t="n"/>
      <c r="AT166" s="40" t="n"/>
      <c r="AU166" s="40" t="n"/>
      <c r="AV166" s="40" t="n"/>
      <c r="AW166" s="40" t="n"/>
      <c r="AX166" s="40" t="n"/>
      <c r="AY166" s="40" t="n"/>
      <c r="AZ166" s="38" t="n"/>
      <c r="BA166" s="40" t="n"/>
      <c r="BB166" s="40" t="n"/>
      <c r="BC166" s="40" t="n"/>
      <c r="BD166" s="40" t="n"/>
      <c r="BE166" s="40" t="n"/>
      <c r="BF166" s="40" t="n"/>
      <c r="BG166" s="40" t="n"/>
      <c r="BH166" s="40" t="n"/>
      <c r="BI166" s="40" t="n"/>
      <c r="BJ166" s="40" t="n"/>
      <c r="BK166" s="40" t="n"/>
      <c r="BL166" s="40" t="n"/>
      <c r="BM166" s="40" t="n"/>
      <c r="BN166" s="40" t="n"/>
    </row>
    <row r="167" ht="18" customHeight="1" s="82">
      <c r="A167" s="30" t="n"/>
      <c r="B167" s="30" t="n"/>
      <c r="C167" s="30" t="n"/>
      <c r="D167" s="30" t="n"/>
      <c r="E167" s="31" t="n"/>
      <c r="F167" s="31" t="n"/>
      <c r="G167" s="31" t="n"/>
      <c r="H167" s="31" t="n"/>
      <c r="I167" s="31" t="n"/>
      <c r="J167" s="31" t="n"/>
      <c r="K167" s="31" t="n"/>
      <c r="L167" s="31" t="n"/>
      <c r="M167" s="31" t="n"/>
      <c r="N167" s="31" t="n"/>
      <c r="O167" s="31" t="n"/>
      <c r="P167" s="31" t="n"/>
      <c r="Q167" s="31" t="n"/>
      <c r="R167" s="31" t="n"/>
      <c r="S167" s="31" t="n"/>
      <c r="T167" s="31" t="n"/>
      <c r="U167" s="31" t="n"/>
      <c r="V167" s="31" t="n"/>
      <c r="W167" s="32" t="n"/>
      <c r="X167" s="31" t="n"/>
      <c r="Y167" s="31" t="n"/>
      <c r="Z167" s="31" t="n"/>
      <c r="AA167" s="31" t="n"/>
      <c r="AB167" s="31" t="n"/>
      <c r="AC167" s="31" t="n"/>
      <c r="AD167" s="32" t="n"/>
      <c r="AE167" s="31" t="n"/>
      <c r="AF167" s="33" t="n"/>
      <c r="AG167" s="66">
        <f>IF(OR(AF167="",AE167=""),"",IFERROR(AF167*INDEX(FXRates[USD per unit],MATCH(AE167,FXRates[Currency],0)),"No rate"))</f>
        <v/>
      </c>
      <c r="AH167" s="30" t="n"/>
      <c r="AI167" s="30" t="n"/>
      <c r="AJ167" s="34">
        <f>IF(A167="","",IF(COUNTIF($A$6:$A$504,A167)&gt;1,"⚠ Duplicate",""))</f>
        <v/>
      </c>
      <c r="AK167" s="33" t="n"/>
      <c r="AL167" s="41" t="n"/>
      <c r="AM167" s="41" t="n"/>
      <c r="AN167" s="41" t="n"/>
      <c r="AO167" s="41" t="n"/>
      <c r="AP167" s="41" t="n"/>
      <c r="AQ167" s="41" t="n"/>
      <c r="AR167" s="41" t="n"/>
      <c r="AS167" s="41" t="n"/>
      <c r="AT167" s="41" t="n"/>
      <c r="AU167" s="41" t="n"/>
      <c r="AV167" s="41" t="n"/>
      <c r="AW167" s="41" t="n"/>
      <c r="AX167" s="41" t="n"/>
      <c r="AY167" s="41" t="n"/>
      <c r="AZ167" s="33" t="n"/>
      <c r="BA167" s="41" t="n"/>
      <c r="BB167" s="41" t="n"/>
      <c r="BC167" s="41" t="n"/>
      <c r="BD167" s="41" t="n"/>
      <c r="BE167" s="41" t="n"/>
      <c r="BF167" s="41" t="n"/>
      <c r="BG167" s="41" t="n"/>
      <c r="BH167" s="41" t="n"/>
      <c r="BI167" s="41" t="n"/>
      <c r="BJ167" s="41" t="n"/>
      <c r="BK167" s="41" t="n"/>
      <c r="BL167" s="41" t="n"/>
      <c r="BM167" s="41" t="n"/>
      <c r="BN167" s="41" t="n"/>
    </row>
    <row r="168" ht="18" customHeight="1" s="82">
      <c r="A168" s="36" t="n"/>
      <c r="B168" s="36" t="n"/>
      <c r="C168" s="36" t="n"/>
      <c r="D168" s="36" t="n"/>
      <c r="E168" s="37" t="n"/>
      <c r="F168" s="37" t="n"/>
      <c r="G168" s="37" t="n"/>
      <c r="H168" s="37" t="n"/>
      <c r="I168" s="37" t="n"/>
      <c r="J168" s="37" t="n"/>
      <c r="K168" s="37" t="n"/>
      <c r="L168" s="37" t="n"/>
      <c r="M168" s="37" t="n"/>
      <c r="N168" s="37" t="n"/>
      <c r="O168" s="37" t="n"/>
      <c r="P168" s="37" t="n"/>
      <c r="Q168" s="37" t="n"/>
      <c r="R168" s="37" t="n"/>
      <c r="S168" s="37" t="n"/>
      <c r="T168" s="37" t="n"/>
      <c r="U168" s="37" t="n"/>
      <c r="V168" s="37" t="n"/>
      <c r="W168" s="32" t="n"/>
      <c r="X168" s="37" t="n"/>
      <c r="Y168" s="37" t="n"/>
      <c r="Z168" s="37" t="n"/>
      <c r="AA168" s="37" t="n"/>
      <c r="AB168" s="37" t="n"/>
      <c r="AC168" s="37" t="n"/>
      <c r="AD168" s="32" t="n"/>
      <c r="AE168" s="37" t="n"/>
      <c r="AF168" s="38" t="n"/>
      <c r="AG168" s="67">
        <f>IF(OR(AF168="",AE168=""),"",IFERROR(AF168*INDEX(FXRates[USD per unit],MATCH(AE168,FXRates[Currency],0)),"No rate"))</f>
        <v/>
      </c>
      <c r="AH168" s="36" t="n"/>
      <c r="AI168" s="36" t="n"/>
      <c r="AJ168" s="39">
        <f>IF(A168="","",IF(COUNTIF($A$6:$A$504,A168)&gt;1,"⚠ Duplicate",""))</f>
        <v/>
      </c>
      <c r="AK168" s="38" t="n"/>
      <c r="AL168" s="40" t="n"/>
      <c r="AM168" s="40" t="n"/>
      <c r="AN168" s="40" t="n"/>
      <c r="AO168" s="40" t="n"/>
      <c r="AP168" s="40" t="n"/>
      <c r="AQ168" s="40" t="n"/>
      <c r="AR168" s="40" t="n"/>
      <c r="AS168" s="40" t="n"/>
      <c r="AT168" s="40" t="n"/>
      <c r="AU168" s="40" t="n"/>
      <c r="AV168" s="40" t="n"/>
      <c r="AW168" s="40" t="n"/>
      <c r="AX168" s="40" t="n"/>
      <c r="AY168" s="40" t="n"/>
      <c r="AZ168" s="38" t="n"/>
      <c r="BA168" s="40" t="n"/>
      <c r="BB168" s="40" t="n"/>
      <c r="BC168" s="40" t="n"/>
      <c r="BD168" s="40" t="n"/>
      <c r="BE168" s="40" t="n"/>
      <c r="BF168" s="40" t="n"/>
      <c r="BG168" s="40" t="n"/>
      <c r="BH168" s="40" t="n"/>
      <c r="BI168" s="40" t="n"/>
      <c r="BJ168" s="40" t="n"/>
      <c r="BK168" s="40" t="n"/>
      <c r="BL168" s="40" t="n"/>
      <c r="BM168" s="40" t="n"/>
      <c r="BN168" s="40" t="n"/>
    </row>
    <row r="169" ht="18" customHeight="1" s="82">
      <c r="A169" s="30" t="n"/>
      <c r="B169" s="30" t="n"/>
      <c r="C169" s="30" t="n"/>
      <c r="D169" s="30" t="n"/>
      <c r="E169" s="31" t="n"/>
      <c r="F169" s="31" t="n"/>
      <c r="G169" s="31" t="n"/>
      <c r="H169" s="31" t="n"/>
      <c r="I169" s="31" t="n"/>
      <c r="J169" s="31" t="n"/>
      <c r="K169" s="31" t="n"/>
      <c r="L169" s="31" t="n"/>
      <c r="M169" s="31" t="n"/>
      <c r="N169" s="31" t="n"/>
      <c r="O169" s="31" t="n"/>
      <c r="P169" s="31" t="n"/>
      <c r="Q169" s="31" t="n"/>
      <c r="R169" s="31" t="n"/>
      <c r="S169" s="31" t="n"/>
      <c r="T169" s="31" t="n"/>
      <c r="U169" s="31" t="n"/>
      <c r="V169" s="31" t="n"/>
      <c r="W169" s="32" t="n"/>
      <c r="X169" s="31" t="n"/>
      <c r="Y169" s="31" t="n"/>
      <c r="Z169" s="31" t="n"/>
      <c r="AA169" s="31" t="n"/>
      <c r="AB169" s="31" t="n"/>
      <c r="AC169" s="31" t="n"/>
      <c r="AD169" s="32" t="n"/>
      <c r="AE169" s="31" t="n"/>
      <c r="AF169" s="33" t="n"/>
      <c r="AG169" s="66">
        <f>IF(OR(AF169="",AE169=""),"",IFERROR(AF169*INDEX(FXRates[USD per unit],MATCH(AE169,FXRates[Currency],0)),"No rate"))</f>
        <v/>
      </c>
      <c r="AH169" s="30" t="n"/>
      <c r="AI169" s="30" t="n"/>
      <c r="AJ169" s="34">
        <f>IF(A169="","",IF(COUNTIF($A$6:$A$504,A169)&gt;1,"⚠ Duplicate",""))</f>
        <v/>
      </c>
      <c r="AK169" s="33" t="n"/>
      <c r="AL169" s="41" t="n"/>
      <c r="AM169" s="41" t="n"/>
      <c r="AN169" s="41" t="n"/>
      <c r="AO169" s="41" t="n"/>
      <c r="AP169" s="41" t="n"/>
      <c r="AQ169" s="41" t="n"/>
      <c r="AR169" s="41" t="n"/>
      <c r="AS169" s="41" t="n"/>
      <c r="AT169" s="41" t="n"/>
      <c r="AU169" s="41" t="n"/>
      <c r="AV169" s="41" t="n"/>
      <c r="AW169" s="41" t="n"/>
      <c r="AX169" s="41" t="n"/>
      <c r="AY169" s="41" t="n"/>
      <c r="AZ169" s="33" t="n"/>
      <c r="BA169" s="41" t="n"/>
      <c r="BB169" s="41" t="n"/>
      <c r="BC169" s="41" t="n"/>
      <c r="BD169" s="41" t="n"/>
      <c r="BE169" s="41" t="n"/>
      <c r="BF169" s="41" t="n"/>
      <c r="BG169" s="41" t="n"/>
      <c r="BH169" s="41" t="n"/>
      <c r="BI169" s="41" t="n"/>
      <c r="BJ169" s="41" t="n"/>
      <c r="BK169" s="41" t="n"/>
      <c r="BL169" s="41" t="n"/>
      <c r="BM169" s="41" t="n"/>
      <c r="BN169" s="41" t="n"/>
    </row>
    <row r="170" ht="18" customHeight="1" s="82">
      <c r="A170" s="36" t="n"/>
      <c r="B170" s="36" t="n"/>
      <c r="C170" s="36" t="n"/>
      <c r="D170" s="36" t="n"/>
      <c r="E170" s="37" t="n"/>
      <c r="F170" s="37" t="n"/>
      <c r="G170" s="37" t="n"/>
      <c r="H170" s="37" t="n"/>
      <c r="I170" s="37" t="n"/>
      <c r="J170" s="37" t="n"/>
      <c r="K170" s="37" t="n"/>
      <c r="L170" s="37" t="n"/>
      <c r="M170" s="37" t="n"/>
      <c r="N170" s="37" t="n"/>
      <c r="O170" s="37" t="n"/>
      <c r="P170" s="37" t="n"/>
      <c r="Q170" s="37" t="n"/>
      <c r="R170" s="37" t="n"/>
      <c r="S170" s="37" t="n"/>
      <c r="T170" s="37" t="n"/>
      <c r="U170" s="37" t="n"/>
      <c r="V170" s="37" t="n"/>
      <c r="W170" s="32" t="n"/>
      <c r="X170" s="37" t="n"/>
      <c r="Y170" s="37" t="n"/>
      <c r="Z170" s="37" t="n"/>
      <c r="AA170" s="37" t="n"/>
      <c r="AB170" s="37" t="n"/>
      <c r="AC170" s="37" t="n"/>
      <c r="AD170" s="32" t="n"/>
      <c r="AE170" s="37" t="n"/>
      <c r="AF170" s="38" t="n"/>
      <c r="AG170" s="67">
        <f>IF(OR(AF170="",AE170=""),"",IFERROR(AF170*INDEX(FXRates[USD per unit],MATCH(AE170,FXRates[Currency],0)),"No rate"))</f>
        <v/>
      </c>
      <c r="AH170" s="36" t="n"/>
      <c r="AI170" s="36" t="n"/>
      <c r="AJ170" s="39">
        <f>IF(A170="","",IF(COUNTIF($A$6:$A$504,A170)&gt;1,"⚠ Duplicate",""))</f>
        <v/>
      </c>
      <c r="AK170" s="38" t="n"/>
      <c r="AL170" s="40" t="n"/>
      <c r="AM170" s="40" t="n"/>
      <c r="AN170" s="40" t="n"/>
      <c r="AO170" s="40" t="n"/>
      <c r="AP170" s="40" t="n"/>
      <c r="AQ170" s="40" t="n"/>
      <c r="AR170" s="40" t="n"/>
      <c r="AS170" s="40" t="n"/>
      <c r="AT170" s="40" t="n"/>
      <c r="AU170" s="40" t="n"/>
      <c r="AV170" s="40" t="n"/>
      <c r="AW170" s="40" t="n"/>
      <c r="AX170" s="40" t="n"/>
      <c r="AY170" s="40" t="n"/>
      <c r="AZ170" s="38" t="n"/>
      <c r="BA170" s="40" t="n"/>
      <c r="BB170" s="40" t="n"/>
      <c r="BC170" s="40" t="n"/>
      <c r="BD170" s="40" t="n"/>
      <c r="BE170" s="40" t="n"/>
      <c r="BF170" s="40" t="n"/>
      <c r="BG170" s="40" t="n"/>
      <c r="BH170" s="40" t="n"/>
      <c r="BI170" s="40" t="n"/>
      <c r="BJ170" s="40" t="n"/>
      <c r="BK170" s="40" t="n"/>
      <c r="BL170" s="40" t="n"/>
      <c r="BM170" s="40" t="n"/>
      <c r="BN170" s="40" t="n"/>
    </row>
    <row r="171" ht="18" customHeight="1" s="82">
      <c r="A171" s="30" t="n"/>
      <c r="B171" s="30" t="n"/>
      <c r="C171" s="30" t="n"/>
      <c r="D171" s="30" t="n"/>
      <c r="E171" s="31" t="n"/>
      <c r="F171" s="31" t="n"/>
      <c r="G171" s="31" t="n"/>
      <c r="H171" s="31" t="n"/>
      <c r="I171" s="31" t="n"/>
      <c r="J171" s="31" t="n"/>
      <c r="K171" s="31" t="n"/>
      <c r="L171" s="31" t="n"/>
      <c r="M171" s="31" t="n"/>
      <c r="N171" s="31" t="n"/>
      <c r="O171" s="31" t="n"/>
      <c r="P171" s="31" t="n"/>
      <c r="Q171" s="31" t="n"/>
      <c r="R171" s="31" t="n"/>
      <c r="S171" s="31" t="n"/>
      <c r="T171" s="31" t="n"/>
      <c r="U171" s="31" t="n"/>
      <c r="V171" s="31" t="n"/>
      <c r="W171" s="32" t="n"/>
      <c r="X171" s="31" t="n"/>
      <c r="Y171" s="31" t="n"/>
      <c r="Z171" s="31" t="n"/>
      <c r="AA171" s="31" t="n"/>
      <c r="AB171" s="31" t="n"/>
      <c r="AC171" s="31" t="n"/>
      <c r="AD171" s="32" t="n"/>
      <c r="AE171" s="31" t="n"/>
      <c r="AF171" s="33" t="n"/>
      <c r="AG171" s="66">
        <f>IF(OR(AF171="",AE171=""),"",IFERROR(AF171*INDEX(FXRates[USD per unit],MATCH(AE171,FXRates[Currency],0)),"No rate"))</f>
        <v/>
      </c>
      <c r="AH171" s="30" t="n"/>
      <c r="AI171" s="30" t="n"/>
      <c r="AJ171" s="34">
        <f>IF(A171="","",IF(COUNTIF($A$6:$A$504,A171)&gt;1,"⚠ Duplicate",""))</f>
        <v/>
      </c>
      <c r="AK171" s="33" t="n"/>
      <c r="AL171" s="41" t="n"/>
      <c r="AM171" s="41" t="n"/>
      <c r="AN171" s="41" t="n"/>
      <c r="AO171" s="41" t="n"/>
      <c r="AP171" s="41" t="n"/>
      <c r="AQ171" s="41" t="n"/>
      <c r="AR171" s="41" t="n"/>
      <c r="AS171" s="41" t="n"/>
      <c r="AT171" s="41" t="n"/>
      <c r="AU171" s="41" t="n"/>
      <c r="AV171" s="41" t="n"/>
      <c r="AW171" s="41" t="n"/>
      <c r="AX171" s="41" t="n"/>
      <c r="AY171" s="41" t="n"/>
      <c r="AZ171" s="33" t="n"/>
      <c r="BA171" s="41" t="n"/>
      <c r="BB171" s="41" t="n"/>
      <c r="BC171" s="41" t="n"/>
      <c r="BD171" s="41" t="n"/>
      <c r="BE171" s="41" t="n"/>
      <c r="BF171" s="41" t="n"/>
      <c r="BG171" s="41" t="n"/>
      <c r="BH171" s="41" t="n"/>
      <c r="BI171" s="41" t="n"/>
      <c r="BJ171" s="41" t="n"/>
      <c r="BK171" s="41" t="n"/>
      <c r="BL171" s="41" t="n"/>
      <c r="BM171" s="41" t="n"/>
      <c r="BN171" s="41" t="n"/>
    </row>
    <row r="172" ht="18" customHeight="1" s="82">
      <c r="A172" s="36" t="n"/>
      <c r="B172" s="36" t="n"/>
      <c r="C172" s="36" t="n"/>
      <c r="D172" s="36" t="n"/>
      <c r="E172" s="37" t="n"/>
      <c r="F172" s="37" t="n"/>
      <c r="G172" s="37" t="n"/>
      <c r="H172" s="37" t="n"/>
      <c r="I172" s="37" t="n"/>
      <c r="J172" s="37" t="n"/>
      <c r="K172" s="37" t="n"/>
      <c r="L172" s="37" t="n"/>
      <c r="M172" s="37" t="n"/>
      <c r="N172" s="37" t="n"/>
      <c r="O172" s="37" t="n"/>
      <c r="P172" s="37" t="n"/>
      <c r="Q172" s="37" t="n"/>
      <c r="R172" s="37" t="n"/>
      <c r="S172" s="37" t="n"/>
      <c r="T172" s="37" t="n"/>
      <c r="U172" s="37" t="n"/>
      <c r="V172" s="37" t="n"/>
      <c r="W172" s="32" t="n"/>
      <c r="X172" s="37" t="n"/>
      <c r="Y172" s="37" t="n"/>
      <c r="Z172" s="37" t="n"/>
      <c r="AA172" s="37" t="n"/>
      <c r="AB172" s="37" t="n"/>
      <c r="AC172" s="37" t="n"/>
      <c r="AD172" s="32" t="n"/>
      <c r="AE172" s="37" t="n"/>
      <c r="AF172" s="38" t="n"/>
      <c r="AG172" s="67">
        <f>IF(OR(AF172="",AE172=""),"",IFERROR(AF172*INDEX(FXRates[USD per unit],MATCH(AE172,FXRates[Currency],0)),"No rate"))</f>
        <v/>
      </c>
      <c r="AH172" s="36" t="n"/>
      <c r="AI172" s="36" t="n"/>
      <c r="AJ172" s="39">
        <f>IF(A172="","",IF(COUNTIF($A$6:$A$504,A172)&gt;1,"⚠ Duplicate",""))</f>
        <v/>
      </c>
      <c r="AK172" s="38" t="n"/>
      <c r="AL172" s="40" t="n"/>
      <c r="AM172" s="40" t="n"/>
      <c r="AN172" s="40" t="n"/>
      <c r="AO172" s="40" t="n"/>
      <c r="AP172" s="40" t="n"/>
      <c r="AQ172" s="40" t="n"/>
      <c r="AR172" s="40" t="n"/>
      <c r="AS172" s="40" t="n"/>
      <c r="AT172" s="40" t="n"/>
      <c r="AU172" s="40" t="n"/>
      <c r="AV172" s="40" t="n"/>
      <c r="AW172" s="40" t="n"/>
      <c r="AX172" s="40" t="n"/>
      <c r="AY172" s="40" t="n"/>
      <c r="AZ172" s="38" t="n"/>
      <c r="BA172" s="40" t="n"/>
      <c r="BB172" s="40" t="n"/>
      <c r="BC172" s="40" t="n"/>
      <c r="BD172" s="40" t="n"/>
      <c r="BE172" s="40" t="n"/>
      <c r="BF172" s="40" t="n"/>
      <c r="BG172" s="40" t="n"/>
      <c r="BH172" s="40" t="n"/>
      <c r="BI172" s="40" t="n"/>
      <c r="BJ172" s="40" t="n"/>
      <c r="BK172" s="40" t="n"/>
      <c r="BL172" s="40" t="n"/>
      <c r="BM172" s="40" t="n"/>
      <c r="BN172" s="40" t="n"/>
    </row>
    <row r="173" ht="18" customHeight="1" s="82">
      <c r="A173" s="30" t="n"/>
      <c r="B173" s="30" t="n"/>
      <c r="C173" s="30" t="n"/>
      <c r="D173" s="30" t="n"/>
      <c r="E173" s="31" t="n"/>
      <c r="F173" s="31" t="n"/>
      <c r="G173" s="31" t="n"/>
      <c r="H173" s="31" t="n"/>
      <c r="I173" s="31" t="n"/>
      <c r="J173" s="31" t="n"/>
      <c r="K173" s="31" t="n"/>
      <c r="L173" s="31" t="n"/>
      <c r="M173" s="31" t="n"/>
      <c r="N173" s="31" t="n"/>
      <c r="O173" s="31" t="n"/>
      <c r="P173" s="31" t="n"/>
      <c r="Q173" s="31" t="n"/>
      <c r="R173" s="31" t="n"/>
      <c r="S173" s="31" t="n"/>
      <c r="T173" s="31" t="n"/>
      <c r="U173" s="31" t="n"/>
      <c r="V173" s="31" t="n"/>
      <c r="W173" s="32" t="n"/>
      <c r="X173" s="31" t="n"/>
      <c r="Y173" s="31" t="n"/>
      <c r="Z173" s="31" t="n"/>
      <c r="AA173" s="31" t="n"/>
      <c r="AB173" s="31" t="n"/>
      <c r="AC173" s="31" t="n"/>
      <c r="AD173" s="32" t="n"/>
      <c r="AE173" s="31" t="n"/>
      <c r="AF173" s="33" t="n"/>
      <c r="AG173" s="66">
        <f>IF(OR(AF173="",AE173=""),"",IFERROR(AF173*INDEX(FXRates[USD per unit],MATCH(AE173,FXRates[Currency],0)),"No rate"))</f>
        <v/>
      </c>
      <c r="AH173" s="30" t="n"/>
      <c r="AI173" s="30" t="n"/>
      <c r="AJ173" s="34">
        <f>IF(A173="","",IF(COUNTIF($A$6:$A$504,A173)&gt;1,"⚠ Duplicate",""))</f>
        <v/>
      </c>
      <c r="AK173" s="33" t="n"/>
      <c r="AL173" s="41" t="n"/>
      <c r="AM173" s="41" t="n"/>
      <c r="AN173" s="41" t="n"/>
      <c r="AO173" s="41" t="n"/>
      <c r="AP173" s="41" t="n"/>
      <c r="AQ173" s="41" t="n"/>
      <c r="AR173" s="41" t="n"/>
      <c r="AS173" s="41" t="n"/>
      <c r="AT173" s="41" t="n"/>
      <c r="AU173" s="41" t="n"/>
      <c r="AV173" s="41" t="n"/>
      <c r="AW173" s="41" t="n"/>
      <c r="AX173" s="41" t="n"/>
      <c r="AY173" s="41" t="n"/>
      <c r="AZ173" s="33" t="n"/>
      <c r="BA173" s="41" t="n"/>
      <c r="BB173" s="41" t="n"/>
      <c r="BC173" s="41" t="n"/>
      <c r="BD173" s="41" t="n"/>
      <c r="BE173" s="41" t="n"/>
      <c r="BF173" s="41" t="n"/>
      <c r="BG173" s="41" t="n"/>
      <c r="BH173" s="41" t="n"/>
      <c r="BI173" s="41" t="n"/>
      <c r="BJ173" s="41" t="n"/>
      <c r="BK173" s="41" t="n"/>
      <c r="BL173" s="41" t="n"/>
      <c r="BM173" s="41" t="n"/>
      <c r="BN173" s="41" t="n"/>
    </row>
    <row r="174" ht="18" customHeight="1" s="82">
      <c r="A174" s="36" t="n"/>
      <c r="B174" s="36" t="n"/>
      <c r="C174" s="36" t="n"/>
      <c r="D174" s="36" t="n"/>
      <c r="E174" s="37" t="n"/>
      <c r="F174" s="37" t="n"/>
      <c r="G174" s="37" t="n"/>
      <c r="H174" s="37" t="n"/>
      <c r="I174" s="37" t="n"/>
      <c r="J174" s="37" t="n"/>
      <c r="K174" s="37" t="n"/>
      <c r="L174" s="37" t="n"/>
      <c r="M174" s="37" t="n"/>
      <c r="N174" s="37" t="n"/>
      <c r="O174" s="37" t="n"/>
      <c r="P174" s="37" t="n"/>
      <c r="Q174" s="37" t="n"/>
      <c r="R174" s="37" t="n"/>
      <c r="S174" s="37" t="n"/>
      <c r="T174" s="37" t="n"/>
      <c r="U174" s="37" t="n"/>
      <c r="V174" s="37" t="n"/>
      <c r="W174" s="32" t="n"/>
      <c r="X174" s="37" t="n"/>
      <c r="Y174" s="37" t="n"/>
      <c r="Z174" s="37" t="n"/>
      <c r="AA174" s="37" t="n"/>
      <c r="AB174" s="37" t="n"/>
      <c r="AC174" s="37" t="n"/>
      <c r="AD174" s="32" t="n"/>
      <c r="AE174" s="37" t="n"/>
      <c r="AF174" s="38" t="n"/>
      <c r="AG174" s="67">
        <f>IF(OR(AF174="",AE174=""),"",IFERROR(AF174*INDEX(FXRates[USD per unit],MATCH(AE174,FXRates[Currency],0)),"No rate"))</f>
        <v/>
      </c>
      <c r="AH174" s="36" t="n"/>
      <c r="AI174" s="36" t="n"/>
      <c r="AJ174" s="39">
        <f>IF(A174="","",IF(COUNTIF($A$6:$A$504,A174)&gt;1,"⚠ Duplicate",""))</f>
        <v/>
      </c>
      <c r="AK174" s="38" t="n"/>
      <c r="AL174" s="40" t="n"/>
      <c r="AM174" s="40" t="n"/>
      <c r="AN174" s="40" t="n"/>
      <c r="AO174" s="40" t="n"/>
      <c r="AP174" s="40" t="n"/>
      <c r="AQ174" s="40" t="n"/>
      <c r="AR174" s="40" t="n"/>
      <c r="AS174" s="40" t="n"/>
      <c r="AT174" s="40" t="n"/>
      <c r="AU174" s="40" t="n"/>
      <c r="AV174" s="40" t="n"/>
      <c r="AW174" s="40" t="n"/>
      <c r="AX174" s="40" t="n"/>
      <c r="AY174" s="40" t="n"/>
      <c r="AZ174" s="38" t="n"/>
      <c r="BA174" s="40" t="n"/>
      <c r="BB174" s="40" t="n"/>
      <c r="BC174" s="40" t="n"/>
      <c r="BD174" s="40" t="n"/>
      <c r="BE174" s="40" t="n"/>
      <c r="BF174" s="40" t="n"/>
      <c r="BG174" s="40" t="n"/>
      <c r="BH174" s="40" t="n"/>
      <c r="BI174" s="40" t="n"/>
      <c r="BJ174" s="40" t="n"/>
      <c r="BK174" s="40" t="n"/>
      <c r="BL174" s="40" t="n"/>
      <c r="BM174" s="40" t="n"/>
      <c r="BN174" s="40" t="n"/>
    </row>
    <row r="175" ht="18" customHeight="1" s="82">
      <c r="A175" s="30" t="n"/>
      <c r="B175" s="30" t="n"/>
      <c r="C175" s="30" t="n"/>
      <c r="D175" s="30" t="n"/>
      <c r="E175" s="31" t="n"/>
      <c r="F175" s="31" t="n"/>
      <c r="G175" s="31" t="n"/>
      <c r="H175" s="31" t="n"/>
      <c r="I175" s="31" t="n"/>
      <c r="J175" s="31" t="n"/>
      <c r="K175" s="31" t="n"/>
      <c r="L175" s="31" t="n"/>
      <c r="M175" s="31" t="n"/>
      <c r="N175" s="31" t="n"/>
      <c r="O175" s="31" t="n"/>
      <c r="P175" s="31" t="n"/>
      <c r="Q175" s="31" t="n"/>
      <c r="R175" s="31" t="n"/>
      <c r="S175" s="31" t="n"/>
      <c r="T175" s="31" t="n"/>
      <c r="U175" s="31" t="n"/>
      <c r="V175" s="31" t="n"/>
      <c r="W175" s="32" t="n"/>
      <c r="X175" s="31" t="n"/>
      <c r="Y175" s="31" t="n"/>
      <c r="Z175" s="31" t="n"/>
      <c r="AA175" s="31" t="n"/>
      <c r="AB175" s="31" t="n"/>
      <c r="AC175" s="31" t="n"/>
      <c r="AD175" s="32" t="n"/>
      <c r="AE175" s="31" t="n"/>
      <c r="AF175" s="33" t="n"/>
      <c r="AG175" s="66">
        <f>IF(OR(AF175="",AE175=""),"",IFERROR(AF175*INDEX(FXRates[USD per unit],MATCH(AE175,FXRates[Currency],0)),"No rate"))</f>
        <v/>
      </c>
      <c r="AH175" s="30" t="n"/>
      <c r="AI175" s="30" t="n"/>
      <c r="AJ175" s="34">
        <f>IF(A175="","",IF(COUNTIF($A$6:$A$504,A175)&gt;1,"⚠ Duplicate",""))</f>
        <v/>
      </c>
      <c r="AK175" s="33" t="n"/>
      <c r="AL175" s="41" t="n"/>
      <c r="AM175" s="41" t="n"/>
      <c r="AN175" s="41" t="n"/>
      <c r="AO175" s="41" t="n"/>
      <c r="AP175" s="41" t="n"/>
      <c r="AQ175" s="41" t="n"/>
      <c r="AR175" s="41" t="n"/>
      <c r="AS175" s="41" t="n"/>
      <c r="AT175" s="41" t="n"/>
      <c r="AU175" s="41" t="n"/>
      <c r="AV175" s="41" t="n"/>
      <c r="AW175" s="41" t="n"/>
      <c r="AX175" s="41" t="n"/>
      <c r="AY175" s="41" t="n"/>
      <c r="AZ175" s="33" t="n"/>
      <c r="BA175" s="41" t="n"/>
      <c r="BB175" s="41" t="n"/>
      <c r="BC175" s="41" t="n"/>
      <c r="BD175" s="41" t="n"/>
      <c r="BE175" s="41" t="n"/>
      <c r="BF175" s="41" t="n"/>
      <c r="BG175" s="41" t="n"/>
      <c r="BH175" s="41" t="n"/>
      <c r="BI175" s="41" t="n"/>
      <c r="BJ175" s="41" t="n"/>
      <c r="BK175" s="41" t="n"/>
      <c r="BL175" s="41" t="n"/>
      <c r="BM175" s="41" t="n"/>
      <c r="BN175" s="41" t="n"/>
    </row>
    <row r="176" ht="18" customHeight="1" s="82">
      <c r="A176" s="36" t="n"/>
      <c r="B176" s="36" t="n"/>
      <c r="C176" s="36" t="n"/>
      <c r="D176" s="36" t="n"/>
      <c r="E176" s="37" t="n"/>
      <c r="F176" s="37" t="n"/>
      <c r="G176" s="37" t="n"/>
      <c r="H176" s="37" t="n"/>
      <c r="I176" s="37" t="n"/>
      <c r="J176" s="37" t="n"/>
      <c r="K176" s="37" t="n"/>
      <c r="L176" s="37" t="n"/>
      <c r="M176" s="37" t="n"/>
      <c r="N176" s="37" t="n"/>
      <c r="O176" s="37" t="n"/>
      <c r="P176" s="37" t="n"/>
      <c r="Q176" s="37" t="n"/>
      <c r="R176" s="37" t="n"/>
      <c r="S176" s="37" t="n"/>
      <c r="T176" s="37" t="n"/>
      <c r="U176" s="37" t="n"/>
      <c r="V176" s="37" t="n"/>
      <c r="W176" s="32" t="n"/>
      <c r="X176" s="37" t="n"/>
      <c r="Y176" s="37" t="n"/>
      <c r="Z176" s="37" t="n"/>
      <c r="AA176" s="37" t="n"/>
      <c r="AB176" s="37" t="n"/>
      <c r="AC176" s="37" t="n"/>
      <c r="AD176" s="32" t="n"/>
      <c r="AE176" s="37" t="n"/>
      <c r="AF176" s="38" t="n"/>
      <c r="AG176" s="67">
        <f>IF(OR(AF176="",AE176=""),"",IFERROR(AF176*INDEX(FXRates[USD per unit],MATCH(AE176,FXRates[Currency],0)),"No rate"))</f>
        <v/>
      </c>
      <c r="AH176" s="36" t="n"/>
      <c r="AI176" s="36" t="n"/>
      <c r="AJ176" s="39">
        <f>IF(A176="","",IF(COUNTIF($A$6:$A$504,A176)&gt;1,"⚠ Duplicate",""))</f>
        <v/>
      </c>
      <c r="AK176" s="38" t="n"/>
      <c r="AL176" s="40" t="n"/>
      <c r="AM176" s="40" t="n"/>
      <c r="AN176" s="40" t="n"/>
      <c r="AO176" s="40" t="n"/>
      <c r="AP176" s="40" t="n"/>
      <c r="AQ176" s="40" t="n"/>
      <c r="AR176" s="40" t="n"/>
      <c r="AS176" s="40" t="n"/>
      <c r="AT176" s="40" t="n"/>
      <c r="AU176" s="40" t="n"/>
      <c r="AV176" s="40" t="n"/>
      <c r="AW176" s="40" t="n"/>
      <c r="AX176" s="40" t="n"/>
      <c r="AY176" s="40" t="n"/>
      <c r="AZ176" s="38" t="n"/>
      <c r="BA176" s="40" t="n"/>
      <c r="BB176" s="40" t="n"/>
      <c r="BC176" s="40" t="n"/>
      <c r="BD176" s="40" t="n"/>
      <c r="BE176" s="40" t="n"/>
      <c r="BF176" s="40" t="n"/>
      <c r="BG176" s="40" t="n"/>
      <c r="BH176" s="40" t="n"/>
      <c r="BI176" s="40" t="n"/>
      <c r="BJ176" s="40" t="n"/>
      <c r="BK176" s="40" t="n"/>
      <c r="BL176" s="40" t="n"/>
      <c r="BM176" s="40" t="n"/>
      <c r="BN176" s="40" t="n"/>
    </row>
    <row r="177" ht="18" customHeight="1" s="82">
      <c r="A177" s="30" t="n"/>
      <c r="B177" s="30" t="n"/>
      <c r="C177" s="30" t="n"/>
      <c r="D177" s="30" t="n"/>
      <c r="E177" s="31" t="n"/>
      <c r="F177" s="31" t="n"/>
      <c r="G177" s="31" t="n"/>
      <c r="H177" s="31" t="n"/>
      <c r="I177" s="31" t="n"/>
      <c r="J177" s="31" t="n"/>
      <c r="K177" s="31" t="n"/>
      <c r="L177" s="31" t="n"/>
      <c r="M177" s="31" t="n"/>
      <c r="N177" s="31" t="n"/>
      <c r="O177" s="31" t="n"/>
      <c r="P177" s="31" t="n"/>
      <c r="Q177" s="31" t="n"/>
      <c r="R177" s="31" t="n"/>
      <c r="S177" s="31" t="n"/>
      <c r="T177" s="31" t="n"/>
      <c r="U177" s="31" t="n"/>
      <c r="V177" s="31" t="n"/>
      <c r="W177" s="32" t="n"/>
      <c r="X177" s="31" t="n"/>
      <c r="Y177" s="31" t="n"/>
      <c r="Z177" s="31" t="n"/>
      <c r="AA177" s="31" t="n"/>
      <c r="AB177" s="31" t="n"/>
      <c r="AC177" s="31" t="n"/>
      <c r="AD177" s="32" t="n"/>
      <c r="AE177" s="31" t="n"/>
      <c r="AF177" s="33" t="n"/>
      <c r="AG177" s="66">
        <f>IF(OR(AF177="",AE177=""),"",IFERROR(AF177*INDEX(FXRates[USD per unit],MATCH(AE177,FXRates[Currency],0)),"No rate"))</f>
        <v/>
      </c>
      <c r="AH177" s="30" t="n"/>
      <c r="AI177" s="30" t="n"/>
      <c r="AJ177" s="34">
        <f>IF(A177="","",IF(COUNTIF($A$6:$A$504,A177)&gt;1,"⚠ Duplicate",""))</f>
        <v/>
      </c>
      <c r="AK177" s="33" t="n"/>
      <c r="AL177" s="41" t="n"/>
      <c r="AM177" s="41" t="n"/>
      <c r="AN177" s="41" t="n"/>
      <c r="AO177" s="41" t="n"/>
      <c r="AP177" s="41" t="n"/>
      <c r="AQ177" s="41" t="n"/>
      <c r="AR177" s="41" t="n"/>
      <c r="AS177" s="41" t="n"/>
      <c r="AT177" s="41" t="n"/>
      <c r="AU177" s="41" t="n"/>
      <c r="AV177" s="41" t="n"/>
      <c r="AW177" s="41" t="n"/>
      <c r="AX177" s="41" t="n"/>
      <c r="AY177" s="41" t="n"/>
      <c r="AZ177" s="33" t="n"/>
      <c r="BA177" s="41" t="n"/>
      <c r="BB177" s="41" t="n"/>
      <c r="BC177" s="41" t="n"/>
      <c r="BD177" s="41" t="n"/>
      <c r="BE177" s="41" t="n"/>
      <c r="BF177" s="41" t="n"/>
      <c r="BG177" s="41" t="n"/>
      <c r="BH177" s="41" t="n"/>
      <c r="BI177" s="41" t="n"/>
      <c r="BJ177" s="41" t="n"/>
      <c r="BK177" s="41" t="n"/>
      <c r="BL177" s="41" t="n"/>
      <c r="BM177" s="41" t="n"/>
      <c r="BN177" s="41" t="n"/>
    </row>
    <row r="178" ht="18" customHeight="1" s="82">
      <c r="A178" s="36" t="n"/>
      <c r="B178" s="36" t="n"/>
      <c r="C178" s="36" t="n"/>
      <c r="D178" s="36" t="n"/>
      <c r="E178" s="37" t="n"/>
      <c r="F178" s="37" t="n"/>
      <c r="G178" s="37" t="n"/>
      <c r="H178" s="37" t="n"/>
      <c r="I178" s="37" t="n"/>
      <c r="J178" s="37" t="n"/>
      <c r="K178" s="37" t="n"/>
      <c r="L178" s="37" t="n"/>
      <c r="M178" s="37" t="n"/>
      <c r="N178" s="37" t="n"/>
      <c r="O178" s="37" t="n"/>
      <c r="P178" s="37" t="n"/>
      <c r="Q178" s="37" t="n"/>
      <c r="R178" s="37" t="n"/>
      <c r="S178" s="37" t="n"/>
      <c r="T178" s="37" t="n"/>
      <c r="U178" s="37" t="n"/>
      <c r="V178" s="37" t="n"/>
      <c r="W178" s="32" t="n"/>
      <c r="X178" s="37" t="n"/>
      <c r="Y178" s="37" t="n"/>
      <c r="Z178" s="37" t="n"/>
      <c r="AA178" s="37" t="n"/>
      <c r="AB178" s="37" t="n"/>
      <c r="AC178" s="37" t="n"/>
      <c r="AD178" s="32" t="n"/>
      <c r="AE178" s="37" t="n"/>
      <c r="AF178" s="38" t="n"/>
      <c r="AG178" s="67">
        <f>IF(OR(AF178="",AE178=""),"",IFERROR(AF178*INDEX(FXRates[USD per unit],MATCH(AE178,FXRates[Currency],0)),"No rate"))</f>
        <v/>
      </c>
      <c r="AH178" s="36" t="n"/>
      <c r="AI178" s="36" t="n"/>
      <c r="AJ178" s="39">
        <f>IF(A178="","",IF(COUNTIF($A$6:$A$504,A178)&gt;1,"⚠ Duplicate",""))</f>
        <v/>
      </c>
      <c r="AK178" s="38" t="n"/>
      <c r="AL178" s="40" t="n"/>
      <c r="AM178" s="40" t="n"/>
      <c r="AN178" s="40" t="n"/>
      <c r="AO178" s="40" t="n"/>
      <c r="AP178" s="40" t="n"/>
      <c r="AQ178" s="40" t="n"/>
      <c r="AR178" s="40" t="n"/>
      <c r="AS178" s="40" t="n"/>
      <c r="AT178" s="40" t="n"/>
      <c r="AU178" s="40" t="n"/>
      <c r="AV178" s="40" t="n"/>
      <c r="AW178" s="40" t="n"/>
      <c r="AX178" s="40" t="n"/>
      <c r="AY178" s="40" t="n"/>
      <c r="AZ178" s="38" t="n"/>
      <c r="BA178" s="40" t="n"/>
      <c r="BB178" s="40" t="n"/>
      <c r="BC178" s="40" t="n"/>
      <c r="BD178" s="40" t="n"/>
      <c r="BE178" s="40" t="n"/>
      <c r="BF178" s="40" t="n"/>
      <c r="BG178" s="40" t="n"/>
      <c r="BH178" s="40" t="n"/>
      <c r="BI178" s="40" t="n"/>
      <c r="BJ178" s="40" t="n"/>
      <c r="BK178" s="40" t="n"/>
      <c r="BL178" s="40" t="n"/>
      <c r="BM178" s="40" t="n"/>
      <c r="BN178" s="40" t="n"/>
    </row>
    <row r="179" ht="18" customHeight="1" s="82">
      <c r="A179" s="30" t="n"/>
      <c r="B179" s="30" t="n"/>
      <c r="C179" s="30" t="n"/>
      <c r="D179" s="30" t="n"/>
      <c r="E179" s="31" t="n"/>
      <c r="F179" s="31" t="n"/>
      <c r="G179" s="31" t="n"/>
      <c r="H179" s="31" t="n"/>
      <c r="I179" s="31" t="n"/>
      <c r="J179" s="31" t="n"/>
      <c r="K179" s="31" t="n"/>
      <c r="L179" s="31" t="n"/>
      <c r="M179" s="31" t="n"/>
      <c r="N179" s="31" t="n"/>
      <c r="O179" s="31" t="n"/>
      <c r="P179" s="31" t="n"/>
      <c r="Q179" s="31" t="n"/>
      <c r="R179" s="31" t="n"/>
      <c r="S179" s="31" t="n"/>
      <c r="T179" s="31" t="n"/>
      <c r="U179" s="31" t="n"/>
      <c r="V179" s="31" t="n"/>
      <c r="W179" s="32" t="n"/>
      <c r="X179" s="31" t="n"/>
      <c r="Y179" s="31" t="n"/>
      <c r="Z179" s="31" t="n"/>
      <c r="AA179" s="31" t="n"/>
      <c r="AB179" s="31" t="n"/>
      <c r="AC179" s="31" t="n"/>
      <c r="AD179" s="32" t="n"/>
      <c r="AE179" s="31" t="n"/>
      <c r="AF179" s="33" t="n"/>
      <c r="AG179" s="66">
        <f>IF(OR(AF179="",AE179=""),"",IFERROR(AF179*INDEX(FXRates[USD per unit],MATCH(AE179,FXRates[Currency],0)),"No rate"))</f>
        <v/>
      </c>
      <c r="AH179" s="30" t="n"/>
      <c r="AI179" s="30" t="n"/>
      <c r="AJ179" s="34">
        <f>IF(A179="","",IF(COUNTIF($A$6:$A$504,A179)&gt;1,"⚠ Duplicate",""))</f>
        <v/>
      </c>
      <c r="AK179" s="33" t="n"/>
      <c r="AL179" s="41" t="n"/>
      <c r="AM179" s="41" t="n"/>
      <c r="AN179" s="41" t="n"/>
      <c r="AO179" s="41" t="n"/>
      <c r="AP179" s="41" t="n"/>
      <c r="AQ179" s="41" t="n"/>
      <c r="AR179" s="41" t="n"/>
      <c r="AS179" s="41" t="n"/>
      <c r="AT179" s="41" t="n"/>
      <c r="AU179" s="41" t="n"/>
      <c r="AV179" s="41" t="n"/>
      <c r="AW179" s="41" t="n"/>
      <c r="AX179" s="41" t="n"/>
      <c r="AY179" s="41" t="n"/>
      <c r="AZ179" s="33" t="n"/>
      <c r="BA179" s="41" t="n"/>
      <c r="BB179" s="41" t="n"/>
      <c r="BC179" s="41" t="n"/>
      <c r="BD179" s="41" t="n"/>
      <c r="BE179" s="41" t="n"/>
      <c r="BF179" s="41" t="n"/>
      <c r="BG179" s="41" t="n"/>
      <c r="BH179" s="41" t="n"/>
      <c r="BI179" s="41" t="n"/>
      <c r="BJ179" s="41" t="n"/>
      <c r="BK179" s="41" t="n"/>
      <c r="BL179" s="41" t="n"/>
      <c r="BM179" s="41" t="n"/>
      <c r="BN179" s="41" t="n"/>
    </row>
    <row r="180" ht="18" customHeight="1" s="82">
      <c r="A180" s="36" t="n"/>
      <c r="B180" s="36" t="n"/>
      <c r="C180" s="36" t="n"/>
      <c r="D180" s="36" t="n"/>
      <c r="E180" s="37" t="n"/>
      <c r="F180" s="37" t="n"/>
      <c r="G180" s="37" t="n"/>
      <c r="H180" s="37" t="n"/>
      <c r="I180" s="37" t="n"/>
      <c r="J180" s="37" t="n"/>
      <c r="K180" s="37" t="n"/>
      <c r="L180" s="37" t="n"/>
      <c r="M180" s="37" t="n"/>
      <c r="N180" s="37" t="n"/>
      <c r="O180" s="37" t="n"/>
      <c r="P180" s="37" t="n"/>
      <c r="Q180" s="37" t="n"/>
      <c r="R180" s="37" t="n"/>
      <c r="S180" s="37" t="n"/>
      <c r="T180" s="37" t="n"/>
      <c r="U180" s="37" t="n"/>
      <c r="V180" s="37" t="n"/>
      <c r="W180" s="32" t="n"/>
      <c r="X180" s="37" t="n"/>
      <c r="Y180" s="37" t="n"/>
      <c r="Z180" s="37" t="n"/>
      <c r="AA180" s="37" t="n"/>
      <c r="AB180" s="37" t="n"/>
      <c r="AC180" s="37" t="n"/>
      <c r="AD180" s="32" t="n"/>
      <c r="AE180" s="37" t="n"/>
      <c r="AF180" s="38" t="n"/>
      <c r="AG180" s="67">
        <f>IF(OR(AF180="",AE180=""),"",IFERROR(AF180*INDEX(FXRates[USD per unit],MATCH(AE180,FXRates[Currency],0)),"No rate"))</f>
        <v/>
      </c>
      <c r="AH180" s="36" t="n"/>
      <c r="AI180" s="36" t="n"/>
      <c r="AJ180" s="39">
        <f>IF(A180="","",IF(COUNTIF($A$6:$A$504,A180)&gt;1,"⚠ Duplicate",""))</f>
        <v/>
      </c>
      <c r="AK180" s="38" t="n"/>
      <c r="AL180" s="40" t="n"/>
      <c r="AM180" s="40" t="n"/>
      <c r="AN180" s="40" t="n"/>
      <c r="AO180" s="40" t="n"/>
      <c r="AP180" s="40" t="n"/>
      <c r="AQ180" s="40" t="n"/>
      <c r="AR180" s="40" t="n"/>
      <c r="AS180" s="40" t="n"/>
      <c r="AT180" s="40" t="n"/>
      <c r="AU180" s="40" t="n"/>
      <c r="AV180" s="40" t="n"/>
      <c r="AW180" s="40" t="n"/>
      <c r="AX180" s="40" t="n"/>
      <c r="AY180" s="40" t="n"/>
      <c r="AZ180" s="38" t="n"/>
      <c r="BA180" s="40" t="n"/>
      <c r="BB180" s="40" t="n"/>
      <c r="BC180" s="40" t="n"/>
      <c r="BD180" s="40" t="n"/>
      <c r="BE180" s="40" t="n"/>
      <c r="BF180" s="40" t="n"/>
      <c r="BG180" s="40" t="n"/>
      <c r="BH180" s="40" t="n"/>
      <c r="BI180" s="40" t="n"/>
      <c r="BJ180" s="40" t="n"/>
      <c r="BK180" s="40" t="n"/>
      <c r="BL180" s="40" t="n"/>
      <c r="BM180" s="40" t="n"/>
      <c r="BN180" s="40" t="n"/>
    </row>
    <row r="181" ht="18" customHeight="1" s="82">
      <c r="A181" s="30" t="n"/>
      <c r="B181" s="30" t="n"/>
      <c r="C181" s="30" t="n"/>
      <c r="D181" s="30" t="n"/>
      <c r="E181" s="31" t="n"/>
      <c r="F181" s="31" t="n"/>
      <c r="G181" s="31" t="n"/>
      <c r="H181" s="31" t="n"/>
      <c r="I181" s="31" t="n"/>
      <c r="J181" s="31" t="n"/>
      <c r="K181" s="31" t="n"/>
      <c r="L181" s="31" t="n"/>
      <c r="M181" s="31" t="n"/>
      <c r="N181" s="31" t="n"/>
      <c r="O181" s="31" t="n"/>
      <c r="P181" s="31" t="n"/>
      <c r="Q181" s="31" t="n"/>
      <c r="R181" s="31" t="n"/>
      <c r="S181" s="31" t="n"/>
      <c r="T181" s="31" t="n"/>
      <c r="U181" s="31" t="n"/>
      <c r="V181" s="31" t="n"/>
      <c r="W181" s="32" t="n"/>
      <c r="X181" s="31" t="n"/>
      <c r="Y181" s="31" t="n"/>
      <c r="Z181" s="31" t="n"/>
      <c r="AA181" s="31" t="n"/>
      <c r="AB181" s="31" t="n"/>
      <c r="AC181" s="31" t="n"/>
      <c r="AD181" s="32" t="n"/>
      <c r="AE181" s="31" t="n"/>
      <c r="AF181" s="33" t="n"/>
      <c r="AG181" s="66">
        <f>IF(OR(AF181="",AE181=""),"",IFERROR(AF181*INDEX(FXRates[USD per unit],MATCH(AE181,FXRates[Currency],0)),"No rate"))</f>
        <v/>
      </c>
      <c r="AH181" s="30" t="n"/>
      <c r="AI181" s="30" t="n"/>
      <c r="AJ181" s="34">
        <f>IF(A181="","",IF(COUNTIF($A$6:$A$504,A181)&gt;1,"⚠ Duplicate",""))</f>
        <v/>
      </c>
      <c r="AK181" s="33" t="n"/>
      <c r="AL181" s="41" t="n"/>
      <c r="AM181" s="41" t="n"/>
      <c r="AN181" s="41" t="n"/>
      <c r="AO181" s="41" t="n"/>
      <c r="AP181" s="41" t="n"/>
      <c r="AQ181" s="41" t="n"/>
      <c r="AR181" s="41" t="n"/>
      <c r="AS181" s="41" t="n"/>
      <c r="AT181" s="41" t="n"/>
      <c r="AU181" s="41" t="n"/>
      <c r="AV181" s="41" t="n"/>
      <c r="AW181" s="41" t="n"/>
      <c r="AX181" s="41" t="n"/>
      <c r="AY181" s="41" t="n"/>
      <c r="AZ181" s="33" t="n"/>
      <c r="BA181" s="41" t="n"/>
      <c r="BB181" s="41" t="n"/>
      <c r="BC181" s="41" t="n"/>
      <c r="BD181" s="41" t="n"/>
      <c r="BE181" s="41" t="n"/>
      <c r="BF181" s="41" t="n"/>
      <c r="BG181" s="41" t="n"/>
      <c r="BH181" s="41" t="n"/>
      <c r="BI181" s="41" t="n"/>
      <c r="BJ181" s="41" t="n"/>
      <c r="BK181" s="41" t="n"/>
      <c r="BL181" s="41" t="n"/>
      <c r="BM181" s="41" t="n"/>
      <c r="BN181" s="41" t="n"/>
    </row>
    <row r="182" ht="18" customHeight="1" s="82">
      <c r="A182" s="36" t="n"/>
      <c r="B182" s="36" t="n"/>
      <c r="C182" s="36" t="n"/>
      <c r="D182" s="36" t="n"/>
      <c r="E182" s="37" t="n"/>
      <c r="F182" s="37" t="n"/>
      <c r="G182" s="37" t="n"/>
      <c r="H182" s="37" t="n"/>
      <c r="I182" s="37" t="n"/>
      <c r="J182" s="37" t="n"/>
      <c r="K182" s="37" t="n"/>
      <c r="L182" s="37" t="n"/>
      <c r="M182" s="37" t="n"/>
      <c r="N182" s="37" t="n"/>
      <c r="O182" s="37" t="n"/>
      <c r="P182" s="37" t="n"/>
      <c r="Q182" s="37" t="n"/>
      <c r="R182" s="37" t="n"/>
      <c r="S182" s="37" t="n"/>
      <c r="T182" s="37" t="n"/>
      <c r="U182" s="37" t="n"/>
      <c r="V182" s="37" t="n"/>
      <c r="W182" s="32" t="n"/>
      <c r="X182" s="37" t="n"/>
      <c r="Y182" s="37" t="n"/>
      <c r="Z182" s="37" t="n"/>
      <c r="AA182" s="37" t="n"/>
      <c r="AB182" s="37" t="n"/>
      <c r="AC182" s="37" t="n"/>
      <c r="AD182" s="32" t="n"/>
      <c r="AE182" s="37" t="n"/>
      <c r="AF182" s="38" t="n"/>
      <c r="AG182" s="67">
        <f>IF(OR(AF182="",AE182=""),"",IFERROR(AF182*INDEX(FXRates[USD per unit],MATCH(AE182,FXRates[Currency],0)),"No rate"))</f>
        <v/>
      </c>
      <c r="AH182" s="36" t="n"/>
      <c r="AI182" s="36" t="n"/>
      <c r="AJ182" s="39">
        <f>IF(A182="","",IF(COUNTIF($A$6:$A$504,A182)&gt;1,"⚠ Duplicate",""))</f>
        <v/>
      </c>
      <c r="AK182" s="38" t="n"/>
      <c r="AL182" s="40" t="n"/>
      <c r="AM182" s="40" t="n"/>
      <c r="AN182" s="40" t="n"/>
      <c r="AO182" s="40" t="n"/>
      <c r="AP182" s="40" t="n"/>
      <c r="AQ182" s="40" t="n"/>
      <c r="AR182" s="40" t="n"/>
      <c r="AS182" s="40" t="n"/>
      <c r="AT182" s="40" t="n"/>
      <c r="AU182" s="40" t="n"/>
      <c r="AV182" s="40" t="n"/>
      <c r="AW182" s="40" t="n"/>
      <c r="AX182" s="40" t="n"/>
      <c r="AY182" s="40" t="n"/>
      <c r="AZ182" s="38" t="n"/>
      <c r="BA182" s="40" t="n"/>
      <c r="BB182" s="40" t="n"/>
      <c r="BC182" s="40" t="n"/>
      <c r="BD182" s="40" t="n"/>
      <c r="BE182" s="40" t="n"/>
      <c r="BF182" s="40" t="n"/>
      <c r="BG182" s="40" t="n"/>
      <c r="BH182" s="40" t="n"/>
      <c r="BI182" s="40" t="n"/>
      <c r="BJ182" s="40" t="n"/>
      <c r="BK182" s="40" t="n"/>
      <c r="BL182" s="40" t="n"/>
      <c r="BM182" s="40" t="n"/>
      <c r="BN182" s="40" t="n"/>
    </row>
    <row r="183" ht="18" customHeight="1" s="82">
      <c r="A183" s="30" t="n"/>
      <c r="B183" s="30" t="n"/>
      <c r="C183" s="30" t="n"/>
      <c r="D183" s="30" t="n"/>
      <c r="E183" s="31" t="n"/>
      <c r="F183" s="31" t="n"/>
      <c r="G183" s="31" t="n"/>
      <c r="H183" s="31" t="n"/>
      <c r="I183" s="31" t="n"/>
      <c r="J183" s="31" t="n"/>
      <c r="K183" s="31" t="n"/>
      <c r="L183" s="31" t="n"/>
      <c r="M183" s="31" t="n"/>
      <c r="N183" s="31" t="n"/>
      <c r="O183" s="31" t="n"/>
      <c r="P183" s="31" t="n"/>
      <c r="Q183" s="31" t="n"/>
      <c r="R183" s="31" t="n"/>
      <c r="S183" s="31" t="n"/>
      <c r="T183" s="31" t="n"/>
      <c r="U183" s="31" t="n"/>
      <c r="V183" s="31" t="n"/>
      <c r="W183" s="32" t="n"/>
      <c r="X183" s="31" t="n"/>
      <c r="Y183" s="31" t="n"/>
      <c r="Z183" s="31" t="n"/>
      <c r="AA183" s="31" t="n"/>
      <c r="AB183" s="31" t="n"/>
      <c r="AC183" s="31" t="n"/>
      <c r="AD183" s="32" t="n"/>
      <c r="AE183" s="31" t="n"/>
      <c r="AF183" s="33" t="n"/>
      <c r="AG183" s="66">
        <f>IF(OR(AF183="",AE183=""),"",IFERROR(AF183*INDEX(FXRates[USD per unit],MATCH(AE183,FXRates[Currency],0)),"No rate"))</f>
        <v/>
      </c>
      <c r="AH183" s="30" t="n"/>
      <c r="AI183" s="30" t="n"/>
      <c r="AJ183" s="34">
        <f>IF(A183="","",IF(COUNTIF($A$6:$A$504,A183)&gt;1,"⚠ Duplicate",""))</f>
        <v/>
      </c>
      <c r="AK183" s="33" t="n"/>
      <c r="AL183" s="41" t="n"/>
      <c r="AM183" s="41" t="n"/>
      <c r="AN183" s="41" t="n"/>
      <c r="AO183" s="41" t="n"/>
      <c r="AP183" s="41" t="n"/>
      <c r="AQ183" s="41" t="n"/>
      <c r="AR183" s="41" t="n"/>
      <c r="AS183" s="41" t="n"/>
      <c r="AT183" s="41" t="n"/>
      <c r="AU183" s="41" t="n"/>
      <c r="AV183" s="41" t="n"/>
      <c r="AW183" s="41" t="n"/>
      <c r="AX183" s="41" t="n"/>
      <c r="AY183" s="41" t="n"/>
      <c r="AZ183" s="33" t="n"/>
      <c r="BA183" s="41" t="n"/>
      <c r="BB183" s="41" t="n"/>
      <c r="BC183" s="41" t="n"/>
      <c r="BD183" s="41" t="n"/>
      <c r="BE183" s="41" t="n"/>
      <c r="BF183" s="41" t="n"/>
      <c r="BG183" s="41" t="n"/>
      <c r="BH183" s="41" t="n"/>
      <c r="BI183" s="41" t="n"/>
      <c r="BJ183" s="41" t="n"/>
      <c r="BK183" s="41" t="n"/>
      <c r="BL183" s="41" t="n"/>
      <c r="BM183" s="41" t="n"/>
      <c r="BN183" s="41" t="n"/>
    </row>
    <row r="184" ht="18" customHeight="1" s="82">
      <c r="A184" s="36" t="n"/>
      <c r="B184" s="36" t="n"/>
      <c r="C184" s="36" t="n"/>
      <c r="D184" s="36" t="n"/>
      <c r="E184" s="37" t="n"/>
      <c r="F184" s="37" t="n"/>
      <c r="G184" s="37" t="n"/>
      <c r="H184" s="37" t="n"/>
      <c r="I184" s="37" t="n"/>
      <c r="J184" s="37" t="n"/>
      <c r="K184" s="37" t="n"/>
      <c r="L184" s="37" t="n"/>
      <c r="M184" s="37" t="n"/>
      <c r="N184" s="37" t="n"/>
      <c r="O184" s="37" t="n"/>
      <c r="P184" s="37" t="n"/>
      <c r="Q184" s="37" t="n"/>
      <c r="R184" s="37" t="n"/>
      <c r="S184" s="37" t="n"/>
      <c r="T184" s="37" t="n"/>
      <c r="U184" s="37" t="n"/>
      <c r="V184" s="37" t="n"/>
      <c r="W184" s="32" t="n"/>
      <c r="X184" s="37" t="n"/>
      <c r="Y184" s="37" t="n"/>
      <c r="Z184" s="37" t="n"/>
      <c r="AA184" s="37" t="n"/>
      <c r="AB184" s="37" t="n"/>
      <c r="AC184" s="37" t="n"/>
      <c r="AD184" s="32" t="n"/>
      <c r="AE184" s="37" t="n"/>
      <c r="AF184" s="38" t="n"/>
      <c r="AG184" s="67">
        <f>IF(OR(AF184="",AE184=""),"",IFERROR(AF184*INDEX(FXRates[USD per unit],MATCH(AE184,FXRates[Currency],0)),"No rate"))</f>
        <v/>
      </c>
      <c r="AH184" s="36" t="n"/>
      <c r="AI184" s="36" t="n"/>
      <c r="AJ184" s="39">
        <f>IF(A184="","",IF(COUNTIF($A$6:$A$504,A184)&gt;1,"⚠ Duplicate",""))</f>
        <v/>
      </c>
      <c r="AK184" s="38" t="n"/>
      <c r="AL184" s="40" t="n"/>
      <c r="AM184" s="40" t="n"/>
      <c r="AN184" s="40" t="n"/>
      <c r="AO184" s="40" t="n"/>
      <c r="AP184" s="40" t="n"/>
      <c r="AQ184" s="40" t="n"/>
      <c r="AR184" s="40" t="n"/>
      <c r="AS184" s="40" t="n"/>
      <c r="AT184" s="40" t="n"/>
      <c r="AU184" s="40" t="n"/>
      <c r="AV184" s="40" t="n"/>
      <c r="AW184" s="40" t="n"/>
      <c r="AX184" s="40" t="n"/>
      <c r="AY184" s="40" t="n"/>
      <c r="AZ184" s="38" t="n"/>
      <c r="BA184" s="40" t="n"/>
      <c r="BB184" s="40" t="n"/>
      <c r="BC184" s="40" t="n"/>
      <c r="BD184" s="40" t="n"/>
      <c r="BE184" s="40" t="n"/>
      <c r="BF184" s="40" t="n"/>
      <c r="BG184" s="40" t="n"/>
      <c r="BH184" s="40" t="n"/>
      <c r="BI184" s="40" t="n"/>
      <c r="BJ184" s="40" t="n"/>
      <c r="BK184" s="40" t="n"/>
      <c r="BL184" s="40" t="n"/>
      <c r="BM184" s="40" t="n"/>
      <c r="BN184" s="40" t="n"/>
    </row>
    <row r="185" ht="18" customHeight="1" s="82">
      <c r="A185" s="30" t="n"/>
      <c r="B185" s="30" t="n"/>
      <c r="C185" s="30" t="n"/>
      <c r="D185" s="30" t="n"/>
      <c r="E185" s="31" t="n"/>
      <c r="F185" s="31" t="n"/>
      <c r="G185" s="31" t="n"/>
      <c r="H185" s="31" t="n"/>
      <c r="I185" s="31" t="n"/>
      <c r="J185" s="31" t="n"/>
      <c r="K185" s="31" t="n"/>
      <c r="L185" s="31" t="n"/>
      <c r="M185" s="31" t="n"/>
      <c r="N185" s="31" t="n"/>
      <c r="O185" s="31" t="n"/>
      <c r="P185" s="31" t="n"/>
      <c r="Q185" s="31" t="n"/>
      <c r="R185" s="31" t="n"/>
      <c r="S185" s="31" t="n"/>
      <c r="T185" s="31" t="n"/>
      <c r="U185" s="31" t="n"/>
      <c r="V185" s="31" t="n"/>
      <c r="W185" s="32" t="n"/>
      <c r="X185" s="31" t="n"/>
      <c r="Y185" s="31" t="n"/>
      <c r="Z185" s="31" t="n"/>
      <c r="AA185" s="31" t="n"/>
      <c r="AB185" s="31" t="n"/>
      <c r="AC185" s="31" t="n"/>
      <c r="AD185" s="32" t="n"/>
      <c r="AE185" s="31" t="n"/>
      <c r="AF185" s="33" t="n"/>
      <c r="AG185" s="66">
        <f>IF(OR(AF185="",AE185=""),"",IFERROR(AF185*INDEX(FXRates[USD per unit],MATCH(AE185,FXRates[Currency],0)),"No rate"))</f>
        <v/>
      </c>
      <c r="AH185" s="30" t="n"/>
      <c r="AI185" s="30" t="n"/>
      <c r="AJ185" s="34">
        <f>IF(A185="","",IF(COUNTIF($A$6:$A$504,A185)&gt;1,"⚠ Duplicate",""))</f>
        <v/>
      </c>
      <c r="AK185" s="33" t="n"/>
      <c r="AL185" s="41" t="n"/>
      <c r="AM185" s="41" t="n"/>
      <c r="AN185" s="41" t="n"/>
      <c r="AO185" s="41" t="n"/>
      <c r="AP185" s="41" t="n"/>
      <c r="AQ185" s="41" t="n"/>
      <c r="AR185" s="41" t="n"/>
      <c r="AS185" s="41" t="n"/>
      <c r="AT185" s="41" t="n"/>
      <c r="AU185" s="41" t="n"/>
      <c r="AV185" s="41" t="n"/>
      <c r="AW185" s="41" t="n"/>
      <c r="AX185" s="41" t="n"/>
      <c r="AY185" s="41" t="n"/>
      <c r="AZ185" s="33" t="n"/>
      <c r="BA185" s="41" t="n"/>
      <c r="BB185" s="41" t="n"/>
      <c r="BC185" s="41" t="n"/>
      <c r="BD185" s="41" t="n"/>
      <c r="BE185" s="41" t="n"/>
      <c r="BF185" s="41" t="n"/>
      <c r="BG185" s="41" t="n"/>
      <c r="BH185" s="41" t="n"/>
      <c r="BI185" s="41" t="n"/>
      <c r="BJ185" s="41" t="n"/>
      <c r="BK185" s="41" t="n"/>
      <c r="BL185" s="41" t="n"/>
      <c r="BM185" s="41" t="n"/>
      <c r="BN185" s="41" t="n"/>
    </row>
    <row r="186" ht="18" customHeight="1" s="82">
      <c r="A186" s="36" t="n"/>
      <c r="B186" s="36" t="n"/>
      <c r="C186" s="36" t="n"/>
      <c r="D186" s="36" t="n"/>
      <c r="E186" s="37" t="n"/>
      <c r="F186" s="37" t="n"/>
      <c r="G186" s="37" t="n"/>
      <c r="H186" s="37" t="n"/>
      <c r="I186" s="37" t="n"/>
      <c r="J186" s="37" t="n"/>
      <c r="K186" s="37" t="n"/>
      <c r="L186" s="37" t="n"/>
      <c r="M186" s="37" t="n"/>
      <c r="N186" s="37" t="n"/>
      <c r="O186" s="37" t="n"/>
      <c r="P186" s="37" t="n"/>
      <c r="Q186" s="37" t="n"/>
      <c r="R186" s="37" t="n"/>
      <c r="S186" s="37" t="n"/>
      <c r="T186" s="37" t="n"/>
      <c r="U186" s="37" t="n"/>
      <c r="V186" s="37" t="n"/>
      <c r="W186" s="32" t="n"/>
      <c r="X186" s="37" t="n"/>
      <c r="Y186" s="37" t="n"/>
      <c r="Z186" s="37" t="n"/>
      <c r="AA186" s="37" t="n"/>
      <c r="AB186" s="37" t="n"/>
      <c r="AC186" s="37" t="n"/>
      <c r="AD186" s="32" t="n"/>
      <c r="AE186" s="37" t="n"/>
      <c r="AF186" s="38" t="n"/>
      <c r="AG186" s="67">
        <f>IF(OR(AF186="",AE186=""),"",IFERROR(AF186*INDEX(FXRates[USD per unit],MATCH(AE186,FXRates[Currency],0)),"No rate"))</f>
        <v/>
      </c>
      <c r="AH186" s="36" t="n"/>
      <c r="AI186" s="36" t="n"/>
      <c r="AJ186" s="39">
        <f>IF(A186="","",IF(COUNTIF($A$6:$A$504,A186)&gt;1,"⚠ Duplicate",""))</f>
        <v/>
      </c>
      <c r="AK186" s="38" t="n"/>
      <c r="AL186" s="40" t="n"/>
      <c r="AM186" s="40" t="n"/>
      <c r="AN186" s="40" t="n"/>
      <c r="AO186" s="40" t="n"/>
      <c r="AP186" s="40" t="n"/>
      <c r="AQ186" s="40" t="n"/>
      <c r="AR186" s="40" t="n"/>
      <c r="AS186" s="40" t="n"/>
      <c r="AT186" s="40" t="n"/>
      <c r="AU186" s="40" t="n"/>
      <c r="AV186" s="40" t="n"/>
      <c r="AW186" s="40" t="n"/>
      <c r="AX186" s="40" t="n"/>
      <c r="AY186" s="40" t="n"/>
      <c r="AZ186" s="38" t="n"/>
      <c r="BA186" s="40" t="n"/>
      <c r="BB186" s="40" t="n"/>
      <c r="BC186" s="40" t="n"/>
      <c r="BD186" s="40" t="n"/>
      <c r="BE186" s="40" t="n"/>
      <c r="BF186" s="40" t="n"/>
      <c r="BG186" s="40" t="n"/>
      <c r="BH186" s="40" t="n"/>
      <c r="BI186" s="40" t="n"/>
      <c r="BJ186" s="40" t="n"/>
      <c r="BK186" s="40" t="n"/>
      <c r="BL186" s="40" t="n"/>
      <c r="BM186" s="40" t="n"/>
      <c r="BN186" s="40" t="n"/>
    </row>
    <row r="187" ht="18" customHeight="1" s="82">
      <c r="A187" s="30" t="n"/>
      <c r="B187" s="30" t="n"/>
      <c r="C187" s="30" t="n"/>
      <c r="D187" s="30" t="n"/>
      <c r="E187" s="31" t="n"/>
      <c r="F187" s="31" t="n"/>
      <c r="G187" s="31" t="n"/>
      <c r="H187" s="31" t="n"/>
      <c r="I187" s="31" t="n"/>
      <c r="J187" s="31" t="n"/>
      <c r="K187" s="31" t="n"/>
      <c r="L187" s="31" t="n"/>
      <c r="M187" s="31" t="n"/>
      <c r="N187" s="31" t="n"/>
      <c r="O187" s="31" t="n"/>
      <c r="P187" s="31" t="n"/>
      <c r="Q187" s="31" t="n"/>
      <c r="R187" s="31" t="n"/>
      <c r="S187" s="31" t="n"/>
      <c r="T187" s="31" t="n"/>
      <c r="U187" s="31" t="n"/>
      <c r="V187" s="31" t="n"/>
      <c r="W187" s="32" t="n"/>
      <c r="X187" s="31" t="n"/>
      <c r="Y187" s="31" t="n"/>
      <c r="Z187" s="31" t="n"/>
      <c r="AA187" s="31" t="n"/>
      <c r="AB187" s="31" t="n"/>
      <c r="AC187" s="31" t="n"/>
      <c r="AD187" s="32" t="n"/>
      <c r="AE187" s="31" t="n"/>
      <c r="AF187" s="33" t="n"/>
      <c r="AG187" s="66">
        <f>IF(OR(AF187="",AE187=""),"",IFERROR(AF187*INDEX(FXRates[USD per unit],MATCH(AE187,FXRates[Currency],0)),"No rate"))</f>
        <v/>
      </c>
      <c r="AH187" s="30" t="n"/>
      <c r="AI187" s="30" t="n"/>
      <c r="AJ187" s="34">
        <f>IF(A187="","",IF(COUNTIF($A$6:$A$504,A187)&gt;1,"⚠ Duplicate",""))</f>
        <v/>
      </c>
      <c r="AK187" s="33" t="n"/>
      <c r="AL187" s="41" t="n"/>
      <c r="AM187" s="41" t="n"/>
      <c r="AN187" s="41" t="n"/>
      <c r="AO187" s="41" t="n"/>
      <c r="AP187" s="41" t="n"/>
      <c r="AQ187" s="41" t="n"/>
      <c r="AR187" s="41" t="n"/>
      <c r="AS187" s="41" t="n"/>
      <c r="AT187" s="41" t="n"/>
      <c r="AU187" s="41" t="n"/>
      <c r="AV187" s="41" t="n"/>
      <c r="AW187" s="41" t="n"/>
      <c r="AX187" s="41" t="n"/>
      <c r="AY187" s="41" t="n"/>
      <c r="AZ187" s="33" t="n"/>
      <c r="BA187" s="41" t="n"/>
      <c r="BB187" s="41" t="n"/>
      <c r="BC187" s="41" t="n"/>
      <c r="BD187" s="41" t="n"/>
      <c r="BE187" s="41" t="n"/>
      <c r="BF187" s="41" t="n"/>
      <c r="BG187" s="41" t="n"/>
      <c r="BH187" s="41" t="n"/>
      <c r="BI187" s="41" t="n"/>
      <c r="BJ187" s="41" t="n"/>
      <c r="BK187" s="41" t="n"/>
      <c r="BL187" s="41" t="n"/>
      <c r="BM187" s="41" t="n"/>
      <c r="BN187" s="41" t="n"/>
    </row>
    <row r="188" ht="18" customHeight="1" s="82">
      <c r="A188" s="36" t="n"/>
      <c r="B188" s="36" t="n"/>
      <c r="C188" s="36" t="n"/>
      <c r="D188" s="36" t="n"/>
      <c r="E188" s="37" t="n"/>
      <c r="F188" s="37" t="n"/>
      <c r="G188" s="37" t="n"/>
      <c r="H188" s="37" t="n"/>
      <c r="I188" s="37" t="n"/>
      <c r="J188" s="37" t="n"/>
      <c r="K188" s="37" t="n"/>
      <c r="L188" s="37" t="n"/>
      <c r="M188" s="37" t="n"/>
      <c r="N188" s="37" t="n"/>
      <c r="O188" s="37" t="n"/>
      <c r="P188" s="37" t="n"/>
      <c r="Q188" s="37" t="n"/>
      <c r="R188" s="37" t="n"/>
      <c r="S188" s="37" t="n"/>
      <c r="T188" s="37" t="n"/>
      <c r="U188" s="37" t="n"/>
      <c r="V188" s="37" t="n"/>
      <c r="W188" s="32" t="n"/>
      <c r="X188" s="37" t="n"/>
      <c r="Y188" s="37" t="n"/>
      <c r="Z188" s="37" t="n"/>
      <c r="AA188" s="37" t="n"/>
      <c r="AB188" s="37" t="n"/>
      <c r="AC188" s="37" t="n"/>
      <c r="AD188" s="32" t="n"/>
      <c r="AE188" s="37" t="n"/>
      <c r="AF188" s="38" t="n"/>
      <c r="AG188" s="67">
        <f>IF(OR(AF188="",AE188=""),"",IFERROR(AF188*INDEX(FXRates[USD per unit],MATCH(AE188,FXRates[Currency],0)),"No rate"))</f>
        <v/>
      </c>
      <c r="AH188" s="36" t="n"/>
      <c r="AI188" s="36" t="n"/>
      <c r="AJ188" s="39">
        <f>IF(A188="","",IF(COUNTIF($A$6:$A$504,A188)&gt;1,"⚠ Duplicate",""))</f>
        <v/>
      </c>
      <c r="AK188" s="38" t="n"/>
      <c r="AL188" s="40" t="n"/>
      <c r="AM188" s="40" t="n"/>
      <c r="AN188" s="40" t="n"/>
      <c r="AO188" s="40" t="n"/>
      <c r="AP188" s="40" t="n"/>
      <c r="AQ188" s="40" t="n"/>
      <c r="AR188" s="40" t="n"/>
      <c r="AS188" s="40" t="n"/>
      <c r="AT188" s="40" t="n"/>
      <c r="AU188" s="40" t="n"/>
      <c r="AV188" s="40" t="n"/>
      <c r="AW188" s="40" t="n"/>
      <c r="AX188" s="40" t="n"/>
      <c r="AY188" s="40" t="n"/>
      <c r="AZ188" s="38" t="n"/>
      <c r="BA188" s="40" t="n"/>
      <c r="BB188" s="40" t="n"/>
      <c r="BC188" s="40" t="n"/>
      <c r="BD188" s="40" t="n"/>
      <c r="BE188" s="40" t="n"/>
      <c r="BF188" s="40" t="n"/>
      <c r="BG188" s="40" t="n"/>
      <c r="BH188" s="40" t="n"/>
      <c r="BI188" s="40" t="n"/>
      <c r="BJ188" s="40" t="n"/>
      <c r="BK188" s="40" t="n"/>
      <c r="BL188" s="40" t="n"/>
      <c r="BM188" s="40" t="n"/>
      <c r="BN188" s="40" t="n"/>
    </row>
    <row r="189" ht="18" customHeight="1" s="82">
      <c r="A189" s="30" t="n"/>
      <c r="B189" s="30" t="n"/>
      <c r="C189" s="30" t="n"/>
      <c r="D189" s="30" t="n"/>
      <c r="E189" s="31" t="n"/>
      <c r="F189" s="31" t="n"/>
      <c r="G189" s="31" t="n"/>
      <c r="H189" s="31" t="n"/>
      <c r="I189" s="31" t="n"/>
      <c r="J189" s="31" t="n"/>
      <c r="K189" s="31" t="n"/>
      <c r="L189" s="31" t="n"/>
      <c r="M189" s="31" t="n"/>
      <c r="N189" s="31" t="n"/>
      <c r="O189" s="31" t="n"/>
      <c r="P189" s="31" t="n"/>
      <c r="Q189" s="31" t="n"/>
      <c r="R189" s="31" t="n"/>
      <c r="S189" s="31" t="n"/>
      <c r="T189" s="31" t="n"/>
      <c r="U189" s="31" t="n"/>
      <c r="V189" s="31" t="n"/>
      <c r="W189" s="32" t="n"/>
      <c r="X189" s="31" t="n"/>
      <c r="Y189" s="31" t="n"/>
      <c r="Z189" s="31" t="n"/>
      <c r="AA189" s="31" t="n"/>
      <c r="AB189" s="31" t="n"/>
      <c r="AC189" s="31" t="n"/>
      <c r="AD189" s="32" t="n"/>
      <c r="AE189" s="31" t="n"/>
      <c r="AF189" s="33" t="n"/>
      <c r="AG189" s="66">
        <f>IF(OR(AF189="",AE189=""),"",IFERROR(AF189*INDEX(FXRates[USD per unit],MATCH(AE189,FXRates[Currency],0)),"No rate"))</f>
        <v/>
      </c>
      <c r="AH189" s="30" t="n"/>
      <c r="AI189" s="30" t="n"/>
      <c r="AJ189" s="34">
        <f>IF(A189="","",IF(COUNTIF($A$6:$A$504,A189)&gt;1,"⚠ Duplicate",""))</f>
        <v/>
      </c>
      <c r="AK189" s="33" t="n"/>
      <c r="AL189" s="41" t="n"/>
      <c r="AM189" s="41" t="n"/>
      <c r="AN189" s="41" t="n"/>
      <c r="AO189" s="41" t="n"/>
      <c r="AP189" s="41" t="n"/>
      <c r="AQ189" s="41" t="n"/>
      <c r="AR189" s="41" t="n"/>
      <c r="AS189" s="41" t="n"/>
      <c r="AT189" s="41" t="n"/>
      <c r="AU189" s="41" t="n"/>
      <c r="AV189" s="41" t="n"/>
      <c r="AW189" s="41" t="n"/>
      <c r="AX189" s="41" t="n"/>
      <c r="AY189" s="41" t="n"/>
      <c r="AZ189" s="33" t="n"/>
      <c r="BA189" s="41" t="n"/>
      <c r="BB189" s="41" t="n"/>
      <c r="BC189" s="41" t="n"/>
      <c r="BD189" s="41" t="n"/>
      <c r="BE189" s="41" t="n"/>
      <c r="BF189" s="41" t="n"/>
      <c r="BG189" s="41" t="n"/>
      <c r="BH189" s="41" t="n"/>
      <c r="BI189" s="41" t="n"/>
      <c r="BJ189" s="41" t="n"/>
      <c r="BK189" s="41" t="n"/>
      <c r="BL189" s="41" t="n"/>
      <c r="BM189" s="41" t="n"/>
      <c r="BN189" s="41" t="n"/>
    </row>
    <row r="190" ht="18" customHeight="1" s="82">
      <c r="A190" s="36" t="n"/>
      <c r="B190" s="36" t="n"/>
      <c r="C190" s="36" t="n"/>
      <c r="D190" s="36" t="n"/>
      <c r="E190" s="37" t="n"/>
      <c r="F190" s="37" t="n"/>
      <c r="G190" s="37" t="n"/>
      <c r="H190" s="37" t="n"/>
      <c r="I190" s="37" t="n"/>
      <c r="J190" s="37" t="n"/>
      <c r="K190" s="37" t="n"/>
      <c r="L190" s="37" t="n"/>
      <c r="M190" s="37" t="n"/>
      <c r="N190" s="37" t="n"/>
      <c r="O190" s="37" t="n"/>
      <c r="P190" s="37" t="n"/>
      <c r="Q190" s="37" t="n"/>
      <c r="R190" s="37" t="n"/>
      <c r="S190" s="37" t="n"/>
      <c r="T190" s="37" t="n"/>
      <c r="U190" s="37" t="n"/>
      <c r="V190" s="37" t="n"/>
      <c r="W190" s="32" t="n"/>
      <c r="X190" s="37" t="n"/>
      <c r="Y190" s="37" t="n"/>
      <c r="Z190" s="37" t="n"/>
      <c r="AA190" s="37" t="n"/>
      <c r="AB190" s="37" t="n"/>
      <c r="AC190" s="37" t="n"/>
      <c r="AD190" s="32" t="n"/>
      <c r="AE190" s="37" t="n"/>
      <c r="AF190" s="38" t="n"/>
      <c r="AG190" s="67">
        <f>IF(OR(AF190="",AE190=""),"",IFERROR(AF190*INDEX(FXRates[USD per unit],MATCH(AE190,FXRates[Currency],0)),"No rate"))</f>
        <v/>
      </c>
      <c r="AH190" s="36" t="n"/>
      <c r="AI190" s="36" t="n"/>
      <c r="AJ190" s="39">
        <f>IF(A190="","",IF(COUNTIF($A$6:$A$504,A190)&gt;1,"⚠ Duplicate",""))</f>
        <v/>
      </c>
      <c r="AK190" s="38" t="n"/>
      <c r="AL190" s="40" t="n"/>
      <c r="AM190" s="40" t="n"/>
      <c r="AN190" s="40" t="n"/>
      <c r="AO190" s="40" t="n"/>
      <c r="AP190" s="40" t="n"/>
      <c r="AQ190" s="40" t="n"/>
      <c r="AR190" s="40" t="n"/>
      <c r="AS190" s="40" t="n"/>
      <c r="AT190" s="40" t="n"/>
      <c r="AU190" s="40" t="n"/>
      <c r="AV190" s="40" t="n"/>
      <c r="AW190" s="40" t="n"/>
      <c r="AX190" s="40" t="n"/>
      <c r="AY190" s="40" t="n"/>
      <c r="AZ190" s="38" t="n"/>
      <c r="BA190" s="40" t="n"/>
      <c r="BB190" s="40" t="n"/>
      <c r="BC190" s="40" t="n"/>
      <c r="BD190" s="40" t="n"/>
      <c r="BE190" s="40" t="n"/>
      <c r="BF190" s="40" t="n"/>
      <c r="BG190" s="40" t="n"/>
      <c r="BH190" s="40" t="n"/>
      <c r="BI190" s="40" t="n"/>
      <c r="BJ190" s="40" t="n"/>
      <c r="BK190" s="40" t="n"/>
      <c r="BL190" s="40" t="n"/>
      <c r="BM190" s="40" t="n"/>
      <c r="BN190" s="40" t="n"/>
    </row>
    <row r="191" ht="18" customHeight="1" s="82">
      <c r="A191" s="30" t="n"/>
      <c r="B191" s="30" t="n"/>
      <c r="C191" s="30" t="n"/>
      <c r="D191" s="30" t="n"/>
      <c r="E191" s="31" t="n"/>
      <c r="F191" s="31" t="n"/>
      <c r="G191" s="31" t="n"/>
      <c r="H191" s="31" t="n"/>
      <c r="I191" s="31" t="n"/>
      <c r="J191" s="31" t="n"/>
      <c r="K191" s="31" t="n"/>
      <c r="L191" s="31" t="n"/>
      <c r="M191" s="31" t="n"/>
      <c r="N191" s="31" t="n"/>
      <c r="O191" s="31" t="n"/>
      <c r="P191" s="31" t="n"/>
      <c r="Q191" s="31" t="n"/>
      <c r="R191" s="31" t="n"/>
      <c r="S191" s="31" t="n"/>
      <c r="T191" s="31" t="n"/>
      <c r="U191" s="31" t="n"/>
      <c r="V191" s="31" t="n"/>
      <c r="W191" s="32" t="n"/>
      <c r="X191" s="31" t="n"/>
      <c r="Y191" s="31" t="n"/>
      <c r="Z191" s="31" t="n"/>
      <c r="AA191" s="31" t="n"/>
      <c r="AB191" s="31" t="n"/>
      <c r="AC191" s="31" t="n"/>
      <c r="AD191" s="32" t="n"/>
      <c r="AE191" s="31" t="n"/>
      <c r="AF191" s="33" t="n"/>
      <c r="AG191" s="66">
        <f>IF(OR(AF191="",AE191=""),"",IFERROR(AF191*INDEX(FXRates[USD per unit],MATCH(AE191,FXRates[Currency],0)),"No rate"))</f>
        <v/>
      </c>
      <c r="AH191" s="30" t="n"/>
      <c r="AI191" s="30" t="n"/>
      <c r="AJ191" s="34">
        <f>IF(A191="","",IF(COUNTIF($A$6:$A$504,A191)&gt;1,"⚠ Duplicate",""))</f>
        <v/>
      </c>
      <c r="AK191" s="33" t="n"/>
      <c r="AL191" s="41" t="n"/>
      <c r="AM191" s="41" t="n"/>
      <c r="AN191" s="41" t="n"/>
      <c r="AO191" s="41" t="n"/>
      <c r="AP191" s="41" t="n"/>
      <c r="AQ191" s="41" t="n"/>
      <c r="AR191" s="41" t="n"/>
      <c r="AS191" s="41" t="n"/>
      <c r="AT191" s="41" t="n"/>
      <c r="AU191" s="41" t="n"/>
      <c r="AV191" s="41" t="n"/>
      <c r="AW191" s="41" t="n"/>
      <c r="AX191" s="41" t="n"/>
      <c r="AY191" s="41" t="n"/>
      <c r="AZ191" s="33" t="n"/>
      <c r="BA191" s="41" t="n"/>
      <c r="BB191" s="41" t="n"/>
      <c r="BC191" s="41" t="n"/>
      <c r="BD191" s="41" t="n"/>
      <c r="BE191" s="41" t="n"/>
      <c r="BF191" s="41" t="n"/>
      <c r="BG191" s="41" t="n"/>
      <c r="BH191" s="41" t="n"/>
      <c r="BI191" s="41" t="n"/>
      <c r="BJ191" s="41" t="n"/>
      <c r="BK191" s="41" t="n"/>
      <c r="BL191" s="41" t="n"/>
      <c r="BM191" s="41" t="n"/>
      <c r="BN191" s="41" t="n"/>
    </row>
    <row r="192" ht="18" customHeight="1" s="82">
      <c r="A192" s="36" t="n"/>
      <c r="B192" s="36" t="n"/>
      <c r="C192" s="36" t="n"/>
      <c r="D192" s="36" t="n"/>
      <c r="E192" s="37" t="n"/>
      <c r="F192" s="37" t="n"/>
      <c r="G192" s="37" t="n"/>
      <c r="H192" s="37" t="n"/>
      <c r="I192" s="37" t="n"/>
      <c r="J192" s="37" t="n"/>
      <c r="K192" s="37" t="n"/>
      <c r="L192" s="37" t="n"/>
      <c r="M192" s="37" t="n"/>
      <c r="N192" s="37" t="n"/>
      <c r="O192" s="37" t="n"/>
      <c r="P192" s="37" t="n"/>
      <c r="Q192" s="37" t="n"/>
      <c r="R192" s="37" t="n"/>
      <c r="S192" s="37" t="n"/>
      <c r="T192" s="37" t="n"/>
      <c r="U192" s="37" t="n"/>
      <c r="V192" s="37" t="n"/>
      <c r="W192" s="32" t="n"/>
      <c r="X192" s="37" t="n"/>
      <c r="Y192" s="37" t="n"/>
      <c r="Z192" s="37" t="n"/>
      <c r="AA192" s="37" t="n"/>
      <c r="AB192" s="37" t="n"/>
      <c r="AC192" s="37" t="n"/>
      <c r="AD192" s="32" t="n"/>
      <c r="AE192" s="37" t="n"/>
      <c r="AF192" s="38" t="n"/>
      <c r="AG192" s="67">
        <f>IF(OR(AF192="",AE192=""),"",IFERROR(AF192*INDEX(FXRates[USD per unit],MATCH(AE192,FXRates[Currency],0)),"No rate"))</f>
        <v/>
      </c>
      <c r="AH192" s="36" t="n"/>
      <c r="AI192" s="36" t="n"/>
      <c r="AJ192" s="39">
        <f>IF(A192="","",IF(COUNTIF($A$6:$A$504,A192)&gt;1,"⚠ Duplicate",""))</f>
        <v/>
      </c>
      <c r="AK192" s="38" t="n"/>
      <c r="AL192" s="40" t="n"/>
      <c r="AM192" s="40" t="n"/>
      <c r="AN192" s="40" t="n"/>
      <c r="AO192" s="40" t="n"/>
      <c r="AP192" s="40" t="n"/>
      <c r="AQ192" s="40" t="n"/>
      <c r="AR192" s="40" t="n"/>
      <c r="AS192" s="40" t="n"/>
      <c r="AT192" s="40" t="n"/>
      <c r="AU192" s="40" t="n"/>
      <c r="AV192" s="40" t="n"/>
      <c r="AW192" s="40" t="n"/>
      <c r="AX192" s="40" t="n"/>
      <c r="AY192" s="40" t="n"/>
      <c r="AZ192" s="38" t="n"/>
      <c r="BA192" s="40" t="n"/>
      <c r="BB192" s="40" t="n"/>
      <c r="BC192" s="40" t="n"/>
      <c r="BD192" s="40" t="n"/>
      <c r="BE192" s="40" t="n"/>
      <c r="BF192" s="40" t="n"/>
      <c r="BG192" s="40" t="n"/>
      <c r="BH192" s="40" t="n"/>
      <c r="BI192" s="40" t="n"/>
      <c r="BJ192" s="40" t="n"/>
      <c r="BK192" s="40" t="n"/>
      <c r="BL192" s="40" t="n"/>
      <c r="BM192" s="40" t="n"/>
      <c r="BN192" s="40" t="n"/>
    </row>
    <row r="193" ht="18" customHeight="1" s="82">
      <c r="A193" s="30" t="n"/>
      <c r="B193" s="30" t="n"/>
      <c r="C193" s="30" t="n"/>
      <c r="D193" s="30" t="n"/>
      <c r="E193" s="31" t="n"/>
      <c r="F193" s="31" t="n"/>
      <c r="G193" s="31" t="n"/>
      <c r="H193" s="31" t="n"/>
      <c r="I193" s="31" t="n"/>
      <c r="J193" s="31" t="n"/>
      <c r="K193" s="31" t="n"/>
      <c r="L193" s="31" t="n"/>
      <c r="M193" s="31" t="n"/>
      <c r="N193" s="31" t="n"/>
      <c r="O193" s="31" t="n"/>
      <c r="P193" s="31" t="n"/>
      <c r="Q193" s="31" t="n"/>
      <c r="R193" s="31" t="n"/>
      <c r="S193" s="31" t="n"/>
      <c r="T193" s="31" t="n"/>
      <c r="U193" s="31" t="n"/>
      <c r="V193" s="31" t="n"/>
      <c r="W193" s="32" t="n"/>
      <c r="X193" s="31" t="n"/>
      <c r="Y193" s="31" t="n"/>
      <c r="Z193" s="31" t="n"/>
      <c r="AA193" s="31" t="n"/>
      <c r="AB193" s="31" t="n"/>
      <c r="AC193" s="31" t="n"/>
      <c r="AD193" s="32" t="n"/>
      <c r="AE193" s="31" t="n"/>
      <c r="AF193" s="33" t="n"/>
      <c r="AG193" s="66">
        <f>IF(OR(AF193="",AE193=""),"",IFERROR(AF193*INDEX(FXRates[USD per unit],MATCH(AE193,FXRates[Currency],0)),"No rate"))</f>
        <v/>
      </c>
      <c r="AH193" s="30" t="n"/>
      <c r="AI193" s="30" t="n"/>
      <c r="AJ193" s="34">
        <f>IF(A193="","",IF(COUNTIF($A$6:$A$504,A193)&gt;1,"⚠ Duplicate",""))</f>
        <v/>
      </c>
      <c r="AK193" s="33" t="n"/>
      <c r="AL193" s="41" t="n"/>
      <c r="AM193" s="41" t="n"/>
      <c r="AN193" s="41" t="n"/>
      <c r="AO193" s="41" t="n"/>
      <c r="AP193" s="41" t="n"/>
      <c r="AQ193" s="41" t="n"/>
      <c r="AR193" s="41" t="n"/>
      <c r="AS193" s="41" t="n"/>
      <c r="AT193" s="41" t="n"/>
      <c r="AU193" s="41" t="n"/>
      <c r="AV193" s="41" t="n"/>
      <c r="AW193" s="41" t="n"/>
      <c r="AX193" s="41" t="n"/>
      <c r="AY193" s="41" t="n"/>
      <c r="AZ193" s="33" t="n"/>
      <c r="BA193" s="41" t="n"/>
      <c r="BB193" s="41" t="n"/>
      <c r="BC193" s="41" t="n"/>
      <c r="BD193" s="41" t="n"/>
      <c r="BE193" s="41" t="n"/>
      <c r="BF193" s="41" t="n"/>
      <c r="BG193" s="41" t="n"/>
      <c r="BH193" s="41" t="n"/>
      <c r="BI193" s="41" t="n"/>
      <c r="BJ193" s="41" t="n"/>
      <c r="BK193" s="41" t="n"/>
      <c r="BL193" s="41" t="n"/>
      <c r="BM193" s="41" t="n"/>
      <c r="BN193" s="41" t="n"/>
    </row>
    <row r="194" ht="18" customHeight="1" s="82">
      <c r="A194" s="36" t="n"/>
      <c r="B194" s="36" t="n"/>
      <c r="C194" s="36" t="n"/>
      <c r="D194" s="36" t="n"/>
      <c r="E194" s="37" t="n"/>
      <c r="F194" s="37" t="n"/>
      <c r="G194" s="37" t="n"/>
      <c r="H194" s="37" t="n"/>
      <c r="I194" s="37" t="n"/>
      <c r="J194" s="37" t="n"/>
      <c r="K194" s="37" t="n"/>
      <c r="L194" s="37" t="n"/>
      <c r="M194" s="37" t="n"/>
      <c r="N194" s="37" t="n"/>
      <c r="O194" s="37" t="n"/>
      <c r="P194" s="37" t="n"/>
      <c r="Q194" s="37" t="n"/>
      <c r="R194" s="37" t="n"/>
      <c r="S194" s="37" t="n"/>
      <c r="T194" s="37" t="n"/>
      <c r="U194" s="37" t="n"/>
      <c r="V194" s="37" t="n"/>
      <c r="W194" s="32" t="n"/>
      <c r="X194" s="37" t="n"/>
      <c r="Y194" s="37" t="n"/>
      <c r="Z194" s="37" t="n"/>
      <c r="AA194" s="37" t="n"/>
      <c r="AB194" s="37" t="n"/>
      <c r="AC194" s="37" t="n"/>
      <c r="AD194" s="32" t="n"/>
      <c r="AE194" s="37" t="n"/>
      <c r="AF194" s="38" t="n"/>
      <c r="AG194" s="67">
        <f>IF(OR(AF194="",AE194=""),"",IFERROR(AF194*INDEX(FXRates[USD per unit],MATCH(AE194,FXRates[Currency],0)),"No rate"))</f>
        <v/>
      </c>
      <c r="AH194" s="36" t="n"/>
      <c r="AI194" s="36" t="n"/>
      <c r="AJ194" s="39">
        <f>IF(A194="","",IF(COUNTIF($A$6:$A$504,A194)&gt;1,"⚠ Duplicate",""))</f>
        <v/>
      </c>
      <c r="AK194" s="38" t="n"/>
      <c r="AL194" s="40" t="n"/>
      <c r="AM194" s="40" t="n"/>
      <c r="AN194" s="40" t="n"/>
      <c r="AO194" s="40" t="n"/>
      <c r="AP194" s="40" t="n"/>
      <c r="AQ194" s="40" t="n"/>
      <c r="AR194" s="40" t="n"/>
      <c r="AS194" s="40" t="n"/>
      <c r="AT194" s="40" t="n"/>
      <c r="AU194" s="40" t="n"/>
      <c r="AV194" s="40" t="n"/>
      <c r="AW194" s="40" t="n"/>
      <c r="AX194" s="40" t="n"/>
      <c r="AY194" s="40" t="n"/>
      <c r="AZ194" s="38" t="n"/>
      <c r="BA194" s="40" t="n"/>
      <c r="BB194" s="40" t="n"/>
      <c r="BC194" s="40" t="n"/>
      <c r="BD194" s="40" t="n"/>
      <c r="BE194" s="40" t="n"/>
      <c r="BF194" s="40" t="n"/>
      <c r="BG194" s="40" t="n"/>
      <c r="BH194" s="40" t="n"/>
      <c r="BI194" s="40" t="n"/>
      <c r="BJ194" s="40" t="n"/>
      <c r="BK194" s="40" t="n"/>
      <c r="BL194" s="40" t="n"/>
      <c r="BM194" s="40" t="n"/>
      <c r="BN194" s="40" t="n"/>
    </row>
    <row r="195" ht="18" customHeight="1" s="82">
      <c r="A195" s="30" t="n"/>
      <c r="B195" s="30" t="n"/>
      <c r="C195" s="30" t="n"/>
      <c r="D195" s="30" t="n"/>
      <c r="E195" s="31" t="n"/>
      <c r="F195" s="31" t="n"/>
      <c r="G195" s="31" t="n"/>
      <c r="H195" s="31" t="n"/>
      <c r="I195" s="31" t="n"/>
      <c r="J195" s="31" t="n"/>
      <c r="K195" s="31" t="n"/>
      <c r="L195" s="31" t="n"/>
      <c r="M195" s="31" t="n"/>
      <c r="N195" s="31" t="n"/>
      <c r="O195" s="31" t="n"/>
      <c r="P195" s="31" t="n"/>
      <c r="Q195" s="31" t="n"/>
      <c r="R195" s="31" t="n"/>
      <c r="S195" s="31" t="n"/>
      <c r="T195" s="31" t="n"/>
      <c r="U195" s="31" t="n"/>
      <c r="V195" s="31" t="n"/>
      <c r="W195" s="32" t="n"/>
      <c r="X195" s="31" t="n"/>
      <c r="Y195" s="31" t="n"/>
      <c r="Z195" s="31" t="n"/>
      <c r="AA195" s="31" t="n"/>
      <c r="AB195" s="31" t="n"/>
      <c r="AC195" s="31" t="n"/>
      <c r="AD195" s="32" t="n"/>
      <c r="AE195" s="31" t="n"/>
      <c r="AF195" s="33" t="n"/>
      <c r="AG195" s="66">
        <f>IF(OR(AF195="",AE195=""),"",IFERROR(AF195*INDEX(FXRates[USD per unit],MATCH(AE195,FXRates[Currency],0)),"No rate"))</f>
        <v/>
      </c>
      <c r="AH195" s="30" t="n"/>
      <c r="AI195" s="30" t="n"/>
      <c r="AJ195" s="34">
        <f>IF(A195="","",IF(COUNTIF($A$6:$A$504,A195)&gt;1,"⚠ Duplicate",""))</f>
        <v/>
      </c>
      <c r="AK195" s="33" t="n"/>
      <c r="AL195" s="41" t="n"/>
      <c r="AM195" s="41" t="n"/>
      <c r="AN195" s="41" t="n"/>
      <c r="AO195" s="41" t="n"/>
      <c r="AP195" s="41" t="n"/>
      <c r="AQ195" s="41" t="n"/>
      <c r="AR195" s="41" t="n"/>
      <c r="AS195" s="41" t="n"/>
      <c r="AT195" s="41" t="n"/>
      <c r="AU195" s="41" t="n"/>
      <c r="AV195" s="41" t="n"/>
      <c r="AW195" s="41" t="n"/>
      <c r="AX195" s="41" t="n"/>
      <c r="AY195" s="41" t="n"/>
      <c r="AZ195" s="33" t="n"/>
      <c r="BA195" s="41" t="n"/>
      <c r="BB195" s="41" t="n"/>
      <c r="BC195" s="41" t="n"/>
      <c r="BD195" s="41" t="n"/>
      <c r="BE195" s="41" t="n"/>
      <c r="BF195" s="41" t="n"/>
      <c r="BG195" s="41" t="n"/>
      <c r="BH195" s="41" t="n"/>
      <c r="BI195" s="41" t="n"/>
      <c r="BJ195" s="41" t="n"/>
      <c r="BK195" s="41" t="n"/>
      <c r="BL195" s="41" t="n"/>
      <c r="BM195" s="41" t="n"/>
      <c r="BN195" s="41" t="n"/>
    </row>
    <row r="196" ht="18" customHeight="1" s="82">
      <c r="A196" s="36" t="n"/>
      <c r="B196" s="36" t="n"/>
      <c r="C196" s="36" t="n"/>
      <c r="D196" s="36" t="n"/>
      <c r="E196" s="37" t="n"/>
      <c r="F196" s="37" t="n"/>
      <c r="G196" s="37" t="n"/>
      <c r="H196" s="37" t="n"/>
      <c r="I196" s="37" t="n"/>
      <c r="J196" s="37" t="n"/>
      <c r="K196" s="37" t="n"/>
      <c r="L196" s="37" t="n"/>
      <c r="M196" s="37" t="n"/>
      <c r="N196" s="37" t="n"/>
      <c r="O196" s="37" t="n"/>
      <c r="P196" s="37" t="n"/>
      <c r="Q196" s="37" t="n"/>
      <c r="R196" s="37" t="n"/>
      <c r="S196" s="37" t="n"/>
      <c r="T196" s="37" t="n"/>
      <c r="U196" s="37" t="n"/>
      <c r="V196" s="37" t="n"/>
      <c r="W196" s="32" t="n"/>
      <c r="X196" s="37" t="n"/>
      <c r="Y196" s="37" t="n"/>
      <c r="Z196" s="37" t="n"/>
      <c r="AA196" s="37" t="n"/>
      <c r="AB196" s="37" t="n"/>
      <c r="AC196" s="37" t="n"/>
      <c r="AD196" s="32" t="n"/>
      <c r="AE196" s="37" t="n"/>
      <c r="AF196" s="38" t="n"/>
      <c r="AG196" s="67">
        <f>IF(OR(AF196="",AE196=""),"",IFERROR(AF196*INDEX(FXRates[USD per unit],MATCH(AE196,FXRates[Currency],0)),"No rate"))</f>
        <v/>
      </c>
      <c r="AH196" s="36" t="n"/>
      <c r="AI196" s="36" t="n"/>
      <c r="AJ196" s="39">
        <f>IF(A196="","",IF(COUNTIF($A$6:$A$504,A196)&gt;1,"⚠ Duplicate",""))</f>
        <v/>
      </c>
      <c r="AK196" s="38" t="n"/>
      <c r="AL196" s="40" t="n"/>
      <c r="AM196" s="40" t="n"/>
      <c r="AN196" s="40" t="n"/>
      <c r="AO196" s="40" t="n"/>
      <c r="AP196" s="40" t="n"/>
      <c r="AQ196" s="40" t="n"/>
      <c r="AR196" s="40" t="n"/>
      <c r="AS196" s="40" t="n"/>
      <c r="AT196" s="40" t="n"/>
      <c r="AU196" s="40" t="n"/>
      <c r="AV196" s="40" t="n"/>
      <c r="AW196" s="40" t="n"/>
      <c r="AX196" s="40" t="n"/>
      <c r="AY196" s="40" t="n"/>
      <c r="AZ196" s="38" t="n"/>
      <c r="BA196" s="40" t="n"/>
      <c r="BB196" s="40" t="n"/>
      <c r="BC196" s="40" t="n"/>
      <c r="BD196" s="40" t="n"/>
      <c r="BE196" s="40" t="n"/>
      <c r="BF196" s="40" t="n"/>
      <c r="BG196" s="40" t="n"/>
      <c r="BH196" s="40" t="n"/>
      <c r="BI196" s="40" t="n"/>
      <c r="BJ196" s="40" t="n"/>
      <c r="BK196" s="40" t="n"/>
      <c r="BL196" s="40" t="n"/>
      <c r="BM196" s="40" t="n"/>
      <c r="BN196" s="40" t="n"/>
    </row>
    <row r="197" ht="18" customHeight="1" s="82">
      <c r="A197" s="30" t="n"/>
      <c r="B197" s="30" t="n"/>
      <c r="C197" s="30" t="n"/>
      <c r="D197" s="30" t="n"/>
      <c r="E197" s="31" t="n"/>
      <c r="F197" s="31" t="n"/>
      <c r="G197" s="31" t="n"/>
      <c r="H197" s="31" t="n"/>
      <c r="I197" s="31" t="n"/>
      <c r="J197" s="31" t="n"/>
      <c r="K197" s="31" t="n"/>
      <c r="L197" s="31" t="n"/>
      <c r="M197" s="31" t="n"/>
      <c r="N197" s="31" t="n"/>
      <c r="O197" s="31" t="n"/>
      <c r="P197" s="31" t="n"/>
      <c r="Q197" s="31" t="n"/>
      <c r="R197" s="31" t="n"/>
      <c r="S197" s="31" t="n"/>
      <c r="T197" s="31" t="n"/>
      <c r="U197" s="31" t="n"/>
      <c r="V197" s="31" t="n"/>
      <c r="W197" s="32" t="n"/>
      <c r="X197" s="31" t="n"/>
      <c r="Y197" s="31" t="n"/>
      <c r="Z197" s="31" t="n"/>
      <c r="AA197" s="31" t="n"/>
      <c r="AB197" s="31" t="n"/>
      <c r="AC197" s="31" t="n"/>
      <c r="AD197" s="32" t="n"/>
      <c r="AE197" s="31" t="n"/>
      <c r="AF197" s="33" t="n"/>
      <c r="AG197" s="66">
        <f>IF(OR(AF197="",AE197=""),"",IFERROR(AF197*INDEX(FXRates[USD per unit],MATCH(AE197,FXRates[Currency],0)),"No rate"))</f>
        <v/>
      </c>
      <c r="AH197" s="30" t="n"/>
      <c r="AI197" s="30" t="n"/>
      <c r="AJ197" s="34">
        <f>IF(A197="","",IF(COUNTIF($A$6:$A$504,A197)&gt;1,"⚠ Duplicate",""))</f>
        <v/>
      </c>
      <c r="AK197" s="33" t="n"/>
      <c r="AL197" s="41" t="n"/>
      <c r="AM197" s="41" t="n"/>
      <c r="AN197" s="41" t="n"/>
      <c r="AO197" s="41" t="n"/>
      <c r="AP197" s="41" t="n"/>
      <c r="AQ197" s="41" t="n"/>
      <c r="AR197" s="41" t="n"/>
      <c r="AS197" s="41" t="n"/>
      <c r="AT197" s="41" t="n"/>
      <c r="AU197" s="41" t="n"/>
      <c r="AV197" s="41" t="n"/>
      <c r="AW197" s="41" t="n"/>
      <c r="AX197" s="41" t="n"/>
      <c r="AY197" s="41" t="n"/>
      <c r="AZ197" s="33" t="n"/>
      <c r="BA197" s="41" t="n"/>
      <c r="BB197" s="41" t="n"/>
      <c r="BC197" s="41" t="n"/>
      <c r="BD197" s="41" t="n"/>
      <c r="BE197" s="41" t="n"/>
      <c r="BF197" s="41" t="n"/>
      <c r="BG197" s="41" t="n"/>
      <c r="BH197" s="41" t="n"/>
      <c r="BI197" s="41" t="n"/>
      <c r="BJ197" s="41" t="n"/>
      <c r="BK197" s="41" t="n"/>
      <c r="BL197" s="41" t="n"/>
      <c r="BM197" s="41" t="n"/>
      <c r="BN197" s="41" t="n"/>
    </row>
    <row r="198" ht="18" customHeight="1" s="82">
      <c r="A198" s="36" t="n"/>
      <c r="B198" s="36" t="n"/>
      <c r="C198" s="36" t="n"/>
      <c r="D198" s="36" t="n"/>
      <c r="E198" s="37" t="n"/>
      <c r="F198" s="37" t="n"/>
      <c r="G198" s="37" t="n"/>
      <c r="H198" s="37" t="n"/>
      <c r="I198" s="37" t="n"/>
      <c r="J198" s="37" t="n"/>
      <c r="K198" s="37" t="n"/>
      <c r="L198" s="37" t="n"/>
      <c r="M198" s="37" t="n"/>
      <c r="N198" s="37" t="n"/>
      <c r="O198" s="37" t="n"/>
      <c r="P198" s="37" t="n"/>
      <c r="Q198" s="37" t="n"/>
      <c r="R198" s="37" t="n"/>
      <c r="S198" s="37" t="n"/>
      <c r="T198" s="37" t="n"/>
      <c r="U198" s="37" t="n"/>
      <c r="V198" s="37" t="n"/>
      <c r="W198" s="32" t="n"/>
      <c r="X198" s="37" t="n"/>
      <c r="Y198" s="37" t="n"/>
      <c r="Z198" s="37" t="n"/>
      <c r="AA198" s="37" t="n"/>
      <c r="AB198" s="37" t="n"/>
      <c r="AC198" s="37" t="n"/>
      <c r="AD198" s="32" t="n"/>
      <c r="AE198" s="37" t="n"/>
      <c r="AF198" s="38" t="n"/>
      <c r="AG198" s="67">
        <f>IF(OR(AF198="",AE198=""),"",IFERROR(AF198*INDEX(FXRates[USD per unit],MATCH(AE198,FXRates[Currency],0)),"No rate"))</f>
        <v/>
      </c>
      <c r="AH198" s="36" t="n"/>
      <c r="AI198" s="36" t="n"/>
      <c r="AJ198" s="39">
        <f>IF(A198="","",IF(COUNTIF($A$6:$A$504,A198)&gt;1,"⚠ Duplicate",""))</f>
        <v/>
      </c>
      <c r="AK198" s="38" t="n"/>
      <c r="AL198" s="40" t="n"/>
      <c r="AM198" s="40" t="n"/>
      <c r="AN198" s="40" t="n"/>
      <c r="AO198" s="40" t="n"/>
      <c r="AP198" s="40" t="n"/>
      <c r="AQ198" s="40" t="n"/>
      <c r="AR198" s="40" t="n"/>
      <c r="AS198" s="40" t="n"/>
      <c r="AT198" s="40" t="n"/>
      <c r="AU198" s="40" t="n"/>
      <c r="AV198" s="40" t="n"/>
      <c r="AW198" s="40" t="n"/>
      <c r="AX198" s="40" t="n"/>
      <c r="AY198" s="40" t="n"/>
      <c r="AZ198" s="38" t="n"/>
      <c r="BA198" s="40" t="n"/>
      <c r="BB198" s="40" t="n"/>
      <c r="BC198" s="40" t="n"/>
      <c r="BD198" s="40" t="n"/>
      <c r="BE198" s="40" t="n"/>
      <c r="BF198" s="40" t="n"/>
      <c r="BG198" s="40" t="n"/>
      <c r="BH198" s="40" t="n"/>
      <c r="BI198" s="40" t="n"/>
      <c r="BJ198" s="40" t="n"/>
      <c r="BK198" s="40" t="n"/>
      <c r="BL198" s="40" t="n"/>
      <c r="BM198" s="40" t="n"/>
      <c r="BN198" s="40" t="n"/>
    </row>
    <row r="199" ht="18" customHeight="1" s="82">
      <c r="A199" s="30" t="n"/>
      <c r="B199" s="30" t="n"/>
      <c r="C199" s="30" t="n"/>
      <c r="D199" s="30" t="n"/>
      <c r="E199" s="31" t="n"/>
      <c r="F199" s="31" t="n"/>
      <c r="G199" s="31" t="n"/>
      <c r="H199" s="31" t="n"/>
      <c r="I199" s="31" t="n"/>
      <c r="J199" s="31" t="n"/>
      <c r="K199" s="31" t="n"/>
      <c r="L199" s="31" t="n"/>
      <c r="M199" s="31" t="n"/>
      <c r="N199" s="31" t="n"/>
      <c r="O199" s="31" t="n"/>
      <c r="P199" s="31" t="n"/>
      <c r="Q199" s="31" t="n"/>
      <c r="R199" s="31" t="n"/>
      <c r="S199" s="31" t="n"/>
      <c r="T199" s="31" t="n"/>
      <c r="U199" s="31" t="n"/>
      <c r="V199" s="31" t="n"/>
      <c r="W199" s="32" t="n"/>
      <c r="X199" s="31" t="n"/>
      <c r="Y199" s="31" t="n"/>
      <c r="Z199" s="31" t="n"/>
      <c r="AA199" s="31" t="n"/>
      <c r="AB199" s="31" t="n"/>
      <c r="AC199" s="31" t="n"/>
      <c r="AD199" s="32" t="n"/>
      <c r="AE199" s="31" t="n"/>
      <c r="AF199" s="33" t="n"/>
      <c r="AG199" s="66">
        <f>IF(OR(AF199="",AE199=""),"",IFERROR(AF199*INDEX(FXRates[USD per unit],MATCH(AE199,FXRates[Currency],0)),"No rate"))</f>
        <v/>
      </c>
      <c r="AH199" s="30" t="n"/>
      <c r="AI199" s="30" t="n"/>
      <c r="AJ199" s="34">
        <f>IF(A199="","",IF(COUNTIF($A$6:$A$504,A199)&gt;1,"⚠ Duplicate",""))</f>
        <v/>
      </c>
      <c r="AK199" s="33" t="n"/>
      <c r="AL199" s="41" t="n"/>
      <c r="AM199" s="41" t="n"/>
      <c r="AN199" s="41" t="n"/>
      <c r="AO199" s="41" t="n"/>
      <c r="AP199" s="41" t="n"/>
      <c r="AQ199" s="41" t="n"/>
      <c r="AR199" s="41" t="n"/>
      <c r="AS199" s="41" t="n"/>
      <c r="AT199" s="41" t="n"/>
      <c r="AU199" s="41" t="n"/>
      <c r="AV199" s="41" t="n"/>
      <c r="AW199" s="41" t="n"/>
      <c r="AX199" s="41" t="n"/>
      <c r="AY199" s="41" t="n"/>
      <c r="AZ199" s="33" t="n"/>
      <c r="BA199" s="41" t="n"/>
      <c r="BB199" s="41" t="n"/>
      <c r="BC199" s="41" t="n"/>
      <c r="BD199" s="41" t="n"/>
      <c r="BE199" s="41" t="n"/>
      <c r="BF199" s="41" t="n"/>
      <c r="BG199" s="41" t="n"/>
      <c r="BH199" s="41" t="n"/>
      <c r="BI199" s="41" t="n"/>
      <c r="BJ199" s="41" t="n"/>
      <c r="BK199" s="41" t="n"/>
      <c r="BL199" s="41" t="n"/>
      <c r="BM199" s="41" t="n"/>
      <c r="BN199" s="41" t="n"/>
    </row>
    <row r="200" ht="18" customHeight="1" s="82">
      <c r="A200" s="36" t="n"/>
      <c r="B200" s="36" t="n"/>
      <c r="C200" s="36" t="n"/>
      <c r="D200" s="36" t="n"/>
      <c r="E200" s="37" t="n"/>
      <c r="F200" s="37" t="n"/>
      <c r="G200" s="37" t="n"/>
      <c r="H200" s="37" t="n"/>
      <c r="I200" s="37" t="n"/>
      <c r="J200" s="37" t="n"/>
      <c r="K200" s="37" t="n"/>
      <c r="L200" s="37" t="n"/>
      <c r="M200" s="37" t="n"/>
      <c r="N200" s="37" t="n"/>
      <c r="O200" s="37" t="n"/>
      <c r="P200" s="37" t="n"/>
      <c r="Q200" s="37" t="n"/>
      <c r="R200" s="37" t="n"/>
      <c r="S200" s="37" t="n"/>
      <c r="T200" s="37" t="n"/>
      <c r="U200" s="37" t="n"/>
      <c r="V200" s="37" t="n"/>
      <c r="W200" s="32" t="n"/>
      <c r="X200" s="37" t="n"/>
      <c r="Y200" s="37" t="n"/>
      <c r="Z200" s="37" t="n"/>
      <c r="AA200" s="37" t="n"/>
      <c r="AB200" s="37" t="n"/>
      <c r="AC200" s="37" t="n"/>
      <c r="AD200" s="32" t="n"/>
      <c r="AE200" s="37" t="n"/>
      <c r="AF200" s="38" t="n"/>
      <c r="AG200" s="67">
        <f>IF(OR(AF200="",AE200=""),"",IFERROR(AF200*INDEX(FXRates[USD per unit],MATCH(AE200,FXRates[Currency],0)),"No rate"))</f>
        <v/>
      </c>
      <c r="AH200" s="36" t="n"/>
      <c r="AI200" s="36" t="n"/>
      <c r="AJ200" s="39">
        <f>IF(A200="","",IF(COUNTIF($A$6:$A$504,A200)&gt;1,"⚠ Duplicate",""))</f>
        <v/>
      </c>
      <c r="AK200" s="38" t="n"/>
      <c r="AL200" s="40" t="n"/>
      <c r="AM200" s="40" t="n"/>
      <c r="AN200" s="40" t="n"/>
      <c r="AO200" s="40" t="n"/>
      <c r="AP200" s="40" t="n"/>
      <c r="AQ200" s="40" t="n"/>
      <c r="AR200" s="40" t="n"/>
      <c r="AS200" s="40" t="n"/>
      <c r="AT200" s="40" t="n"/>
      <c r="AU200" s="40" t="n"/>
      <c r="AV200" s="40" t="n"/>
      <c r="AW200" s="40" t="n"/>
      <c r="AX200" s="40" t="n"/>
      <c r="AY200" s="40" t="n"/>
      <c r="AZ200" s="38" t="n"/>
      <c r="BA200" s="40" t="n"/>
      <c r="BB200" s="40" t="n"/>
      <c r="BC200" s="40" t="n"/>
      <c r="BD200" s="40" t="n"/>
      <c r="BE200" s="40" t="n"/>
      <c r="BF200" s="40" t="n"/>
      <c r="BG200" s="40" t="n"/>
      <c r="BH200" s="40" t="n"/>
      <c r="BI200" s="40" t="n"/>
      <c r="BJ200" s="40" t="n"/>
      <c r="BK200" s="40" t="n"/>
      <c r="BL200" s="40" t="n"/>
      <c r="BM200" s="40" t="n"/>
      <c r="BN200" s="40" t="n"/>
    </row>
    <row r="201" ht="18" customHeight="1" s="82">
      <c r="A201" s="30" t="n"/>
      <c r="B201" s="30" t="n"/>
      <c r="C201" s="30" t="n"/>
      <c r="D201" s="30" t="n"/>
      <c r="E201" s="31" t="n"/>
      <c r="F201" s="31" t="n"/>
      <c r="G201" s="31" t="n"/>
      <c r="H201" s="31" t="n"/>
      <c r="I201" s="31" t="n"/>
      <c r="J201" s="31" t="n"/>
      <c r="K201" s="31" t="n"/>
      <c r="L201" s="31" t="n"/>
      <c r="M201" s="31" t="n"/>
      <c r="N201" s="31" t="n"/>
      <c r="O201" s="31" t="n"/>
      <c r="P201" s="31" t="n"/>
      <c r="Q201" s="31" t="n"/>
      <c r="R201" s="31" t="n"/>
      <c r="S201" s="31" t="n"/>
      <c r="T201" s="31" t="n"/>
      <c r="U201" s="31" t="n"/>
      <c r="V201" s="31" t="n"/>
      <c r="W201" s="32" t="n"/>
      <c r="X201" s="31" t="n"/>
      <c r="Y201" s="31" t="n"/>
      <c r="Z201" s="31" t="n"/>
      <c r="AA201" s="31" t="n"/>
      <c r="AB201" s="31" t="n"/>
      <c r="AC201" s="31" t="n"/>
      <c r="AD201" s="32" t="n"/>
      <c r="AE201" s="31" t="n"/>
      <c r="AF201" s="33" t="n"/>
      <c r="AG201" s="66">
        <f>IF(OR(AF201="",AE201=""),"",IFERROR(AF201*INDEX(FXRates[USD per unit],MATCH(AE201,FXRates[Currency],0)),"No rate"))</f>
        <v/>
      </c>
      <c r="AH201" s="30" t="n"/>
      <c r="AI201" s="30" t="n"/>
      <c r="AJ201" s="34">
        <f>IF(A201="","",IF(COUNTIF($A$6:$A$504,A201)&gt;1,"⚠ Duplicate",""))</f>
        <v/>
      </c>
      <c r="AK201" s="33" t="n"/>
      <c r="AL201" s="41" t="n"/>
      <c r="AM201" s="41" t="n"/>
      <c r="AN201" s="41" t="n"/>
      <c r="AO201" s="41" t="n"/>
      <c r="AP201" s="41" t="n"/>
      <c r="AQ201" s="41" t="n"/>
      <c r="AR201" s="41" t="n"/>
      <c r="AS201" s="41" t="n"/>
      <c r="AT201" s="41" t="n"/>
      <c r="AU201" s="41" t="n"/>
      <c r="AV201" s="41" t="n"/>
      <c r="AW201" s="41" t="n"/>
      <c r="AX201" s="41" t="n"/>
      <c r="AY201" s="41" t="n"/>
      <c r="AZ201" s="33" t="n"/>
      <c r="BA201" s="41" t="n"/>
      <c r="BB201" s="41" t="n"/>
      <c r="BC201" s="41" t="n"/>
      <c r="BD201" s="41" t="n"/>
      <c r="BE201" s="41" t="n"/>
      <c r="BF201" s="41" t="n"/>
      <c r="BG201" s="41" t="n"/>
      <c r="BH201" s="41" t="n"/>
      <c r="BI201" s="41" t="n"/>
      <c r="BJ201" s="41" t="n"/>
      <c r="BK201" s="41" t="n"/>
      <c r="BL201" s="41" t="n"/>
      <c r="BM201" s="41" t="n"/>
      <c r="BN201" s="41" t="n"/>
    </row>
    <row r="202" ht="18" customHeight="1" s="82">
      <c r="A202" s="36" t="n"/>
      <c r="B202" s="36" t="n"/>
      <c r="C202" s="36" t="n"/>
      <c r="D202" s="36" t="n"/>
      <c r="E202" s="37" t="n"/>
      <c r="F202" s="37" t="n"/>
      <c r="G202" s="37" t="n"/>
      <c r="H202" s="37" t="n"/>
      <c r="I202" s="37" t="n"/>
      <c r="J202" s="37" t="n"/>
      <c r="K202" s="37" t="n"/>
      <c r="L202" s="37" t="n"/>
      <c r="M202" s="37" t="n"/>
      <c r="N202" s="37" t="n"/>
      <c r="O202" s="37" t="n"/>
      <c r="P202" s="37" t="n"/>
      <c r="Q202" s="37" t="n"/>
      <c r="R202" s="37" t="n"/>
      <c r="S202" s="37" t="n"/>
      <c r="T202" s="37" t="n"/>
      <c r="U202" s="37" t="n"/>
      <c r="V202" s="37" t="n"/>
      <c r="W202" s="32" t="n"/>
      <c r="X202" s="37" t="n"/>
      <c r="Y202" s="37" t="n"/>
      <c r="Z202" s="37" t="n"/>
      <c r="AA202" s="37" t="n"/>
      <c r="AB202" s="37" t="n"/>
      <c r="AC202" s="37" t="n"/>
      <c r="AD202" s="32" t="n"/>
      <c r="AE202" s="37" t="n"/>
      <c r="AF202" s="38" t="n"/>
      <c r="AG202" s="67">
        <f>IF(OR(AF202="",AE202=""),"",IFERROR(AF202*INDEX(FXRates[USD per unit],MATCH(AE202,FXRates[Currency],0)),"No rate"))</f>
        <v/>
      </c>
      <c r="AH202" s="36" t="n"/>
      <c r="AI202" s="36" t="n"/>
      <c r="AJ202" s="39">
        <f>IF(A202="","",IF(COUNTIF($A$6:$A$504,A202)&gt;1,"⚠ Duplicate",""))</f>
        <v/>
      </c>
      <c r="AK202" s="38" t="n"/>
      <c r="AL202" s="40" t="n"/>
      <c r="AM202" s="40" t="n"/>
      <c r="AN202" s="40" t="n"/>
      <c r="AO202" s="40" t="n"/>
      <c r="AP202" s="40" t="n"/>
      <c r="AQ202" s="40" t="n"/>
      <c r="AR202" s="40" t="n"/>
      <c r="AS202" s="40" t="n"/>
      <c r="AT202" s="40" t="n"/>
      <c r="AU202" s="40" t="n"/>
      <c r="AV202" s="40" t="n"/>
      <c r="AW202" s="40" t="n"/>
      <c r="AX202" s="40" t="n"/>
      <c r="AY202" s="40" t="n"/>
      <c r="AZ202" s="38" t="n"/>
      <c r="BA202" s="40" t="n"/>
      <c r="BB202" s="40" t="n"/>
      <c r="BC202" s="40" t="n"/>
      <c r="BD202" s="40" t="n"/>
      <c r="BE202" s="40" t="n"/>
      <c r="BF202" s="40" t="n"/>
      <c r="BG202" s="40" t="n"/>
      <c r="BH202" s="40" t="n"/>
      <c r="BI202" s="40" t="n"/>
      <c r="BJ202" s="40" t="n"/>
      <c r="BK202" s="40" t="n"/>
      <c r="BL202" s="40" t="n"/>
      <c r="BM202" s="40" t="n"/>
      <c r="BN202" s="40" t="n"/>
    </row>
    <row r="203" ht="18" customHeight="1" s="82">
      <c r="A203" s="30" t="n"/>
      <c r="B203" s="30" t="n"/>
      <c r="C203" s="30" t="n"/>
      <c r="D203" s="30" t="n"/>
      <c r="E203" s="31" t="n"/>
      <c r="F203" s="31" t="n"/>
      <c r="G203" s="31" t="n"/>
      <c r="H203" s="31" t="n"/>
      <c r="I203" s="31" t="n"/>
      <c r="J203" s="31" t="n"/>
      <c r="K203" s="31" t="n"/>
      <c r="L203" s="31" t="n"/>
      <c r="M203" s="31" t="n"/>
      <c r="N203" s="31" t="n"/>
      <c r="O203" s="31" t="n"/>
      <c r="P203" s="31" t="n"/>
      <c r="Q203" s="31" t="n"/>
      <c r="R203" s="31" t="n"/>
      <c r="S203" s="31" t="n"/>
      <c r="T203" s="31" t="n"/>
      <c r="U203" s="31" t="n"/>
      <c r="V203" s="31" t="n"/>
      <c r="W203" s="32" t="n"/>
      <c r="X203" s="31" t="n"/>
      <c r="Y203" s="31" t="n"/>
      <c r="Z203" s="31" t="n"/>
      <c r="AA203" s="31" t="n"/>
      <c r="AB203" s="31" t="n"/>
      <c r="AC203" s="31" t="n"/>
      <c r="AD203" s="32" t="n"/>
      <c r="AE203" s="31" t="n"/>
      <c r="AF203" s="33" t="n"/>
      <c r="AG203" s="66">
        <f>IF(OR(AF203="",AE203=""),"",IFERROR(AF203*INDEX(FXRates[USD per unit],MATCH(AE203,FXRates[Currency],0)),"No rate"))</f>
        <v/>
      </c>
      <c r="AH203" s="30" t="n"/>
      <c r="AI203" s="30" t="n"/>
      <c r="AJ203" s="34">
        <f>IF(A203="","",IF(COUNTIF($A$6:$A$504,A203)&gt;1,"⚠ Duplicate",""))</f>
        <v/>
      </c>
      <c r="AK203" s="33" t="n"/>
      <c r="AL203" s="41" t="n"/>
      <c r="AM203" s="41" t="n"/>
      <c r="AN203" s="41" t="n"/>
      <c r="AO203" s="41" t="n"/>
      <c r="AP203" s="41" t="n"/>
      <c r="AQ203" s="41" t="n"/>
      <c r="AR203" s="41" t="n"/>
      <c r="AS203" s="41" t="n"/>
      <c r="AT203" s="41" t="n"/>
      <c r="AU203" s="41" t="n"/>
      <c r="AV203" s="41" t="n"/>
      <c r="AW203" s="41" t="n"/>
      <c r="AX203" s="41" t="n"/>
      <c r="AY203" s="41" t="n"/>
      <c r="AZ203" s="33" t="n"/>
      <c r="BA203" s="41" t="n"/>
      <c r="BB203" s="41" t="n"/>
      <c r="BC203" s="41" t="n"/>
      <c r="BD203" s="41" t="n"/>
      <c r="BE203" s="41" t="n"/>
      <c r="BF203" s="41" t="n"/>
      <c r="BG203" s="41" t="n"/>
      <c r="BH203" s="41" t="n"/>
      <c r="BI203" s="41" t="n"/>
      <c r="BJ203" s="41" t="n"/>
      <c r="BK203" s="41" t="n"/>
      <c r="BL203" s="41" t="n"/>
      <c r="BM203" s="41" t="n"/>
      <c r="BN203" s="41" t="n"/>
    </row>
    <row r="204" ht="18" customHeight="1" s="82">
      <c r="A204" s="36" t="n"/>
      <c r="B204" s="36" t="n"/>
      <c r="C204" s="36" t="n"/>
      <c r="D204" s="36" t="n"/>
      <c r="E204" s="37" t="n"/>
      <c r="F204" s="37" t="n"/>
      <c r="G204" s="37" t="n"/>
      <c r="H204" s="37" t="n"/>
      <c r="I204" s="37" t="n"/>
      <c r="J204" s="37" t="n"/>
      <c r="K204" s="37" t="n"/>
      <c r="L204" s="37" t="n"/>
      <c r="M204" s="37" t="n"/>
      <c r="N204" s="37" t="n"/>
      <c r="O204" s="37" t="n"/>
      <c r="P204" s="37" t="n"/>
      <c r="Q204" s="37" t="n"/>
      <c r="R204" s="37" t="n"/>
      <c r="S204" s="37" t="n"/>
      <c r="T204" s="37" t="n"/>
      <c r="U204" s="37" t="n"/>
      <c r="V204" s="37" t="n"/>
      <c r="W204" s="32" t="n"/>
      <c r="X204" s="37" t="n"/>
      <c r="Y204" s="37" t="n"/>
      <c r="Z204" s="37" t="n"/>
      <c r="AA204" s="37" t="n"/>
      <c r="AB204" s="37" t="n"/>
      <c r="AC204" s="37" t="n"/>
      <c r="AD204" s="32" t="n"/>
      <c r="AE204" s="37" t="n"/>
      <c r="AF204" s="38" t="n"/>
      <c r="AG204" s="67">
        <f>IF(OR(AF204="",AE204=""),"",IFERROR(AF204*INDEX(FXRates[USD per unit],MATCH(AE204,FXRates[Currency],0)),"No rate"))</f>
        <v/>
      </c>
      <c r="AH204" s="36" t="n"/>
      <c r="AI204" s="36" t="n"/>
      <c r="AJ204" s="39">
        <f>IF(A204="","",IF(COUNTIF($A$6:$A$504,A204)&gt;1,"⚠ Duplicate",""))</f>
        <v/>
      </c>
      <c r="AK204" s="38" t="n"/>
      <c r="AL204" s="40" t="n"/>
      <c r="AM204" s="40" t="n"/>
      <c r="AN204" s="40" t="n"/>
      <c r="AO204" s="40" t="n"/>
      <c r="AP204" s="40" t="n"/>
      <c r="AQ204" s="40" t="n"/>
      <c r="AR204" s="40" t="n"/>
      <c r="AS204" s="40" t="n"/>
      <c r="AT204" s="40" t="n"/>
      <c r="AU204" s="40" t="n"/>
      <c r="AV204" s="40" t="n"/>
      <c r="AW204" s="40" t="n"/>
      <c r="AX204" s="40" t="n"/>
      <c r="AY204" s="40" t="n"/>
      <c r="AZ204" s="38" t="n"/>
      <c r="BA204" s="40" t="n"/>
      <c r="BB204" s="40" t="n"/>
      <c r="BC204" s="40" t="n"/>
      <c r="BD204" s="40" t="n"/>
      <c r="BE204" s="40" t="n"/>
      <c r="BF204" s="40" t="n"/>
      <c r="BG204" s="40" t="n"/>
      <c r="BH204" s="40" t="n"/>
      <c r="BI204" s="40" t="n"/>
      <c r="BJ204" s="40" t="n"/>
      <c r="BK204" s="40" t="n"/>
      <c r="BL204" s="40" t="n"/>
      <c r="BM204" s="40" t="n"/>
      <c r="BN204" s="40" t="n"/>
    </row>
    <row r="205" ht="18" customHeight="1" s="82">
      <c r="A205" s="30" t="n"/>
      <c r="B205" s="30" t="n"/>
      <c r="C205" s="30" t="n"/>
      <c r="D205" s="30" t="n"/>
      <c r="E205" s="31" t="n"/>
      <c r="F205" s="31" t="n"/>
      <c r="G205" s="31" t="n"/>
      <c r="H205" s="31" t="n"/>
      <c r="I205" s="31" t="n"/>
      <c r="J205" s="31" t="n"/>
      <c r="K205" s="31" t="n"/>
      <c r="L205" s="31" t="n"/>
      <c r="M205" s="31" t="n"/>
      <c r="N205" s="31" t="n"/>
      <c r="O205" s="31" t="n"/>
      <c r="P205" s="31" t="n"/>
      <c r="Q205" s="31" t="n"/>
      <c r="R205" s="31" t="n"/>
      <c r="S205" s="31" t="n"/>
      <c r="T205" s="31" t="n"/>
      <c r="U205" s="31" t="n"/>
      <c r="V205" s="31" t="n"/>
      <c r="W205" s="32" t="n"/>
      <c r="X205" s="31" t="n"/>
      <c r="Y205" s="31" t="n"/>
      <c r="Z205" s="31" t="n"/>
      <c r="AA205" s="31" t="n"/>
      <c r="AB205" s="31" t="n"/>
      <c r="AC205" s="31" t="n"/>
      <c r="AD205" s="32" t="n"/>
      <c r="AE205" s="31" t="n"/>
      <c r="AF205" s="33" t="n"/>
      <c r="AG205" s="66">
        <f>IF(OR(AF205="",AE205=""),"",IFERROR(AF205*INDEX(FXRates[USD per unit],MATCH(AE205,FXRates[Currency],0)),"No rate"))</f>
        <v/>
      </c>
      <c r="AH205" s="30" t="n"/>
      <c r="AI205" s="30" t="n"/>
      <c r="AJ205" s="34">
        <f>IF(A205="","",IF(COUNTIF($A$6:$A$504,A205)&gt;1,"⚠ Duplicate",""))</f>
        <v/>
      </c>
      <c r="AK205" s="33" t="n"/>
      <c r="AL205" s="41" t="n"/>
      <c r="AM205" s="41" t="n"/>
      <c r="AN205" s="41" t="n"/>
      <c r="AO205" s="41" t="n"/>
      <c r="AP205" s="41" t="n"/>
      <c r="AQ205" s="41" t="n"/>
      <c r="AR205" s="41" t="n"/>
      <c r="AS205" s="41" t="n"/>
      <c r="AT205" s="41" t="n"/>
      <c r="AU205" s="41" t="n"/>
      <c r="AV205" s="41" t="n"/>
      <c r="AW205" s="41" t="n"/>
      <c r="AX205" s="41" t="n"/>
      <c r="AY205" s="41" t="n"/>
      <c r="AZ205" s="33" t="n"/>
      <c r="BA205" s="41" t="n"/>
      <c r="BB205" s="41" t="n"/>
      <c r="BC205" s="41" t="n"/>
      <c r="BD205" s="41" t="n"/>
      <c r="BE205" s="41" t="n"/>
      <c r="BF205" s="41" t="n"/>
      <c r="BG205" s="41" t="n"/>
      <c r="BH205" s="41" t="n"/>
      <c r="BI205" s="41" t="n"/>
      <c r="BJ205" s="41" t="n"/>
      <c r="BK205" s="41" t="n"/>
      <c r="BL205" s="41" t="n"/>
      <c r="BM205" s="41" t="n"/>
      <c r="BN205" s="41" t="n"/>
    </row>
    <row r="206" ht="18" customHeight="1" s="82">
      <c r="A206" s="36" t="n"/>
      <c r="B206" s="36" t="n"/>
      <c r="C206" s="36" t="n"/>
      <c r="D206" s="36" t="n"/>
      <c r="E206" s="37" t="n"/>
      <c r="F206" s="37" t="n"/>
      <c r="G206" s="37" t="n"/>
      <c r="H206" s="37" t="n"/>
      <c r="I206" s="37" t="n"/>
      <c r="J206" s="37" t="n"/>
      <c r="K206" s="37" t="n"/>
      <c r="L206" s="37" t="n"/>
      <c r="M206" s="37" t="n"/>
      <c r="N206" s="37" t="n"/>
      <c r="O206" s="37" t="n"/>
      <c r="P206" s="37" t="n"/>
      <c r="Q206" s="37" t="n"/>
      <c r="R206" s="37" t="n"/>
      <c r="S206" s="37" t="n"/>
      <c r="T206" s="37" t="n"/>
      <c r="U206" s="37" t="n"/>
      <c r="V206" s="37" t="n"/>
      <c r="W206" s="32" t="n"/>
      <c r="X206" s="37" t="n"/>
      <c r="Y206" s="37" t="n"/>
      <c r="Z206" s="37" t="n"/>
      <c r="AA206" s="37" t="n"/>
      <c r="AB206" s="37" t="n"/>
      <c r="AC206" s="37" t="n"/>
      <c r="AD206" s="32" t="n"/>
      <c r="AE206" s="37" t="n"/>
      <c r="AF206" s="38" t="n"/>
      <c r="AG206" s="67">
        <f>IF(OR(AF206="",AE206=""),"",IFERROR(AF206*INDEX(FXRates[USD per unit],MATCH(AE206,FXRates[Currency],0)),"No rate"))</f>
        <v/>
      </c>
      <c r="AH206" s="36" t="n"/>
      <c r="AI206" s="36" t="n"/>
      <c r="AJ206" s="39">
        <f>IF(A206="","",IF(COUNTIF($A$6:$A$504,A206)&gt;1,"⚠ Duplicate",""))</f>
        <v/>
      </c>
      <c r="AK206" s="38" t="n"/>
      <c r="AL206" s="40" t="n"/>
      <c r="AM206" s="40" t="n"/>
      <c r="AN206" s="40" t="n"/>
      <c r="AO206" s="40" t="n"/>
      <c r="AP206" s="40" t="n"/>
      <c r="AQ206" s="40" t="n"/>
      <c r="AR206" s="40" t="n"/>
      <c r="AS206" s="40" t="n"/>
      <c r="AT206" s="40" t="n"/>
      <c r="AU206" s="40" t="n"/>
      <c r="AV206" s="40" t="n"/>
      <c r="AW206" s="40" t="n"/>
      <c r="AX206" s="40" t="n"/>
      <c r="AY206" s="40" t="n"/>
      <c r="AZ206" s="38" t="n"/>
      <c r="BA206" s="40" t="n"/>
      <c r="BB206" s="40" t="n"/>
      <c r="BC206" s="40" t="n"/>
      <c r="BD206" s="40" t="n"/>
      <c r="BE206" s="40" t="n"/>
      <c r="BF206" s="40" t="n"/>
      <c r="BG206" s="40" t="n"/>
      <c r="BH206" s="40" t="n"/>
      <c r="BI206" s="40" t="n"/>
      <c r="BJ206" s="40" t="n"/>
      <c r="BK206" s="40" t="n"/>
      <c r="BL206" s="40" t="n"/>
      <c r="BM206" s="40" t="n"/>
      <c r="BN206" s="40" t="n"/>
    </row>
    <row r="207" ht="18" customHeight="1" s="82">
      <c r="A207" s="30" t="n"/>
      <c r="B207" s="30" t="n"/>
      <c r="C207" s="30" t="n"/>
      <c r="D207" s="30" t="n"/>
      <c r="E207" s="31" t="n"/>
      <c r="F207" s="31" t="n"/>
      <c r="G207" s="31" t="n"/>
      <c r="H207" s="31" t="n"/>
      <c r="I207" s="31" t="n"/>
      <c r="J207" s="31" t="n"/>
      <c r="K207" s="31" t="n"/>
      <c r="L207" s="31" t="n"/>
      <c r="M207" s="31" t="n"/>
      <c r="N207" s="31" t="n"/>
      <c r="O207" s="31" t="n"/>
      <c r="P207" s="31" t="n"/>
      <c r="Q207" s="31" t="n"/>
      <c r="R207" s="31" t="n"/>
      <c r="S207" s="31" t="n"/>
      <c r="T207" s="31" t="n"/>
      <c r="U207" s="31" t="n"/>
      <c r="V207" s="31" t="n"/>
      <c r="W207" s="32" t="n"/>
      <c r="X207" s="31" t="n"/>
      <c r="Y207" s="31" t="n"/>
      <c r="Z207" s="31" t="n"/>
      <c r="AA207" s="31" t="n"/>
      <c r="AB207" s="31" t="n"/>
      <c r="AC207" s="31" t="n"/>
      <c r="AD207" s="32" t="n"/>
      <c r="AE207" s="31" t="n"/>
      <c r="AF207" s="33" t="n"/>
      <c r="AG207" s="66">
        <f>IF(OR(AF207="",AE207=""),"",IFERROR(AF207*INDEX(FXRates[USD per unit],MATCH(AE207,FXRates[Currency],0)),"No rate"))</f>
        <v/>
      </c>
      <c r="AH207" s="30" t="n"/>
      <c r="AI207" s="30" t="n"/>
      <c r="AJ207" s="34">
        <f>IF(A207="","",IF(COUNTIF($A$6:$A$504,A207)&gt;1,"⚠ Duplicate",""))</f>
        <v/>
      </c>
      <c r="AK207" s="33" t="n"/>
      <c r="AL207" s="41" t="n"/>
      <c r="AM207" s="41" t="n"/>
      <c r="AN207" s="41" t="n"/>
      <c r="AO207" s="41" t="n"/>
      <c r="AP207" s="41" t="n"/>
      <c r="AQ207" s="41" t="n"/>
      <c r="AR207" s="41" t="n"/>
      <c r="AS207" s="41" t="n"/>
      <c r="AT207" s="41" t="n"/>
      <c r="AU207" s="41" t="n"/>
      <c r="AV207" s="41" t="n"/>
      <c r="AW207" s="41" t="n"/>
      <c r="AX207" s="41" t="n"/>
      <c r="AY207" s="41" t="n"/>
      <c r="AZ207" s="33" t="n"/>
      <c r="BA207" s="41" t="n"/>
      <c r="BB207" s="41" t="n"/>
      <c r="BC207" s="41" t="n"/>
      <c r="BD207" s="41" t="n"/>
      <c r="BE207" s="41" t="n"/>
      <c r="BF207" s="41" t="n"/>
      <c r="BG207" s="41" t="n"/>
      <c r="BH207" s="41" t="n"/>
      <c r="BI207" s="41" t="n"/>
      <c r="BJ207" s="41" t="n"/>
      <c r="BK207" s="41" t="n"/>
      <c r="BL207" s="41" t="n"/>
      <c r="BM207" s="41" t="n"/>
      <c r="BN207" s="41" t="n"/>
    </row>
    <row r="208" ht="18" customHeight="1" s="82">
      <c r="A208" s="36" t="n"/>
      <c r="B208" s="36" t="n"/>
      <c r="C208" s="36" t="n"/>
      <c r="D208" s="36" t="n"/>
      <c r="E208" s="37" t="n"/>
      <c r="F208" s="37" t="n"/>
      <c r="G208" s="37" t="n"/>
      <c r="H208" s="37" t="n"/>
      <c r="I208" s="37" t="n"/>
      <c r="J208" s="37" t="n"/>
      <c r="K208" s="37" t="n"/>
      <c r="L208" s="37" t="n"/>
      <c r="M208" s="37" t="n"/>
      <c r="N208" s="37" t="n"/>
      <c r="O208" s="37" t="n"/>
      <c r="P208" s="37" t="n"/>
      <c r="Q208" s="37" t="n"/>
      <c r="R208" s="37" t="n"/>
      <c r="S208" s="37" t="n"/>
      <c r="T208" s="37" t="n"/>
      <c r="U208" s="37" t="n"/>
      <c r="V208" s="37" t="n"/>
      <c r="W208" s="32" t="n"/>
      <c r="X208" s="37" t="n"/>
      <c r="Y208" s="37" t="n"/>
      <c r="Z208" s="37" t="n"/>
      <c r="AA208" s="37" t="n"/>
      <c r="AB208" s="37" t="n"/>
      <c r="AC208" s="37" t="n"/>
      <c r="AD208" s="32" t="n"/>
      <c r="AE208" s="37" t="n"/>
      <c r="AF208" s="38" t="n"/>
      <c r="AG208" s="67">
        <f>IF(OR(AF208="",AE208=""),"",IFERROR(AF208*INDEX(FXRates[USD per unit],MATCH(AE208,FXRates[Currency],0)),"No rate"))</f>
        <v/>
      </c>
      <c r="AH208" s="36" t="n"/>
      <c r="AI208" s="36" t="n"/>
      <c r="AJ208" s="39">
        <f>IF(A208="","",IF(COUNTIF($A$6:$A$504,A208)&gt;1,"⚠ Duplicate",""))</f>
        <v/>
      </c>
      <c r="AK208" s="38" t="n"/>
      <c r="AL208" s="40" t="n"/>
      <c r="AM208" s="40" t="n"/>
      <c r="AN208" s="40" t="n"/>
      <c r="AO208" s="40" t="n"/>
      <c r="AP208" s="40" t="n"/>
      <c r="AQ208" s="40" t="n"/>
      <c r="AR208" s="40" t="n"/>
      <c r="AS208" s="40" t="n"/>
      <c r="AT208" s="40" t="n"/>
      <c r="AU208" s="40" t="n"/>
      <c r="AV208" s="40" t="n"/>
      <c r="AW208" s="40" t="n"/>
      <c r="AX208" s="40" t="n"/>
      <c r="AY208" s="40" t="n"/>
      <c r="AZ208" s="38" t="n"/>
      <c r="BA208" s="40" t="n"/>
      <c r="BB208" s="40" t="n"/>
      <c r="BC208" s="40" t="n"/>
      <c r="BD208" s="40" t="n"/>
      <c r="BE208" s="40" t="n"/>
      <c r="BF208" s="40" t="n"/>
      <c r="BG208" s="40" t="n"/>
      <c r="BH208" s="40" t="n"/>
      <c r="BI208" s="40" t="n"/>
      <c r="BJ208" s="40" t="n"/>
      <c r="BK208" s="40" t="n"/>
      <c r="BL208" s="40" t="n"/>
      <c r="BM208" s="40" t="n"/>
      <c r="BN208" s="40" t="n"/>
    </row>
    <row r="209" ht="18" customHeight="1" s="82">
      <c r="A209" s="30" t="n"/>
      <c r="B209" s="30" t="n"/>
      <c r="C209" s="30" t="n"/>
      <c r="D209" s="30" t="n"/>
      <c r="E209" s="31" t="n"/>
      <c r="F209" s="31" t="n"/>
      <c r="G209" s="31" t="n"/>
      <c r="H209" s="31" t="n"/>
      <c r="I209" s="31" t="n"/>
      <c r="J209" s="31" t="n"/>
      <c r="K209" s="31" t="n"/>
      <c r="L209" s="31" t="n"/>
      <c r="M209" s="31" t="n"/>
      <c r="N209" s="31" t="n"/>
      <c r="O209" s="31" t="n"/>
      <c r="P209" s="31" t="n"/>
      <c r="Q209" s="31" t="n"/>
      <c r="R209" s="31" t="n"/>
      <c r="S209" s="31" t="n"/>
      <c r="T209" s="31" t="n"/>
      <c r="U209" s="31" t="n"/>
      <c r="V209" s="31" t="n"/>
      <c r="W209" s="32" t="n"/>
      <c r="X209" s="31" t="n"/>
      <c r="Y209" s="31" t="n"/>
      <c r="Z209" s="31" t="n"/>
      <c r="AA209" s="31" t="n"/>
      <c r="AB209" s="31" t="n"/>
      <c r="AC209" s="31" t="n"/>
      <c r="AD209" s="32" t="n"/>
      <c r="AE209" s="31" t="n"/>
      <c r="AF209" s="33" t="n"/>
      <c r="AG209" s="66">
        <f>IF(OR(AF209="",AE209=""),"",IFERROR(AF209*INDEX(FXRates[USD per unit],MATCH(AE209,FXRates[Currency],0)),"No rate"))</f>
        <v/>
      </c>
      <c r="AH209" s="30" t="n"/>
      <c r="AI209" s="30" t="n"/>
      <c r="AJ209" s="34">
        <f>IF(A209="","",IF(COUNTIF($A$6:$A$504,A209)&gt;1,"⚠ Duplicate",""))</f>
        <v/>
      </c>
      <c r="AK209" s="33" t="n"/>
      <c r="AL209" s="41" t="n"/>
      <c r="AM209" s="41" t="n"/>
      <c r="AN209" s="41" t="n"/>
      <c r="AO209" s="41" t="n"/>
      <c r="AP209" s="41" t="n"/>
      <c r="AQ209" s="41" t="n"/>
      <c r="AR209" s="41" t="n"/>
      <c r="AS209" s="41" t="n"/>
      <c r="AT209" s="41" t="n"/>
      <c r="AU209" s="41" t="n"/>
      <c r="AV209" s="41" t="n"/>
      <c r="AW209" s="41" t="n"/>
      <c r="AX209" s="41" t="n"/>
      <c r="AY209" s="41" t="n"/>
      <c r="AZ209" s="33" t="n"/>
      <c r="BA209" s="41" t="n"/>
      <c r="BB209" s="41" t="n"/>
      <c r="BC209" s="41" t="n"/>
      <c r="BD209" s="41" t="n"/>
      <c r="BE209" s="41" t="n"/>
      <c r="BF209" s="41" t="n"/>
      <c r="BG209" s="41" t="n"/>
      <c r="BH209" s="41" t="n"/>
      <c r="BI209" s="41" t="n"/>
      <c r="BJ209" s="41" t="n"/>
      <c r="BK209" s="41" t="n"/>
      <c r="BL209" s="41" t="n"/>
      <c r="BM209" s="41" t="n"/>
      <c r="BN209" s="41" t="n"/>
    </row>
    <row r="210" ht="18" customHeight="1" s="82">
      <c r="A210" s="36" t="n"/>
      <c r="B210" s="36" t="n"/>
      <c r="C210" s="36" t="n"/>
      <c r="D210" s="36" t="n"/>
      <c r="E210" s="37" t="n"/>
      <c r="F210" s="37" t="n"/>
      <c r="G210" s="37" t="n"/>
      <c r="H210" s="37" t="n"/>
      <c r="I210" s="37" t="n"/>
      <c r="J210" s="37" t="n"/>
      <c r="K210" s="37" t="n"/>
      <c r="L210" s="37" t="n"/>
      <c r="M210" s="37" t="n"/>
      <c r="N210" s="37" t="n"/>
      <c r="O210" s="37" t="n"/>
      <c r="P210" s="37" t="n"/>
      <c r="Q210" s="37" t="n"/>
      <c r="R210" s="37" t="n"/>
      <c r="S210" s="37" t="n"/>
      <c r="T210" s="37" t="n"/>
      <c r="U210" s="37" t="n"/>
      <c r="V210" s="37" t="n"/>
      <c r="W210" s="32" t="n"/>
      <c r="X210" s="37" t="n"/>
      <c r="Y210" s="37" t="n"/>
      <c r="Z210" s="37" t="n"/>
      <c r="AA210" s="37" t="n"/>
      <c r="AB210" s="37" t="n"/>
      <c r="AC210" s="37" t="n"/>
      <c r="AD210" s="32" t="n"/>
      <c r="AE210" s="37" t="n"/>
      <c r="AF210" s="38" t="n"/>
      <c r="AG210" s="67">
        <f>IF(OR(AF210="",AE210=""),"",IFERROR(AF210*INDEX(FXRates[USD per unit],MATCH(AE210,FXRates[Currency],0)),"No rate"))</f>
        <v/>
      </c>
      <c r="AH210" s="36" t="n"/>
      <c r="AI210" s="36" t="n"/>
      <c r="AJ210" s="39">
        <f>IF(A210="","",IF(COUNTIF($A$6:$A$504,A210)&gt;1,"⚠ Duplicate",""))</f>
        <v/>
      </c>
      <c r="AK210" s="38" t="n"/>
      <c r="AL210" s="40" t="n"/>
      <c r="AM210" s="40" t="n"/>
      <c r="AN210" s="40" t="n"/>
      <c r="AO210" s="40" t="n"/>
      <c r="AP210" s="40" t="n"/>
      <c r="AQ210" s="40" t="n"/>
      <c r="AR210" s="40" t="n"/>
      <c r="AS210" s="40" t="n"/>
      <c r="AT210" s="40" t="n"/>
      <c r="AU210" s="40" t="n"/>
      <c r="AV210" s="40" t="n"/>
      <c r="AW210" s="40" t="n"/>
      <c r="AX210" s="40" t="n"/>
      <c r="AY210" s="40" t="n"/>
      <c r="AZ210" s="38" t="n"/>
      <c r="BA210" s="40" t="n"/>
      <c r="BB210" s="40" t="n"/>
      <c r="BC210" s="40" t="n"/>
      <c r="BD210" s="40" t="n"/>
      <c r="BE210" s="40" t="n"/>
      <c r="BF210" s="40" t="n"/>
      <c r="BG210" s="40" t="n"/>
      <c r="BH210" s="40" t="n"/>
      <c r="BI210" s="40" t="n"/>
      <c r="BJ210" s="40" t="n"/>
      <c r="BK210" s="40" t="n"/>
      <c r="BL210" s="40" t="n"/>
      <c r="BM210" s="40" t="n"/>
      <c r="BN210" s="40" t="n"/>
    </row>
    <row r="211" ht="18" customHeight="1" s="82">
      <c r="A211" s="30" t="n"/>
      <c r="B211" s="30" t="n"/>
      <c r="C211" s="30" t="n"/>
      <c r="D211" s="30" t="n"/>
      <c r="E211" s="31" t="n"/>
      <c r="F211" s="31" t="n"/>
      <c r="G211" s="31" t="n"/>
      <c r="H211" s="31" t="n"/>
      <c r="I211" s="31" t="n"/>
      <c r="J211" s="31" t="n"/>
      <c r="K211" s="31" t="n"/>
      <c r="L211" s="31" t="n"/>
      <c r="M211" s="31" t="n"/>
      <c r="N211" s="31" t="n"/>
      <c r="O211" s="31" t="n"/>
      <c r="P211" s="31" t="n"/>
      <c r="Q211" s="31" t="n"/>
      <c r="R211" s="31" t="n"/>
      <c r="S211" s="31" t="n"/>
      <c r="T211" s="31" t="n"/>
      <c r="U211" s="31" t="n"/>
      <c r="V211" s="31" t="n"/>
      <c r="W211" s="32" t="n"/>
      <c r="X211" s="31" t="n"/>
      <c r="Y211" s="31" t="n"/>
      <c r="Z211" s="31" t="n"/>
      <c r="AA211" s="31" t="n"/>
      <c r="AB211" s="31" t="n"/>
      <c r="AC211" s="31" t="n"/>
      <c r="AD211" s="32" t="n"/>
      <c r="AE211" s="31" t="n"/>
      <c r="AF211" s="33" t="n"/>
      <c r="AG211" s="66">
        <f>IF(OR(AF211="",AE211=""),"",IFERROR(AF211*INDEX(FXRates[USD per unit],MATCH(AE211,FXRates[Currency],0)),"No rate"))</f>
        <v/>
      </c>
      <c r="AH211" s="30" t="n"/>
      <c r="AI211" s="30" t="n"/>
      <c r="AJ211" s="34">
        <f>IF(A211="","",IF(COUNTIF($A$6:$A$504,A211)&gt;1,"⚠ Duplicate",""))</f>
        <v/>
      </c>
      <c r="AK211" s="33" t="n"/>
      <c r="AL211" s="41" t="n"/>
      <c r="AM211" s="41" t="n"/>
      <c r="AN211" s="41" t="n"/>
      <c r="AO211" s="41" t="n"/>
      <c r="AP211" s="41" t="n"/>
      <c r="AQ211" s="41" t="n"/>
      <c r="AR211" s="41" t="n"/>
      <c r="AS211" s="41" t="n"/>
      <c r="AT211" s="41" t="n"/>
      <c r="AU211" s="41" t="n"/>
      <c r="AV211" s="41" t="n"/>
      <c r="AW211" s="41" t="n"/>
      <c r="AX211" s="41" t="n"/>
      <c r="AY211" s="41" t="n"/>
      <c r="AZ211" s="33" t="n"/>
      <c r="BA211" s="41" t="n"/>
      <c r="BB211" s="41" t="n"/>
      <c r="BC211" s="41" t="n"/>
      <c r="BD211" s="41" t="n"/>
      <c r="BE211" s="41" t="n"/>
      <c r="BF211" s="41" t="n"/>
      <c r="BG211" s="41" t="n"/>
      <c r="BH211" s="41" t="n"/>
      <c r="BI211" s="41" t="n"/>
      <c r="BJ211" s="41" t="n"/>
      <c r="BK211" s="41" t="n"/>
      <c r="BL211" s="41" t="n"/>
      <c r="BM211" s="41" t="n"/>
      <c r="BN211" s="41" t="n"/>
    </row>
    <row r="212" ht="18" customHeight="1" s="82">
      <c r="A212" s="36" t="n"/>
      <c r="B212" s="36" t="n"/>
      <c r="C212" s="36" t="n"/>
      <c r="D212" s="36" t="n"/>
      <c r="E212" s="37" t="n"/>
      <c r="F212" s="37" t="n"/>
      <c r="G212" s="37" t="n"/>
      <c r="H212" s="37" t="n"/>
      <c r="I212" s="37" t="n"/>
      <c r="J212" s="37" t="n"/>
      <c r="K212" s="37" t="n"/>
      <c r="L212" s="37" t="n"/>
      <c r="M212" s="37" t="n"/>
      <c r="N212" s="37" t="n"/>
      <c r="O212" s="37" t="n"/>
      <c r="P212" s="37" t="n"/>
      <c r="Q212" s="37" t="n"/>
      <c r="R212" s="37" t="n"/>
      <c r="S212" s="37" t="n"/>
      <c r="T212" s="37" t="n"/>
      <c r="U212" s="37" t="n"/>
      <c r="V212" s="37" t="n"/>
      <c r="W212" s="32" t="n"/>
      <c r="X212" s="37" t="n"/>
      <c r="Y212" s="37" t="n"/>
      <c r="Z212" s="37" t="n"/>
      <c r="AA212" s="37" t="n"/>
      <c r="AB212" s="37" t="n"/>
      <c r="AC212" s="37" t="n"/>
      <c r="AD212" s="32" t="n"/>
      <c r="AE212" s="37" t="n"/>
      <c r="AF212" s="38" t="n"/>
      <c r="AG212" s="67">
        <f>IF(OR(AF212="",AE212=""),"",IFERROR(AF212*INDEX(FXRates[USD per unit],MATCH(AE212,FXRates[Currency],0)),"No rate"))</f>
        <v/>
      </c>
      <c r="AH212" s="36" t="n"/>
      <c r="AI212" s="36" t="n"/>
      <c r="AJ212" s="39">
        <f>IF(A212="","",IF(COUNTIF($A$6:$A$504,A212)&gt;1,"⚠ Duplicate",""))</f>
        <v/>
      </c>
      <c r="AK212" s="38" t="n"/>
      <c r="AL212" s="40" t="n"/>
      <c r="AM212" s="40" t="n"/>
      <c r="AN212" s="40" t="n"/>
      <c r="AO212" s="40" t="n"/>
      <c r="AP212" s="40" t="n"/>
      <c r="AQ212" s="40" t="n"/>
      <c r="AR212" s="40" t="n"/>
      <c r="AS212" s="40" t="n"/>
      <c r="AT212" s="40" t="n"/>
      <c r="AU212" s="40" t="n"/>
      <c r="AV212" s="40" t="n"/>
      <c r="AW212" s="40" t="n"/>
      <c r="AX212" s="40" t="n"/>
      <c r="AY212" s="40" t="n"/>
      <c r="AZ212" s="38" t="n"/>
      <c r="BA212" s="40" t="n"/>
      <c r="BB212" s="40" t="n"/>
      <c r="BC212" s="40" t="n"/>
      <c r="BD212" s="40" t="n"/>
      <c r="BE212" s="40" t="n"/>
      <c r="BF212" s="40" t="n"/>
      <c r="BG212" s="40" t="n"/>
      <c r="BH212" s="40" t="n"/>
      <c r="BI212" s="40" t="n"/>
      <c r="BJ212" s="40" t="n"/>
      <c r="BK212" s="40" t="n"/>
      <c r="BL212" s="40" t="n"/>
      <c r="BM212" s="40" t="n"/>
      <c r="BN212" s="40" t="n"/>
    </row>
    <row r="213" ht="18" customHeight="1" s="82">
      <c r="A213" s="30" t="n"/>
      <c r="B213" s="30" t="n"/>
      <c r="C213" s="30" t="n"/>
      <c r="D213" s="30" t="n"/>
      <c r="E213" s="31" t="n"/>
      <c r="F213" s="31" t="n"/>
      <c r="G213" s="31" t="n"/>
      <c r="H213" s="31" t="n"/>
      <c r="I213" s="31" t="n"/>
      <c r="J213" s="31" t="n"/>
      <c r="K213" s="31" t="n"/>
      <c r="L213" s="31" t="n"/>
      <c r="M213" s="31" t="n"/>
      <c r="N213" s="31" t="n"/>
      <c r="O213" s="31" t="n"/>
      <c r="P213" s="31" t="n"/>
      <c r="Q213" s="31" t="n"/>
      <c r="R213" s="31" t="n"/>
      <c r="S213" s="31" t="n"/>
      <c r="T213" s="31" t="n"/>
      <c r="U213" s="31" t="n"/>
      <c r="V213" s="31" t="n"/>
      <c r="W213" s="32" t="n"/>
      <c r="X213" s="31" t="n"/>
      <c r="Y213" s="31" t="n"/>
      <c r="Z213" s="31" t="n"/>
      <c r="AA213" s="31" t="n"/>
      <c r="AB213" s="31" t="n"/>
      <c r="AC213" s="31" t="n"/>
      <c r="AD213" s="32" t="n"/>
      <c r="AE213" s="31" t="n"/>
      <c r="AF213" s="33" t="n"/>
      <c r="AG213" s="66">
        <f>IF(OR(AF213="",AE213=""),"",IFERROR(AF213*INDEX(FXRates[USD per unit],MATCH(AE213,FXRates[Currency],0)),"No rate"))</f>
        <v/>
      </c>
      <c r="AH213" s="30" t="n"/>
      <c r="AI213" s="30" t="n"/>
      <c r="AJ213" s="34">
        <f>IF(A213="","",IF(COUNTIF($A$6:$A$504,A213)&gt;1,"⚠ Duplicate",""))</f>
        <v/>
      </c>
      <c r="AK213" s="33" t="n"/>
      <c r="AL213" s="41" t="n"/>
      <c r="AM213" s="41" t="n"/>
      <c r="AN213" s="41" t="n"/>
      <c r="AO213" s="41" t="n"/>
      <c r="AP213" s="41" t="n"/>
      <c r="AQ213" s="41" t="n"/>
      <c r="AR213" s="41" t="n"/>
      <c r="AS213" s="41" t="n"/>
      <c r="AT213" s="41" t="n"/>
      <c r="AU213" s="41" t="n"/>
      <c r="AV213" s="41" t="n"/>
      <c r="AW213" s="41" t="n"/>
      <c r="AX213" s="41" t="n"/>
      <c r="AY213" s="41" t="n"/>
      <c r="AZ213" s="33" t="n"/>
      <c r="BA213" s="41" t="n"/>
      <c r="BB213" s="41" t="n"/>
      <c r="BC213" s="41" t="n"/>
      <c r="BD213" s="41" t="n"/>
      <c r="BE213" s="41" t="n"/>
      <c r="BF213" s="41" t="n"/>
      <c r="BG213" s="41" t="n"/>
      <c r="BH213" s="41" t="n"/>
      <c r="BI213" s="41" t="n"/>
      <c r="BJ213" s="41" t="n"/>
      <c r="BK213" s="41" t="n"/>
      <c r="BL213" s="41" t="n"/>
      <c r="BM213" s="41" t="n"/>
      <c r="BN213" s="41" t="n"/>
    </row>
    <row r="214" ht="18" customHeight="1" s="82">
      <c r="A214" s="36" t="n"/>
      <c r="B214" s="36" t="n"/>
      <c r="C214" s="36" t="n"/>
      <c r="D214" s="36" t="n"/>
      <c r="E214" s="37" t="n"/>
      <c r="F214" s="37" t="n"/>
      <c r="G214" s="37" t="n"/>
      <c r="H214" s="37" t="n"/>
      <c r="I214" s="37" t="n"/>
      <c r="J214" s="37" t="n"/>
      <c r="K214" s="37" t="n"/>
      <c r="L214" s="37" t="n"/>
      <c r="M214" s="37" t="n"/>
      <c r="N214" s="37" t="n"/>
      <c r="O214" s="37" t="n"/>
      <c r="P214" s="37" t="n"/>
      <c r="Q214" s="37" t="n"/>
      <c r="R214" s="37" t="n"/>
      <c r="S214" s="37" t="n"/>
      <c r="T214" s="37" t="n"/>
      <c r="U214" s="37" t="n"/>
      <c r="V214" s="37" t="n"/>
      <c r="W214" s="32" t="n"/>
      <c r="X214" s="37" t="n"/>
      <c r="Y214" s="37" t="n"/>
      <c r="Z214" s="37" t="n"/>
      <c r="AA214" s="37" t="n"/>
      <c r="AB214" s="37" t="n"/>
      <c r="AC214" s="37" t="n"/>
      <c r="AD214" s="32" t="n"/>
      <c r="AE214" s="37" t="n"/>
      <c r="AF214" s="38" t="n"/>
      <c r="AG214" s="67">
        <f>IF(OR(AF214="",AE214=""),"",IFERROR(AF214*INDEX(FXRates[USD per unit],MATCH(AE214,FXRates[Currency],0)),"No rate"))</f>
        <v/>
      </c>
      <c r="AH214" s="36" t="n"/>
      <c r="AI214" s="36" t="n"/>
      <c r="AJ214" s="39">
        <f>IF(A214="","",IF(COUNTIF($A$6:$A$504,A214)&gt;1,"⚠ Duplicate",""))</f>
        <v/>
      </c>
      <c r="AK214" s="38" t="n"/>
      <c r="AL214" s="40" t="n"/>
      <c r="AM214" s="40" t="n"/>
      <c r="AN214" s="40" t="n"/>
      <c r="AO214" s="40" t="n"/>
      <c r="AP214" s="40" t="n"/>
      <c r="AQ214" s="40" t="n"/>
      <c r="AR214" s="40" t="n"/>
      <c r="AS214" s="40" t="n"/>
      <c r="AT214" s="40" t="n"/>
      <c r="AU214" s="40" t="n"/>
      <c r="AV214" s="40" t="n"/>
      <c r="AW214" s="40" t="n"/>
      <c r="AX214" s="40" t="n"/>
      <c r="AY214" s="40" t="n"/>
      <c r="AZ214" s="38" t="n"/>
      <c r="BA214" s="40" t="n"/>
      <c r="BB214" s="40" t="n"/>
      <c r="BC214" s="40" t="n"/>
      <c r="BD214" s="40" t="n"/>
      <c r="BE214" s="40" t="n"/>
      <c r="BF214" s="40" t="n"/>
      <c r="BG214" s="40" t="n"/>
      <c r="BH214" s="40" t="n"/>
      <c r="BI214" s="40" t="n"/>
      <c r="BJ214" s="40" t="n"/>
      <c r="BK214" s="40" t="n"/>
      <c r="BL214" s="40" t="n"/>
      <c r="BM214" s="40" t="n"/>
      <c r="BN214" s="40" t="n"/>
    </row>
    <row r="215" ht="18" customHeight="1" s="82">
      <c r="A215" s="30" t="n"/>
      <c r="B215" s="30" t="n"/>
      <c r="C215" s="30" t="n"/>
      <c r="D215" s="30" t="n"/>
      <c r="E215" s="31" t="n"/>
      <c r="F215" s="31" t="n"/>
      <c r="G215" s="31" t="n"/>
      <c r="H215" s="31" t="n"/>
      <c r="I215" s="31" t="n"/>
      <c r="J215" s="31" t="n"/>
      <c r="K215" s="31" t="n"/>
      <c r="L215" s="31" t="n"/>
      <c r="M215" s="31" t="n"/>
      <c r="N215" s="31" t="n"/>
      <c r="O215" s="31" t="n"/>
      <c r="P215" s="31" t="n"/>
      <c r="Q215" s="31" t="n"/>
      <c r="R215" s="31" t="n"/>
      <c r="S215" s="31" t="n"/>
      <c r="T215" s="31" t="n"/>
      <c r="U215" s="31" t="n"/>
      <c r="V215" s="31" t="n"/>
      <c r="W215" s="32" t="n"/>
      <c r="X215" s="31" t="n"/>
      <c r="Y215" s="31" t="n"/>
      <c r="Z215" s="31" t="n"/>
      <c r="AA215" s="31" t="n"/>
      <c r="AB215" s="31" t="n"/>
      <c r="AC215" s="31" t="n"/>
      <c r="AD215" s="32" t="n"/>
      <c r="AE215" s="31" t="n"/>
      <c r="AF215" s="33" t="n"/>
      <c r="AG215" s="66">
        <f>IF(OR(AF215="",AE215=""),"",IFERROR(AF215*INDEX(FXRates[USD per unit],MATCH(AE215,FXRates[Currency],0)),"No rate"))</f>
        <v/>
      </c>
      <c r="AH215" s="30" t="n"/>
      <c r="AI215" s="30" t="n"/>
      <c r="AJ215" s="34">
        <f>IF(A215="","",IF(COUNTIF($A$6:$A$504,A215)&gt;1,"⚠ Duplicate",""))</f>
        <v/>
      </c>
      <c r="AK215" s="33" t="n"/>
      <c r="AL215" s="41" t="n"/>
      <c r="AM215" s="41" t="n"/>
      <c r="AN215" s="41" t="n"/>
      <c r="AO215" s="41" t="n"/>
      <c r="AP215" s="41" t="n"/>
      <c r="AQ215" s="41" t="n"/>
      <c r="AR215" s="41" t="n"/>
      <c r="AS215" s="41" t="n"/>
      <c r="AT215" s="41" t="n"/>
      <c r="AU215" s="41" t="n"/>
      <c r="AV215" s="41" t="n"/>
      <c r="AW215" s="41" t="n"/>
      <c r="AX215" s="41" t="n"/>
      <c r="AY215" s="41" t="n"/>
      <c r="AZ215" s="33" t="n"/>
      <c r="BA215" s="41" t="n"/>
      <c r="BB215" s="41" t="n"/>
      <c r="BC215" s="41" t="n"/>
      <c r="BD215" s="41" t="n"/>
      <c r="BE215" s="41" t="n"/>
      <c r="BF215" s="41" t="n"/>
      <c r="BG215" s="41" t="n"/>
      <c r="BH215" s="41" t="n"/>
      <c r="BI215" s="41" t="n"/>
      <c r="BJ215" s="41" t="n"/>
      <c r="BK215" s="41" t="n"/>
      <c r="BL215" s="41" t="n"/>
      <c r="BM215" s="41" t="n"/>
      <c r="BN215" s="41" t="n"/>
    </row>
    <row r="216" ht="18" customHeight="1" s="82">
      <c r="A216" s="36" t="n"/>
      <c r="B216" s="36" t="n"/>
      <c r="C216" s="36" t="n"/>
      <c r="D216" s="36" t="n"/>
      <c r="E216" s="37" t="n"/>
      <c r="F216" s="37" t="n"/>
      <c r="G216" s="37" t="n"/>
      <c r="H216" s="37" t="n"/>
      <c r="I216" s="37" t="n"/>
      <c r="J216" s="37" t="n"/>
      <c r="K216" s="37" t="n"/>
      <c r="L216" s="37" t="n"/>
      <c r="M216" s="37" t="n"/>
      <c r="N216" s="37" t="n"/>
      <c r="O216" s="37" t="n"/>
      <c r="P216" s="37" t="n"/>
      <c r="Q216" s="37" t="n"/>
      <c r="R216" s="37" t="n"/>
      <c r="S216" s="37" t="n"/>
      <c r="T216" s="37" t="n"/>
      <c r="U216" s="37" t="n"/>
      <c r="V216" s="37" t="n"/>
      <c r="W216" s="32" t="n"/>
      <c r="X216" s="37" t="n"/>
      <c r="Y216" s="37" t="n"/>
      <c r="Z216" s="37" t="n"/>
      <c r="AA216" s="37" t="n"/>
      <c r="AB216" s="37" t="n"/>
      <c r="AC216" s="37" t="n"/>
      <c r="AD216" s="32" t="n"/>
      <c r="AE216" s="37" t="n"/>
      <c r="AF216" s="38" t="n"/>
      <c r="AG216" s="67">
        <f>IF(OR(AF216="",AE216=""),"",IFERROR(AF216*INDEX(FXRates[USD per unit],MATCH(AE216,FXRates[Currency],0)),"No rate"))</f>
        <v/>
      </c>
      <c r="AH216" s="36" t="n"/>
      <c r="AI216" s="36" t="n"/>
      <c r="AJ216" s="39">
        <f>IF(A216="","",IF(COUNTIF($A$6:$A$504,A216)&gt;1,"⚠ Duplicate",""))</f>
        <v/>
      </c>
      <c r="AK216" s="38" t="n"/>
      <c r="AL216" s="40" t="n"/>
      <c r="AM216" s="40" t="n"/>
      <c r="AN216" s="40" t="n"/>
      <c r="AO216" s="40" t="n"/>
      <c r="AP216" s="40" t="n"/>
      <c r="AQ216" s="40" t="n"/>
      <c r="AR216" s="40" t="n"/>
      <c r="AS216" s="40" t="n"/>
      <c r="AT216" s="40" t="n"/>
      <c r="AU216" s="40" t="n"/>
      <c r="AV216" s="40" t="n"/>
      <c r="AW216" s="40" t="n"/>
      <c r="AX216" s="40" t="n"/>
      <c r="AY216" s="40" t="n"/>
      <c r="AZ216" s="38" t="n"/>
      <c r="BA216" s="40" t="n"/>
      <c r="BB216" s="40" t="n"/>
      <c r="BC216" s="40" t="n"/>
      <c r="BD216" s="40" t="n"/>
      <c r="BE216" s="40" t="n"/>
      <c r="BF216" s="40" t="n"/>
      <c r="BG216" s="40" t="n"/>
      <c r="BH216" s="40" t="n"/>
      <c r="BI216" s="40" t="n"/>
      <c r="BJ216" s="40" t="n"/>
      <c r="BK216" s="40" t="n"/>
      <c r="BL216" s="40" t="n"/>
      <c r="BM216" s="40" t="n"/>
      <c r="BN216" s="40" t="n"/>
    </row>
    <row r="217" ht="18" customHeight="1" s="82">
      <c r="A217" s="30" t="n"/>
      <c r="B217" s="30" t="n"/>
      <c r="C217" s="30" t="n"/>
      <c r="D217" s="30" t="n"/>
      <c r="E217" s="31" t="n"/>
      <c r="F217" s="31" t="n"/>
      <c r="G217" s="31" t="n"/>
      <c r="H217" s="31" t="n"/>
      <c r="I217" s="31" t="n"/>
      <c r="J217" s="31" t="n"/>
      <c r="K217" s="31" t="n"/>
      <c r="L217" s="31" t="n"/>
      <c r="M217" s="31" t="n"/>
      <c r="N217" s="31" t="n"/>
      <c r="O217" s="31" t="n"/>
      <c r="P217" s="31" t="n"/>
      <c r="Q217" s="31" t="n"/>
      <c r="R217" s="31" t="n"/>
      <c r="S217" s="31" t="n"/>
      <c r="T217" s="31" t="n"/>
      <c r="U217" s="31" t="n"/>
      <c r="V217" s="31" t="n"/>
      <c r="W217" s="32" t="n"/>
      <c r="X217" s="31" t="n"/>
      <c r="Y217" s="31" t="n"/>
      <c r="Z217" s="31" t="n"/>
      <c r="AA217" s="31" t="n"/>
      <c r="AB217" s="31" t="n"/>
      <c r="AC217" s="31" t="n"/>
      <c r="AD217" s="32" t="n"/>
      <c r="AE217" s="31" t="n"/>
      <c r="AF217" s="33" t="n"/>
      <c r="AG217" s="66">
        <f>IF(OR(AF217="",AE217=""),"",IFERROR(AF217*INDEX(FXRates[USD per unit],MATCH(AE217,FXRates[Currency],0)),"No rate"))</f>
        <v/>
      </c>
      <c r="AH217" s="30" t="n"/>
      <c r="AI217" s="30" t="n"/>
      <c r="AJ217" s="34">
        <f>IF(A217="","",IF(COUNTIF($A$6:$A$504,A217)&gt;1,"⚠ Duplicate",""))</f>
        <v/>
      </c>
      <c r="AK217" s="33" t="n"/>
      <c r="AL217" s="41" t="n"/>
      <c r="AM217" s="41" t="n"/>
      <c r="AN217" s="41" t="n"/>
      <c r="AO217" s="41" t="n"/>
      <c r="AP217" s="41" t="n"/>
      <c r="AQ217" s="41" t="n"/>
      <c r="AR217" s="41" t="n"/>
      <c r="AS217" s="41" t="n"/>
      <c r="AT217" s="41" t="n"/>
      <c r="AU217" s="41" t="n"/>
      <c r="AV217" s="41" t="n"/>
      <c r="AW217" s="41" t="n"/>
      <c r="AX217" s="41" t="n"/>
      <c r="AY217" s="41" t="n"/>
      <c r="AZ217" s="33" t="n"/>
      <c r="BA217" s="41" t="n"/>
      <c r="BB217" s="41" t="n"/>
      <c r="BC217" s="41" t="n"/>
      <c r="BD217" s="41" t="n"/>
      <c r="BE217" s="41" t="n"/>
      <c r="BF217" s="41" t="n"/>
      <c r="BG217" s="41" t="n"/>
      <c r="BH217" s="41" t="n"/>
      <c r="BI217" s="41" t="n"/>
      <c r="BJ217" s="41" t="n"/>
      <c r="BK217" s="41" t="n"/>
      <c r="BL217" s="41" t="n"/>
      <c r="BM217" s="41" t="n"/>
      <c r="BN217" s="41" t="n"/>
    </row>
    <row r="218" ht="18" customHeight="1" s="82">
      <c r="A218" s="36" t="n"/>
      <c r="B218" s="36" t="n"/>
      <c r="C218" s="36" t="n"/>
      <c r="D218" s="36" t="n"/>
      <c r="E218" s="37" t="n"/>
      <c r="F218" s="37" t="n"/>
      <c r="G218" s="37" t="n"/>
      <c r="H218" s="37" t="n"/>
      <c r="I218" s="37" t="n"/>
      <c r="J218" s="37" t="n"/>
      <c r="K218" s="37" t="n"/>
      <c r="L218" s="37" t="n"/>
      <c r="M218" s="37" t="n"/>
      <c r="N218" s="37" t="n"/>
      <c r="O218" s="37" t="n"/>
      <c r="P218" s="37" t="n"/>
      <c r="Q218" s="37" t="n"/>
      <c r="R218" s="37" t="n"/>
      <c r="S218" s="37" t="n"/>
      <c r="T218" s="37" t="n"/>
      <c r="U218" s="37" t="n"/>
      <c r="V218" s="37" t="n"/>
      <c r="W218" s="32" t="n"/>
      <c r="X218" s="37" t="n"/>
      <c r="Y218" s="37" t="n"/>
      <c r="Z218" s="37" t="n"/>
      <c r="AA218" s="37" t="n"/>
      <c r="AB218" s="37" t="n"/>
      <c r="AC218" s="37" t="n"/>
      <c r="AD218" s="32" t="n"/>
      <c r="AE218" s="37" t="n"/>
      <c r="AF218" s="38" t="n"/>
      <c r="AG218" s="67">
        <f>IF(OR(AF218="",AE218=""),"",IFERROR(AF218*INDEX(FXRates[USD per unit],MATCH(AE218,FXRates[Currency],0)),"No rate"))</f>
        <v/>
      </c>
      <c r="AH218" s="36" t="n"/>
      <c r="AI218" s="36" t="n"/>
      <c r="AJ218" s="39">
        <f>IF(A218="","",IF(COUNTIF($A$6:$A$504,A218)&gt;1,"⚠ Duplicate",""))</f>
        <v/>
      </c>
      <c r="AK218" s="38" t="n"/>
      <c r="AL218" s="40" t="n"/>
      <c r="AM218" s="40" t="n"/>
      <c r="AN218" s="40" t="n"/>
      <c r="AO218" s="40" t="n"/>
      <c r="AP218" s="40" t="n"/>
      <c r="AQ218" s="40" t="n"/>
      <c r="AR218" s="40" t="n"/>
      <c r="AS218" s="40" t="n"/>
      <c r="AT218" s="40" t="n"/>
      <c r="AU218" s="40" t="n"/>
      <c r="AV218" s="40" t="n"/>
      <c r="AW218" s="40" t="n"/>
      <c r="AX218" s="40" t="n"/>
      <c r="AY218" s="40" t="n"/>
      <c r="AZ218" s="38" t="n"/>
      <c r="BA218" s="40" t="n"/>
      <c r="BB218" s="40" t="n"/>
      <c r="BC218" s="40" t="n"/>
      <c r="BD218" s="40" t="n"/>
      <c r="BE218" s="40" t="n"/>
      <c r="BF218" s="40" t="n"/>
      <c r="BG218" s="40" t="n"/>
      <c r="BH218" s="40" t="n"/>
      <c r="BI218" s="40" t="n"/>
      <c r="BJ218" s="40" t="n"/>
      <c r="BK218" s="40" t="n"/>
      <c r="BL218" s="40" t="n"/>
      <c r="BM218" s="40" t="n"/>
      <c r="BN218" s="40" t="n"/>
    </row>
    <row r="219" ht="18" customHeight="1" s="82">
      <c r="A219" s="30" t="n"/>
      <c r="B219" s="30" t="n"/>
      <c r="C219" s="30" t="n"/>
      <c r="D219" s="30" t="n"/>
      <c r="E219" s="31" t="n"/>
      <c r="F219" s="31" t="n"/>
      <c r="G219" s="31" t="n"/>
      <c r="H219" s="31" t="n"/>
      <c r="I219" s="31" t="n"/>
      <c r="J219" s="31" t="n"/>
      <c r="K219" s="31" t="n"/>
      <c r="L219" s="31" t="n"/>
      <c r="M219" s="31" t="n"/>
      <c r="N219" s="31" t="n"/>
      <c r="O219" s="31" t="n"/>
      <c r="P219" s="31" t="n"/>
      <c r="Q219" s="31" t="n"/>
      <c r="R219" s="31" t="n"/>
      <c r="S219" s="31" t="n"/>
      <c r="T219" s="31" t="n"/>
      <c r="U219" s="31" t="n"/>
      <c r="V219" s="31" t="n"/>
      <c r="W219" s="32" t="n"/>
      <c r="X219" s="31" t="n"/>
      <c r="Y219" s="31" t="n"/>
      <c r="Z219" s="31" t="n"/>
      <c r="AA219" s="31" t="n"/>
      <c r="AB219" s="31" t="n"/>
      <c r="AC219" s="31" t="n"/>
      <c r="AD219" s="32" t="n"/>
      <c r="AE219" s="31" t="n"/>
      <c r="AF219" s="33" t="n"/>
      <c r="AG219" s="66">
        <f>IF(OR(AF219="",AE219=""),"",IFERROR(AF219*INDEX(FXRates[USD per unit],MATCH(AE219,FXRates[Currency],0)),"No rate"))</f>
        <v/>
      </c>
      <c r="AH219" s="30" t="n"/>
      <c r="AI219" s="30" t="n"/>
      <c r="AJ219" s="34">
        <f>IF(A219="","",IF(COUNTIF($A$6:$A$504,A219)&gt;1,"⚠ Duplicate",""))</f>
        <v/>
      </c>
      <c r="AK219" s="33" t="n"/>
      <c r="AL219" s="41" t="n"/>
      <c r="AM219" s="41" t="n"/>
      <c r="AN219" s="41" t="n"/>
      <c r="AO219" s="41" t="n"/>
      <c r="AP219" s="41" t="n"/>
      <c r="AQ219" s="41" t="n"/>
      <c r="AR219" s="41" t="n"/>
      <c r="AS219" s="41" t="n"/>
      <c r="AT219" s="41" t="n"/>
      <c r="AU219" s="41" t="n"/>
      <c r="AV219" s="41" t="n"/>
      <c r="AW219" s="41" t="n"/>
      <c r="AX219" s="41" t="n"/>
      <c r="AY219" s="41" t="n"/>
      <c r="AZ219" s="33" t="n"/>
      <c r="BA219" s="41" t="n"/>
      <c r="BB219" s="41" t="n"/>
      <c r="BC219" s="41" t="n"/>
      <c r="BD219" s="41" t="n"/>
      <c r="BE219" s="41" t="n"/>
      <c r="BF219" s="41" t="n"/>
      <c r="BG219" s="41" t="n"/>
      <c r="BH219" s="41" t="n"/>
      <c r="BI219" s="41" t="n"/>
      <c r="BJ219" s="41" t="n"/>
      <c r="BK219" s="41" t="n"/>
      <c r="BL219" s="41" t="n"/>
      <c r="BM219" s="41" t="n"/>
      <c r="BN219" s="41" t="n"/>
    </row>
    <row r="220" ht="18" customHeight="1" s="82">
      <c r="A220" s="36" t="n"/>
      <c r="B220" s="36" t="n"/>
      <c r="C220" s="36" t="n"/>
      <c r="D220" s="36" t="n"/>
      <c r="E220" s="37" t="n"/>
      <c r="F220" s="37" t="n"/>
      <c r="G220" s="37" t="n"/>
      <c r="H220" s="37" t="n"/>
      <c r="I220" s="37" t="n"/>
      <c r="J220" s="37" t="n"/>
      <c r="K220" s="37" t="n"/>
      <c r="L220" s="37" t="n"/>
      <c r="M220" s="37" t="n"/>
      <c r="N220" s="37" t="n"/>
      <c r="O220" s="37" t="n"/>
      <c r="P220" s="37" t="n"/>
      <c r="Q220" s="37" t="n"/>
      <c r="R220" s="37" t="n"/>
      <c r="S220" s="37" t="n"/>
      <c r="T220" s="37" t="n"/>
      <c r="U220" s="37" t="n"/>
      <c r="V220" s="37" t="n"/>
      <c r="W220" s="32" t="n"/>
      <c r="X220" s="37" t="n"/>
      <c r="Y220" s="37" t="n"/>
      <c r="Z220" s="37" t="n"/>
      <c r="AA220" s="37" t="n"/>
      <c r="AB220" s="37" t="n"/>
      <c r="AC220" s="37" t="n"/>
      <c r="AD220" s="32" t="n"/>
      <c r="AE220" s="37" t="n"/>
      <c r="AF220" s="38" t="n"/>
      <c r="AG220" s="67">
        <f>IF(OR(AF220="",AE220=""),"",IFERROR(AF220*INDEX(FXRates[USD per unit],MATCH(AE220,FXRates[Currency],0)),"No rate"))</f>
        <v/>
      </c>
      <c r="AH220" s="36" t="n"/>
      <c r="AI220" s="36" t="n"/>
      <c r="AJ220" s="39">
        <f>IF(A220="","",IF(COUNTIF($A$6:$A$504,A220)&gt;1,"⚠ Duplicate",""))</f>
        <v/>
      </c>
      <c r="AK220" s="38" t="n"/>
      <c r="AL220" s="40" t="n"/>
      <c r="AM220" s="40" t="n"/>
      <c r="AN220" s="40" t="n"/>
      <c r="AO220" s="40" t="n"/>
      <c r="AP220" s="40" t="n"/>
      <c r="AQ220" s="40" t="n"/>
      <c r="AR220" s="40" t="n"/>
      <c r="AS220" s="40" t="n"/>
      <c r="AT220" s="40" t="n"/>
      <c r="AU220" s="40" t="n"/>
      <c r="AV220" s="40" t="n"/>
      <c r="AW220" s="40" t="n"/>
      <c r="AX220" s="40" t="n"/>
      <c r="AY220" s="40" t="n"/>
      <c r="AZ220" s="38" t="n"/>
      <c r="BA220" s="40" t="n"/>
      <c r="BB220" s="40" t="n"/>
      <c r="BC220" s="40" t="n"/>
      <c r="BD220" s="40" t="n"/>
      <c r="BE220" s="40" t="n"/>
      <c r="BF220" s="40" t="n"/>
      <c r="BG220" s="40" t="n"/>
      <c r="BH220" s="40" t="n"/>
      <c r="BI220" s="40" t="n"/>
      <c r="BJ220" s="40" t="n"/>
      <c r="BK220" s="40" t="n"/>
      <c r="BL220" s="40" t="n"/>
      <c r="BM220" s="40" t="n"/>
      <c r="BN220" s="40" t="n"/>
    </row>
    <row r="221" ht="18" customHeight="1" s="82">
      <c r="A221" s="30" t="n"/>
      <c r="B221" s="30" t="n"/>
      <c r="C221" s="30" t="n"/>
      <c r="D221" s="30" t="n"/>
      <c r="E221" s="31" t="n"/>
      <c r="F221" s="31" t="n"/>
      <c r="G221" s="31" t="n"/>
      <c r="H221" s="31" t="n"/>
      <c r="I221" s="31" t="n"/>
      <c r="J221" s="31" t="n"/>
      <c r="K221" s="31" t="n"/>
      <c r="L221" s="31" t="n"/>
      <c r="M221" s="31" t="n"/>
      <c r="N221" s="31" t="n"/>
      <c r="O221" s="31" t="n"/>
      <c r="P221" s="31" t="n"/>
      <c r="Q221" s="31" t="n"/>
      <c r="R221" s="31" t="n"/>
      <c r="S221" s="31" t="n"/>
      <c r="T221" s="31" t="n"/>
      <c r="U221" s="31" t="n"/>
      <c r="V221" s="31" t="n"/>
      <c r="W221" s="32" t="n"/>
      <c r="X221" s="31" t="n"/>
      <c r="Y221" s="31" t="n"/>
      <c r="Z221" s="31" t="n"/>
      <c r="AA221" s="31" t="n"/>
      <c r="AB221" s="31" t="n"/>
      <c r="AC221" s="31" t="n"/>
      <c r="AD221" s="32" t="n"/>
      <c r="AE221" s="31" t="n"/>
      <c r="AF221" s="33" t="n"/>
      <c r="AG221" s="66">
        <f>IF(OR(AF221="",AE221=""),"",IFERROR(AF221*INDEX(FXRates[USD per unit],MATCH(AE221,FXRates[Currency],0)),"No rate"))</f>
        <v/>
      </c>
      <c r="AH221" s="30" t="n"/>
      <c r="AI221" s="30" t="n"/>
      <c r="AJ221" s="34">
        <f>IF(A221="","",IF(COUNTIF($A$6:$A$504,A221)&gt;1,"⚠ Duplicate",""))</f>
        <v/>
      </c>
      <c r="AK221" s="33" t="n"/>
      <c r="AL221" s="41" t="n"/>
      <c r="AM221" s="41" t="n"/>
      <c r="AN221" s="41" t="n"/>
      <c r="AO221" s="41" t="n"/>
      <c r="AP221" s="41" t="n"/>
      <c r="AQ221" s="41" t="n"/>
      <c r="AR221" s="41" t="n"/>
      <c r="AS221" s="41" t="n"/>
      <c r="AT221" s="41" t="n"/>
      <c r="AU221" s="41" t="n"/>
      <c r="AV221" s="41" t="n"/>
      <c r="AW221" s="41" t="n"/>
      <c r="AX221" s="41" t="n"/>
      <c r="AY221" s="41" t="n"/>
      <c r="AZ221" s="33" t="n"/>
      <c r="BA221" s="41" t="n"/>
      <c r="BB221" s="41" t="n"/>
      <c r="BC221" s="41" t="n"/>
      <c r="BD221" s="41" t="n"/>
      <c r="BE221" s="41" t="n"/>
      <c r="BF221" s="41" t="n"/>
      <c r="BG221" s="41" t="n"/>
      <c r="BH221" s="41" t="n"/>
      <c r="BI221" s="41" t="n"/>
      <c r="BJ221" s="41" t="n"/>
      <c r="BK221" s="41" t="n"/>
      <c r="BL221" s="41" t="n"/>
      <c r="BM221" s="41" t="n"/>
      <c r="BN221" s="41" t="n"/>
    </row>
    <row r="222" ht="18" customHeight="1" s="82">
      <c r="A222" s="36" t="n"/>
      <c r="B222" s="36" t="n"/>
      <c r="C222" s="36" t="n"/>
      <c r="D222" s="36" t="n"/>
      <c r="E222" s="37" t="n"/>
      <c r="F222" s="37" t="n"/>
      <c r="G222" s="37" t="n"/>
      <c r="H222" s="37" t="n"/>
      <c r="I222" s="37" t="n"/>
      <c r="J222" s="37" t="n"/>
      <c r="K222" s="37" t="n"/>
      <c r="L222" s="37" t="n"/>
      <c r="M222" s="37" t="n"/>
      <c r="N222" s="37" t="n"/>
      <c r="O222" s="37" t="n"/>
      <c r="P222" s="37" t="n"/>
      <c r="Q222" s="37" t="n"/>
      <c r="R222" s="37" t="n"/>
      <c r="S222" s="37" t="n"/>
      <c r="T222" s="37" t="n"/>
      <c r="U222" s="37" t="n"/>
      <c r="V222" s="37" t="n"/>
      <c r="W222" s="32" t="n"/>
      <c r="X222" s="37" t="n"/>
      <c r="Y222" s="37" t="n"/>
      <c r="Z222" s="37" t="n"/>
      <c r="AA222" s="37" t="n"/>
      <c r="AB222" s="37" t="n"/>
      <c r="AC222" s="37" t="n"/>
      <c r="AD222" s="32" t="n"/>
      <c r="AE222" s="37" t="n"/>
      <c r="AF222" s="38" t="n"/>
      <c r="AG222" s="67">
        <f>IF(OR(AF222="",AE222=""),"",IFERROR(AF222*INDEX(FXRates[USD per unit],MATCH(AE222,FXRates[Currency],0)),"No rate"))</f>
        <v/>
      </c>
      <c r="AH222" s="36" t="n"/>
      <c r="AI222" s="36" t="n"/>
      <c r="AJ222" s="39">
        <f>IF(A222="","",IF(COUNTIF($A$6:$A$504,A222)&gt;1,"⚠ Duplicate",""))</f>
        <v/>
      </c>
      <c r="AK222" s="38" t="n"/>
      <c r="AL222" s="40" t="n"/>
      <c r="AM222" s="40" t="n"/>
      <c r="AN222" s="40" t="n"/>
      <c r="AO222" s="40" t="n"/>
      <c r="AP222" s="40" t="n"/>
      <c r="AQ222" s="40" t="n"/>
      <c r="AR222" s="40" t="n"/>
      <c r="AS222" s="40" t="n"/>
      <c r="AT222" s="40" t="n"/>
      <c r="AU222" s="40" t="n"/>
      <c r="AV222" s="40" t="n"/>
      <c r="AW222" s="40" t="n"/>
      <c r="AX222" s="40" t="n"/>
      <c r="AY222" s="40" t="n"/>
      <c r="AZ222" s="38" t="n"/>
      <c r="BA222" s="40" t="n"/>
      <c r="BB222" s="40" t="n"/>
      <c r="BC222" s="40" t="n"/>
      <c r="BD222" s="40" t="n"/>
      <c r="BE222" s="40" t="n"/>
      <c r="BF222" s="40" t="n"/>
      <c r="BG222" s="40" t="n"/>
      <c r="BH222" s="40" t="n"/>
      <c r="BI222" s="40" t="n"/>
      <c r="BJ222" s="40" t="n"/>
      <c r="BK222" s="40" t="n"/>
      <c r="BL222" s="40" t="n"/>
      <c r="BM222" s="40" t="n"/>
      <c r="BN222" s="40" t="n"/>
    </row>
    <row r="223" ht="18" customHeight="1" s="82">
      <c r="A223" s="30" t="n"/>
      <c r="B223" s="30" t="n"/>
      <c r="C223" s="30" t="n"/>
      <c r="D223" s="30" t="n"/>
      <c r="E223" s="31" t="n"/>
      <c r="F223" s="31" t="n"/>
      <c r="G223" s="31" t="n"/>
      <c r="H223" s="31" t="n"/>
      <c r="I223" s="31" t="n"/>
      <c r="J223" s="31" t="n"/>
      <c r="K223" s="31" t="n"/>
      <c r="L223" s="31" t="n"/>
      <c r="M223" s="31" t="n"/>
      <c r="N223" s="31" t="n"/>
      <c r="O223" s="31" t="n"/>
      <c r="P223" s="31" t="n"/>
      <c r="Q223" s="31" t="n"/>
      <c r="R223" s="31" t="n"/>
      <c r="S223" s="31" t="n"/>
      <c r="T223" s="31" t="n"/>
      <c r="U223" s="31" t="n"/>
      <c r="V223" s="31" t="n"/>
      <c r="W223" s="32" t="n"/>
      <c r="X223" s="31" t="n"/>
      <c r="Y223" s="31" t="n"/>
      <c r="Z223" s="31" t="n"/>
      <c r="AA223" s="31" t="n"/>
      <c r="AB223" s="31" t="n"/>
      <c r="AC223" s="31" t="n"/>
      <c r="AD223" s="32" t="n"/>
      <c r="AE223" s="31" t="n"/>
      <c r="AF223" s="33" t="n"/>
      <c r="AG223" s="66">
        <f>IF(OR(AF223="",AE223=""),"",IFERROR(AF223*INDEX(FXRates[USD per unit],MATCH(AE223,FXRates[Currency],0)),"No rate"))</f>
        <v/>
      </c>
      <c r="AH223" s="30" t="n"/>
      <c r="AI223" s="30" t="n"/>
      <c r="AJ223" s="34">
        <f>IF(A223="","",IF(COUNTIF($A$6:$A$504,A223)&gt;1,"⚠ Duplicate",""))</f>
        <v/>
      </c>
      <c r="AK223" s="33" t="n"/>
      <c r="AL223" s="41" t="n"/>
      <c r="AM223" s="41" t="n"/>
      <c r="AN223" s="41" t="n"/>
      <c r="AO223" s="41" t="n"/>
      <c r="AP223" s="41" t="n"/>
      <c r="AQ223" s="41" t="n"/>
      <c r="AR223" s="41" t="n"/>
      <c r="AS223" s="41" t="n"/>
      <c r="AT223" s="41" t="n"/>
      <c r="AU223" s="41" t="n"/>
      <c r="AV223" s="41" t="n"/>
      <c r="AW223" s="41" t="n"/>
      <c r="AX223" s="41" t="n"/>
      <c r="AY223" s="41" t="n"/>
      <c r="AZ223" s="33" t="n"/>
      <c r="BA223" s="41" t="n"/>
      <c r="BB223" s="41" t="n"/>
      <c r="BC223" s="41" t="n"/>
      <c r="BD223" s="41" t="n"/>
      <c r="BE223" s="41" t="n"/>
      <c r="BF223" s="41" t="n"/>
      <c r="BG223" s="41" t="n"/>
      <c r="BH223" s="41" t="n"/>
      <c r="BI223" s="41" t="n"/>
      <c r="BJ223" s="41" t="n"/>
      <c r="BK223" s="41" t="n"/>
      <c r="BL223" s="41" t="n"/>
      <c r="BM223" s="41" t="n"/>
      <c r="BN223" s="41" t="n"/>
    </row>
    <row r="224" ht="18" customHeight="1" s="82">
      <c r="A224" s="36" t="n"/>
      <c r="B224" s="36" t="n"/>
      <c r="C224" s="36" t="n"/>
      <c r="D224" s="36" t="n"/>
      <c r="E224" s="37" t="n"/>
      <c r="F224" s="37" t="n"/>
      <c r="G224" s="37" t="n"/>
      <c r="H224" s="37" t="n"/>
      <c r="I224" s="37" t="n"/>
      <c r="J224" s="37" t="n"/>
      <c r="K224" s="37" t="n"/>
      <c r="L224" s="37" t="n"/>
      <c r="M224" s="37" t="n"/>
      <c r="N224" s="37" t="n"/>
      <c r="O224" s="37" t="n"/>
      <c r="P224" s="37" t="n"/>
      <c r="Q224" s="37" t="n"/>
      <c r="R224" s="37" t="n"/>
      <c r="S224" s="37" t="n"/>
      <c r="T224" s="37" t="n"/>
      <c r="U224" s="37" t="n"/>
      <c r="V224" s="37" t="n"/>
      <c r="W224" s="32" t="n"/>
      <c r="X224" s="37" t="n"/>
      <c r="Y224" s="37" t="n"/>
      <c r="Z224" s="37" t="n"/>
      <c r="AA224" s="37" t="n"/>
      <c r="AB224" s="37" t="n"/>
      <c r="AC224" s="37" t="n"/>
      <c r="AD224" s="32" t="n"/>
      <c r="AE224" s="37" t="n"/>
      <c r="AF224" s="38" t="n"/>
      <c r="AG224" s="67">
        <f>IF(OR(AF224="",AE224=""),"",IFERROR(AF224*INDEX(FXRates[USD per unit],MATCH(AE224,FXRates[Currency],0)),"No rate"))</f>
        <v/>
      </c>
      <c r="AH224" s="36" t="n"/>
      <c r="AI224" s="36" t="n"/>
      <c r="AJ224" s="39">
        <f>IF(A224="","",IF(COUNTIF($A$6:$A$504,A224)&gt;1,"⚠ Duplicate",""))</f>
        <v/>
      </c>
      <c r="AK224" s="38" t="n"/>
      <c r="AL224" s="40" t="n"/>
      <c r="AM224" s="40" t="n"/>
      <c r="AN224" s="40" t="n"/>
      <c r="AO224" s="40" t="n"/>
      <c r="AP224" s="40" t="n"/>
      <c r="AQ224" s="40" t="n"/>
      <c r="AR224" s="40" t="n"/>
      <c r="AS224" s="40" t="n"/>
      <c r="AT224" s="40" t="n"/>
      <c r="AU224" s="40" t="n"/>
      <c r="AV224" s="40" t="n"/>
      <c r="AW224" s="40" t="n"/>
      <c r="AX224" s="40" t="n"/>
      <c r="AY224" s="40" t="n"/>
      <c r="AZ224" s="38" t="n"/>
      <c r="BA224" s="40" t="n"/>
      <c r="BB224" s="40" t="n"/>
      <c r="BC224" s="40" t="n"/>
      <c r="BD224" s="40" t="n"/>
      <c r="BE224" s="40" t="n"/>
      <c r="BF224" s="40" t="n"/>
      <c r="BG224" s="40" t="n"/>
      <c r="BH224" s="40" t="n"/>
      <c r="BI224" s="40" t="n"/>
      <c r="BJ224" s="40" t="n"/>
      <c r="BK224" s="40" t="n"/>
      <c r="BL224" s="40" t="n"/>
      <c r="BM224" s="40" t="n"/>
      <c r="BN224" s="40" t="n"/>
    </row>
    <row r="225" ht="18" customHeight="1" s="82">
      <c r="A225" s="30" t="n"/>
      <c r="B225" s="30" t="n"/>
      <c r="C225" s="30" t="n"/>
      <c r="D225" s="30" t="n"/>
      <c r="E225" s="31" t="n"/>
      <c r="F225" s="31" t="n"/>
      <c r="G225" s="31" t="n"/>
      <c r="H225" s="31" t="n"/>
      <c r="I225" s="31" t="n"/>
      <c r="J225" s="31" t="n"/>
      <c r="K225" s="31" t="n"/>
      <c r="L225" s="31" t="n"/>
      <c r="M225" s="31" t="n"/>
      <c r="N225" s="31" t="n"/>
      <c r="O225" s="31" t="n"/>
      <c r="P225" s="31" t="n"/>
      <c r="Q225" s="31" t="n"/>
      <c r="R225" s="31" t="n"/>
      <c r="S225" s="31" t="n"/>
      <c r="T225" s="31" t="n"/>
      <c r="U225" s="31" t="n"/>
      <c r="V225" s="31" t="n"/>
      <c r="W225" s="32" t="n"/>
      <c r="X225" s="31" t="n"/>
      <c r="Y225" s="31" t="n"/>
      <c r="Z225" s="31" t="n"/>
      <c r="AA225" s="31" t="n"/>
      <c r="AB225" s="31" t="n"/>
      <c r="AC225" s="31" t="n"/>
      <c r="AD225" s="32" t="n"/>
      <c r="AE225" s="31" t="n"/>
      <c r="AF225" s="33" t="n"/>
      <c r="AG225" s="66">
        <f>IF(OR(AF225="",AE225=""),"",IFERROR(AF225*INDEX(FXRates[USD per unit],MATCH(AE225,FXRates[Currency],0)),"No rate"))</f>
        <v/>
      </c>
      <c r="AH225" s="30" t="n"/>
      <c r="AI225" s="30" t="n"/>
      <c r="AJ225" s="34">
        <f>IF(A225="","",IF(COUNTIF($A$6:$A$504,A225)&gt;1,"⚠ Duplicate",""))</f>
        <v/>
      </c>
      <c r="AK225" s="33" t="n"/>
      <c r="AL225" s="41" t="n"/>
      <c r="AM225" s="41" t="n"/>
      <c r="AN225" s="41" t="n"/>
      <c r="AO225" s="41" t="n"/>
      <c r="AP225" s="41" t="n"/>
      <c r="AQ225" s="41" t="n"/>
      <c r="AR225" s="41" t="n"/>
      <c r="AS225" s="41" t="n"/>
      <c r="AT225" s="41" t="n"/>
      <c r="AU225" s="41" t="n"/>
      <c r="AV225" s="41" t="n"/>
      <c r="AW225" s="41" t="n"/>
      <c r="AX225" s="41" t="n"/>
      <c r="AY225" s="41" t="n"/>
      <c r="AZ225" s="33" t="n"/>
      <c r="BA225" s="41" t="n"/>
      <c r="BB225" s="41" t="n"/>
      <c r="BC225" s="41" t="n"/>
      <c r="BD225" s="41" t="n"/>
      <c r="BE225" s="41" t="n"/>
      <c r="BF225" s="41" t="n"/>
      <c r="BG225" s="41" t="n"/>
      <c r="BH225" s="41" t="n"/>
      <c r="BI225" s="41" t="n"/>
      <c r="BJ225" s="41" t="n"/>
      <c r="BK225" s="41" t="n"/>
      <c r="BL225" s="41" t="n"/>
      <c r="BM225" s="41" t="n"/>
      <c r="BN225" s="41" t="n"/>
    </row>
    <row r="226" ht="18" customHeight="1" s="82">
      <c r="A226" s="36" t="n"/>
      <c r="B226" s="36" t="n"/>
      <c r="C226" s="36" t="n"/>
      <c r="D226" s="36" t="n"/>
      <c r="E226" s="37" t="n"/>
      <c r="F226" s="37" t="n"/>
      <c r="G226" s="37" t="n"/>
      <c r="H226" s="37" t="n"/>
      <c r="I226" s="37" t="n"/>
      <c r="J226" s="37" t="n"/>
      <c r="K226" s="37" t="n"/>
      <c r="L226" s="37" t="n"/>
      <c r="M226" s="37" t="n"/>
      <c r="N226" s="37" t="n"/>
      <c r="O226" s="37" t="n"/>
      <c r="P226" s="37" t="n"/>
      <c r="Q226" s="37" t="n"/>
      <c r="R226" s="37" t="n"/>
      <c r="S226" s="37" t="n"/>
      <c r="T226" s="37" t="n"/>
      <c r="U226" s="37" t="n"/>
      <c r="V226" s="37" t="n"/>
      <c r="W226" s="32" t="n"/>
      <c r="X226" s="37" t="n"/>
      <c r="Y226" s="37" t="n"/>
      <c r="Z226" s="37" t="n"/>
      <c r="AA226" s="37" t="n"/>
      <c r="AB226" s="37" t="n"/>
      <c r="AC226" s="37" t="n"/>
      <c r="AD226" s="32" t="n"/>
      <c r="AE226" s="37" t="n"/>
      <c r="AF226" s="38" t="n"/>
      <c r="AG226" s="67">
        <f>IF(OR(AF226="",AE226=""),"",IFERROR(AF226*INDEX(FXRates[USD per unit],MATCH(AE226,FXRates[Currency],0)),"No rate"))</f>
        <v/>
      </c>
      <c r="AH226" s="36" t="n"/>
      <c r="AI226" s="36" t="n"/>
      <c r="AJ226" s="39">
        <f>IF(A226="","",IF(COUNTIF($A$6:$A$504,A226)&gt;1,"⚠ Duplicate",""))</f>
        <v/>
      </c>
      <c r="AK226" s="38" t="n"/>
      <c r="AL226" s="40" t="n"/>
      <c r="AM226" s="40" t="n"/>
      <c r="AN226" s="40" t="n"/>
      <c r="AO226" s="40" t="n"/>
      <c r="AP226" s="40" t="n"/>
      <c r="AQ226" s="40" t="n"/>
      <c r="AR226" s="40" t="n"/>
      <c r="AS226" s="40" t="n"/>
      <c r="AT226" s="40" t="n"/>
      <c r="AU226" s="40" t="n"/>
      <c r="AV226" s="40" t="n"/>
      <c r="AW226" s="40" t="n"/>
      <c r="AX226" s="40" t="n"/>
      <c r="AY226" s="40" t="n"/>
      <c r="AZ226" s="38" t="n"/>
      <c r="BA226" s="40" t="n"/>
      <c r="BB226" s="40" t="n"/>
      <c r="BC226" s="40" t="n"/>
      <c r="BD226" s="40" t="n"/>
      <c r="BE226" s="40" t="n"/>
      <c r="BF226" s="40" t="n"/>
      <c r="BG226" s="40" t="n"/>
      <c r="BH226" s="40" t="n"/>
      <c r="BI226" s="40" t="n"/>
      <c r="BJ226" s="40" t="n"/>
      <c r="BK226" s="40" t="n"/>
      <c r="BL226" s="40" t="n"/>
      <c r="BM226" s="40" t="n"/>
      <c r="BN226" s="40" t="n"/>
    </row>
    <row r="227" ht="18" customHeight="1" s="82">
      <c r="A227" s="30" t="n"/>
      <c r="B227" s="30" t="n"/>
      <c r="C227" s="30" t="n"/>
      <c r="D227" s="30" t="n"/>
      <c r="E227" s="31" t="n"/>
      <c r="F227" s="31" t="n"/>
      <c r="G227" s="31" t="n"/>
      <c r="H227" s="31" t="n"/>
      <c r="I227" s="31" t="n"/>
      <c r="J227" s="31" t="n"/>
      <c r="K227" s="31" t="n"/>
      <c r="L227" s="31" t="n"/>
      <c r="M227" s="31" t="n"/>
      <c r="N227" s="31" t="n"/>
      <c r="O227" s="31" t="n"/>
      <c r="P227" s="31" t="n"/>
      <c r="Q227" s="31" t="n"/>
      <c r="R227" s="31" t="n"/>
      <c r="S227" s="31" t="n"/>
      <c r="T227" s="31" t="n"/>
      <c r="U227" s="31" t="n"/>
      <c r="V227" s="31" t="n"/>
      <c r="W227" s="32" t="n"/>
      <c r="X227" s="31" t="n"/>
      <c r="Y227" s="31" t="n"/>
      <c r="Z227" s="31" t="n"/>
      <c r="AA227" s="31" t="n"/>
      <c r="AB227" s="31" t="n"/>
      <c r="AC227" s="31" t="n"/>
      <c r="AD227" s="32" t="n"/>
      <c r="AE227" s="31" t="n"/>
      <c r="AF227" s="33" t="n"/>
      <c r="AG227" s="66">
        <f>IF(OR(AF227="",AE227=""),"",IFERROR(AF227*INDEX(FXRates[USD per unit],MATCH(AE227,FXRates[Currency],0)),"No rate"))</f>
        <v/>
      </c>
      <c r="AH227" s="30" t="n"/>
      <c r="AI227" s="30" t="n"/>
      <c r="AJ227" s="34">
        <f>IF(A227="","",IF(COUNTIF($A$6:$A$504,A227)&gt;1,"⚠ Duplicate",""))</f>
        <v/>
      </c>
      <c r="AK227" s="33" t="n"/>
      <c r="AL227" s="41" t="n"/>
      <c r="AM227" s="41" t="n"/>
      <c r="AN227" s="41" t="n"/>
      <c r="AO227" s="41" t="n"/>
      <c r="AP227" s="41" t="n"/>
      <c r="AQ227" s="41" t="n"/>
      <c r="AR227" s="41" t="n"/>
      <c r="AS227" s="41" t="n"/>
      <c r="AT227" s="41" t="n"/>
      <c r="AU227" s="41" t="n"/>
      <c r="AV227" s="41" t="n"/>
      <c r="AW227" s="41" t="n"/>
      <c r="AX227" s="41" t="n"/>
      <c r="AY227" s="41" t="n"/>
      <c r="AZ227" s="33" t="n"/>
      <c r="BA227" s="41" t="n"/>
      <c r="BB227" s="41" t="n"/>
      <c r="BC227" s="41" t="n"/>
      <c r="BD227" s="41" t="n"/>
      <c r="BE227" s="41" t="n"/>
      <c r="BF227" s="41" t="n"/>
      <c r="BG227" s="41" t="n"/>
      <c r="BH227" s="41" t="n"/>
      <c r="BI227" s="41" t="n"/>
      <c r="BJ227" s="41" t="n"/>
      <c r="BK227" s="41" t="n"/>
      <c r="BL227" s="41" t="n"/>
      <c r="BM227" s="41" t="n"/>
      <c r="BN227" s="41" t="n"/>
    </row>
    <row r="228" ht="18" customHeight="1" s="82">
      <c r="A228" s="36" t="n"/>
      <c r="B228" s="36" t="n"/>
      <c r="C228" s="36" t="n"/>
      <c r="D228" s="36" t="n"/>
      <c r="E228" s="37" t="n"/>
      <c r="F228" s="37" t="n"/>
      <c r="G228" s="37" t="n"/>
      <c r="H228" s="37" t="n"/>
      <c r="I228" s="37" t="n"/>
      <c r="J228" s="37" t="n"/>
      <c r="K228" s="37" t="n"/>
      <c r="L228" s="37" t="n"/>
      <c r="M228" s="37" t="n"/>
      <c r="N228" s="37" t="n"/>
      <c r="O228" s="37" t="n"/>
      <c r="P228" s="37" t="n"/>
      <c r="Q228" s="37" t="n"/>
      <c r="R228" s="37" t="n"/>
      <c r="S228" s="37" t="n"/>
      <c r="T228" s="37" t="n"/>
      <c r="U228" s="37" t="n"/>
      <c r="V228" s="37" t="n"/>
      <c r="W228" s="32" t="n"/>
      <c r="X228" s="37" t="n"/>
      <c r="Y228" s="37" t="n"/>
      <c r="Z228" s="37" t="n"/>
      <c r="AA228" s="37" t="n"/>
      <c r="AB228" s="37" t="n"/>
      <c r="AC228" s="37" t="n"/>
      <c r="AD228" s="32" t="n"/>
      <c r="AE228" s="37" t="n"/>
      <c r="AF228" s="38" t="n"/>
      <c r="AG228" s="67">
        <f>IF(OR(AF228="",AE228=""),"",IFERROR(AF228*INDEX(FXRates[USD per unit],MATCH(AE228,FXRates[Currency],0)),"No rate"))</f>
        <v/>
      </c>
      <c r="AH228" s="36" t="n"/>
      <c r="AI228" s="36" t="n"/>
      <c r="AJ228" s="39">
        <f>IF(A228="","",IF(COUNTIF($A$6:$A$504,A228)&gt;1,"⚠ Duplicate",""))</f>
        <v/>
      </c>
      <c r="AK228" s="38" t="n"/>
      <c r="AL228" s="40" t="n"/>
      <c r="AM228" s="40" t="n"/>
      <c r="AN228" s="40" t="n"/>
      <c r="AO228" s="40" t="n"/>
      <c r="AP228" s="40" t="n"/>
      <c r="AQ228" s="40" t="n"/>
      <c r="AR228" s="40" t="n"/>
      <c r="AS228" s="40" t="n"/>
      <c r="AT228" s="40" t="n"/>
      <c r="AU228" s="40" t="n"/>
      <c r="AV228" s="40" t="n"/>
      <c r="AW228" s="40" t="n"/>
      <c r="AX228" s="40" t="n"/>
      <c r="AY228" s="40" t="n"/>
      <c r="AZ228" s="38" t="n"/>
      <c r="BA228" s="40" t="n"/>
      <c r="BB228" s="40" t="n"/>
      <c r="BC228" s="40" t="n"/>
      <c r="BD228" s="40" t="n"/>
      <c r="BE228" s="40" t="n"/>
      <c r="BF228" s="40" t="n"/>
      <c r="BG228" s="40" t="n"/>
      <c r="BH228" s="40" t="n"/>
      <c r="BI228" s="40" t="n"/>
      <c r="BJ228" s="40" t="n"/>
      <c r="BK228" s="40" t="n"/>
      <c r="BL228" s="40" t="n"/>
      <c r="BM228" s="40" t="n"/>
      <c r="BN228" s="40" t="n"/>
    </row>
    <row r="229" ht="18" customHeight="1" s="82">
      <c r="A229" s="30" t="n"/>
      <c r="B229" s="30" t="n"/>
      <c r="C229" s="30" t="n"/>
      <c r="D229" s="30" t="n"/>
      <c r="E229" s="31" t="n"/>
      <c r="F229" s="31" t="n"/>
      <c r="G229" s="31" t="n"/>
      <c r="H229" s="31" t="n"/>
      <c r="I229" s="31" t="n"/>
      <c r="J229" s="31" t="n"/>
      <c r="K229" s="31" t="n"/>
      <c r="L229" s="31" t="n"/>
      <c r="M229" s="31" t="n"/>
      <c r="N229" s="31" t="n"/>
      <c r="O229" s="31" t="n"/>
      <c r="P229" s="31" t="n"/>
      <c r="Q229" s="31" t="n"/>
      <c r="R229" s="31" t="n"/>
      <c r="S229" s="31" t="n"/>
      <c r="T229" s="31" t="n"/>
      <c r="U229" s="31" t="n"/>
      <c r="V229" s="31" t="n"/>
      <c r="W229" s="32" t="n"/>
      <c r="X229" s="31" t="n"/>
      <c r="Y229" s="31" t="n"/>
      <c r="Z229" s="31" t="n"/>
      <c r="AA229" s="31" t="n"/>
      <c r="AB229" s="31" t="n"/>
      <c r="AC229" s="31" t="n"/>
      <c r="AD229" s="32" t="n"/>
      <c r="AE229" s="31" t="n"/>
      <c r="AF229" s="33" t="n"/>
      <c r="AG229" s="66">
        <f>IF(OR(AF229="",AE229=""),"",IFERROR(AF229*INDEX(FXRates[USD per unit],MATCH(AE229,FXRates[Currency],0)),"No rate"))</f>
        <v/>
      </c>
      <c r="AH229" s="30" t="n"/>
      <c r="AI229" s="30" t="n"/>
      <c r="AJ229" s="34">
        <f>IF(A229="","",IF(COUNTIF($A$6:$A$504,A229)&gt;1,"⚠ Duplicate",""))</f>
        <v/>
      </c>
      <c r="AK229" s="33" t="n"/>
      <c r="AL229" s="41" t="n"/>
      <c r="AM229" s="41" t="n"/>
      <c r="AN229" s="41" t="n"/>
      <c r="AO229" s="41" t="n"/>
      <c r="AP229" s="41" t="n"/>
      <c r="AQ229" s="41" t="n"/>
      <c r="AR229" s="41" t="n"/>
      <c r="AS229" s="41" t="n"/>
      <c r="AT229" s="41" t="n"/>
      <c r="AU229" s="41" t="n"/>
      <c r="AV229" s="41" t="n"/>
      <c r="AW229" s="41" t="n"/>
      <c r="AX229" s="41" t="n"/>
      <c r="AY229" s="41" t="n"/>
      <c r="AZ229" s="33" t="n"/>
      <c r="BA229" s="41" t="n"/>
      <c r="BB229" s="41" t="n"/>
      <c r="BC229" s="41" t="n"/>
      <c r="BD229" s="41" t="n"/>
      <c r="BE229" s="41" t="n"/>
      <c r="BF229" s="41" t="n"/>
      <c r="BG229" s="41" t="n"/>
      <c r="BH229" s="41" t="n"/>
      <c r="BI229" s="41" t="n"/>
      <c r="BJ229" s="41" t="n"/>
      <c r="BK229" s="41" t="n"/>
      <c r="BL229" s="41" t="n"/>
      <c r="BM229" s="41" t="n"/>
      <c r="BN229" s="41" t="n"/>
    </row>
    <row r="230" ht="18" customHeight="1" s="82">
      <c r="A230" s="36" t="n"/>
      <c r="B230" s="36" t="n"/>
      <c r="C230" s="36" t="n"/>
      <c r="D230" s="36" t="n"/>
      <c r="E230" s="37" t="n"/>
      <c r="F230" s="37" t="n"/>
      <c r="G230" s="37" t="n"/>
      <c r="H230" s="37" t="n"/>
      <c r="I230" s="37" t="n"/>
      <c r="J230" s="37" t="n"/>
      <c r="K230" s="37" t="n"/>
      <c r="L230" s="37" t="n"/>
      <c r="M230" s="37" t="n"/>
      <c r="N230" s="37" t="n"/>
      <c r="O230" s="37" t="n"/>
      <c r="P230" s="37" t="n"/>
      <c r="Q230" s="37" t="n"/>
      <c r="R230" s="37" t="n"/>
      <c r="S230" s="37" t="n"/>
      <c r="T230" s="37" t="n"/>
      <c r="U230" s="37" t="n"/>
      <c r="V230" s="37" t="n"/>
      <c r="W230" s="32" t="n"/>
      <c r="X230" s="37" t="n"/>
      <c r="Y230" s="37" t="n"/>
      <c r="Z230" s="37" t="n"/>
      <c r="AA230" s="37" t="n"/>
      <c r="AB230" s="37" t="n"/>
      <c r="AC230" s="37" t="n"/>
      <c r="AD230" s="32" t="n"/>
      <c r="AE230" s="37" t="n"/>
      <c r="AF230" s="38" t="n"/>
      <c r="AG230" s="67">
        <f>IF(OR(AF230="",AE230=""),"",IFERROR(AF230*INDEX(FXRates[USD per unit],MATCH(AE230,FXRates[Currency],0)),"No rate"))</f>
        <v/>
      </c>
      <c r="AH230" s="36" t="n"/>
      <c r="AI230" s="36" t="n"/>
      <c r="AJ230" s="39">
        <f>IF(A230="","",IF(COUNTIF($A$6:$A$504,A230)&gt;1,"⚠ Duplicate",""))</f>
        <v/>
      </c>
      <c r="AK230" s="38" t="n"/>
      <c r="AL230" s="40" t="n"/>
      <c r="AM230" s="40" t="n"/>
      <c r="AN230" s="40" t="n"/>
      <c r="AO230" s="40" t="n"/>
      <c r="AP230" s="40" t="n"/>
      <c r="AQ230" s="40" t="n"/>
      <c r="AR230" s="40" t="n"/>
      <c r="AS230" s="40" t="n"/>
      <c r="AT230" s="40" t="n"/>
      <c r="AU230" s="40" t="n"/>
      <c r="AV230" s="40" t="n"/>
      <c r="AW230" s="40" t="n"/>
      <c r="AX230" s="40" t="n"/>
      <c r="AY230" s="40" t="n"/>
      <c r="AZ230" s="38" t="n"/>
      <c r="BA230" s="40" t="n"/>
      <c r="BB230" s="40" t="n"/>
      <c r="BC230" s="40" t="n"/>
      <c r="BD230" s="40" t="n"/>
      <c r="BE230" s="40" t="n"/>
      <c r="BF230" s="40" t="n"/>
      <c r="BG230" s="40" t="n"/>
      <c r="BH230" s="40" t="n"/>
      <c r="BI230" s="40" t="n"/>
      <c r="BJ230" s="40" t="n"/>
      <c r="BK230" s="40" t="n"/>
      <c r="BL230" s="40" t="n"/>
      <c r="BM230" s="40" t="n"/>
      <c r="BN230" s="40" t="n"/>
    </row>
    <row r="231" ht="18" customHeight="1" s="82">
      <c r="A231" s="30" t="n"/>
      <c r="B231" s="30" t="n"/>
      <c r="C231" s="30" t="n"/>
      <c r="D231" s="30" t="n"/>
      <c r="E231" s="31" t="n"/>
      <c r="F231" s="31" t="n"/>
      <c r="G231" s="31" t="n"/>
      <c r="H231" s="31" t="n"/>
      <c r="I231" s="31" t="n"/>
      <c r="J231" s="31" t="n"/>
      <c r="K231" s="31" t="n"/>
      <c r="L231" s="31" t="n"/>
      <c r="M231" s="31" t="n"/>
      <c r="N231" s="31" t="n"/>
      <c r="O231" s="31" t="n"/>
      <c r="P231" s="31" t="n"/>
      <c r="Q231" s="31" t="n"/>
      <c r="R231" s="31" t="n"/>
      <c r="S231" s="31" t="n"/>
      <c r="T231" s="31" t="n"/>
      <c r="U231" s="31" t="n"/>
      <c r="V231" s="31" t="n"/>
      <c r="W231" s="32" t="n"/>
      <c r="X231" s="31" t="n"/>
      <c r="Y231" s="31" t="n"/>
      <c r="Z231" s="31" t="n"/>
      <c r="AA231" s="31" t="n"/>
      <c r="AB231" s="31" t="n"/>
      <c r="AC231" s="31" t="n"/>
      <c r="AD231" s="32" t="n"/>
      <c r="AE231" s="31" t="n"/>
      <c r="AF231" s="33" t="n"/>
      <c r="AG231" s="66">
        <f>IF(OR(AF231="",AE231=""),"",IFERROR(AF231*INDEX(FXRates[USD per unit],MATCH(AE231,FXRates[Currency],0)),"No rate"))</f>
        <v/>
      </c>
      <c r="AH231" s="30" t="n"/>
      <c r="AI231" s="30" t="n"/>
      <c r="AJ231" s="34">
        <f>IF(A231="","",IF(COUNTIF($A$6:$A$504,A231)&gt;1,"⚠ Duplicate",""))</f>
        <v/>
      </c>
      <c r="AK231" s="33" t="n"/>
      <c r="AL231" s="41" t="n"/>
      <c r="AM231" s="41" t="n"/>
      <c r="AN231" s="41" t="n"/>
      <c r="AO231" s="41" t="n"/>
      <c r="AP231" s="41" t="n"/>
      <c r="AQ231" s="41" t="n"/>
      <c r="AR231" s="41" t="n"/>
      <c r="AS231" s="41" t="n"/>
      <c r="AT231" s="41" t="n"/>
      <c r="AU231" s="41" t="n"/>
      <c r="AV231" s="41" t="n"/>
      <c r="AW231" s="41" t="n"/>
      <c r="AX231" s="41" t="n"/>
      <c r="AY231" s="41" t="n"/>
      <c r="AZ231" s="33" t="n"/>
      <c r="BA231" s="41" t="n"/>
      <c r="BB231" s="41" t="n"/>
      <c r="BC231" s="41" t="n"/>
      <c r="BD231" s="41" t="n"/>
      <c r="BE231" s="41" t="n"/>
      <c r="BF231" s="41" t="n"/>
      <c r="BG231" s="41" t="n"/>
      <c r="BH231" s="41" t="n"/>
      <c r="BI231" s="41" t="n"/>
      <c r="BJ231" s="41" t="n"/>
      <c r="BK231" s="41" t="n"/>
      <c r="BL231" s="41" t="n"/>
      <c r="BM231" s="41" t="n"/>
      <c r="BN231" s="41" t="n"/>
    </row>
    <row r="232" ht="18" customHeight="1" s="82">
      <c r="A232" s="36" t="n"/>
      <c r="B232" s="36" t="n"/>
      <c r="C232" s="36" t="n"/>
      <c r="D232" s="36" t="n"/>
      <c r="E232" s="37" t="n"/>
      <c r="F232" s="37" t="n"/>
      <c r="G232" s="37" t="n"/>
      <c r="H232" s="37" t="n"/>
      <c r="I232" s="37" t="n"/>
      <c r="J232" s="37" t="n"/>
      <c r="K232" s="37" t="n"/>
      <c r="L232" s="37" t="n"/>
      <c r="M232" s="37" t="n"/>
      <c r="N232" s="37" t="n"/>
      <c r="O232" s="37" t="n"/>
      <c r="P232" s="37" t="n"/>
      <c r="Q232" s="37" t="n"/>
      <c r="R232" s="37" t="n"/>
      <c r="S232" s="37" t="n"/>
      <c r="T232" s="37" t="n"/>
      <c r="U232" s="37" t="n"/>
      <c r="V232" s="37" t="n"/>
      <c r="W232" s="32" t="n"/>
      <c r="X232" s="37" t="n"/>
      <c r="Y232" s="37" t="n"/>
      <c r="Z232" s="37" t="n"/>
      <c r="AA232" s="37" t="n"/>
      <c r="AB232" s="37" t="n"/>
      <c r="AC232" s="37" t="n"/>
      <c r="AD232" s="32" t="n"/>
      <c r="AE232" s="37" t="n"/>
      <c r="AF232" s="38" t="n"/>
      <c r="AG232" s="67">
        <f>IF(OR(AF232="",AE232=""),"",IFERROR(AF232*INDEX(FXRates[USD per unit],MATCH(AE232,FXRates[Currency],0)),"No rate"))</f>
        <v/>
      </c>
      <c r="AH232" s="36" t="n"/>
      <c r="AI232" s="36" t="n"/>
      <c r="AJ232" s="39">
        <f>IF(A232="","",IF(COUNTIF($A$6:$A$504,A232)&gt;1,"⚠ Duplicate",""))</f>
        <v/>
      </c>
      <c r="AK232" s="38" t="n"/>
      <c r="AL232" s="40" t="n"/>
      <c r="AM232" s="40" t="n"/>
      <c r="AN232" s="40" t="n"/>
      <c r="AO232" s="40" t="n"/>
      <c r="AP232" s="40" t="n"/>
      <c r="AQ232" s="40" t="n"/>
      <c r="AR232" s="40" t="n"/>
      <c r="AS232" s="40" t="n"/>
      <c r="AT232" s="40" t="n"/>
      <c r="AU232" s="40" t="n"/>
      <c r="AV232" s="40" t="n"/>
      <c r="AW232" s="40" t="n"/>
      <c r="AX232" s="40" t="n"/>
      <c r="AY232" s="40" t="n"/>
      <c r="AZ232" s="38" t="n"/>
      <c r="BA232" s="40" t="n"/>
      <c r="BB232" s="40" t="n"/>
      <c r="BC232" s="40" t="n"/>
      <c r="BD232" s="40" t="n"/>
      <c r="BE232" s="40" t="n"/>
      <c r="BF232" s="40" t="n"/>
      <c r="BG232" s="40" t="n"/>
      <c r="BH232" s="40" t="n"/>
      <c r="BI232" s="40" t="n"/>
      <c r="BJ232" s="40" t="n"/>
      <c r="BK232" s="40" t="n"/>
      <c r="BL232" s="40" t="n"/>
      <c r="BM232" s="40" t="n"/>
      <c r="BN232" s="40" t="n"/>
    </row>
    <row r="233" ht="18" customHeight="1" s="82">
      <c r="A233" s="30" t="n"/>
      <c r="B233" s="30" t="n"/>
      <c r="C233" s="30" t="n"/>
      <c r="D233" s="30" t="n"/>
      <c r="E233" s="31" t="n"/>
      <c r="F233" s="31" t="n"/>
      <c r="G233" s="31" t="n"/>
      <c r="H233" s="31" t="n"/>
      <c r="I233" s="31" t="n"/>
      <c r="J233" s="31" t="n"/>
      <c r="K233" s="31" t="n"/>
      <c r="L233" s="31" t="n"/>
      <c r="M233" s="31" t="n"/>
      <c r="N233" s="31" t="n"/>
      <c r="O233" s="31" t="n"/>
      <c r="P233" s="31" t="n"/>
      <c r="Q233" s="31" t="n"/>
      <c r="R233" s="31" t="n"/>
      <c r="S233" s="31" t="n"/>
      <c r="T233" s="31" t="n"/>
      <c r="U233" s="31" t="n"/>
      <c r="V233" s="31" t="n"/>
      <c r="W233" s="32" t="n"/>
      <c r="X233" s="31" t="n"/>
      <c r="Y233" s="31" t="n"/>
      <c r="Z233" s="31" t="n"/>
      <c r="AA233" s="31" t="n"/>
      <c r="AB233" s="31" t="n"/>
      <c r="AC233" s="31" t="n"/>
      <c r="AD233" s="32" t="n"/>
      <c r="AE233" s="31" t="n"/>
      <c r="AF233" s="33" t="n"/>
      <c r="AG233" s="66">
        <f>IF(OR(AF233="",AE233=""),"",IFERROR(AF233*INDEX(FXRates[USD per unit],MATCH(AE233,FXRates[Currency],0)),"No rate"))</f>
        <v/>
      </c>
      <c r="AH233" s="30" t="n"/>
      <c r="AI233" s="30" t="n"/>
      <c r="AJ233" s="34">
        <f>IF(A233="","",IF(COUNTIF($A$6:$A$504,A233)&gt;1,"⚠ Duplicate",""))</f>
        <v/>
      </c>
      <c r="AK233" s="33" t="n"/>
      <c r="AL233" s="41" t="n"/>
      <c r="AM233" s="41" t="n"/>
      <c r="AN233" s="41" t="n"/>
      <c r="AO233" s="41" t="n"/>
      <c r="AP233" s="41" t="n"/>
      <c r="AQ233" s="41" t="n"/>
      <c r="AR233" s="41" t="n"/>
      <c r="AS233" s="41" t="n"/>
      <c r="AT233" s="41" t="n"/>
      <c r="AU233" s="41" t="n"/>
      <c r="AV233" s="41" t="n"/>
      <c r="AW233" s="41" t="n"/>
      <c r="AX233" s="41" t="n"/>
      <c r="AY233" s="41" t="n"/>
      <c r="AZ233" s="33" t="n"/>
      <c r="BA233" s="41" t="n"/>
      <c r="BB233" s="41" t="n"/>
      <c r="BC233" s="41" t="n"/>
      <c r="BD233" s="41" t="n"/>
      <c r="BE233" s="41" t="n"/>
      <c r="BF233" s="41" t="n"/>
      <c r="BG233" s="41" t="n"/>
      <c r="BH233" s="41" t="n"/>
      <c r="BI233" s="41" t="n"/>
      <c r="BJ233" s="41" t="n"/>
      <c r="BK233" s="41" t="n"/>
      <c r="BL233" s="41" t="n"/>
      <c r="BM233" s="41" t="n"/>
      <c r="BN233" s="41" t="n"/>
    </row>
    <row r="234" ht="18" customHeight="1" s="82">
      <c r="A234" s="36" t="n"/>
      <c r="B234" s="36" t="n"/>
      <c r="C234" s="36" t="n"/>
      <c r="D234" s="36" t="n"/>
      <c r="E234" s="37" t="n"/>
      <c r="F234" s="37" t="n"/>
      <c r="G234" s="37" t="n"/>
      <c r="H234" s="37" t="n"/>
      <c r="I234" s="37" t="n"/>
      <c r="J234" s="37" t="n"/>
      <c r="K234" s="37" t="n"/>
      <c r="L234" s="37" t="n"/>
      <c r="M234" s="37" t="n"/>
      <c r="N234" s="37" t="n"/>
      <c r="O234" s="37" t="n"/>
      <c r="P234" s="37" t="n"/>
      <c r="Q234" s="37" t="n"/>
      <c r="R234" s="37" t="n"/>
      <c r="S234" s="37" t="n"/>
      <c r="T234" s="37" t="n"/>
      <c r="U234" s="37" t="n"/>
      <c r="V234" s="37" t="n"/>
      <c r="W234" s="32" t="n"/>
      <c r="X234" s="37" t="n"/>
      <c r="Y234" s="37" t="n"/>
      <c r="Z234" s="37" t="n"/>
      <c r="AA234" s="37" t="n"/>
      <c r="AB234" s="37" t="n"/>
      <c r="AC234" s="37" t="n"/>
      <c r="AD234" s="32" t="n"/>
      <c r="AE234" s="37" t="n"/>
      <c r="AF234" s="38" t="n"/>
      <c r="AG234" s="67">
        <f>IF(OR(AF234="",AE234=""),"",IFERROR(AF234*INDEX(FXRates[USD per unit],MATCH(AE234,FXRates[Currency],0)),"No rate"))</f>
        <v/>
      </c>
      <c r="AH234" s="36" t="n"/>
      <c r="AI234" s="36" t="n"/>
      <c r="AJ234" s="39">
        <f>IF(A234="","",IF(COUNTIF($A$6:$A$504,A234)&gt;1,"⚠ Duplicate",""))</f>
        <v/>
      </c>
      <c r="AK234" s="38" t="n"/>
      <c r="AL234" s="40" t="n"/>
      <c r="AM234" s="40" t="n"/>
      <c r="AN234" s="40" t="n"/>
      <c r="AO234" s="40" t="n"/>
      <c r="AP234" s="40" t="n"/>
      <c r="AQ234" s="40" t="n"/>
      <c r="AR234" s="40" t="n"/>
      <c r="AS234" s="40" t="n"/>
      <c r="AT234" s="40" t="n"/>
      <c r="AU234" s="40" t="n"/>
      <c r="AV234" s="40" t="n"/>
      <c r="AW234" s="40" t="n"/>
      <c r="AX234" s="40" t="n"/>
      <c r="AY234" s="40" t="n"/>
      <c r="AZ234" s="38" t="n"/>
      <c r="BA234" s="40" t="n"/>
      <c r="BB234" s="40" t="n"/>
      <c r="BC234" s="40" t="n"/>
      <c r="BD234" s="40" t="n"/>
      <c r="BE234" s="40" t="n"/>
      <c r="BF234" s="40" t="n"/>
      <c r="BG234" s="40" t="n"/>
      <c r="BH234" s="40" t="n"/>
      <c r="BI234" s="40" t="n"/>
      <c r="BJ234" s="40" t="n"/>
      <c r="BK234" s="40" t="n"/>
      <c r="BL234" s="40" t="n"/>
      <c r="BM234" s="40" t="n"/>
      <c r="BN234" s="40" t="n"/>
    </row>
    <row r="235" ht="18" customHeight="1" s="82">
      <c r="A235" s="30" t="n"/>
      <c r="B235" s="30" t="n"/>
      <c r="C235" s="30" t="n"/>
      <c r="D235" s="30" t="n"/>
      <c r="E235" s="31" t="n"/>
      <c r="F235" s="31" t="n"/>
      <c r="G235" s="31" t="n"/>
      <c r="H235" s="31" t="n"/>
      <c r="I235" s="31" t="n"/>
      <c r="J235" s="31" t="n"/>
      <c r="K235" s="31" t="n"/>
      <c r="L235" s="31" t="n"/>
      <c r="M235" s="31" t="n"/>
      <c r="N235" s="31" t="n"/>
      <c r="O235" s="31" t="n"/>
      <c r="P235" s="31" t="n"/>
      <c r="Q235" s="31" t="n"/>
      <c r="R235" s="31" t="n"/>
      <c r="S235" s="31" t="n"/>
      <c r="T235" s="31" t="n"/>
      <c r="U235" s="31" t="n"/>
      <c r="V235" s="31" t="n"/>
      <c r="W235" s="32" t="n"/>
      <c r="X235" s="31" t="n"/>
      <c r="Y235" s="31" t="n"/>
      <c r="Z235" s="31" t="n"/>
      <c r="AA235" s="31" t="n"/>
      <c r="AB235" s="31" t="n"/>
      <c r="AC235" s="31" t="n"/>
      <c r="AD235" s="32" t="n"/>
      <c r="AE235" s="31" t="n"/>
      <c r="AF235" s="33" t="n"/>
      <c r="AG235" s="66">
        <f>IF(OR(AF235="",AE235=""),"",IFERROR(AF235*INDEX(FXRates[USD per unit],MATCH(AE235,FXRates[Currency],0)),"No rate"))</f>
        <v/>
      </c>
      <c r="AH235" s="30" t="n"/>
      <c r="AI235" s="30" t="n"/>
      <c r="AJ235" s="34">
        <f>IF(A235="","",IF(COUNTIF($A$6:$A$504,A235)&gt;1,"⚠ Duplicate",""))</f>
        <v/>
      </c>
      <c r="AK235" s="33" t="n"/>
      <c r="AL235" s="41" t="n"/>
      <c r="AM235" s="41" t="n"/>
      <c r="AN235" s="41" t="n"/>
      <c r="AO235" s="41" t="n"/>
      <c r="AP235" s="41" t="n"/>
      <c r="AQ235" s="41" t="n"/>
      <c r="AR235" s="41" t="n"/>
      <c r="AS235" s="41" t="n"/>
      <c r="AT235" s="41" t="n"/>
      <c r="AU235" s="41" t="n"/>
      <c r="AV235" s="41" t="n"/>
      <c r="AW235" s="41" t="n"/>
      <c r="AX235" s="41" t="n"/>
      <c r="AY235" s="41" t="n"/>
      <c r="AZ235" s="33" t="n"/>
      <c r="BA235" s="41" t="n"/>
      <c r="BB235" s="41" t="n"/>
      <c r="BC235" s="41" t="n"/>
      <c r="BD235" s="41" t="n"/>
      <c r="BE235" s="41" t="n"/>
      <c r="BF235" s="41" t="n"/>
      <c r="BG235" s="41" t="n"/>
      <c r="BH235" s="41" t="n"/>
      <c r="BI235" s="41" t="n"/>
      <c r="BJ235" s="41" t="n"/>
      <c r="BK235" s="41" t="n"/>
      <c r="BL235" s="41" t="n"/>
      <c r="BM235" s="41" t="n"/>
      <c r="BN235" s="41" t="n"/>
    </row>
    <row r="236" ht="18" customHeight="1" s="82">
      <c r="A236" s="36" t="n"/>
      <c r="B236" s="36" t="n"/>
      <c r="C236" s="36" t="n"/>
      <c r="D236" s="36" t="n"/>
      <c r="E236" s="37" t="n"/>
      <c r="F236" s="37" t="n"/>
      <c r="G236" s="37" t="n"/>
      <c r="H236" s="37" t="n"/>
      <c r="I236" s="37" t="n"/>
      <c r="J236" s="37" t="n"/>
      <c r="K236" s="37" t="n"/>
      <c r="L236" s="37" t="n"/>
      <c r="M236" s="37" t="n"/>
      <c r="N236" s="37" t="n"/>
      <c r="O236" s="37" t="n"/>
      <c r="P236" s="37" t="n"/>
      <c r="Q236" s="37" t="n"/>
      <c r="R236" s="37" t="n"/>
      <c r="S236" s="37" t="n"/>
      <c r="T236" s="37" t="n"/>
      <c r="U236" s="37" t="n"/>
      <c r="V236" s="37" t="n"/>
      <c r="W236" s="32" t="n"/>
      <c r="X236" s="37" t="n"/>
      <c r="Y236" s="37" t="n"/>
      <c r="Z236" s="37" t="n"/>
      <c r="AA236" s="37" t="n"/>
      <c r="AB236" s="37" t="n"/>
      <c r="AC236" s="37" t="n"/>
      <c r="AD236" s="32" t="n"/>
      <c r="AE236" s="37" t="n"/>
      <c r="AF236" s="38" t="n"/>
      <c r="AG236" s="67">
        <f>IF(OR(AF236="",AE236=""),"",IFERROR(AF236*INDEX(FXRates[USD per unit],MATCH(AE236,FXRates[Currency],0)),"No rate"))</f>
        <v/>
      </c>
      <c r="AH236" s="36" t="n"/>
      <c r="AI236" s="36" t="n"/>
      <c r="AJ236" s="39">
        <f>IF(A236="","",IF(COUNTIF($A$6:$A$504,A236)&gt;1,"⚠ Duplicate",""))</f>
        <v/>
      </c>
      <c r="AK236" s="38" t="n"/>
      <c r="AL236" s="40" t="n"/>
      <c r="AM236" s="40" t="n"/>
      <c r="AN236" s="40" t="n"/>
      <c r="AO236" s="40" t="n"/>
      <c r="AP236" s="40" t="n"/>
      <c r="AQ236" s="40" t="n"/>
      <c r="AR236" s="40" t="n"/>
      <c r="AS236" s="40" t="n"/>
      <c r="AT236" s="40" t="n"/>
      <c r="AU236" s="40" t="n"/>
      <c r="AV236" s="40" t="n"/>
      <c r="AW236" s="40" t="n"/>
      <c r="AX236" s="40" t="n"/>
      <c r="AY236" s="40" t="n"/>
      <c r="AZ236" s="38" t="n"/>
      <c r="BA236" s="40" t="n"/>
      <c r="BB236" s="40" t="n"/>
      <c r="BC236" s="40" t="n"/>
      <c r="BD236" s="40" t="n"/>
      <c r="BE236" s="40" t="n"/>
      <c r="BF236" s="40" t="n"/>
      <c r="BG236" s="40" t="n"/>
      <c r="BH236" s="40" t="n"/>
      <c r="BI236" s="40" t="n"/>
      <c r="BJ236" s="40" t="n"/>
      <c r="BK236" s="40" t="n"/>
      <c r="BL236" s="40" t="n"/>
      <c r="BM236" s="40" t="n"/>
      <c r="BN236" s="40" t="n"/>
    </row>
    <row r="237" ht="18" customHeight="1" s="82">
      <c r="A237" s="30" t="n"/>
      <c r="B237" s="30" t="n"/>
      <c r="C237" s="30" t="n"/>
      <c r="D237" s="30" t="n"/>
      <c r="E237" s="31" t="n"/>
      <c r="F237" s="31" t="n"/>
      <c r="G237" s="31" t="n"/>
      <c r="H237" s="31" t="n"/>
      <c r="I237" s="31" t="n"/>
      <c r="J237" s="31" t="n"/>
      <c r="K237" s="31" t="n"/>
      <c r="L237" s="31" t="n"/>
      <c r="M237" s="31" t="n"/>
      <c r="N237" s="31" t="n"/>
      <c r="O237" s="31" t="n"/>
      <c r="P237" s="31" t="n"/>
      <c r="Q237" s="31" t="n"/>
      <c r="R237" s="31" t="n"/>
      <c r="S237" s="31" t="n"/>
      <c r="T237" s="31" t="n"/>
      <c r="U237" s="31" t="n"/>
      <c r="V237" s="31" t="n"/>
      <c r="W237" s="32" t="n"/>
      <c r="X237" s="31" t="n"/>
      <c r="Y237" s="31" t="n"/>
      <c r="Z237" s="31" t="n"/>
      <c r="AA237" s="31" t="n"/>
      <c r="AB237" s="31" t="n"/>
      <c r="AC237" s="31" t="n"/>
      <c r="AD237" s="32" t="n"/>
      <c r="AE237" s="31" t="n"/>
      <c r="AF237" s="33" t="n"/>
      <c r="AG237" s="66">
        <f>IF(OR(AF237="",AE237=""),"",IFERROR(AF237*INDEX(FXRates[USD per unit],MATCH(AE237,FXRates[Currency],0)),"No rate"))</f>
        <v/>
      </c>
      <c r="AH237" s="30" t="n"/>
      <c r="AI237" s="30" t="n"/>
      <c r="AJ237" s="34">
        <f>IF(A237="","",IF(COUNTIF($A$6:$A$504,A237)&gt;1,"⚠ Duplicate",""))</f>
        <v/>
      </c>
      <c r="AK237" s="33" t="n"/>
      <c r="AL237" s="41" t="n"/>
      <c r="AM237" s="41" t="n"/>
      <c r="AN237" s="41" t="n"/>
      <c r="AO237" s="41" t="n"/>
      <c r="AP237" s="41" t="n"/>
      <c r="AQ237" s="41" t="n"/>
      <c r="AR237" s="41" t="n"/>
      <c r="AS237" s="41" t="n"/>
      <c r="AT237" s="41" t="n"/>
      <c r="AU237" s="41" t="n"/>
      <c r="AV237" s="41" t="n"/>
      <c r="AW237" s="41" t="n"/>
      <c r="AX237" s="41" t="n"/>
      <c r="AY237" s="41" t="n"/>
      <c r="AZ237" s="33" t="n"/>
      <c r="BA237" s="41" t="n"/>
      <c r="BB237" s="41" t="n"/>
      <c r="BC237" s="41" t="n"/>
      <c r="BD237" s="41" t="n"/>
      <c r="BE237" s="41" t="n"/>
      <c r="BF237" s="41" t="n"/>
      <c r="BG237" s="41" t="n"/>
      <c r="BH237" s="41" t="n"/>
      <c r="BI237" s="41" t="n"/>
      <c r="BJ237" s="41" t="n"/>
      <c r="BK237" s="41" t="n"/>
      <c r="BL237" s="41" t="n"/>
      <c r="BM237" s="41" t="n"/>
      <c r="BN237" s="41" t="n"/>
    </row>
    <row r="238" ht="18" customHeight="1" s="82">
      <c r="A238" s="36" t="n"/>
      <c r="B238" s="36" t="n"/>
      <c r="C238" s="36" t="n"/>
      <c r="D238" s="36" t="n"/>
      <c r="E238" s="37" t="n"/>
      <c r="F238" s="37" t="n"/>
      <c r="G238" s="37" t="n"/>
      <c r="H238" s="37" t="n"/>
      <c r="I238" s="37" t="n"/>
      <c r="J238" s="37" t="n"/>
      <c r="K238" s="37" t="n"/>
      <c r="L238" s="37" t="n"/>
      <c r="M238" s="37" t="n"/>
      <c r="N238" s="37" t="n"/>
      <c r="O238" s="37" t="n"/>
      <c r="P238" s="37" t="n"/>
      <c r="Q238" s="37" t="n"/>
      <c r="R238" s="37" t="n"/>
      <c r="S238" s="37" t="n"/>
      <c r="T238" s="37" t="n"/>
      <c r="U238" s="37" t="n"/>
      <c r="V238" s="37" t="n"/>
      <c r="W238" s="32" t="n"/>
      <c r="X238" s="37" t="n"/>
      <c r="Y238" s="37" t="n"/>
      <c r="Z238" s="37" t="n"/>
      <c r="AA238" s="37" t="n"/>
      <c r="AB238" s="37" t="n"/>
      <c r="AC238" s="37" t="n"/>
      <c r="AD238" s="32" t="n"/>
      <c r="AE238" s="37" t="n"/>
      <c r="AF238" s="38" t="n"/>
      <c r="AG238" s="67">
        <f>IF(OR(AF238="",AE238=""),"",IFERROR(AF238*INDEX(FXRates[USD per unit],MATCH(AE238,FXRates[Currency],0)),"No rate"))</f>
        <v/>
      </c>
      <c r="AH238" s="36" t="n"/>
      <c r="AI238" s="36" t="n"/>
      <c r="AJ238" s="39">
        <f>IF(A238="","",IF(COUNTIF($A$6:$A$504,A238)&gt;1,"⚠ Duplicate",""))</f>
        <v/>
      </c>
      <c r="AK238" s="38" t="n"/>
      <c r="AL238" s="40" t="n"/>
      <c r="AM238" s="40" t="n"/>
      <c r="AN238" s="40" t="n"/>
      <c r="AO238" s="40" t="n"/>
      <c r="AP238" s="40" t="n"/>
      <c r="AQ238" s="40" t="n"/>
      <c r="AR238" s="40" t="n"/>
      <c r="AS238" s="40" t="n"/>
      <c r="AT238" s="40" t="n"/>
      <c r="AU238" s="40" t="n"/>
      <c r="AV238" s="40" t="n"/>
      <c r="AW238" s="40" t="n"/>
      <c r="AX238" s="40" t="n"/>
      <c r="AY238" s="40" t="n"/>
      <c r="AZ238" s="38" t="n"/>
      <c r="BA238" s="40" t="n"/>
      <c r="BB238" s="40" t="n"/>
      <c r="BC238" s="40" t="n"/>
      <c r="BD238" s="40" t="n"/>
      <c r="BE238" s="40" t="n"/>
      <c r="BF238" s="40" t="n"/>
      <c r="BG238" s="40" t="n"/>
      <c r="BH238" s="40" t="n"/>
      <c r="BI238" s="40" t="n"/>
      <c r="BJ238" s="40" t="n"/>
      <c r="BK238" s="40" t="n"/>
      <c r="BL238" s="40" t="n"/>
      <c r="BM238" s="40" t="n"/>
      <c r="BN238" s="40" t="n"/>
    </row>
    <row r="239" ht="18" customHeight="1" s="82">
      <c r="A239" s="30" t="n"/>
      <c r="B239" s="30" t="n"/>
      <c r="C239" s="30" t="n"/>
      <c r="D239" s="30" t="n"/>
      <c r="E239" s="31" t="n"/>
      <c r="F239" s="31" t="n"/>
      <c r="G239" s="31" t="n"/>
      <c r="H239" s="31" t="n"/>
      <c r="I239" s="31" t="n"/>
      <c r="J239" s="31" t="n"/>
      <c r="K239" s="31" t="n"/>
      <c r="L239" s="31" t="n"/>
      <c r="M239" s="31" t="n"/>
      <c r="N239" s="31" t="n"/>
      <c r="O239" s="31" t="n"/>
      <c r="P239" s="31" t="n"/>
      <c r="Q239" s="31" t="n"/>
      <c r="R239" s="31" t="n"/>
      <c r="S239" s="31" t="n"/>
      <c r="T239" s="31" t="n"/>
      <c r="U239" s="31" t="n"/>
      <c r="V239" s="31" t="n"/>
      <c r="W239" s="32" t="n"/>
      <c r="X239" s="31" t="n"/>
      <c r="Y239" s="31" t="n"/>
      <c r="Z239" s="31" t="n"/>
      <c r="AA239" s="31" t="n"/>
      <c r="AB239" s="31" t="n"/>
      <c r="AC239" s="31" t="n"/>
      <c r="AD239" s="32" t="n"/>
      <c r="AE239" s="31" t="n"/>
      <c r="AF239" s="33" t="n"/>
      <c r="AG239" s="66">
        <f>IF(OR(AF239="",AE239=""),"",IFERROR(AF239*INDEX(FXRates[USD per unit],MATCH(AE239,FXRates[Currency],0)),"No rate"))</f>
        <v/>
      </c>
      <c r="AH239" s="30" t="n"/>
      <c r="AI239" s="30" t="n"/>
      <c r="AJ239" s="34">
        <f>IF(A239="","",IF(COUNTIF($A$6:$A$504,A239)&gt;1,"⚠ Duplicate",""))</f>
        <v/>
      </c>
      <c r="AK239" s="33" t="n"/>
      <c r="AL239" s="41" t="n"/>
      <c r="AM239" s="41" t="n"/>
      <c r="AN239" s="41" t="n"/>
      <c r="AO239" s="41" t="n"/>
      <c r="AP239" s="41" t="n"/>
      <c r="AQ239" s="41" t="n"/>
      <c r="AR239" s="41" t="n"/>
      <c r="AS239" s="41" t="n"/>
      <c r="AT239" s="41" t="n"/>
      <c r="AU239" s="41" t="n"/>
      <c r="AV239" s="41" t="n"/>
      <c r="AW239" s="41" t="n"/>
      <c r="AX239" s="41" t="n"/>
      <c r="AY239" s="41" t="n"/>
      <c r="AZ239" s="33" t="n"/>
      <c r="BA239" s="41" t="n"/>
      <c r="BB239" s="41" t="n"/>
      <c r="BC239" s="41" t="n"/>
      <c r="BD239" s="41" t="n"/>
      <c r="BE239" s="41" t="n"/>
      <c r="BF239" s="41" t="n"/>
      <c r="BG239" s="41" t="n"/>
      <c r="BH239" s="41" t="n"/>
      <c r="BI239" s="41" t="n"/>
      <c r="BJ239" s="41" t="n"/>
      <c r="BK239" s="41" t="n"/>
      <c r="BL239" s="41" t="n"/>
      <c r="BM239" s="41" t="n"/>
      <c r="BN239" s="41" t="n"/>
    </row>
    <row r="240" ht="18" customHeight="1" s="82">
      <c r="A240" s="36" t="n"/>
      <c r="B240" s="36" t="n"/>
      <c r="C240" s="36" t="n"/>
      <c r="D240" s="36" t="n"/>
      <c r="E240" s="37" t="n"/>
      <c r="F240" s="37" t="n"/>
      <c r="G240" s="37" t="n"/>
      <c r="H240" s="37" t="n"/>
      <c r="I240" s="37" t="n"/>
      <c r="J240" s="37" t="n"/>
      <c r="K240" s="37" t="n"/>
      <c r="L240" s="37" t="n"/>
      <c r="M240" s="37" t="n"/>
      <c r="N240" s="37" t="n"/>
      <c r="O240" s="37" t="n"/>
      <c r="P240" s="37" t="n"/>
      <c r="Q240" s="37" t="n"/>
      <c r="R240" s="37" t="n"/>
      <c r="S240" s="37" t="n"/>
      <c r="T240" s="37" t="n"/>
      <c r="U240" s="37" t="n"/>
      <c r="V240" s="37" t="n"/>
      <c r="W240" s="32" t="n"/>
      <c r="X240" s="37" t="n"/>
      <c r="Y240" s="37" t="n"/>
      <c r="Z240" s="37" t="n"/>
      <c r="AA240" s="37" t="n"/>
      <c r="AB240" s="37" t="n"/>
      <c r="AC240" s="37" t="n"/>
      <c r="AD240" s="32" t="n"/>
      <c r="AE240" s="37" t="n"/>
      <c r="AF240" s="38" t="n"/>
      <c r="AG240" s="67">
        <f>IF(OR(AF240="",AE240=""),"",IFERROR(AF240*INDEX(FXRates[USD per unit],MATCH(AE240,FXRates[Currency],0)),"No rate"))</f>
        <v/>
      </c>
      <c r="AH240" s="36" t="n"/>
      <c r="AI240" s="36" t="n"/>
      <c r="AJ240" s="39">
        <f>IF(A240="","",IF(COUNTIF($A$6:$A$504,A240)&gt;1,"⚠ Duplicate",""))</f>
        <v/>
      </c>
      <c r="AK240" s="38" t="n"/>
      <c r="AL240" s="40" t="n"/>
      <c r="AM240" s="40" t="n"/>
      <c r="AN240" s="40" t="n"/>
      <c r="AO240" s="40" t="n"/>
      <c r="AP240" s="40" t="n"/>
      <c r="AQ240" s="40" t="n"/>
      <c r="AR240" s="40" t="n"/>
      <c r="AS240" s="40" t="n"/>
      <c r="AT240" s="40" t="n"/>
      <c r="AU240" s="40" t="n"/>
      <c r="AV240" s="40" t="n"/>
      <c r="AW240" s="40" t="n"/>
      <c r="AX240" s="40" t="n"/>
      <c r="AY240" s="40" t="n"/>
      <c r="AZ240" s="38" t="n"/>
      <c r="BA240" s="40" t="n"/>
      <c r="BB240" s="40" t="n"/>
      <c r="BC240" s="40" t="n"/>
      <c r="BD240" s="40" t="n"/>
      <c r="BE240" s="40" t="n"/>
      <c r="BF240" s="40" t="n"/>
      <c r="BG240" s="40" t="n"/>
      <c r="BH240" s="40" t="n"/>
      <c r="BI240" s="40" t="n"/>
      <c r="BJ240" s="40" t="n"/>
      <c r="BK240" s="40" t="n"/>
      <c r="BL240" s="40" t="n"/>
      <c r="BM240" s="40" t="n"/>
      <c r="BN240" s="40" t="n"/>
    </row>
    <row r="241" ht="18" customHeight="1" s="82">
      <c r="A241" s="30" t="n"/>
      <c r="B241" s="30" t="n"/>
      <c r="C241" s="30" t="n"/>
      <c r="D241" s="30" t="n"/>
      <c r="E241" s="31" t="n"/>
      <c r="F241" s="31" t="n"/>
      <c r="G241" s="31" t="n"/>
      <c r="H241" s="31" t="n"/>
      <c r="I241" s="31" t="n"/>
      <c r="J241" s="31" t="n"/>
      <c r="K241" s="31" t="n"/>
      <c r="L241" s="31" t="n"/>
      <c r="M241" s="31" t="n"/>
      <c r="N241" s="31" t="n"/>
      <c r="O241" s="31" t="n"/>
      <c r="P241" s="31" t="n"/>
      <c r="Q241" s="31" t="n"/>
      <c r="R241" s="31" t="n"/>
      <c r="S241" s="31" t="n"/>
      <c r="T241" s="31" t="n"/>
      <c r="U241" s="31" t="n"/>
      <c r="V241" s="31" t="n"/>
      <c r="W241" s="32" t="n"/>
      <c r="X241" s="31" t="n"/>
      <c r="Y241" s="31" t="n"/>
      <c r="Z241" s="31" t="n"/>
      <c r="AA241" s="31" t="n"/>
      <c r="AB241" s="31" t="n"/>
      <c r="AC241" s="31" t="n"/>
      <c r="AD241" s="32" t="n"/>
      <c r="AE241" s="31" t="n"/>
      <c r="AF241" s="33" t="n"/>
      <c r="AG241" s="66">
        <f>IF(OR(AF241="",AE241=""),"",IFERROR(AF241*INDEX(FXRates[USD per unit],MATCH(AE241,FXRates[Currency],0)),"No rate"))</f>
        <v/>
      </c>
      <c r="AH241" s="30" t="n"/>
      <c r="AI241" s="30" t="n"/>
      <c r="AJ241" s="34">
        <f>IF(A241="","",IF(COUNTIF($A$6:$A$504,A241)&gt;1,"⚠ Duplicate",""))</f>
        <v/>
      </c>
      <c r="AK241" s="33" t="n"/>
      <c r="AL241" s="41" t="n"/>
      <c r="AM241" s="41" t="n"/>
      <c r="AN241" s="41" t="n"/>
      <c r="AO241" s="41" t="n"/>
      <c r="AP241" s="41" t="n"/>
      <c r="AQ241" s="41" t="n"/>
      <c r="AR241" s="41" t="n"/>
      <c r="AS241" s="41" t="n"/>
      <c r="AT241" s="41" t="n"/>
      <c r="AU241" s="41" t="n"/>
      <c r="AV241" s="41" t="n"/>
      <c r="AW241" s="41" t="n"/>
      <c r="AX241" s="41" t="n"/>
      <c r="AY241" s="41" t="n"/>
      <c r="AZ241" s="33" t="n"/>
      <c r="BA241" s="41" t="n"/>
      <c r="BB241" s="41" t="n"/>
      <c r="BC241" s="41" t="n"/>
      <c r="BD241" s="41" t="n"/>
      <c r="BE241" s="41" t="n"/>
      <c r="BF241" s="41" t="n"/>
      <c r="BG241" s="41" t="n"/>
      <c r="BH241" s="41" t="n"/>
      <c r="BI241" s="41" t="n"/>
      <c r="BJ241" s="41" t="n"/>
      <c r="BK241" s="41" t="n"/>
      <c r="BL241" s="41" t="n"/>
      <c r="BM241" s="41" t="n"/>
      <c r="BN241" s="41" t="n"/>
    </row>
    <row r="242" ht="18" customHeight="1" s="82">
      <c r="A242" s="36" t="n"/>
      <c r="B242" s="36" t="n"/>
      <c r="C242" s="36" t="n"/>
      <c r="D242" s="36" t="n"/>
      <c r="E242" s="37" t="n"/>
      <c r="F242" s="37" t="n"/>
      <c r="G242" s="37" t="n"/>
      <c r="H242" s="37" t="n"/>
      <c r="I242" s="37" t="n"/>
      <c r="J242" s="37" t="n"/>
      <c r="K242" s="37" t="n"/>
      <c r="L242" s="37" t="n"/>
      <c r="M242" s="37" t="n"/>
      <c r="N242" s="37" t="n"/>
      <c r="O242" s="37" t="n"/>
      <c r="P242" s="37" t="n"/>
      <c r="Q242" s="37" t="n"/>
      <c r="R242" s="37" t="n"/>
      <c r="S242" s="37" t="n"/>
      <c r="T242" s="37" t="n"/>
      <c r="U242" s="37" t="n"/>
      <c r="V242" s="37" t="n"/>
      <c r="W242" s="32" t="n"/>
      <c r="X242" s="37" t="n"/>
      <c r="Y242" s="37" t="n"/>
      <c r="Z242" s="37" t="n"/>
      <c r="AA242" s="37" t="n"/>
      <c r="AB242" s="37" t="n"/>
      <c r="AC242" s="37" t="n"/>
      <c r="AD242" s="32" t="n"/>
      <c r="AE242" s="37" t="n"/>
      <c r="AF242" s="38" t="n"/>
      <c r="AG242" s="67">
        <f>IF(OR(AF242="",AE242=""),"",IFERROR(AF242*INDEX(FXRates[USD per unit],MATCH(AE242,FXRates[Currency],0)),"No rate"))</f>
        <v/>
      </c>
      <c r="AH242" s="36" t="n"/>
      <c r="AI242" s="36" t="n"/>
      <c r="AJ242" s="39">
        <f>IF(A242="","",IF(COUNTIF($A$6:$A$504,A242)&gt;1,"⚠ Duplicate",""))</f>
        <v/>
      </c>
      <c r="AK242" s="38" t="n"/>
      <c r="AL242" s="40" t="n"/>
      <c r="AM242" s="40" t="n"/>
      <c r="AN242" s="40" t="n"/>
      <c r="AO242" s="40" t="n"/>
      <c r="AP242" s="40" t="n"/>
      <c r="AQ242" s="40" t="n"/>
      <c r="AR242" s="40" t="n"/>
      <c r="AS242" s="40" t="n"/>
      <c r="AT242" s="40" t="n"/>
      <c r="AU242" s="40" t="n"/>
      <c r="AV242" s="40" t="n"/>
      <c r="AW242" s="40" t="n"/>
      <c r="AX242" s="40" t="n"/>
      <c r="AY242" s="40" t="n"/>
      <c r="AZ242" s="38" t="n"/>
      <c r="BA242" s="40" t="n"/>
      <c r="BB242" s="40" t="n"/>
      <c r="BC242" s="40" t="n"/>
      <c r="BD242" s="40" t="n"/>
      <c r="BE242" s="40" t="n"/>
      <c r="BF242" s="40" t="n"/>
      <c r="BG242" s="40" t="n"/>
      <c r="BH242" s="40" t="n"/>
      <c r="BI242" s="40" t="n"/>
      <c r="BJ242" s="40" t="n"/>
      <c r="BK242" s="40" t="n"/>
      <c r="BL242" s="40" t="n"/>
      <c r="BM242" s="40" t="n"/>
      <c r="BN242" s="40" t="n"/>
    </row>
    <row r="243" ht="18" customHeight="1" s="82">
      <c r="A243" s="30" t="n"/>
      <c r="B243" s="30" t="n"/>
      <c r="C243" s="30" t="n"/>
      <c r="D243" s="30" t="n"/>
      <c r="E243" s="31" t="n"/>
      <c r="F243" s="31" t="n"/>
      <c r="G243" s="31" t="n"/>
      <c r="H243" s="31" t="n"/>
      <c r="I243" s="31" t="n"/>
      <c r="J243" s="31" t="n"/>
      <c r="K243" s="31" t="n"/>
      <c r="L243" s="31" t="n"/>
      <c r="M243" s="31" t="n"/>
      <c r="N243" s="31" t="n"/>
      <c r="O243" s="31" t="n"/>
      <c r="P243" s="31" t="n"/>
      <c r="Q243" s="31" t="n"/>
      <c r="R243" s="31" t="n"/>
      <c r="S243" s="31" t="n"/>
      <c r="T243" s="31" t="n"/>
      <c r="U243" s="31" t="n"/>
      <c r="V243" s="31" t="n"/>
      <c r="W243" s="32" t="n"/>
      <c r="X243" s="31" t="n"/>
      <c r="Y243" s="31" t="n"/>
      <c r="Z243" s="31" t="n"/>
      <c r="AA243" s="31" t="n"/>
      <c r="AB243" s="31" t="n"/>
      <c r="AC243" s="31" t="n"/>
      <c r="AD243" s="32" t="n"/>
      <c r="AE243" s="31" t="n"/>
      <c r="AF243" s="33" t="n"/>
      <c r="AG243" s="66">
        <f>IF(OR(AF243="",AE243=""),"",IFERROR(AF243*INDEX(FXRates[USD per unit],MATCH(AE243,FXRates[Currency],0)),"No rate"))</f>
        <v/>
      </c>
      <c r="AH243" s="30" t="n"/>
      <c r="AI243" s="30" t="n"/>
      <c r="AJ243" s="34">
        <f>IF(A243="","",IF(COUNTIF($A$6:$A$504,A243)&gt;1,"⚠ Duplicate",""))</f>
        <v/>
      </c>
      <c r="AK243" s="33" t="n"/>
      <c r="AL243" s="41" t="n"/>
      <c r="AM243" s="41" t="n"/>
      <c r="AN243" s="41" t="n"/>
      <c r="AO243" s="41" t="n"/>
      <c r="AP243" s="41" t="n"/>
      <c r="AQ243" s="41" t="n"/>
      <c r="AR243" s="41" t="n"/>
      <c r="AS243" s="41" t="n"/>
      <c r="AT243" s="41" t="n"/>
      <c r="AU243" s="41" t="n"/>
      <c r="AV243" s="41" t="n"/>
      <c r="AW243" s="41" t="n"/>
      <c r="AX243" s="41" t="n"/>
      <c r="AY243" s="41" t="n"/>
      <c r="AZ243" s="33" t="n"/>
      <c r="BA243" s="41" t="n"/>
      <c r="BB243" s="41" t="n"/>
      <c r="BC243" s="41" t="n"/>
      <c r="BD243" s="41" t="n"/>
      <c r="BE243" s="41" t="n"/>
      <c r="BF243" s="41" t="n"/>
      <c r="BG243" s="41" t="n"/>
      <c r="BH243" s="41" t="n"/>
      <c r="BI243" s="41" t="n"/>
      <c r="BJ243" s="41" t="n"/>
      <c r="BK243" s="41" t="n"/>
      <c r="BL243" s="41" t="n"/>
      <c r="BM243" s="41" t="n"/>
      <c r="BN243" s="41" t="n"/>
    </row>
    <row r="244" ht="18" customHeight="1" s="82">
      <c r="A244" s="36" t="n"/>
      <c r="B244" s="36" t="n"/>
      <c r="C244" s="36" t="n"/>
      <c r="D244" s="36" t="n"/>
      <c r="E244" s="37" t="n"/>
      <c r="F244" s="37" t="n"/>
      <c r="G244" s="37" t="n"/>
      <c r="H244" s="37" t="n"/>
      <c r="I244" s="37" t="n"/>
      <c r="J244" s="37" t="n"/>
      <c r="K244" s="37" t="n"/>
      <c r="L244" s="37" t="n"/>
      <c r="M244" s="37" t="n"/>
      <c r="N244" s="37" t="n"/>
      <c r="O244" s="37" t="n"/>
      <c r="P244" s="37" t="n"/>
      <c r="Q244" s="37" t="n"/>
      <c r="R244" s="37" t="n"/>
      <c r="S244" s="37" t="n"/>
      <c r="T244" s="37" t="n"/>
      <c r="U244" s="37" t="n"/>
      <c r="V244" s="37" t="n"/>
      <c r="W244" s="32" t="n"/>
      <c r="X244" s="37" t="n"/>
      <c r="Y244" s="37" t="n"/>
      <c r="Z244" s="37" t="n"/>
      <c r="AA244" s="37" t="n"/>
      <c r="AB244" s="37" t="n"/>
      <c r="AC244" s="37" t="n"/>
      <c r="AD244" s="32" t="n"/>
      <c r="AE244" s="37" t="n"/>
      <c r="AF244" s="38" t="n"/>
      <c r="AG244" s="67">
        <f>IF(OR(AF244="",AE244=""),"",IFERROR(AF244*INDEX(FXRates[USD per unit],MATCH(AE244,FXRates[Currency],0)),"No rate"))</f>
        <v/>
      </c>
      <c r="AH244" s="36" t="n"/>
      <c r="AI244" s="36" t="n"/>
      <c r="AJ244" s="39">
        <f>IF(A244="","",IF(COUNTIF($A$6:$A$504,A244)&gt;1,"⚠ Duplicate",""))</f>
        <v/>
      </c>
      <c r="AK244" s="38" t="n"/>
      <c r="AL244" s="40" t="n"/>
      <c r="AM244" s="40" t="n"/>
      <c r="AN244" s="40" t="n"/>
      <c r="AO244" s="40" t="n"/>
      <c r="AP244" s="40" t="n"/>
      <c r="AQ244" s="40" t="n"/>
      <c r="AR244" s="40" t="n"/>
      <c r="AS244" s="40" t="n"/>
      <c r="AT244" s="40" t="n"/>
      <c r="AU244" s="40" t="n"/>
      <c r="AV244" s="40" t="n"/>
      <c r="AW244" s="40" t="n"/>
      <c r="AX244" s="40" t="n"/>
      <c r="AY244" s="40" t="n"/>
      <c r="AZ244" s="38" t="n"/>
      <c r="BA244" s="40" t="n"/>
      <c r="BB244" s="40" t="n"/>
      <c r="BC244" s="40" t="n"/>
      <c r="BD244" s="40" t="n"/>
      <c r="BE244" s="40" t="n"/>
      <c r="BF244" s="40" t="n"/>
      <c r="BG244" s="40" t="n"/>
      <c r="BH244" s="40" t="n"/>
      <c r="BI244" s="40" t="n"/>
      <c r="BJ244" s="40" t="n"/>
      <c r="BK244" s="40" t="n"/>
      <c r="BL244" s="40" t="n"/>
      <c r="BM244" s="40" t="n"/>
      <c r="BN244" s="40" t="n"/>
    </row>
    <row r="245" ht="18" customHeight="1" s="82">
      <c r="A245" s="30" t="n"/>
      <c r="B245" s="30" t="n"/>
      <c r="C245" s="30" t="n"/>
      <c r="D245" s="30" t="n"/>
      <c r="E245" s="31" t="n"/>
      <c r="F245" s="31" t="n"/>
      <c r="G245" s="31" t="n"/>
      <c r="H245" s="31" t="n"/>
      <c r="I245" s="31" t="n"/>
      <c r="J245" s="31" t="n"/>
      <c r="K245" s="31" t="n"/>
      <c r="L245" s="31" t="n"/>
      <c r="M245" s="31" t="n"/>
      <c r="N245" s="31" t="n"/>
      <c r="O245" s="31" t="n"/>
      <c r="P245" s="31" t="n"/>
      <c r="Q245" s="31" t="n"/>
      <c r="R245" s="31" t="n"/>
      <c r="S245" s="31" t="n"/>
      <c r="T245" s="31" t="n"/>
      <c r="U245" s="31" t="n"/>
      <c r="V245" s="31" t="n"/>
      <c r="W245" s="32" t="n"/>
      <c r="X245" s="31" t="n"/>
      <c r="Y245" s="31" t="n"/>
      <c r="Z245" s="31" t="n"/>
      <c r="AA245" s="31" t="n"/>
      <c r="AB245" s="31" t="n"/>
      <c r="AC245" s="31" t="n"/>
      <c r="AD245" s="32" t="n"/>
      <c r="AE245" s="31" t="n"/>
      <c r="AF245" s="33" t="n"/>
      <c r="AG245" s="66">
        <f>IF(OR(AF245="",AE245=""),"",IFERROR(AF245*INDEX(FXRates[USD per unit],MATCH(AE245,FXRates[Currency],0)),"No rate"))</f>
        <v/>
      </c>
      <c r="AH245" s="30" t="n"/>
      <c r="AI245" s="30" t="n"/>
      <c r="AJ245" s="34">
        <f>IF(A245="","",IF(COUNTIF($A$6:$A$504,A245)&gt;1,"⚠ Duplicate",""))</f>
        <v/>
      </c>
      <c r="AK245" s="33" t="n"/>
      <c r="AL245" s="41" t="n"/>
      <c r="AM245" s="41" t="n"/>
      <c r="AN245" s="41" t="n"/>
      <c r="AO245" s="41" t="n"/>
      <c r="AP245" s="41" t="n"/>
      <c r="AQ245" s="41" t="n"/>
      <c r="AR245" s="41" t="n"/>
      <c r="AS245" s="41" t="n"/>
      <c r="AT245" s="41" t="n"/>
      <c r="AU245" s="41" t="n"/>
      <c r="AV245" s="41" t="n"/>
      <c r="AW245" s="41" t="n"/>
      <c r="AX245" s="41" t="n"/>
      <c r="AY245" s="41" t="n"/>
      <c r="AZ245" s="33" t="n"/>
      <c r="BA245" s="41" t="n"/>
      <c r="BB245" s="41" t="n"/>
      <c r="BC245" s="41" t="n"/>
      <c r="BD245" s="41" t="n"/>
      <c r="BE245" s="41" t="n"/>
      <c r="BF245" s="41" t="n"/>
      <c r="BG245" s="41" t="n"/>
      <c r="BH245" s="41" t="n"/>
      <c r="BI245" s="41" t="n"/>
      <c r="BJ245" s="41" t="n"/>
      <c r="BK245" s="41" t="n"/>
      <c r="BL245" s="41" t="n"/>
      <c r="BM245" s="41" t="n"/>
      <c r="BN245" s="41" t="n"/>
    </row>
    <row r="246" ht="18" customHeight="1" s="82">
      <c r="A246" s="36" t="n"/>
      <c r="B246" s="36" t="n"/>
      <c r="C246" s="36" t="n"/>
      <c r="D246" s="36" t="n"/>
      <c r="E246" s="37" t="n"/>
      <c r="F246" s="37" t="n"/>
      <c r="G246" s="37" t="n"/>
      <c r="H246" s="37" t="n"/>
      <c r="I246" s="37" t="n"/>
      <c r="J246" s="37" t="n"/>
      <c r="K246" s="37" t="n"/>
      <c r="L246" s="37" t="n"/>
      <c r="M246" s="37" t="n"/>
      <c r="N246" s="37" t="n"/>
      <c r="O246" s="37" t="n"/>
      <c r="P246" s="37" t="n"/>
      <c r="Q246" s="37" t="n"/>
      <c r="R246" s="37" t="n"/>
      <c r="S246" s="37" t="n"/>
      <c r="T246" s="37" t="n"/>
      <c r="U246" s="37" t="n"/>
      <c r="V246" s="37" t="n"/>
      <c r="W246" s="32" t="n"/>
      <c r="X246" s="37" t="n"/>
      <c r="Y246" s="37" t="n"/>
      <c r="Z246" s="37" t="n"/>
      <c r="AA246" s="37" t="n"/>
      <c r="AB246" s="37" t="n"/>
      <c r="AC246" s="37" t="n"/>
      <c r="AD246" s="32" t="n"/>
      <c r="AE246" s="37" t="n"/>
      <c r="AF246" s="38" t="n"/>
      <c r="AG246" s="67">
        <f>IF(OR(AF246="",AE246=""),"",IFERROR(AF246*INDEX(FXRates[USD per unit],MATCH(AE246,FXRates[Currency],0)),"No rate"))</f>
        <v/>
      </c>
      <c r="AH246" s="36" t="n"/>
      <c r="AI246" s="36" t="n"/>
      <c r="AJ246" s="39">
        <f>IF(A246="","",IF(COUNTIF($A$6:$A$504,A246)&gt;1,"⚠ Duplicate",""))</f>
        <v/>
      </c>
      <c r="AK246" s="38" t="n"/>
      <c r="AL246" s="40" t="n"/>
      <c r="AM246" s="40" t="n"/>
      <c r="AN246" s="40" t="n"/>
      <c r="AO246" s="40" t="n"/>
      <c r="AP246" s="40" t="n"/>
      <c r="AQ246" s="40" t="n"/>
      <c r="AR246" s="40" t="n"/>
      <c r="AS246" s="40" t="n"/>
      <c r="AT246" s="40" t="n"/>
      <c r="AU246" s="40" t="n"/>
      <c r="AV246" s="40" t="n"/>
      <c r="AW246" s="40" t="n"/>
      <c r="AX246" s="40" t="n"/>
      <c r="AY246" s="40" t="n"/>
      <c r="AZ246" s="38" t="n"/>
      <c r="BA246" s="40" t="n"/>
      <c r="BB246" s="40" t="n"/>
      <c r="BC246" s="40" t="n"/>
      <c r="BD246" s="40" t="n"/>
      <c r="BE246" s="40" t="n"/>
      <c r="BF246" s="40" t="n"/>
      <c r="BG246" s="40" t="n"/>
      <c r="BH246" s="40" t="n"/>
      <c r="BI246" s="40" t="n"/>
      <c r="BJ246" s="40" t="n"/>
      <c r="BK246" s="40" t="n"/>
      <c r="BL246" s="40" t="n"/>
      <c r="BM246" s="40" t="n"/>
      <c r="BN246" s="40" t="n"/>
    </row>
    <row r="247" ht="18" customHeight="1" s="82">
      <c r="A247" s="30" t="n"/>
      <c r="B247" s="30" t="n"/>
      <c r="C247" s="30" t="n"/>
      <c r="D247" s="30" t="n"/>
      <c r="E247" s="31" t="n"/>
      <c r="F247" s="31" t="n"/>
      <c r="G247" s="31" t="n"/>
      <c r="H247" s="31" t="n"/>
      <c r="I247" s="31" t="n"/>
      <c r="J247" s="31" t="n"/>
      <c r="K247" s="31" t="n"/>
      <c r="L247" s="31" t="n"/>
      <c r="M247" s="31" t="n"/>
      <c r="N247" s="31" t="n"/>
      <c r="O247" s="31" t="n"/>
      <c r="P247" s="31" t="n"/>
      <c r="Q247" s="31" t="n"/>
      <c r="R247" s="31" t="n"/>
      <c r="S247" s="31" t="n"/>
      <c r="T247" s="31" t="n"/>
      <c r="U247" s="31" t="n"/>
      <c r="V247" s="31" t="n"/>
      <c r="W247" s="32" t="n"/>
      <c r="X247" s="31" t="n"/>
      <c r="Y247" s="31" t="n"/>
      <c r="Z247" s="31" t="n"/>
      <c r="AA247" s="31" t="n"/>
      <c r="AB247" s="31" t="n"/>
      <c r="AC247" s="31" t="n"/>
      <c r="AD247" s="32" t="n"/>
      <c r="AE247" s="31" t="n"/>
      <c r="AF247" s="33" t="n"/>
      <c r="AG247" s="66">
        <f>IF(OR(AF247="",AE247=""),"",IFERROR(AF247*INDEX(FXRates[USD per unit],MATCH(AE247,FXRates[Currency],0)),"No rate"))</f>
        <v/>
      </c>
      <c r="AH247" s="30" t="n"/>
      <c r="AI247" s="30" t="n"/>
      <c r="AJ247" s="34">
        <f>IF(A247="","",IF(COUNTIF($A$6:$A$504,A247)&gt;1,"⚠ Duplicate",""))</f>
        <v/>
      </c>
      <c r="AK247" s="33" t="n"/>
      <c r="AL247" s="41" t="n"/>
      <c r="AM247" s="41" t="n"/>
      <c r="AN247" s="41" t="n"/>
      <c r="AO247" s="41" t="n"/>
      <c r="AP247" s="41" t="n"/>
      <c r="AQ247" s="41" t="n"/>
      <c r="AR247" s="41" t="n"/>
      <c r="AS247" s="41" t="n"/>
      <c r="AT247" s="41" t="n"/>
      <c r="AU247" s="41" t="n"/>
      <c r="AV247" s="41" t="n"/>
      <c r="AW247" s="41" t="n"/>
      <c r="AX247" s="41" t="n"/>
      <c r="AY247" s="41" t="n"/>
      <c r="AZ247" s="33" t="n"/>
      <c r="BA247" s="41" t="n"/>
      <c r="BB247" s="41" t="n"/>
      <c r="BC247" s="41" t="n"/>
      <c r="BD247" s="41" t="n"/>
      <c r="BE247" s="41" t="n"/>
      <c r="BF247" s="41" t="n"/>
      <c r="BG247" s="41" t="n"/>
      <c r="BH247" s="41" t="n"/>
      <c r="BI247" s="41" t="n"/>
      <c r="BJ247" s="41" t="n"/>
      <c r="BK247" s="41" t="n"/>
      <c r="BL247" s="41" t="n"/>
      <c r="BM247" s="41" t="n"/>
      <c r="BN247" s="41" t="n"/>
    </row>
    <row r="248" ht="18" customHeight="1" s="82">
      <c r="A248" s="36" t="n"/>
      <c r="B248" s="36" t="n"/>
      <c r="C248" s="36" t="n"/>
      <c r="D248" s="36" t="n"/>
      <c r="E248" s="37" t="n"/>
      <c r="F248" s="37" t="n"/>
      <c r="G248" s="37" t="n"/>
      <c r="H248" s="37" t="n"/>
      <c r="I248" s="37" t="n"/>
      <c r="J248" s="37" t="n"/>
      <c r="K248" s="37" t="n"/>
      <c r="L248" s="37" t="n"/>
      <c r="M248" s="37" t="n"/>
      <c r="N248" s="37" t="n"/>
      <c r="O248" s="37" t="n"/>
      <c r="P248" s="37" t="n"/>
      <c r="Q248" s="37" t="n"/>
      <c r="R248" s="37" t="n"/>
      <c r="S248" s="37" t="n"/>
      <c r="T248" s="37" t="n"/>
      <c r="U248" s="37" t="n"/>
      <c r="V248" s="37" t="n"/>
      <c r="W248" s="32" t="n"/>
      <c r="X248" s="37" t="n"/>
      <c r="Y248" s="37" t="n"/>
      <c r="Z248" s="37" t="n"/>
      <c r="AA248" s="37" t="n"/>
      <c r="AB248" s="37" t="n"/>
      <c r="AC248" s="37" t="n"/>
      <c r="AD248" s="32" t="n"/>
      <c r="AE248" s="37" t="n"/>
      <c r="AF248" s="38" t="n"/>
      <c r="AG248" s="67">
        <f>IF(OR(AF248="",AE248=""),"",IFERROR(AF248*INDEX(FXRates[USD per unit],MATCH(AE248,FXRates[Currency],0)),"No rate"))</f>
        <v/>
      </c>
      <c r="AH248" s="36" t="n"/>
      <c r="AI248" s="36" t="n"/>
      <c r="AJ248" s="39">
        <f>IF(A248="","",IF(COUNTIF($A$6:$A$504,A248)&gt;1,"⚠ Duplicate",""))</f>
        <v/>
      </c>
      <c r="AK248" s="38" t="n"/>
      <c r="AL248" s="40" t="n"/>
      <c r="AM248" s="40" t="n"/>
      <c r="AN248" s="40" t="n"/>
      <c r="AO248" s="40" t="n"/>
      <c r="AP248" s="40" t="n"/>
      <c r="AQ248" s="40" t="n"/>
      <c r="AR248" s="40" t="n"/>
      <c r="AS248" s="40" t="n"/>
      <c r="AT248" s="40" t="n"/>
      <c r="AU248" s="40" t="n"/>
      <c r="AV248" s="40" t="n"/>
      <c r="AW248" s="40" t="n"/>
      <c r="AX248" s="40" t="n"/>
      <c r="AY248" s="40" t="n"/>
      <c r="AZ248" s="38" t="n"/>
      <c r="BA248" s="40" t="n"/>
      <c r="BB248" s="40" t="n"/>
      <c r="BC248" s="40" t="n"/>
      <c r="BD248" s="40" t="n"/>
      <c r="BE248" s="40" t="n"/>
      <c r="BF248" s="40" t="n"/>
      <c r="BG248" s="40" t="n"/>
      <c r="BH248" s="40" t="n"/>
      <c r="BI248" s="40" t="n"/>
      <c r="BJ248" s="40" t="n"/>
      <c r="BK248" s="40" t="n"/>
      <c r="BL248" s="40" t="n"/>
      <c r="BM248" s="40" t="n"/>
      <c r="BN248" s="40" t="n"/>
    </row>
    <row r="249" ht="18" customHeight="1" s="82">
      <c r="A249" s="30" t="n"/>
      <c r="B249" s="30" t="n"/>
      <c r="C249" s="30" t="n"/>
      <c r="D249" s="30" t="n"/>
      <c r="E249" s="31" t="n"/>
      <c r="F249" s="31" t="n"/>
      <c r="G249" s="31" t="n"/>
      <c r="H249" s="31" t="n"/>
      <c r="I249" s="31" t="n"/>
      <c r="J249" s="31" t="n"/>
      <c r="K249" s="31" t="n"/>
      <c r="L249" s="31" t="n"/>
      <c r="M249" s="31" t="n"/>
      <c r="N249" s="31" t="n"/>
      <c r="O249" s="31" t="n"/>
      <c r="P249" s="31" t="n"/>
      <c r="Q249" s="31" t="n"/>
      <c r="R249" s="31" t="n"/>
      <c r="S249" s="31" t="n"/>
      <c r="T249" s="31" t="n"/>
      <c r="U249" s="31" t="n"/>
      <c r="V249" s="31" t="n"/>
      <c r="W249" s="32" t="n"/>
      <c r="X249" s="31" t="n"/>
      <c r="Y249" s="31" t="n"/>
      <c r="Z249" s="31" t="n"/>
      <c r="AA249" s="31" t="n"/>
      <c r="AB249" s="31" t="n"/>
      <c r="AC249" s="31" t="n"/>
      <c r="AD249" s="32" t="n"/>
      <c r="AE249" s="31" t="n"/>
      <c r="AF249" s="33" t="n"/>
      <c r="AG249" s="66">
        <f>IF(OR(AF249="",AE249=""),"",IFERROR(AF249*INDEX(FXRates[USD per unit],MATCH(AE249,FXRates[Currency],0)),"No rate"))</f>
        <v/>
      </c>
      <c r="AH249" s="30" t="n"/>
      <c r="AI249" s="30" t="n"/>
      <c r="AJ249" s="34">
        <f>IF(A249="","",IF(COUNTIF($A$6:$A$504,A249)&gt;1,"⚠ Duplicate",""))</f>
        <v/>
      </c>
      <c r="AK249" s="33" t="n"/>
      <c r="AL249" s="41" t="n"/>
      <c r="AM249" s="41" t="n"/>
      <c r="AN249" s="41" t="n"/>
      <c r="AO249" s="41" t="n"/>
      <c r="AP249" s="41" t="n"/>
      <c r="AQ249" s="41" t="n"/>
      <c r="AR249" s="41" t="n"/>
      <c r="AS249" s="41" t="n"/>
      <c r="AT249" s="41" t="n"/>
      <c r="AU249" s="41" t="n"/>
      <c r="AV249" s="41" t="n"/>
      <c r="AW249" s="41" t="n"/>
      <c r="AX249" s="41" t="n"/>
      <c r="AY249" s="41" t="n"/>
      <c r="AZ249" s="33" t="n"/>
      <c r="BA249" s="41" t="n"/>
      <c r="BB249" s="41" t="n"/>
      <c r="BC249" s="41" t="n"/>
      <c r="BD249" s="41" t="n"/>
      <c r="BE249" s="41" t="n"/>
      <c r="BF249" s="41" t="n"/>
      <c r="BG249" s="41" t="n"/>
      <c r="BH249" s="41" t="n"/>
      <c r="BI249" s="41" t="n"/>
      <c r="BJ249" s="41" t="n"/>
      <c r="BK249" s="41" t="n"/>
      <c r="BL249" s="41" t="n"/>
      <c r="BM249" s="41" t="n"/>
      <c r="BN249" s="41" t="n"/>
    </row>
    <row r="250" ht="18" customHeight="1" s="82">
      <c r="A250" s="36" t="n"/>
      <c r="B250" s="36" t="n"/>
      <c r="C250" s="36" t="n"/>
      <c r="D250" s="36" t="n"/>
      <c r="E250" s="37" t="n"/>
      <c r="F250" s="37" t="n"/>
      <c r="G250" s="37" t="n"/>
      <c r="H250" s="37" t="n"/>
      <c r="I250" s="37" t="n"/>
      <c r="J250" s="37" t="n"/>
      <c r="K250" s="37" t="n"/>
      <c r="L250" s="37" t="n"/>
      <c r="M250" s="37" t="n"/>
      <c r="N250" s="37" t="n"/>
      <c r="O250" s="37" t="n"/>
      <c r="P250" s="37" t="n"/>
      <c r="Q250" s="37" t="n"/>
      <c r="R250" s="37" t="n"/>
      <c r="S250" s="37" t="n"/>
      <c r="T250" s="37" t="n"/>
      <c r="U250" s="37" t="n"/>
      <c r="V250" s="37" t="n"/>
      <c r="W250" s="32" t="n"/>
      <c r="X250" s="37" t="n"/>
      <c r="Y250" s="37" t="n"/>
      <c r="Z250" s="37" t="n"/>
      <c r="AA250" s="37" t="n"/>
      <c r="AB250" s="37" t="n"/>
      <c r="AC250" s="37" t="n"/>
      <c r="AD250" s="32" t="n"/>
      <c r="AE250" s="37" t="n"/>
      <c r="AF250" s="38" t="n"/>
      <c r="AG250" s="67">
        <f>IF(OR(AF250="",AE250=""),"",IFERROR(AF250*INDEX(FXRates[USD per unit],MATCH(AE250,FXRates[Currency],0)),"No rate"))</f>
        <v/>
      </c>
      <c r="AH250" s="36" t="n"/>
      <c r="AI250" s="36" t="n"/>
      <c r="AJ250" s="39">
        <f>IF(A250="","",IF(COUNTIF($A$6:$A$504,A250)&gt;1,"⚠ Duplicate",""))</f>
        <v/>
      </c>
      <c r="AK250" s="38" t="n"/>
      <c r="AL250" s="40" t="n"/>
      <c r="AM250" s="40" t="n"/>
      <c r="AN250" s="40" t="n"/>
      <c r="AO250" s="40" t="n"/>
      <c r="AP250" s="40" t="n"/>
      <c r="AQ250" s="40" t="n"/>
      <c r="AR250" s="40" t="n"/>
      <c r="AS250" s="40" t="n"/>
      <c r="AT250" s="40" t="n"/>
      <c r="AU250" s="40" t="n"/>
      <c r="AV250" s="40" t="n"/>
      <c r="AW250" s="40" t="n"/>
      <c r="AX250" s="40" t="n"/>
      <c r="AY250" s="40" t="n"/>
      <c r="AZ250" s="38" t="n"/>
      <c r="BA250" s="40" t="n"/>
      <c r="BB250" s="40" t="n"/>
      <c r="BC250" s="40" t="n"/>
      <c r="BD250" s="40" t="n"/>
      <c r="BE250" s="40" t="n"/>
      <c r="BF250" s="40" t="n"/>
      <c r="BG250" s="40" t="n"/>
      <c r="BH250" s="40" t="n"/>
      <c r="BI250" s="40" t="n"/>
      <c r="BJ250" s="40" t="n"/>
      <c r="BK250" s="40" t="n"/>
      <c r="BL250" s="40" t="n"/>
      <c r="BM250" s="40" t="n"/>
      <c r="BN250" s="40" t="n"/>
    </row>
    <row r="251" ht="18" customHeight="1" s="82">
      <c r="A251" s="30" t="n"/>
      <c r="B251" s="30" t="n"/>
      <c r="C251" s="30" t="n"/>
      <c r="D251" s="30" t="n"/>
      <c r="E251" s="31" t="n"/>
      <c r="F251" s="31" t="n"/>
      <c r="G251" s="31" t="n"/>
      <c r="H251" s="31" t="n"/>
      <c r="I251" s="31" t="n"/>
      <c r="J251" s="31" t="n"/>
      <c r="K251" s="31" t="n"/>
      <c r="L251" s="31" t="n"/>
      <c r="M251" s="31" t="n"/>
      <c r="N251" s="31" t="n"/>
      <c r="O251" s="31" t="n"/>
      <c r="P251" s="31" t="n"/>
      <c r="Q251" s="31" t="n"/>
      <c r="R251" s="31" t="n"/>
      <c r="S251" s="31" t="n"/>
      <c r="T251" s="31" t="n"/>
      <c r="U251" s="31" t="n"/>
      <c r="V251" s="31" t="n"/>
      <c r="W251" s="32" t="n"/>
      <c r="X251" s="31" t="n"/>
      <c r="Y251" s="31" t="n"/>
      <c r="Z251" s="31" t="n"/>
      <c r="AA251" s="31" t="n"/>
      <c r="AB251" s="31" t="n"/>
      <c r="AC251" s="31" t="n"/>
      <c r="AD251" s="32" t="n"/>
      <c r="AE251" s="31" t="n"/>
      <c r="AF251" s="33" t="n"/>
      <c r="AG251" s="66">
        <f>IF(OR(AF251="",AE251=""),"",IFERROR(AF251*INDEX(FXRates[USD per unit],MATCH(AE251,FXRates[Currency],0)),"No rate"))</f>
        <v/>
      </c>
      <c r="AH251" s="30" t="n"/>
      <c r="AI251" s="30" t="n"/>
      <c r="AJ251" s="34">
        <f>IF(A251="","",IF(COUNTIF($A$6:$A$504,A251)&gt;1,"⚠ Duplicate",""))</f>
        <v/>
      </c>
      <c r="AK251" s="33" t="n"/>
      <c r="AL251" s="41" t="n"/>
      <c r="AM251" s="41" t="n"/>
      <c r="AN251" s="41" t="n"/>
      <c r="AO251" s="41" t="n"/>
      <c r="AP251" s="41" t="n"/>
      <c r="AQ251" s="41" t="n"/>
      <c r="AR251" s="41" t="n"/>
      <c r="AS251" s="41" t="n"/>
      <c r="AT251" s="41" t="n"/>
      <c r="AU251" s="41" t="n"/>
      <c r="AV251" s="41" t="n"/>
      <c r="AW251" s="41" t="n"/>
      <c r="AX251" s="41" t="n"/>
      <c r="AY251" s="41" t="n"/>
      <c r="AZ251" s="33" t="n"/>
      <c r="BA251" s="41" t="n"/>
      <c r="BB251" s="41" t="n"/>
      <c r="BC251" s="41" t="n"/>
      <c r="BD251" s="41" t="n"/>
      <c r="BE251" s="41" t="n"/>
      <c r="BF251" s="41" t="n"/>
      <c r="BG251" s="41" t="n"/>
      <c r="BH251" s="41" t="n"/>
      <c r="BI251" s="41" t="n"/>
      <c r="BJ251" s="41" t="n"/>
      <c r="BK251" s="41" t="n"/>
      <c r="BL251" s="41" t="n"/>
      <c r="BM251" s="41" t="n"/>
      <c r="BN251" s="41" t="n"/>
    </row>
    <row r="252" ht="18" customHeight="1" s="82">
      <c r="A252" s="36" t="n"/>
      <c r="B252" s="36" t="n"/>
      <c r="C252" s="36" t="n"/>
      <c r="D252" s="36" t="n"/>
      <c r="E252" s="37" t="n"/>
      <c r="F252" s="37" t="n"/>
      <c r="G252" s="37" t="n"/>
      <c r="H252" s="37" t="n"/>
      <c r="I252" s="37" t="n"/>
      <c r="J252" s="37" t="n"/>
      <c r="K252" s="37" t="n"/>
      <c r="L252" s="37" t="n"/>
      <c r="M252" s="37" t="n"/>
      <c r="N252" s="37" t="n"/>
      <c r="O252" s="37" t="n"/>
      <c r="P252" s="37" t="n"/>
      <c r="Q252" s="37" t="n"/>
      <c r="R252" s="37" t="n"/>
      <c r="S252" s="37" t="n"/>
      <c r="T252" s="37" t="n"/>
      <c r="U252" s="37" t="n"/>
      <c r="V252" s="37" t="n"/>
      <c r="W252" s="32" t="n"/>
      <c r="X252" s="37" t="n"/>
      <c r="Y252" s="37" t="n"/>
      <c r="Z252" s="37" t="n"/>
      <c r="AA252" s="37" t="n"/>
      <c r="AB252" s="37" t="n"/>
      <c r="AC252" s="37" t="n"/>
      <c r="AD252" s="32" t="n"/>
      <c r="AE252" s="37" t="n"/>
      <c r="AF252" s="38" t="n"/>
      <c r="AG252" s="67">
        <f>IF(OR(AF252="",AE252=""),"",IFERROR(AF252*INDEX(FXRates[USD per unit],MATCH(AE252,FXRates[Currency],0)),"No rate"))</f>
        <v/>
      </c>
      <c r="AH252" s="36" t="n"/>
      <c r="AI252" s="36" t="n"/>
      <c r="AJ252" s="39">
        <f>IF(A252="","",IF(COUNTIF($A$6:$A$504,A252)&gt;1,"⚠ Duplicate",""))</f>
        <v/>
      </c>
      <c r="AK252" s="38" t="n"/>
      <c r="AL252" s="40" t="n"/>
      <c r="AM252" s="40" t="n"/>
      <c r="AN252" s="40" t="n"/>
      <c r="AO252" s="40" t="n"/>
      <c r="AP252" s="40" t="n"/>
      <c r="AQ252" s="40" t="n"/>
      <c r="AR252" s="40" t="n"/>
      <c r="AS252" s="40" t="n"/>
      <c r="AT252" s="40" t="n"/>
      <c r="AU252" s="40" t="n"/>
      <c r="AV252" s="40" t="n"/>
      <c r="AW252" s="40" t="n"/>
      <c r="AX252" s="40" t="n"/>
      <c r="AY252" s="40" t="n"/>
      <c r="AZ252" s="38" t="n"/>
      <c r="BA252" s="40" t="n"/>
      <c r="BB252" s="40" t="n"/>
      <c r="BC252" s="40" t="n"/>
      <c r="BD252" s="40" t="n"/>
      <c r="BE252" s="40" t="n"/>
      <c r="BF252" s="40" t="n"/>
      <c r="BG252" s="40" t="n"/>
      <c r="BH252" s="40" t="n"/>
      <c r="BI252" s="40" t="n"/>
      <c r="BJ252" s="40" t="n"/>
      <c r="BK252" s="40" t="n"/>
      <c r="BL252" s="40" t="n"/>
      <c r="BM252" s="40" t="n"/>
      <c r="BN252" s="40" t="n"/>
    </row>
    <row r="253" ht="18" customHeight="1" s="82">
      <c r="A253" s="30" t="n"/>
      <c r="B253" s="30" t="n"/>
      <c r="C253" s="30" t="n"/>
      <c r="D253" s="30" t="n"/>
      <c r="E253" s="31" t="n"/>
      <c r="F253" s="31" t="n"/>
      <c r="G253" s="31" t="n"/>
      <c r="H253" s="31" t="n"/>
      <c r="I253" s="31" t="n"/>
      <c r="J253" s="31" t="n"/>
      <c r="K253" s="31" t="n"/>
      <c r="L253" s="31" t="n"/>
      <c r="M253" s="31" t="n"/>
      <c r="N253" s="31" t="n"/>
      <c r="O253" s="31" t="n"/>
      <c r="P253" s="31" t="n"/>
      <c r="Q253" s="31" t="n"/>
      <c r="R253" s="31" t="n"/>
      <c r="S253" s="31" t="n"/>
      <c r="T253" s="31" t="n"/>
      <c r="U253" s="31" t="n"/>
      <c r="V253" s="31" t="n"/>
      <c r="W253" s="32" t="n"/>
      <c r="X253" s="31" t="n"/>
      <c r="Y253" s="31" t="n"/>
      <c r="Z253" s="31" t="n"/>
      <c r="AA253" s="31" t="n"/>
      <c r="AB253" s="31" t="n"/>
      <c r="AC253" s="31" t="n"/>
      <c r="AD253" s="32" t="n"/>
      <c r="AE253" s="31" t="n"/>
      <c r="AF253" s="33" t="n"/>
      <c r="AG253" s="66">
        <f>IF(OR(AF253="",AE253=""),"",IFERROR(AF253*INDEX(FXRates[USD per unit],MATCH(AE253,FXRates[Currency],0)),"No rate"))</f>
        <v/>
      </c>
      <c r="AH253" s="30" t="n"/>
      <c r="AI253" s="30" t="n"/>
      <c r="AJ253" s="34">
        <f>IF(A253="","",IF(COUNTIF($A$6:$A$504,A253)&gt;1,"⚠ Duplicate",""))</f>
        <v/>
      </c>
      <c r="AK253" s="33" t="n"/>
      <c r="AL253" s="41" t="n"/>
      <c r="AM253" s="41" t="n"/>
      <c r="AN253" s="41" t="n"/>
      <c r="AO253" s="41" t="n"/>
      <c r="AP253" s="41" t="n"/>
      <c r="AQ253" s="41" t="n"/>
      <c r="AR253" s="41" t="n"/>
      <c r="AS253" s="41" t="n"/>
      <c r="AT253" s="41" t="n"/>
      <c r="AU253" s="41" t="n"/>
      <c r="AV253" s="41" t="n"/>
      <c r="AW253" s="41" t="n"/>
      <c r="AX253" s="41" t="n"/>
      <c r="AY253" s="41" t="n"/>
      <c r="AZ253" s="33" t="n"/>
      <c r="BA253" s="41" t="n"/>
      <c r="BB253" s="41" t="n"/>
      <c r="BC253" s="41" t="n"/>
      <c r="BD253" s="41" t="n"/>
      <c r="BE253" s="41" t="n"/>
      <c r="BF253" s="41" t="n"/>
      <c r="BG253" s="41" t="n"/>
      <c r="BH253" s="41" t="n"/>
      <c r="BI253" s="41" t="n"/>
      <c r="BJ253" s="41" t="n"/>
      <c r="BK253" s="41" t="n"/>
      <c r="BL253" s="41" t="n"/>
      <c r="BM253" s="41" t="n"/>
      <c r="BN253" s="41" t="n"/>
    </row>
    <row r="254" ht="18" customHeight="1" s="82">
      <c r="A254" s="36" t="n"/>
      <c r="B254" s="36" t="n"/>
      <c r="C254" s="36" t="n"/>
      <c r="D254" s="36" t="n"/>
      <c r="E254" s="37" t="n"/>
      <c r="F254" s="37" t="n"/>
      <c r="G254" s="37" t="n"/>
      <c r="H254" s="37" t="n"/>
      <c r="I254" s="37" t="n"/>
      <c r="J254" s="37" t="n"/>
      <c r="K254" s="37" t="n"/>
      <c r="L254" s="37" t="n"/>
      <c r="M254" s="37" t="n"/>
      <c r="N254" s="37" t="n"/>
      <c r="O254" s="37" t="n"/>
      <c r="P254" s="37" t="n"/>
      <c r="Q254" s="37" t="n"/>
      <c r="R254" s="37" t="n"/>
      <c r="S254" s="37" t="n"/>
      <c r="T254" s="37" t="n"/>
      <c r="U254" s="37" t="n"/>
      <c r="V254" s="37" t="n"/>
      <c r="W254" s="32" t="n"/>
      <c r="X254" s="37" t="n"/>
      <c r="Y254" s="37" t="n"/>
      <c r="Z254" s="37" t="n"/>
      <c r="AA254" s="37" t="n"/>
      <c r="AB254" s="37" t="n"/>
      <c r="AC254" s="37" t="n"/>
      <c r="AD254" s="32" t="n"/>
      <c r="AE254" s="37" t="n"/>
      <c r="AF254" s="38" t="n"/>
      <c r="AG254" s="67">
        <f>IF(OR(AF254="",AE254=""),"",IFERROR(AF254*INDEX(FXRates[USD per unit],MATCH(AE254,FXRates[Currency],0)),"No rate"))</f>
        <v/>
      </c>
      <c r="AH254" s="36" t="n"/>
      <c r="AI254" s="36" t="n"/>
      <c r="AJ254" s="39">
        <f>IF(A254="","",IF(COUNTIF($A$6:$A$504,A254)&gt;1,"⚠ Duplicate",""))</f>
        <v/>
      </c>
      <c r="AK254" s="38" t="n"/>
      <c r="AL254" s="40" t="n"/>
      <c r="AM254" s="40" t="n"/>
      <c r="AN254" s="40" t="n"/>
      <c r="AO254" s="40" t="n"/>
      <c r="AP254" s="40" t="n"/>
      <c r="AQ254" s="40" t="n"/>
      <c r="AR254" s="40" t="n"/>
      <c r="AS254" s="40" t="n"/>
      <c r="AT254" s="40" t="n"/>
      <c r="AU254" s="40" t="n"/>
      <c r="AV254" s="40" t="n"/>
      <c r="AW254" s="40" t="n"/>
      <c r="AX254" s="40" t="n"/>
      <c r="AY254" s="40" t="n"/>
      <c r="AZ254" s="38" t="n"/>
      <c r="BA254" s="40" t="n"/>
      <c r="BB254" s="40" t="n"/>
      <c r="BC254" s="40" t="n"/>
      <c r="BD254" s="40" t="n"/>
      <c r="BE254" s="40" t="n"/>
      <c r="BF254" s="40" t="n"/>
      <c r="BG254" s="40" t="n"/>
      <c r="BH254" s="40" t="n"/>
      <c r="BI254" s="40" t="n"/>
      <c r="BJ254" s="40" t="n"/>
      <c r="BK254" s="40" t="n"/>
      <c r="BL254" s="40" t="n"/>
      <c r="BM254" s="40" t="n"/>
      <c r="BN254" s="40" t="n"/>
    </row>
    <row r="255" ht="18" customHeight="1" s="82">
      <c r="A255" s="30" t="n"/>
      <c r="B255" s="30" t="n"/>
      <c r="C255" s="30" t="n"/>
      <c r="D255" s="30" t="n"/>
      <c r="E255" s="31" t="n"/>
      <c r="F255" s="31" t="n"/>
      <c r="G255" s="31" t="n"/>
      <c r="H255" s="31" t="n"/>
      <c r="I255" s="31" t="n"/>
      <c r="J255" s="31" t="n"/>
      <c r="K255" s="31" t="n"/>
      <c r="L255" s="31" t="n"/>
      <c r="M255" s="31" t="n"/>
      <c r="N255" s="31" t="n"/>
      <c r="O255" s="31" t="n"/>
      <c r="P255" s="31" t="n"/>
      <c r="Q255" s="31" t="n"/>
      <c r="R255" s="31" t="n"/>
      <c r="S255" s="31" t="n"/>
      <c r="T255" s="31" t="n"/>
      <c r="U255" s="31" t="n"/>
      <c r="V255" s="31" t="n"/>
      <c r="W255" s="32" t="n"/>
      <c r="X255" s="31" t="n"/>
      <c r="Y255" s="31" t="n"/>
      <c r="Z255" s="31" t="n"/>
      <c r="AA255" s="31" t="n"/>
      <c r="AB255" s="31" t="n"/>
      <c r="AC255" s="31" t="n"/>
      <c r="AD255" s="32" t="n"/>
      <c r="AE255" s="31" t="n"/>
      <c r="AF255" s="33" t="n"/>
      <c r="AG255" s="66">
        <f>IF(OR(AF255="",AE255=""),"",IFERROR(AF255*INDEX(FXRates[USD per unit],MATCH(AE255,FXRates[Currency],0)),"No rate"))</f>
        <v/>
      </c>
      <c r="AH255" s="30" t="n"/>
      <c r="AI255" s="30" t="n"/>
      <c r="AJ255" s="34">
        <f>IF(A255="","",IF(COUNTIF($A$6:$A$504,A255)&gt;1,"⚠ Duplicate",""))</f>
        <v/>
      </c>
      <c r="AK255" s="33" t="n"/>
      <c r="AL255" s="41" t="n"/>
      <c r="AM255" s="41" t="n"/>
      <c r="AN255" s="41" t="n"/>
      <c r="AO255" s="41" t="n"/>
      <c r="AP255" s="41" t="n"/>
      <c r="AQ255" s="41" t="n"/>
      <c r="AR255" s="41" t="n"/>
      <c r="AS255" s="41" t="n"/>
      <c r="AT255" s="41" t="n"/>
      <c r="AU255" s="41" t="n"/>
      <c r="AV255" s="41" t="n"/>
      <c r="AW255" s="41" t="n"/>
      <c r="AX255" s="41" t="n"/>
      <c r="AY255" s="41" t="n"/>
      <c r="AZ255" s="33" t="n"/>
      <c r="BA255" s="41" t="n"/>
      <c r="BB255" s="41" t="n"/>
      <c r="BC255" s="41" t="n"/>
      <c r="BD255" s="41" t="n"/>
      <c r="BE255" s="41" t="n"/>
      <c r="BF255" s="41" t="n"/>
      <c r="BG255" s="41" t="n"/>
      <c r="BH255" s="41" t="n"/>
      <c r="BI255" s="41" t="n"/>
      <c r="BJ255" s="41" t="n"/>
      <c r="BK255" s="41" t="n"/>
      <c r="BL255" s="41" t="n"/>
      <c r="BM255" s="41" t="n"/>
      <c r="BN255" s="41" t="n"/>
    </row>
    <row r="256" ht="18" customHeight="1" s="82">
      <c r="A256" s="36" t="n"/>
      <c r="B256" s="36" t="n"/>
      <c r="C256" s="36" t="n"/>
      <c r="D256" s="36" t="n"/>
      <c r="E256" s="37" t="n"/>
      <c r="F256" s="37" t="n"/>
      <c r="G256" s="37" t="n"/>
      <c r="H256" s="37" t="n"/>
      <c r="I256" s="37" t="n"/>
      <c r="J256" s="37" t="n"/>
      <c r="K256" s="37" t="n"/>
      <c r="L256" s="37" t="n"/>
      <c r="M256" s="37" t="n"/>
      <c r="N256" s="37" t="n"/>
      <c r="O256" s="37" t="n"/>
      <c r="P256" s="37" t="n"/>
      <c r="Q256" s="37" t="n"/>
      <c r="R256" s="37" t="n"/>
      <c r="S256" s="37" t="n"/>
      <c r="T256" s="37" t="n"/>
      <c r="U256" s="37" t="n"/>
      <c r="V256" s="37" t="n"/>
      <c r="W256" s="32" t="n"/>
      <c r="X256" s="37" t="n"/>
      <c r="Y256" s="37" t="n"/>
      <c r="Z256" s="37" t="n"/>
      <c r="AA256" s="37" t="n"/>
      <c r="AB256" s="37" t="n"/>
      <c r="AC256" s="37" t="n"/>
      <c r="AD256" s="32" t="n"/>
      <c r="AE256" s="37" t="n"/>
      <c r="AF256" s="38" t="n"/>
      <c r="AG256" s="67">
        <f>IF(OR(AF256="",AE256=""),"",IFERROR(AF256*INDEX(FXRates[USD per unit],MATCH(AE256,FXRates[Currency],0)),"No rate"))</f>
        <v/>
      </c>
      <c r="AH256" s="36" t="n"/>
      <c r="AI256" s="36" t="n"/>
      <c r="AJ256" s="39">
        <f>IF(A256="","",IF(COUNTIF($A$6:$A$504,A256)&gt;1,"⚠ Duplicate",""))</f>
        <v/>
      </c>
      <c r="AK256" s="38" t="n"/>
      <c r="AL256" s="40" t="n"/>
      <c r="AM256" s="40" t="n"/>
      <c r="AN256" s="40" t="n"/>
      <c r="AO256" s="40" t="n"/>
      <c r="AP256" s="40" t="n"/>
      <c r="AQ256" s="40" t="n"/>
      <c r="AR256" s="40" t="n"/>
      <c r="AS256" s="40" t="n"/>
      <c r="AT256" s="40" t="n"/>
      <c r="AU256" s="40" t="n"/>
      <c r="AV256" s="40" t="n"/>
      <c r="AW256" s="40" t="n"/>
      <c r="AX256" s="40" t="n"/>
      <c r="AY256" s="40" t="n"/>
      <c r="AZ256" s="38" t="n"/>
      <c r="BA256" s="40" t="n"/>
      <c r="BB256" s="40" t="n"/>
      <c r="BC256" s="40" t="n"/>
      <c r="BD256" s="40" t="n"/>
      <c r="BE256" s="40" t="n"/>
      <c r="BF256" s="40" t="n"/>
      <c r="BG256" s="40" t="n"/>
      <c r="BH256" s="40" t="n"/>
      <c r="BI256" s="40" t="n"/>
      <c r="BJ256" s="40" t="n"/>
      <c r="BK256" s="40" t="n"/>
      <c r="BL256" s="40" t="n"/>
      <c r="BM256" s="40" t="n"/>
      <c r="BN256" s="40" t="n"/>
    </row>
    <row r="257" ht="18" customHeight="1" s="82">
      <c r="A257" s="30" t="n"/>
      <c r="B257" s="30" t="n"/>
      <c r="C257" s="30" t="n"/>
      <c r="D257" s="30" t="n"/>
      <c r="E257" s="31" t="n"/>
      <c r="F257" s="31" t="n"/>
      <c r="G257" s="31" t="n"/>
      <c r="H257" s="31" t="n"/>
      <c r="I257" s="31" t="n"/>
      <c r="J257" s="31" t="n"/>
      <c r="K257" s="31" t="n"/>
      <c r="L257" s="31" t="n"/>
      <c r="M257" s="31" t="n"/>
      <c r="N257" s="31" t="n"/>
      <c r="O257" s="31" t="n"/>
      <c r="P257" s="31" t="n"/>
      <c r="Q257" s="31" t="n"/>
      <c r="R257" s="31" t="n"/>
      <c r="S257" s="31" t="n"/>
      <c r="T257" s="31" t="n"/>
      <c r="U257" s="31" t="n"/>
      <c r="V257" s="31" t="n"/>
      <c r="W257" s="32" t="n"/>
      <c r="X257" s="31" t="n"/>
      <c r="Y257" s="31" t="n"/>
      <c r="Z257" s="31" t="n"/>
      <c r="AA257" s="31" t="n"/>
      <c r="AB257" s="31" t="n"/>
      <c r="AC257" s="31" t="n"/>
      <c r="AD257" s="32" t="n"/>
      <c r="AE257" s="31" t="n"/>
      <c r="AF257" s="33" t="n"/>
      <c r="AG257" s="66">
        <f>IF(OR(AF257="",AE257=""),"",IFERROR(AF257*INDEX(FXRates[USD per unit],MATCH(AE257,FXRates[Currency],0)),"No rate"))</f>
        <v/>
      </c>
      <c r="AH257" s="30" t="n"/>
      <c r="AI257" s="30" t="n"/>
      <c r="AJ257" s="34">
        <f>IF(A257="","",IF(COUNTIF($A$6:$A$504,A257)&gt;1,"⚠ Duplicate",""))</f>
        <v/>
      </c>
      <c r="AK257" s="33" t="n"/>
      <c r="AL257" s="41" t="n"/>
      <c r="AM257" s="41" t="n"/>
      <c r="AN257" s="41" t="n"/>
      <c r="AO257" s="41" t="n"/>
      <c r="AP257" s="41" t="n"/>
      <c r="AQ257" s="41" t="n"/>
      <c r="AR257" s="41" t="n"/>
      <c r="AS257" s="41" t="n"/>
      <c r="AT257" s="41" t="n"/>
      <c r="AU257" s="41" t="n"/>
      <c r="AV257" s="41" t="n"/>
      <c r="AW257" s="41" t="n"/>
      <c r="AX257" s="41" t="n"/>
      <c r="AY257" s="41" t="n"/>
      <c r="AZ257" s="33" t="n"/>
      <c r="BA257" s="41" t="n"/>
      <c r="BB257" s="41" t="n"/>
      <c r="BC257" s="41" t="n"/>
      <c r="BD257" s="41" t="n"/>
      <c r="BE257" s="41" t="n"/>
      <c r="BF257" s="41" t="n"/>
      <c r="BG257" s="41" t="n"/>
      <c r="BH257" s="41" t="n"/>
      <c r="BI257" s="41" t="n"/>
      <c r="BJ257" s="41" t="n"/>
      <c r="BK257" s="41" t="n"/>
      <c r="BL257" s="41" t="n"/>
      <c r="BM257" s="41" t="n"/>
      <c r="BN257" s="41" t="n"/>
    </row>
    <row r="258" ht="18" customHeight="1" s="82">
      <c r="A258" s="36" t="n"/>
      <c r="B258" s="36" t="n"/>
      <c r="C258" s="36" t="n"/>
      <c r="D258" s="36" t="n"/>
      <c r="E258" s="37" t="n"/>
      <c r="F258" s="37" t="n"/>
      <c r="G258" s="37" t="n"/>
      <c r="H258" s="37" t="n"/>
      <c r="I258" s="37" t="n"/>
      <c r="J258" s="37" t="n"/>
      <c r="K258" s="37" t="n"/>
      <c r="L258" s="37" t="n"/>
      <c r="M258" s="37" t="n"/>
      <c r="N258" s="37" t="n"/>
      <c r="O258" s="37" t="n"/>
      <c r="P258" s="37" t="n"/>
      <c r="Q258" s="37" t="n"/>
      <c r="R258" s="37" t="n"/>
      <c r="S258" s="37" t="n"/>
      <c r="T258" s="37" t="n"/>
      <c r="U258" s="37" t="n"/>
      <c r="V258" s="37" t="n"/>
      <c r="W258" s="32" t="n"/>
      <c r="X258" s="37" t="n"/>
      <c r="Y258" s="37" t="n"/>
      <c r="Z258" s="37" t="n"/>
      <c r="AA258" s="37" t="n"/>
      <c r="AB258" s="37" t="n"/>
      <c r="AC258" s="37" t="n"/>
      <c r="AD258" s="32" t="n"/>
      <c r="AE258" s="37" t="n"/>
      <c r="AF258" s="38" t="n"/>
      <c r="AG258" s="67">
        <f>IF(OR(AF258="",AE258=""),"",IFERROR(AF258*INDEX(FXRates[USD per unit],MATCH(AE258,FXRates[Currency],0)),"No rate"))</f>
        <v/>
      </c>
      <c r="AH258" s="36" t="n"/>
      <c r="AI258" s="36" t="n"/>
      <c r="AJ258" s="39">
        <f>IF(A258="","",IF(COUNTIF($A$6:$A$504,A258)&gt;1,"⚠ Duplicate",""))</f>
        <v/>
      </c>
      <c r="AK258" s="38" t="n"/>
      <c r="AL258" s="40" t="n"/>
      <c r="AM258" s="40" t="n"/>
      <c r="AN258" s="40" t="n"/>
      <c r="AO258" s="40" t="n"/>
      <c r="AP258" s="40" t="n"/>
      <c r="AQ258" s="40" t="n"/>
      <c r="AR258" s="40" t="n"/>
      <c r="AS258" s="40" t="n"/>
      <c r="AT258" s="40" t="n"/>
      <c r="AU258" s="40" t="n"/>
      <c r="AV258" s="40" t="n"/>
      <c r="AW258" s="40" t="n"/>
      <c r="AX258" s="40" t="n"/>
      <c r="AY258" s="40" t="n"/>
      <c r="AZ258" s="38" t="n"/>
      <c r="BA258" s="40" t="n"/>
      <c r="BB258" s="40" t="n"/>
      <c r="BC258" s="40" t="n"/>
      <c r="BD258" s="40" t="n"/>
      <c r="BE258" s="40" t="n"/>
      <c r="BF258" s="40" t="n"/>
      <c r="BG258" s="40" t="n"/>
      <c r="BH258" s="40" t="n"/>
      <c r="BI258" s="40" t="n"/>
      <c r="BJ258" s="40" t="n"/>
      <c r="BK258" s="40" t="n"/>
      <c r="BL258" s="40" t="n"/>
      <c r="BM258" s="40" t="n"/>
      <c r="BN258" s="40" t="n"/>
    </row>
    <row r="259" ht="18" customHeight="1" s="82">
      <c r="A259" s="30" t="n"/>
      <c r="B259" s="30" t="n"/>
      <c r="C259" s="30" t="n"/>
      <c r="D259" s="30" t="n"/>
      <c r="E259" s="31" t="n"/>
      <c r="F259" s="31" t="n"/>
      <c r="G259" s="31" t="n"/>
      <c r="H259" s="31" t="n"/>
      <c r="I259" s="31" t="n"/>
      <c r="J259" s="31" t="n"/>
      <c r="K259" s="31" t="n"/>
      <c r="L259" s="31" t="n"/>
      <c r="M259" s="31" t="n"/>
      <c r="N259" s="31" t="n"/>
      <c r="O259" s="31" t="n"/>
      <c r="P259" s="31" t="n"/>
      <c r="Q259" s="31" t="n"/>
      <c r="R259" s="31" t="n"/>
      <c r="S259" s="31" t="n"/>
      <c r="T259" s="31" t="n"/>
      <c r="U259" s="31" t="n"/>
      <c r="V259" s="31" t="n"/>
      <c r="W259" s="32" t="n"/>
      <c r="X259" s="31" t="n"/>
      <c r="Y259" s="31" t="n"/>
      <c r="Z259" s="31" t="n"/>
      <c r="AA259" s="31" t="n"/>
      <c r="AB259" s="31" t="n"/>
      <c r="AC259" s="31" t="n"/>
      <c r="AD259" s="32" t="n"/>
      <c r="AE259" s="31" t="n"/>
      <c r="AF259" s="33" t="n"/>
      <c r="AG259" s="66">
        <f>IF(OR(AF259="",AE259=""),"",IFERROR(AF259*INDEX(FXRates[USD per unit],MATCH(AE259,FXRates[Currency],0)),"No rate"))</f>
        <v/>
      </c>
      <c r="AH259" s="30" t="n"/>
      <c r="AI259" s="30" t="n"/>
      <c r="AJ259" s="34">
        <f>IF(A259="","",IF(COUNTIF($A$6:$A$504,A259)&gt;1,"⚠ Duplicate",""))</f>
        <v/>
      </c>
      <c r="AK259" s="33" t="n"/>
      <c r="AL259" s="41" t="n"/>
      <c r="AM259" s="41" t="n"/>
      <c r="AN259" s="41" t="n"/>
      <c r="AO259" s="41" t="n"/>
      <c r="AP259" s="41" t="n"/>
      <c r="AQ259" s="41" t="n"/>
      <c r="AR259" s="41" t="n"/>
      <c r="AS259" s="41" t="n"/>
      <c r="AT259" s="41" t="n"/>
      <c r="AU259" s="41" t="n"/>
      <c r="AV259" s="41" t="n"/>
      <c r="AW259" s="41" t="n"/>
      <c r="AX259" s="41" t="n"/>
      <c r="AY259" s="41" t="n"/>
      <c r="AZ259" s="33" t="n"/>
      <c r="BA259" s="41" t="n"/>
      <c r="BB259" s="41" t="n"/>
      <c r="BC259" s="41" t="n"/>
      <c r="BD259" s="41" t="n"/>
      <c r="BE259" s="41" t="n"/>
      <c r="BF259" s="41" t="n"/>
      <c r="BG259" s="41" t="n"/>
      <c r="BH259" s="41" t="n"/>
      <c r="BI259" s="41" t="n"/>
      <c r="BJ259" s="41" t="n"/>
      <c r="BK259" s="41" t="n"/>
      <c r="BL259" s="41" t="n"/>
      <c r="BM259" s="41" t="n"/>
      <c r="BN259" s="41" t="n"/>
    </row>
    <row r="260" ht="18" customHeight="1" s="82">
      <c r="A260" s="36" t="n"/>
      <c r="B260" s="36" t="n"/>
      <c r="C260" s="36" t="n"/>
      <c r="D260" s="36" t="n"/>
      <c r="E260" s="37" t="n"/>
      <c r="F260" s="37" t="n"/>
      <c r="G260" s="37" t="n"/>
      <c r="H260" s="37" t="n"/>
      <c r="I260" s="37" t="n"/>
      <c r="J260" s="37" t="n"/>
      <c r="K260" s="37" t="n"/>
      <c r="L260" s="37" t="n"/>
      <c r="M260" s="37" t="n"/>
      <c r="N260" s="37" t="n"/>
      <c r="O260" s="37" t="n"/>
      <c r="P260" s="37" t="n"/>
      <c r="Q260" s="37" t="n"/>
      <c r="R260" s="37" t="n"/>
      <c r="S260" s="37" t="n"/>
      <c r="T260" s="37" t="n"/>
      <c r="U260" s="37" t="n"/>
      <c r="V260" s="37" t="n"/>
      <c r="W260" s="32" t="n"/>
      <c r="X260" s="37" t="n"/>
      <c r="Y260" s="37" t="n"/>
      <c r="Z260" s="37" t="n"/>
      <c r="AA260" s="37" t="n"/>
      <c r="AB260" s="37" t="n"/>
      <c r="AC260" s="37" t="n"/>
      <c r="AD260" s="32" t="n"/>
      <c r="AE260" s="37" t="n"/>
      <c r="AF260" s="38" t="n"/>
      <c r="AG260" s="67">
        <f>IF(OR(AF260="",AE260=""),"",IFERROR(AF260*INDEX(FXRates[USD per unit],MATCH(AE260,FXRates[Currency],0)),"No rate"))</f>
        <v/>
      </c>
      <c r="AH260" s="36" t="n"/>
      <c r="AI260" s="36" t="n"/>
      <c r="AJ260" s="39">
        <f>IF(A260="","",IF(COUNTIF($A$6:$A$504,A260)&gt;1,"⚠ Duplicate",""))</f>
        <v/>
      </c>
      <c r="AK260" s="38" t="n"/>
      <c r="AL260" s="40" t="n"/>
      <c r="AM260" s="40" t="n"/>
      <c r="AN260" s="40" t="n"/>
      <c r="AO260" s="40" t="n"/>
      <c r="AP260" s="40" t="n"/>
      <c r="AQ260" s="40" t="n"/>
      <c r="AR260" s="40" t="n"/>
      <c r="AS260" s="40" t="n"/>
      <c r="AT260" s="40" t="n"/>
      <c r="AU260" s="40" t="n"/>
      <c r="AV260" s="40" t="n"/>
      <c r="AW260" s="40" t="n"/>
      <c r="AX260" s="40" t="n"/>
      <c r="AY260" s="40" t="n"/>
      <c r="AZ260" s="38" t="n"/>
      <c r="BA260" s="40" t="n"/>
      <c r="BB260" s="40" t="n"/>
      <c r="BC260" s="40" t="n"/>
      <c r="BD260" s="40" t="n"/>
      <c r="BE260" s="40" t="n"/>
      <c r="BF260" s="40" t="n"/>
      <c r="BG260" s="40" t="n"/>
      <c r="BH260" s="40" t="n"/>
      <c r="BI260" s="40" t="n"/>
      <c r="BJ260" s="40" t="n"/>
      <c r="BK260" s="40" t="n"/>
      <c r="BL260" s="40" t="n"/>
      <c r="BM260" s="40" t="n"/>
      <c r="BN260" s="40" t="n"/>
    </row>
    <row r="261" ht="18" customHeight="1" s="82">
      <c r="A261" s="30" t="n"/>
      <c r="B261" s="30" t="n"/>
      <c r="C261" s="30" t="n"/>
      <c r="D261" s="30" t="n"/>
      <c r="E261" s="31" t="n"/>
      <c r="F261" s="31" t="n"/>
      <c r="G261" s="31" t="n"/>
      <c r="H261" s="31" t="n"/>
      <c r="I261" s="31" t="n"/>
      <c r="J261" s="31" t="n"/>
      <c r="K261" s="31" t="n"/>
      <c r="L261" s="31" t="n"/>
      <c r="M261" s="31" t="n"/>
      <c r="N261" s="31" t="n"/>
      <c r="O261" s="31" t="n"/>
      <c r="P261" s="31" t="n"/>
      <c r="Q261" s="31" t="n"/>
      <c r="R261" s="31" t="n"/>
      <c r="S261" s="31" t="n"/>
      <c r="T261" s="31" t="n"/>
      <c r="U261" s="31" t="n"/>
      <c r="V261" s="31" t="n"/>
      <c r="W261" s="32" t="n"/>
      <c r="X261" s="31" t="n"/>
      <c r="Y261" s="31" t="n"/>
      <c r="Z261" s="31" t="n"/>
      <c r="AA261" s="31" t="n"/>
      <c r="AB261" s="31" t="n"/>
      <c r="AC261" s="31" t="n"/>
      <c r="AD261" s="32" t="n"/>
      <c r="AE261" s="31" t="n"/>
      <c r="AF261" s="33" t="n"/>
      <c r="AG261" s="66">
        <f>IF(OR(AF261="",AE261=""),"",IFERROR(AF261*INDEX(FXRates[USD per unit],MATCH(AE261,FXRates[Currency],0)),"No rate"))</f>
        <v/>
      </c>
      <c r="AH261" s="30" t="n"/>
      <c r="AI261" s="30" t="n"/>
      <c r="AJ261" s="34">
        <f>IF(A261="","",IF(COUNTIF($A$6:$A$504,A261)&gt;1,"⚠ Duplicate",""))</f>
        <v/>
      </c>
      <c r="AK261" s="33" t="n"/>
      <c r="AL261" s="41" t="n"/>
      <c r="AM261" s="41" t="n"/>
      <c r="AN261" s="41" t="n"/>
      <c r="AO261" s="41" t="n"/>
      <c r="AP261" s="41" t="n"/>
      <c r="AQ261" s="41" t="n"/>
      <c r="AR261" s="41" t="n"/>
      <c r="AS261" s="41" t="n"/>
      <c r="AT261" s="41" t="n"/>
      <c r="AU261" s="41" t="n"/>
      <c r="AV261" s="41" t="n"/>
      <c r="AW261" s="41" t="n"/>
      <c r="AX261" s="41" t="n"/>
      <c r="AY261" s="41" t="n"/>
      <c r="AZ261" s="33" t="n"/>
      <c r="BA261" s="41" t="n"/>
      <c r="BB261" s="41" t="n"/>
      <c r="BC261" s="41" t="n"/>
      <c r="BD261" s="41" t="n"/>
      <c r="BE261" s="41" t="n"/>
      <c r="BF261" s="41" t="n"/>
      <c r="BG261" s="41" t="n"/>
      <c r="BH261" s="41" t="n"/>
      <c r="BI261" s="41" t="n"/>
      <c r="BJ261" s="41" t="n"/>
      <c r="BK261" s="41" t="n"/>
      <c r="BL261" s="41" t="n"/>
      <c r="BM261" s="41" t="n"/>
      <c r="BN261" s="41" t="n"/>
    </row>
    <row r="262" ht="18" customHeight="1" s="82">
      <c r="A262" s="36" t="n"/>
      <c r="B262" s="36" t="n"/>
      <c r="C262" s="36" t="n"/>
      <c r="D262" s="36" t="n"/>
      <c r="E262" s="37" t="n"/>
      <c r="F262" s="37" t="n"/>
      <c r="G262" s="37" t="n"/>
      <c r="H262" s="37" t="n"/>
      <c r="I262" s="37" t="n"/>
      <c r="J262" s="37" t="n"/>
      <c r="K262" s="37" t="n"/>
      <c r="L262" s="37" t="n"/>
      <c r="M262" s="37" t="n"/>
      <c r="N262" s="37" t="n"/>
      <c r="O262" s="37" t="n"/>
      <c r="P262" s="37" t="n"/>
      <c r="Q262" s="37" t="n"/>
      <c r="R262" s="37" t="n"/>
      <c r="S262" s="37" t="n"/>
      <c r="T262" s="37" t="n"/>
      <c r="U262" s="37" t="n"/>
      <c r="V262" s="37" t="n"/>
      <c r="W262" s="32" t="n"/>
      <c r="X262" s="37" t="n"/>
      <c r="Y262" s="37" t="n"/>
      <c r="Z262" s="37" t="n"/>
      <c r="AA262" s="37" t="n"/>
      <c r="AB262" s="37" t="n"/>
      <c r="AC262" s="37" t="n"/>
      <c r="AD262" s="32" t="n"/>
      <c r="AE262" s="37" t="n"/>
      <c r="AF262" s="38" t="n"/>
      <c r="AG262" s="67">
        <f>IF(OR(AF262="",AE262=""),"",IFERROR(AF262*INDEX(FXRates[USD per unit],MATCH(AE262,FXRates[Currency],0)),"No rate"))</f>
        <v/>
      </c>
      <c r="AH262" s="36" t="n"/>
      <c r="AI262" s="36" t="n"/>
      <c r="AJ262" s="39">
        <f>IF(A262="","",IF(COUNTIF($A$6:$A$504,A262)&gt;1,"⚠ Duplicate",""))</f>
        <v/>
      </c>
      <c r="AK262" s="38" t="n"/>
      <c r="AL262" s="40" t="n"/>
      <c r="AM262" s="40" t="n"/>
      <c r="AN262" s="40" t="n"/>
      <c r="AO262" s="40" t="n"/>
      <c r="AP262" s="40" t="n"/>
      <c r="AQ262" s="40" t="n"/>
      <c r="AR262" s="40" t="n"/>
      <c r="AS262" s="40" t="n"/>
      <c r="AT262" s="40" t="n"/>
      <c r="AU262" s="40" t="n"/>
      <c r="AV262" s="40" t="n"/>
      <c r="AW262" s="40" t="n"/>
      <c r="AX262" s="40" t="n"/>
      <c r="AY262" s="40" t="n"/>
      <c r="AZ262" s="38" t="n"/>
      <c r="BA262" s="40" t="n"/>
      <c r="BB262" s="40" t="n"/>
      <c r="BC262" s="40" t="n"/>
      <c r="BD262" s="40" t="n"/>
      <c r="BE262" s="40" t="n"/>
      <c r="BF262" s="40" t="n"/>
      <c r="BG262" s="40" t="n"/>
      <c r="BH262" s="40" t="n"/>
      <c r="BI262" s="40" t="n"/>
      <c r="BJ262" s="40" t="n"/>
      <c r="BK262" s="40" t="n"/>
      <c r="BL262" s="40" t="n"/>
      <c r="BM262" s="40" t="n"/>
      <c r="BN262" s="40" t="n"/>
    </row>
    <row r="263" ht="18" customHeight="1" s="82">
      <c r="A263" s="30" t="n"/>
      <c r="B263" s="30" t="n"/>
      <c r="C263" s="30" t="n"/>
      <c r="D263" s="30" t="n"/>
      <c r="E263" s="31" t="n"/>
      <c r="F263" s="31" t="n"/>
      <c r="G263" s="31" t="n"/>
      <c r="H263" s="31" t="n"/>
      <c r="I263" s="31" t="n"/>
      <c r="J263" s="31" t="n"/>
      <c r="K263" s="31" t="n"/>
      <c r="L263" s="31" t="n"/>
      <c r="M263" s="31" t="n"/>
      <c r="N263" s="31" t="n"/>
      <c r="O263" s="31" t="n"/>
      <c r="P263" s="31" t="n"/>
      <c r="Q263" s="31" t="n"/>
      <c r="R263" s="31" t="n"/>
      <c r="S263" s="31" t="n"/>
      <c r="T263" s="31" t="n"/>
      <c r="U263" s="31" t="n"/>
      <c r="V263" s="31" t="n"/>
      <c r="W263" s="32" t="n"/>
      <c r="X263" s="31" t="n"/>
      <c r="Y263" s="31" t="n"/>
      <c r="Z263" s="31" t="n"/>
      <c r="AA263" s="31" t="n"/>
      <c r="AB263" s="31" t="n"/>
      <c r="AC263" s="31" t="n"/>
      <c r="AD263" s="32" t="n"/>
      <c r="AE263" s="31" t="n"/>
      <c r="AF263" s="33" t="n"/>
      <c r="AG263" s="66">
        <f>IF(OR(AF263="",AE263=""),"",IFERROR(AF263*INDEX(FXRates[USD per unit],MATCH(AE263,FXRates[Currency],0)),"No rate"))</f>
        <v/>
      </c>
      <c r="AH263" s="30" t="n"/>
      <c r="AI263" s="30" t="n"/>
      <c r="AJ263" s="34">
        <f>IF(A263="","",IF(COUNTIF($A$6:$A$504,A263)&gt;1,"⚠ Duplicate",""))</f>
        <v/>
      </c>
      <c r="AK263" s="33" t="n"/>
      <c r="AL263" s="41" t="n"/>
      <c r="AM263" s="41" t="n"/>
      <c r="AN263" s="41" t="n"/>
      <c r="AO263" s="41" t="n"/>
      <c r="AP263" s="41" t="n"/>
      <c r="AQ263" s="41" t="n"/>
      <c r="AR263" s="41" t="n"/>
      <c r="AS263" s="41" t="n"/>
      <c r="AT263" s="41" t="n"/>
      <c r="AU263" s="41" t="n"/>
      <c r="AV263" s="41" t="n"/>
      <c r="AW263" s="41" t="n"/>
      <c r="AX263" s="41" t="n"/>
      <c r="AY263" s="41" t="n"/>
      <c r="AZ263" s="33" t="n"/>
      <c r="BA263" s="41" t="n"/>
      <c r="BB263" s="41" t="n"/>
      <c r="BC263" s="41" t="n"/>
      <c r="BD263" s="41" t="n"/>
      <c r="BE263" s="41" t="n"/>
      <c r="BF263" s="41" t="n"/>
      <c r="BG263" s="41" t="n"/>
      <c r="BH263" s="41" t="n"/>
      <c r="BI263" s="41" t="n"/>
      <c r="BJ263" s="41" t="n"/>
      <c r="BK263" s="41" t="n"/>
      <c r="BL263" s="41" t="n"/>
      <c r="BM263" s="41" t="n"/>
      <c r="BN263" s="41" t="n"/>
    </row>
    <row r="264" ht="18" customHeight="1" s="82">
      <c r="A264" s="36" t="n"/>
      <c r="B264" s="36" t="n"/>
      <c r="C264" s="36" t="n"/>
      <c r="D264" s="36" t="n"/>
      <c r="E264" s="37" t="n"/>
      <c r="F264" s="37" t="n"/>
      <c r="G264" s="37" t="n"/>
      <c r="H264" s="37" t="n"/>
      <c r="I264" s="37" t="n"/>
      <c r="J264" s="37" t="n"/>
      <c r="K264" s="37" t="n"/>
      <c r="L264" s="37" t="n"/>
      <c r="M264" s="37" t="n"/>
      <c r="N264" s="37" t="n"/>
      <c r="O264" s="37" t="n"/>
      <c r="P264" s="37" t="n"/>
      <c r="Q264" s="37" t="n"/>
      <c r="R264" s="37" t="n"/>
      <c r="S264" s="37" t="n"/>
      <c r="T264" s="37" t="n"/>
      <c r="U264" s="37" t="n"/>
      <c r="V264" s="37" t="n"/>
      <c r="W264" s="32" t="n"/>
      <c r="X264" s="37" t="n"/>
      <c r="Y264" s="37" t="n"/>
      <c r="Z264" s="37" t="n"/>
      <c r="AA264" s="37" t="n"/>
      <c r="AB264" s="37" t="n"/>
      <c r="AC264" s="37" t="n"/>
      <c r="AD264" s="32" t="n"/>
      <c r="AE264" s="37" t="n"/>
      <c r="AF264" s="38" t="n"/>
      <c r="AG264" s="67">
        <f>IF(OR(AF264="",AE264=""),"",IFERROR(AF264*INDEX(FXRates[USD per unit],MATCH(AE264,FXRates[Currency],0)),"No rate"))</f>
        <v/>
      </c>
      <c r="AH264" s="36" t="n"/>
      <c r="AI264" s="36" t="n"/>
      <c r="AJ264" s="39">
        <f>IF(A264="","",IF(COUNTIF($A$6:$A$504,A264)&gt;1,"⚠ Duplicate",""))</f>
        <v/>
      </c>
      <c r="AK264" s="38" t="n"/>
      <c r="AL264" s="40" t="n"/>
      <c r="AM264" s="40" t="n"/>
      <c r="AN264" s="40" t="n"/>
      <c r="AO264" s="40" t="n"/>
      <c r="AP264" s="40" t="n"/>
      <c r="AQ264" s="40" t="n"/>
      <c r="AR264" s="40" t="n"/>
      <c r="AS264" s="40" t="n"/>
      <c r="AT264" s="40" t="n"/>
      <c r="AU264" s="40" t="n"/>
      <c r="AV264" s="40" t="n"/>
      <c r="AW264" s="40" t="n"/>
      <c r="AX264" s="40" t="n"/>
      <c r="AY264" s="40" t="n"/>
      <c r="AZ264" s="38" t="n"/>
      <c r="BA264" s="40" t="n"/>
      <c r="BB264" s="40" t="n"/>
      <c r="BC264" s="40" t="n"/>
      <c r="BD264" s="40" t="n"/>
      <c r="BE264" s="40" t="n"/>
      <c r="BF264" s="40" t="n"/>
      <c r="BG264" s="40" t="n"/>
      <c r="BH264" s="40" t="n"/>
      <c r="BI264" s="40" t="n"/>
      <c r="BJ264" s="40" t="n"/>
      <c r="BK264" s="40" t="n"/>
      <c r="BL264" s="40" t="n"/>
      <c r="BM264" s="40" t="n"/>
      <c r="BN264" s="40" t="n"/>
    </row>
    <row r="265" ht="18" customHeight="1" s="82">
      <c r="A265" s="30" t="n"/>
      <c r="B265" s="30" t="n"/>
      <c r="C265" s="30" t="n"/>
      <c r="D265" s="30" t="n"/>
      <c r="E265" s="31" t="n"/>
      <c r="F265" s="31" t="n"/>
      <c r="G265" s="31" t="n"/>
      <c r="H265" s="31" t="n"/>
      <c r="I265" s="31" t="n"/>
      <c r="J265" s="31" t="n"/>
      <c r="K265" s="31" t="n"/>
      <c r="L265" s="31" t="n"/>
      <c r="M265" s="31" t="n"/>
      <c r="N265" s="31" t="n"/>
      <c r="O265" s="31" t="n"/>
      <c r="P265" s="31" t="n"/>
      <c r="Q265" s="31" t="n"/>
      <c r="R265" s="31" t="n"/>
      <c r="S265" s="31" t="n"/>
      <c r="T265" s="31" t="n"/>
      <c r="U265" s="31" t="n"/>
      <c r="V265" s="31" t="n"/>
      <c r="W265" s="32" t="n"/>
      <c r="X265" s="31" t="n"/>
      <c r="Y265" s="31" t="n"/>
      <c r="Z265" s="31" t="n"/>
      <c r="AA265" s="31" t="n"/>
      <c r="AB265" s="31" t="n"/>
      <c r="AC265" s="31" t="n"/>
      <c r="AD265" s="32" t="n"/>
      <c r="AE265" s="31" t="n"/>
      <c r="AF265" s="33" t="n"/>
      <c r="AG265" s="66">
        <f>IF(OR(AF265="",AE265=""),"",IFERROR(AF265*INDEX(FXRates[USD per unit],MATCH(AE265,FXRates[Currency],0)),"No rate"))</f>
        <v/>
      </c>
      <c r="AH265" s="30" t="n"/>
      <c r="AI265" s="30" t="n"/>
      <c r="AJ265" s="34">
        <f>IF(A265="","",IF(COUNTIF($A$6:$A$504,A265)&gt;1,"⚠ Duplicate",""))</f>
        <v/>
      </c>
      <c r="AK265" s="33" t="n"/>
      <c r="AL265" s="41" t="n"/>
      <c r="AM265" s="41" t="n"/>
      <c r="AN265" s="41" t="n"/>
      <c r="AO265" s="41" t="n"/>
      <c r="AP265" s="41" t="n"/>
      <c r="AQ265" s="41" t="n"/>
      <c r="AR265" s="41" t="n"/>
      <c r="AS265" s="41" t="n"/>
      <c r="AT265" s="41" t="n"/>
      <c r="AU265" s="41" t="n"/>
      <c r="AV265" s="41" t="n"/>
      <c r="AW265" s="41" t="n"/>
      <c r="AX265" s="41" t="n"/>
      <c r="AY265" s="41" t="n"/>
      <c r="AZ265" s="33" t="n"/>
      <c r="BA265" s="41" t="n"/>
      <c r="BB265" s="41" t="n"/>
      <c r="BC265" s="41" t="n"/>
      <c r="BD265" s="41" t="n"/>
      <c r="BE265" s="41" t="n"/>
      <c r="BF265" s="41" t="n"/>
      <c r="BG265" s="41" t="n"/>
      <c r="BH265" s="41" t="n"/>
      <c r="BI265" s="41" t="n"/>
      <c r="BJ265" s="41" t="n"/>
      <c r="BK265" s="41" t="n"/>
      <c r="BL265" s="41" t="n"/>
      <c r="BM265" s="41" t="n"/>
      <c r="BN265" s="41" t="n"/>
    </row>
    <row r="266" ht="18" customHeight="1" s="82">
      <c r="A266" s="36" t="n"/>
      <c r="B266" s="36" t="n"/>
      <c r="C266" s="36" t="n"/>
      <c r="D266" s="36" t="n"/>
      <c r="E266" s="37" t="n"/>
      <c r="F266" s="37" t="n"/>
      <c r="G266" s="37" t="n"/>
      <c r="H266" s="37" t="n"/>
      <c r="I266" s="37" t="n"/>
      <c r="J266" s="37" t="n"/>
      <c r="K266" s="37" t="n"/>
      <c r="L266" s="37" t="n"/>
      <c r="M266" s="37" t="n"/>
      <c r="N266" s="37" t="n"/>
      <c r="O266" s="37" t="n"/>
      <c r="P266" s="37" t="n"/>
      <c r="Q266" s="37" t="n"/>
      <c r="R266" s="37" t="n"/>
      <c r="S266" s="37" t="n"/>
      <c r="T266" s="37" t="n"/>
      <c r="U266" s="37" t="n"/>
      <c r="V266" s="37" t="n"/>
      <c r="W266" s="32" t="n"/>
      <c r="X266" s="37" t="n"/>
      <c r="Y266" s="37" t="n"/>
      <c r="Z266" s="37" t="n"/>
      <c r="AA266" s="37" t="n"/>
      <c r="AB266" s="37" t="n"/>
      <c r="AC266" s="37" t="n"/>
      <c r="AD266" s="32" t="n"/>
      <c r="AE266" s="37" t="n"/>
      <c r="AF266" s="38" t="n"/>
      <c r="AG266" s="67">
        <f>IF(OR(AF266="",AE266=""),"",IFERROR(AF266*INDEX(FXRates[USD per unit],MATCH(AE266,FXRates[Currency],0)),"No rate"))</f>
        <v/>
      </c>
      <c r="AH266" s="36" t="n"/>
      <c r="AI266" s="36" t="n"/>
      <c r="AJ266" s="39">
        <f>IF(A266="","",IF(COUNTIF($A$6:$A$504,A266)&gt;1,"⚠ Duplicate",""))</f>
        <v/>
      </c>
      <c r="AK266" s="38" t="n"/>
      <c r="AL266" s="40" t="n"/>
      <c r="AM266" s="40" t="n"/>
      <c r="AN266" s="40" t="n"/>
      <c r="AO266" s="40" t="n"/>
      <c r="AP266" s="40" t="n"/>
      <c r="AQ266" s="40" t="n"/>
      <c r="AR266" s="40" t="n"/>
      <c r="AS266" s="40" t="n"/>
      <c r="AT266" s="40" t="n"/>
      <c r="AU266" s="40" t="n"/>
      <c r="AV266" s="40" t="n"/>
      <c r="AW266" s="40" t="n"/>
      <c r="AX266" s="40" t="n"/>
      <c r="AY266" s="40" t="n"/>
      <c r="AZ266" s="38" t="n"/>
      <c r="BA266" s="40" t="n"/>
      <c r="BB266" s="40" t="n"/>
      <c r="BC266" s="40" t="n"/>
      <c r="BD266" s="40" t="n"/>
      <c r="BE266" s="40" t="n"/>
      <c r="BF266" s="40" t="n"/>
      <c r="BG266" s="40" t="n"/>
      <c r="BH266" s="40" t="n"/>
      <c r="BI266" s="40" t="n"/>
      <c r="BJ266" s="40" t="n"/>
      <c r="BK266" s="40" t="n"/>
      <c r="BL266" s="40" t="n"/>
      <c r="BM266" s="40" t="n"/>
      <c r="BN266" s="40" t="n"/>
    </row>
    <row r="267" ht="18" customHeight="1" s="82">
      <c r="A267" s="30" t="n"/>
      <c r="B267" s="30" t="n"/>
      <c r="C267" s="30" t="n"/>
      <c r="D267" s="30" t="n"/>
      <c r="E267" s="31" t="n"/>
      <c r="F267" s="31" t="n"/>
      <c r="G267" s="31" t="n"/>
      <c r="H267" s="31" t="n"/>
      <c r="I267" s="31" t="n"/>
      <c r="J267" s="31" t="n"/>
      <c r="K267" s="31" t="n"/>
      <c r="L267" s="31" t="n"/>
      <c r="M267" s="31" t="n"/>
      <c r="N267" s="31" t="n"/>
      <c r="O267" s="31" t="n"/>
      <c r="P267" s="31" t="n"/>
      <c r="Q267" s="31" t="n"/>
      <c r="R267" s="31" t="n"/>
      <c r="S267" s="31" t="n"/>
      <c r="T267" s="31" t="n"/>
      <c r="U267" s="31" t="n"/>
      <c r="V267" s="31" t="n"/>
      <c r="W267" s="32" t="n"/>
      <c r="X267" s="31" t="n"/>
      <c r="Y267" s="31" t="n"/>
      <c r="Z267" s="31" t="n"/>
      <c r="AA267" s="31" t="n"/>
      <c r="AB267" s="31" t="n"/>
      <c r="AC267" s="31" t="n"/>
      <c r="AD267" s="32" t="n"/>
      <c r="AE267" s="31" t="n"/>
      <c r="AF267" s="33" t="n"/>
      <c r="AG267" s="66">
        <f>IF(OR(AF267="",AE267=""),"",IFERROR(AF267*INDEX(FXRates[USD per unit],MATCH(AE267,FXRates[Currency],0)),"No rate"))</f>
        <v/>
      </c>
      <c r="AH267" s="30" t="n"/>
      <c r="AI267" s="30" t="n"/>
      <c r="AJ267" s="34">
        <f>IF(A267="","",IF(COUNTIF($A$6:$A$504,A267)&gt;1,"⚠ Duplicate",""))</f>
        <v/>
      </c>
      <c r="AK267" s="33" t="n"/>
      <c r="AL267" s="41" t="n"/>
      <c r="AM267" s="41" t="n"/>
      <c r="AN267" s="41" t="n"/>
      <c r="AO267" s="41" t="n"/>
      <c r="AP267" s="41" t="n"/>
      <c r="AQ267" s="41" t="n"/>
      <c r="AR267" s="41" t="n"/>
      <c r="AS267" s="41" t="n"/>
      <c r="AT267" s="41" t="n"/>
      <c r="AU267" s="41" t="n"/>
      <c r="AV267" s="41" t="n"/>
      <c r="AW267" s="41" t="n"/>
      <c r="AX267" s="41" t="n"/>
      <c r="AY267" s="41" t="n"/>
      <c r="AZ267" s="33" t="n"/>
      <c r="BA267" s="41" t="n"/>
      <c r="BB267" s="41" t="n"/>
      <c r="BC267" s="41" t="n"/>
      <c r="BD267" s="41" t="n"/>
      <c r="BE267" s="41" t="n"/>
      <c r="BF267" s="41" t="n"/>
      <c r="BG267" s="41" t="n"/>
      <c r="BH267" s="41" t="n"/>
      <c r="BI267" s="41" t="n"/>
      <c r="BJ267" s="41" t="n"/>
      <c r="BK267" s="41" t="n"/>
      <c r="BL267" s="41" t="n"/>
      <c r="BM267" s="41" t="n"/>
      <c r="BN267" s="41" t="n"/>
    </row>
    <row r="268" ht="18" customHeight="1" s="82">
      <c r="A268" s="36" t="n"/>
      <c r="B268" s="36" t="n"/>
      <c r="C268" s="36" t="n"/>
      <c r="D268" s="36" t="n"/>
      <c r="E268" s="37" t="n"/>
      <c r="F268" s="37" t="n"/>
      <c r="G268" s="37" t="n"/>
      <c r="H268" s="37" t="n"/>
      <c r="I268" s="37" t="n"/>
      <c r="J268" s="37" t="n"/>
      <c r="K268" s="37" t="n"/>
      <c r="L268" s="37" t="n"/>
      <c r="M268" s="37" t="n"/>
      <c r="N268" s="37" t="n"/>
      <c r="O268" s="37" t="n"/>
      <c r="P268" s="37" t="n"/>
      <c r="Q268" s="37" t="n"/>
      <c r="R268" s="37" t="n"/>
      <c r="S268" s="37" t="n"/>
      <c r="T268" s="37" t="n"/>
      <c r="U268" s="37" t="n"/>
      <c r="V268" s="37" t="n"/>
      <c r="W268" s="32" t="n"/>
      <c r="X268" s="37" t="n"/>
      <c r="Y268" s="37" t="n"/>
      <c r="Z268" s="37" t="n"/>
      <c r="AA268" s="37" t="n"/>
      <c r="AB268" s="37" t="n"/>
      <c r="AC268" s="37" t="n"/>
      <c r="AD268" s="32" t="n"/>
      <c r="AE268" s="37" t="n"/>
      <c r="AF268" s="38" t="n"/>
      <c r="AG268" s="67">
        <f>IF(OR(AF268="",AE268=""),"",IFERROR(AF268*INDEX(FXRates[USD per unit],MATCH(AE268,FXRates[Currency],0)),"No rate"))</f>
        <v/>
      </c>
      <c r="AH268" s="36" t="n"/>
      <c r="AI268" s="36" t="n"/>
      <c r="AJ268" s="39">
        <f>IF(A268="","",IF(COUNTIF($A$6:$A$504,A268)&gt;1,"⚠ Duplicate",""))</f>
        <v/>
      </c>
      <c r="AK268" s="38" t="n"/>
      <c r="AL268" s="40" t="n"/>
      <c r="AM268" s="40" t="n"/>
      <c r="AN268" s="40" t="n"/>
      <c r="AO268" s="40" t="n"/>
      <c r="AP268" s="40" t="n"/>
      <c r="AQ268" s="40" t="n"/>
      <c r="AR268" s="40" t="n"/>
      <c r="AS268" s="40" t="n"/>
      <c r="AT268" s="40" t="n"/>
      <c r="AU268" s="40" t="n"/>
      <c r="AV268" s="40" t="n"/>
      <c r="AW268" s="40" t="n"/>
      <c r="AX268" s="40" t="n"/>
      <c r="AY268" s="40" t="n"/>
      <c r="AZ268" s="38" t="n"/>
      <c r="BA268" s="40" t="n"/>
      <c r="BB268" s="40" t="n"/>
      <c r="BC268" s="40" t="n"/>
      <c r="BD268" s="40" t="n"/>
      <c r="BE268" s="40" t="n"/>
      <c r="BF268" s="40" t="n"/>
      <c r="BG268" s="40" t="n"/>
      <c r="BH268" s="40" t="n"/>
      <c r="BI268" s="40" t="n"/>
      <c r="BJ268" s="40" t="n"/>
      <c r="BK268" s="40" t="n"/>
      <c r="BL268" s="40" t="n"/>
      <c r="BM268" s="40" t="n"/>
      <c r="BN268" s="40" t="n"/>
    </row>
    <row r="269" ht="18" customHeight="1" s="82">
      <c r="A269" s="30" t="n"/>
      <c r="B269" s="30" t="n"/>
      <c r="C269" s="30" t="n"/>
      <c r="D269" s="30" t="n"/>
      <c r="E269" s="31" t="n"/>
      <c r="F269" s="31" t="n"/>
      <c r="G269" s="31" t="n"/>
      <c r="H269" s="31" t="n"/>
      <c r="I269" s="31" t="n"/>
      <c r="J269" s="31" t="n"/>
      <c r="K269" s="31" t="n"/>
      <c r="L269" s="31" t="n"/>
      <c r="M269" s="31" t="n"/>
      <c r="N269" s="31" t="n"/>
      <c r="O269" s="31" t="n"/>
      <c r="P269" s="31" t="n"/>
      <c r="Q269" s="31" t="n"/>
      <c r="R269" s="31" t="n"/>
      <c r="S269" s="31" t="n"/>
      <c r="T269" s="31" t="n"/>
      <c r="U269" s="31" t="n"/>
      <c r="V269" s="31" t="n"/>
      <c r="W269" s="32" t="n"/>
      <c r="X269" s="31" t="n"/>
      <c r="Y269" s="31" t="n"/>
      <c r="Z269" s="31" t="n"/>
      <c r="AA269" s="31" t="n"/>
      <c r="AB269" s="31" t="n"/>
      <c r="AC269" s="31" t="n"/>
      <c r="AD269" s="32" t="n"/>
      <c r="AE269" s="31" t="n"/>
      <c r="AF269" s="33" t="n"/>
      <c r="AG269" s="66">
        <f>IF(OR(AF269="",AE269=""),"",IFERROR(AF269*INDEX(FXRates[USD per unit],MATCH(AE269,FXRates[Currency],0)),"No rate"))</f>
        <v/>
      </c>
      <c r="AH269" s="30" t="n"/>
      <c r="AI269" s="30" t="n"/>
      <c r="AJ269" s="34">
        <f>IF(A269="","",IF(COUNTIF($A$6:$A$504,A269)&gt;1,"⚠ Duplicate",""))</f>
        <v/>
      </c>
      <c r="AK269" s="33" t="n"/>
      <c r="AL269" s="41" t="n"/>
      <c r="AM269" s="41" t="n"/>
      <c r="AN269" s="41" t="n"/>
      <c r="AO269" s="41" t="n"/>
      <c r="AP269" s="41" t="n"/>
      <c r="AQ269" s="41" t="n"/>
      <c r="AR269" s="41" t="n"/>
      <c r="AS269" s="41" t="n"/>
      <c r="AT269" s="41" t="n"/>
      <c r="AU269" s="41" t="n"/>
      <c r="AV269" s="41" t="n"/>
      <c r="AW269" s="41" t="n"/>
      <c r="AX269" s="41" t="n"/>
      <c r="AY269" s="41" t="n"/>
      <c r="AZ269" s="33" t="n"/>
      <c r="BA269" s="41" t="n"/>
      <c r="BB269" s="41" t="n"/>
      <c r="BC269" s="41" t="n"/>
      <c r="BD269" s="41" t="n"/>
      <c r="BE269" s="41" t="n"/>
      <c r="BF269" s="41" t="n"/>
      <c r="BG269" s="41" t="n"/>
      <c r="BH269" s="41" t="n"/>
      <c r="BI269" s="41" t="n"/>
      <c r="BJ269" s="41" t="n"/>
      <c r="BK269" s="41" t="n"/>
      <c r="BL269" s="41" t="n"/>
      <c r="BM269" s="41" t="n"/>
      <c r="BN269" s="41" t="n"/>
    </row>
    <row r="270" ht="18" customHeight="1" s="82">
      <c r="A270" s="36" t="n"/>
      <c r="B270" s="36" t="n"/>
      <c r="C270" s="36" t="n"/>
      <c r="D270" s="36" t="n"/>
      <c r="E270" s="37" t="n"/>
      <c r="F270" s="37" t="n"/>
      <c r="G270" s="37" t="n"/>
      <c r="H270" s="37" t="n"/>
      <c r="I270" s="37" t="n"/>
      <c r="J270" s="37" t="n"/>
      <c r="K270" s="37" t="n"/>
      <c r="L270" s="37" t="n"/>
      <c r="M270" s="37" t="n"/>
      <c r="N270" s="37" t="n"/>
      <c r="O270" s="37" t="n"/>
      <c r="P270" s="37" t="n"/>
      <c r="Q270" s="37" t="n"/>
      <c r="R270" s="37" t="n"/>
      <c r="S270" s="37" t="n"/>
      <c r="T270" s="37" t="n"/>
      <c r="U270" s="37" t="n"/>
      <c r="V270" s="37" t="n"/>
      <c r="W270" s="32" t="n"/>
      <c r="X270" s="37" t="n"/>
      <c r="Y270" s="37" t="n"/>
      <c r="Z270" s="37" t="n"/>
      <c r="AA270" s="37" t="n"/>
      <c r="AB270" s="37" t="n"/>
      <c r="AC270" s="37" t="n"/>
      <c r="AD270" s="32" t="n"/>
      <c r="AE270" s="37" t="n"/>
      <c r="AF270" s="38" t="n"/>
      <c r="AG270" s="67">
        <f>IF(OR(AF270="",AE270=""),"",IFERROR(AF270*INDEX(FXRates[USD per unit],MATCH(AE270,FXRates[Currency],0)),"No rate"))</f>
        <v/>
      </c>
      <c r="AH270" s="36" t="n"/>
      <c r="AI270" s="36" t="n"/>
      <c r="AJ270" s="39">
        <f>IF(A270="","",IF(COUNTIF($A$6:$A$504,A270)&gt;1,"⚠ Duplicate",""))</f>
        <v/>
      </c>
      <c r="AK270" s="38" t="n"/>
      <c r="AL270" s="40" t="n"/>
      <c r="AM270" s="40" t="n"/>
      <c r="AN270" s="40" t="n"/>
      <c r="AO270" s="40" t="n"/>
      <c r="AP270" s="40" t="n"/>
      <c r="AQ270" s="40" t="n"/>
      <c r="AR270" s="40" t="n"/>
      <c r="AS270" s="40" t="n"/>
      <c r="AT270" s="40" t="n"/>
      <c r="AU270" s="40" t="n"/>
      <c r="AV270" s="40" t="n"/>
      <c r="AW270" s="40" t="n"/>
      <c r="AX270" s="40" t="n"/>
      <c r="AY270" s="40" t="n"/>
      <c r="AZ270" s="38" t="n"/>
      <c r="BA270" s="40" t="n"/>
      <c r="BB270" s="40" t="n"/>
      <c r="BC270" s="40" t="n"/>
      <c r="BD270" s="40" t="n"/>
      <c r="BE270" s="40" t="n"/>
      <c r="BF270" s="40" t="n"/>
      <c r="BG270" s="40" t="n"/>
      <c r="BH270" s="40" t="n"/>
      <c r="BI270" s="40" t="n"/>
      <c r="BJ270" s="40" t="n"/>
      <c r="BK270" s="40" t="n"/>
      <c r="BL270" s="40" t="n"/>
      <c r="BM270" s="40" t="n"/>
      <c r="BN270" s="40" t="n"/>
    </row>
    <row r="271" ht="18" customHeight="1" s="82">
      <c r="A271" s="30" t="n"/>
      <c r="B271" s="30" t="n"/>
      <c r="C271" s="30" t="n"/>
      <c r="D271" s="30" t="n"/>
      <c r="E271" s="31" t="n"/>
      <c r="F271" s="31" t="n"/>
      <c r="G271" s="31" t="n"/>
      <c r="H271" s="31" t="n"/>
      <c r="I271" s="31" t="n"/>
      <c r="J271" s="31" t="n"/>
      <c r="K271" s="31" t="n"/>
      <c r="L271" s="31" t="n"/>
      <c r="M271" s="31" t="n"/>
      <c r="N271" s="31" t="n"/>
      <c r="O271" s="31" t="n"/>
      <c r="P271" s="31" t="n"/>
      <c r="Q271" s="31" t="n"/>
      <c r="R271" s="31" t="n"/>
      <c r="S271" s="31" t="n"/>
      <c r="T271" s="31" t="n"/>
      <c r="U271" s="31" t="n"/>
      <c r="V271" s="31" t="n"/>
      <c r="W271" s="32" t="n"/>
      <c r="X271" s="31" t="n"/>
      <c r="Y271" s="31" t="n"/>
      <c r="Z271" s="31" t="n"/>
      <c r="AA271" s="31" t="n"/>
      <c r="AB271" s="31" t="n"/>
      <c r="AC271" s="31" t="n"/>
      <c r="AD271" s="32" t="n"/>
      <c r="AE271" s="31" t="n"/>
      <c r="AF271" s="33" t="n"/>
      <c r="AG271" s="66">
        <f>IF(OR(AF271="",AE271=""),"",IFERROR(AF271*INDEX(FXRates[USD per unit],MATCH(AE271,FXRates[Currency],0)),"No rate"))</f>
        <v/>
      </c>
      <c r="AH271" s="30" t="n"/>
      <c r="AI271" s="30" t="n"/>
      <c r="AJ271" s="34">
        <f>IF(A271="","",IF(COUNTIF($A$6:$A$504,A271)&gt;1,"⚠ Duplicate",""))</f>
        <v/>
      </c>
      <c r="AK271" s="33" t="n"/>
      <c r="AL271" s="41" t="n"/>
      <c r="AM271" s="41" t="n"/>
      <c r="AN271" s="41" t="n"/>
      <c r="AO271" s="41" t="n"/>
      <c r="AP271" s="41" t="n"/>
      <c r="AQ271" s="41" t="n"/>
      <c r="AR271" s="41" t="n"/>
      <c r="AS271" s="41" t="n"/>
      <c r="AT271" s="41" t="n"/>
      <c r="AU271" s="41" t="n"/>
      <c r="AV271" s="41" t="n"/>
      <c r="AW271" s="41" t="n"/>
      <c r="AX271" s="41" t="n"/>
      <c r="AY271" s="41" t="n"/>
      <c r="AZ271" s="33" t="n"/>
      <c r="BA271" s="41" t="n"/>
      <c r="BB271" s="41" t="n"/>
      <c r="BC271" s="41" t="n"/>
      <c r="BD271" s="41" t="n"/>
      <c r="BE271" s="41" t="n"/>
      <c r="BF271" s="41" t="n"/>
      <c r="BG271" s="41" t="n"/>
      <c r="BH271" s="41" t="n"/>
      <c r="BI271" s="41" t="n"/>
      <c r="BJ271" s="41" t="n"/>
      <c r="BK271" s="41" t="n"/>
      <c r="BL271" s="41" t="n"/>
      <c r="BM271" s="41" t="n"/>
      <c r="BN271" s="41" t="n"/>
    </row>
    <row r="272" ht="18" customHeight="1" s="82">
      <c r="A272" s="36" t="n"/>
      <c r="B272" s="36" t="n"/>
      <c r="C272" s="36" t="n"/>
      <c r="D272" s="36" t="n"/>
      <c r="E272" s="37" t="n"/>
      <c r="F272" s="37" t="n"/>
      <c r="G272" s="37" t="n"/>
      <c r="H272" s="37" t="n"/>
      <c r="I272" s="37" t="n"/>
      <c r="J272" s="37" t="n"/>
      <c r="K272" s="37" t="n"/>
      <c r="L272" s="37" t="n"/>
      <c r="M272" s="37" t="n"/>
      <c r="N272" s="37" t="n"/>
      <c r="O272" s="37" t="n"/>
      <c r="P272" s="37" t="n"/>
      <c r="Q272" s="37" t="n"/>
      <c r="R272" s="37" t="n"/>
      <c r="S272" s="37" t="n"/>
      <c r="T272" s="37" t="n"/>
      <c r="U272" s="37" t="n"/>
      <c r="V272" s="37" t="n"/>
      <c r="W272" s="32" t="n"/>
      <c r="X272" s="37" t="n"/>
      <c r="Y272" s="37" t="n"/>
      <c r="Z272" s="37" t="n"/>
      <c r="AA272" s="37" t="n"/>
      <c r="AB272" s="37" t="n"/>
      <c r="AC272" s="37" t="n"/>
      <c r="AD272" s="32" t="n"/>
      <c r="AE272" s="37" t="n"/>
      <c r="AF272" s="38" t="n"/>
      <c r="AG272" s="67">
        <f>IF(OR(AF272="",AE272=""),"",IFERROR(AF272*INDEX(FXRates[USD per unit],MATCH(AE272,FXRates[Currency],0)),"No rate"))</f>
        <v/>
      </c>
      <c r="AH272" s="36" t="n"/>
      <c r="AI272" s="36" t="n"/>
      <c r="AJ272" s="39">
        <f>IF(A272="","",IF(COUNTIF($A$6:$A$504,A272)&gt;1,"⚠ Duplicate",""))</f>
        <v/>
      </c>
      <c r="AK272" s="38" t="n"/>
      <c r="AL272" s="40" t="n"/>
      <c r="AM272" s="40" t="n"/>
      <c r="AN272" s="40" t="n"/>
      <c r="AO272" s="40" t="n"/>
      <c r="AP272" s="40" t="n"/>
      <c r="AQ272" s="40" t="n"/>
      <c r="AR272" s="40" t="n"/>
      <c r="AS272" s="40" t="n"/>
      <c r="AT272" s="40" t="n"/>
      <c r="AU272" s="40" t="n"/>
      <c r="AV272" s="40" t="n"/>
      <c r="AW272" s="40" t="n"/>
      <c r="AX272" s="40" t="n"/>
      <c r="AY272" s="40" t="n"/>
      <c r="AZ272" s="38" t="n"/>
      <c r="BA272" s="40" t="n"/>
      <c r="BB272" s="40" t="n"/>
      <c r="BC272" s="40" t="n"/>
      <c r="BD272" s="40" t="n"/>
      <c r="BE272" s="40" t="n"/>
      <c r="BF272" s="40" t="n"/>
      <c r="BG272" s="40" t="n"/>
      <c r="BH272" s="40" t="n"/>
      <c r="BI272" s="40" t="n"/>
      <c r="BJ272" s="40" t="n"/>
      <c r="BK272" s="40" t="n"/>
      <c r="BL272" s="40" t="n"/>
      <c r="BM272" s="40" t="n"/>
      <c r="BN272" s="40" t="n"/>
    </row>
    <row r="273" ht="18" customHeight="1" s="82">
      <c r="A273" s="30" t="n"/>
      <c r="B273" s="30" t="n"/>
      <c r="C273" s="30" t="n"/>
      <c r="D273" s="30" t="n"/>
      <c r="E273" s="31" t="n"/>
      <c r="F273" s="31" t="n"/>
      <c r="G273" s="31" t="n"/>
      <c r="H273" s="31" t="n"/>
      <c r="I273" s="31" t="n"/>
      <c r="J273" s="31" t="n"/>
      <c r="K273" s="31" t="n"/>
      <c r="L273" s="31" t="n"/>
      <c r="M273" s="31" t="n"/>
      <c r="N273" s="31" t="n"/>
      <c r="O273" s="31" t="n"/>
      <c r="P273" s="31" t="n"/>
      <c r="Q273" s="31" t="n"/>
      <c r="R273" s="31" t="n"/>
      <c r="S273" s="31" t="n"/>
      <c r="T273" s="31" t="n"/>
      <c r="U273" s="31" t="n"/>
      <c r="V273" s="31" t="n"/>
      <c r="W273" s="32" t="n"/>
      <c r="X273" s="31" t="n"/>
      <c r="Y273" s="31" t="n"/>
      <c r="Z273" s="31" t="n"/>
      <c r="AA273" s="31" t="n"/>
      <c r="AB273" s="31" t="n"/>
      <c r="AC273" s="31" t="n"/>
      <c r="AD273" s="32" t="n"/>
      <c r="AE273" s="31" t="n"/>
      <c r="AF273" s="33" t="n"/>
      <c r="AG273" s="66">
        <f>IF(OR(AF273="",AE273=""),"",IFERROR(AF273*INDEX(FXRates[USD per unit],MATCH(AE273,FXRates[Currency],0)),"No rate"))</f>
        <v/>
      </c>
      <c r="AH273" s="30" t="n"/>
      <c r="AI273" s="30" t="n"/>
      <c r="AJ273" s="34">
        <f>IF(A273="","",IF(COUNTIF($A$6:$A$504,A273)&gt;1,"⚠ Duplicate",""))</f>
        <v/>
      </c>
      <c r="AK273" s="33" t="n"/>
      <c r="AL273" s="41" t="n"/>
      <c r="AM273" s="41" t="n"/>
      <c r="AN273" s="41" t="n"/>
      <c r="AO273" s="41" t="n"/>
      <c r="AP273" s="41" t="n"/>
      <c r="AQ273" s="41" t="n"/>
      <c r="AR273" s="41" t="n"/>
      <c r="AS273" s="41" t="n"/>
      <c r="AT273" s="41" t="n"/>
      <c r="AU273" s="41" t="n"/>
      <c r="AV273" s="41" t="n"/>
      <c r="AW273" s="41" t="n"/>
      <c r="AX273" s="41" t="n"/>
      <c r="AY273" s="41" t="n"/>
      <c r="AZ273" s="33" t="n"/>
      <c r="BA273" s="41" t="n"/>
      <c r="BB273" s="41" t="n"/>
      <c r="BC273" s="41" t="n"/>
      <c r="BD273" s="41" t="n"/>
      <c r="BE273" s="41" t="n"/>
      <c r="BF273" s="41" t="n"/>
      <c r="BG273" s="41" t="n"/>
      <c r="BH273" s="41" t="n"/>
      <c r="BI273" s="41" t="n"/>
      <c r="BJ273" s="41" t="n"/>
      <c r="BK273" s="41" t="n"/>
      <c r="BL273" s="41" t="n"/>
      <c r="BM273" s="41" t="n"/>
      <c r="BN273" s="41" t="n"/>
    </row>
    <row r="274" ht="18" customHeight="1" s="82">
      <c r="A274" s="36" t="n"/>
      <c r="B274" s="36" t="n"/>
      <c r="C274" s="36" t="n"/>
      <c r="D274" s="36" t="n"/>
      <c r="E274" s="37" t="n"/>
      <c r="F274" s="37" t="n"/>
      <c r="G274" s="37" t="n"/>
      <c r="H274" s="37" t="n"/>
      <c r="I274" s="37" t="n"/>
      <c r="J274" s="37" t="n"/>
      <c r="K274" s="37" t="n"/>
      <c r="L274" s="37" t="n"/>
      <c r="M274" s="37" t="n"/>
      <c r="N274" s="37" t="n"/>
      <c r="O274" s="37" t="n"/>
      <c r="P274" s="37" t="n"/>
      <c r="Q274" s="37" t="n"/>
      <c r="R274" s="37" t="n"/>
      <c r="S274" s="37" t="n"/>
      <c r="T274" s="37" t="n"/>
      <c r="U274" s="37" t="n"/>
      <c r="V274" s="37" t="n"/>
      <c r="W274" s="32" t="n"/>
      <c r="X274" s="37" t="n"/>
      <c r="Y274" s="37" t="n"/>
      <c r="Z274" s="37" t="n"/>
      <c r="AA274" s="37" t="n"/>
      <c r="AB274" s="37" t="n"/>
      <c r="AC274" s="37" t="n"/>
      <c r="AD274" s="32" t="n"/>
      <c r="AE274" s="37" t="n"/>
      <c r="AF274" s="38" t="n"/>
      <c r="AG274" s="67">
        <f>IF(OR(AF274="",AE274=""),"",IFERROR(AF274*INDEX(FXRates[USD per unit],MATCH(AE274,FXRates[Currency],0)),"No rate"))</f>
        <v/>
      </c>
      <c r="AH274" s="36" t="n"/>
      <c r="AI274" s="36" t="n"/>
      <c r="AJ274" s="39">
        <f>IF(A274="","",IF(COUNTIF($A$6:$A$504,A274)&gt;1,"⚠ Duplicate",""))</f>
        <v/>
      </c>
      <c r="AK274" s="38" t="n"/>
      <c r="AL274" s="40" t="n"/>
      <c r="AM274" s="40" t="n"/>
      <c r="AN274" s="40" t="n"/>
      <c r="AO274" s="40" t="n"/>
      <c r="AP274" s="40" t="n"/>
      <c r="AQ274" s="40" t="n"/>
      <c r="AR274" s="40" t="n"/>
      <c r="AS274" s="40" t="n"/>
      <c r="AT274" s="40" t="n"/>
      <c r="AU274" s="40" t="n"/>
      <c r="AV274" s="40" t="n"/>
      <c r="AW274" s="40" t="n"/>
      <c r="AX274" s="40" t="n"/>
      <c r="AY274" s="40" t="n"/>
      <c r="AZ274" s="38" t="n"/>
      <c r="BA274" s="40" t="n"/>
      <c r="BB274" s="40" t="n"/>
      <c r="BC274" s="40" t="n"/>
      <c r="BD274" s="40" t="n"/>
      <c r="BE274" s="40" t="n"/>
      <c r="BF274" s="40" t="n"/>
      <c r="BG274" s="40" t="n"/>
      <c r="BH274" s="40" t="n"/>
      <c r="BI274" s="40" t="n"/>
      <c r="BJ274" s="40" t="n"/>
      <c r="BK274" s="40" t="n"/>
      <c r="BL274" s="40" t="n"/>
      <c r="BM274" s="40" t="n"/>
      <c r="BN274" s="40" t="n"/>
    </row>
    <row r="275" ht="18" customHeight="1" s="82">
      <c r="A275" s="30" t="n"/>
      <c r="B275" s="30" t="n"/>
      <c r="C275" s="30" t="n"/>
      <c r="D275" s="30" t="n"/>
      <c r="E275" s="31" t="n"/>
      <c r="F275" s="31" t="n"/>
      <c r="G275" s="31" t="n"/>
      <c r="H275" s="31" t="n"/>
      <c r="I275" s="31" t="n"/>
      <c r="J275" s="31" t="n"/>
      <c r="K275" s="31" t="n"/>
      <c r="L275" s="31" t="n"/>
      <c r="M275" s="31" t="n"/>
      <c r="N275" s="31" t="n"/>
      <c r="O275" s="31" t="n"/>
      <c r="P275" s="31" t="n"/>
      <c r="Q275" s="31" t="n"/>
      <c r="R275" s="31" t="n"/>
      <c r="S275" s="31" t="n"/>
      <c r="T275" s="31" t="n"/>
      <c r="U275" s="31" t="n"/>
      <c r="V275" s="31" t="n"/>
      <c r="W275" s="32" t="n"/>
      <c r="X275" s="31" t="n"/>
      <c r="Y275" s="31" t="n"/>
      <c r="Z275" s="31" t="n"/>
      <c r="AA275" s="31" t="n"/>
      <c r="AB275" s="31" t="n"/>
      <c r="AC275" s="31" t="n"/>
      <c r="AD275" s="32" t="n"/>
      <c r="AE275" s="31" t="n"/>
      <c r="AF275" s="33" t="n"/>
      <c r="AG275" s="66">
        <f>IF(OR(AF275="",AE275=""),"",IFERROR(AF275*INDEX(FXRates[USD per unit],MATCH(AE275,FXRates[Currency],0)),"No rate"))</f>
        <v/>
      </c>
      <c r="AH275" s="30" t="n"/>
      <c r="AI275" s="30" t="n"/>
      <c r="AJ275" s="34">
        <f>IF(A275="","",IF(COUNTIF($A$6:$A$504,A275)&gt;1,"⚠ Duplicate",""))</f>
        <v/>
      </c>
      <c r="AK275" s="33" t="n"/>
      <c r="AL275" s="41" t="n"/>
      <c r="AM275" s="41" t="n"/>
      <c r="AN275" s="41" t="n"/>
      <c r="AO275" s="41" t="n"/>
      <c r="AP275" s="41" t="n"/>
      <c r="AQ275" s="41" t="n"/>
      <c r="AR275" s="41" t="n"/>
      <c r="AS275" s="41" t="n"/>
      <c r="AT275" s="41" t="n"/>
      <c r="AU275" s="41" t="n"/>
      <c r="AV275" s="41" t="n"/>
      <c r="AW275" s="41" t="n"/>
      <c r="AX275" s="41" t="n"/>
      <c r="AY275" s="41" t="n"/>
      <c r="AZ275" s="33" t="n"/>
      <c r="BA275" s="41" t="n"/>
      <c r="BB275" s="41" t="n"/>
      <c r="BC275" s="41" t="n"/>
      <c r="BD275" s="41" t="n"/>
      <c r="BE275" s="41" t="n"/>
      <c r="BF275" s="41" t="n"/>
      <c r="BG275" s="41" t="n"/>
      <c r="BH275" s="41" t="n"/>
      <c r="BI275" s="41" t="n"/>
      <c r="BJ275" s="41" t="n"/>
      <c r="BK275" s="41" t="n"/>
      <c r="BL275" s="41" t="n"/>
      <c r="BM275" s="41" t="n"/>
      <c r="BN275" s="41" t="n"/>
    </row>
    <row r="276" ht="18" customHeight="1" s="82">
      <c r="A276" s="36" t="n"/>
      <c r="B276" s="36" t="n"/>
      <c r="C276" s="36" t="n"/>
      <c r="D276" s="36" t="n"/>
      <c r="E276" s="37" t="n"/>
      <c r="F276" s="37" t="n"/>
      <c r="G276" s="37" t="n"/>
      <c r="H276" s="37" t="n"/>
      <c r="I276" s="37" t="n"/>
      <c r="J276" s="37" t="n"/>
      <c r="K276" s="37" t="n"/>
      <c r="L276" s="37" t="n"/>
      <c r="M276" s="37" t="n"/>
      <c r="N276" s="37" t="n"/>
      <c r="O276" s="37" t="n"/>
      <c r="P276" s="37" t="n"/>
      <c r="Q276" s="37" t="n"/>
      <c r="R276" s="37" t="n"/>
      <c r="S276" s="37" t="n"/>
      <c r="T276" s="37" t="n"/>
      <c r="U276" s="37" t="n"/>
      <c r="V276" s="37" t="n"/>
      <c r="W276" s="32" t="n"/>
      <c r="X276" s="37" t="n"/>
      <c r="Y276" s="37" t="n"/>
      <c r="Z276" s="37" t="n"/>
      <c r="AA276" s="37" t="n"/>
      <c r="AB276" s="37" t="n"/>
      <c r="AC276" s="37" t="n"/>
      <c r="AD276" s="32" t="n"/>
      <c r="AE276" s="37" t="n"/>
      <c r="AF276" s="38" t="n"/>
      <c r="AG276" s="67">
        <f>IF(OR(AF276="",AE276=""),"",IFERROR(AF276*INDEX(FXRates[USD per unit],MATCH(AE276,FXRates[Currency],0)),"No rate"))</f>
        <v/>
      </c>
      <c r="AH276" s="36" t="n"/>
      <c r="AI276" s="36" t="n"/>
      <c r="AJ276" s="39">
        <f>IF(A276="","",IF(COUNTIF($A$6:$A$504,A276)&gt;1,"⚠ Duplicate",""))</f>
        <v/>
      </c>
      <c r="AK276" s="38" t="n"/>
      <c r="AL276" s="40" t="n"/>
      <c r="AM276" s="40" t="n"/>
      <c r="AN276" s="40" t="n"/>
      <c r="AO276" s="40" t="n"/>
      <c r="AP276" s="40" t="n"/>
      <c r="AQ276" s="40" t="n"/>
      <c r="AR276" s="40" t="n"/>
      <c r="AS276" s="40" t="n"/>
      <c r="AT276" s="40" t="n"/>
      <c r="AU276" s="40" t="n"/>
      <c r="AV276" s="40" t="n"/>
      <c r="AW276" s="40" t="n"/>
      <c r="AX276" s="40" t="n"/>
      <c r="AY276" s="40" t="n"/>
      <c r="AZ276" s="38" t="n"/>
      <c r="BA276" s="40" t="n"/>
      <c r="BB276" s="40" t="n"/>
      <c r="BC276" s="40" t="n"/>
      <c r="BD276" s="40" t="n"/>
      <c r="BE276" s="40" t="n"/>
      <c r="BF276" s="40" t="n"/>
      <c r="BG276" s="40" t="n"/>
      <c r="BH276" s="40" t="n"/>
      <c r="BI276" s="40" t="n"/>
      <c r="BJ276" s="40" t="n"/>
      <c r="BK276" s="40" t="n"/>
      <c r="BL276" s="40" t="n"/>
      <c r="BM276" s="40" t="n"/>
      <c r="BN276" s="40" t="n"/>
    </row>
    <row r="277" ht="18" customHeight="1" s="82">
      <c r="A277" s="30" t="n"/>
      <c r="B277" s="30" t="n"/>
      <c r="C277" s="30" t="n"/>
      <c r="D277" s="30" t="n"/>
      <c r="E277" s="31" t="n"/>
      <c r="F277" s="31" t="n"/>
      <c r="G277" s="31" t="n"/>
      <c r="H277" s="31" t="n"/>
      <c r="I277" s="31" t="n"/>
      <c r="J277" s="31" t="n"/>
      <c r="K277" s="31" t="n"/>
      <c r="L277" s="31" t="n"/>
      <c r="M277" s="31" t="n"/>
      <c r="N277" s="31" t="n"/>
      <c r="O277" s="31" t="n"/>
      <c r="P277" s="31" t="n"/>
      <c r="Q277" s="31" t="n"/>
      <c r="R277" s="31" t="n"/>
      <c r="S277" s="31" t="n"/>
      <c r="T277" s="31" t="n"/>
      <c r="U277" s="31" t="n"/>
      <c r="V277" s="31" t="n"/>
      <c r="W277" s="32" t="n"/>
      <c r="X277" s="31" t="n"/>
      <c r="Y277" s="31" t="n"/>
      <c r="Z277" s="31" t="n"/>
      <c r="AA277" s="31" t="n"/>
      <c r="AB277" s="31" t="n"/>
      <c r="AC277" s="31" t="n"/>
      <c r="AD277" s="32" t="n"/>
      <c r="AE277" s="31" t="n"/>
      <c r="AF277" s="33" t="n"/>
      <c r="AG277" s="66">
        <f>IF(OR(AF277="",AE277=""),"",IFERROR(AF277*INDEX(FXRates[USD per unit],MATCH(AE277,FXRates[Currency],0)),"No rate"))</f>
        <v/>
      </c>
      <c r="AH277" s="30" t="n"/>
      <c r="AI277" s="30" t="n"/>
      <c r="AJ277" s="34">
        <f>IF(A277="","",IF(COUNTIF($A$6:$A$504,A277)&gt;1,"⚠ Duplicate",""))</f>
        <v/>
      </c>
      <c r="AK277" s="33" t="n"/>
      <c r="AL277" s="41" t="n"/>
      <c r="AM277" s="41" t="n"/>
      <c r="AN277" s="41" t="n"/>
      <c r="AO277" s="41" t="n"/>
      <c r="AP277" s="41" t="n"/>
      <c r="AQ277" s="41" t="n"/>
      <c r="AR277" s="41" t="n"/>
      <c r="AS277" s="41" t="n"/>
      <c r="AT277" s="41" t="n"/>
      <c r="AU277" s="41" t="n"/>
      <c r="AV277" s="41" t="n"/>
      <c r="AW277" s="41" t="n"/>
      <c r="AX277" s="41" t="n"/>
      <c r="AY277" s="41" t="n"/>
      <c r="AZ277" s="33" t="n"/>
      <c r="BA277" s="41" t="n"/>
      <c r="BB277" s="41" t="n"/>
      <c r="BC277" s="41" t="n"/>
      <c r="BD277" s="41" t="n"/>
      <c r="BE277" s="41" t="n"/>
      <c r="BF277" s="41" t="n"/>
      <c r="BG277" s="41" t="n"/>
      <c r="BH277" s="41" t="n"/>
      <c r="BI277" s="41" t="n"/>
      <c r="BJ277" s="41" t="n"/>
      <c r="BK277" s="41" t="n"/>
      <c r="BL277" s="41" t="n"/>
      <c r="BM277" s="41" t="n"/>
      <c r="BN277" s="41" t="n"/>
    </row>
    <row r="278" ht="18" customHeight="1" s="82">
      <c r="A278" s="36" t="n"/>
      <c r="B278" s="36" t="n"/>
      <c r="C278" s="36" t="n"/>
      <c r="D278" s="36" t="n"/>
      <c r="E278" s="37" t="n"/>
      <c r="F278" s="37" t="n"/>
      <c r="G278" s="37" t="n"/>
      <c r="H278" s="37" t="n"/>
      <c r="I278" s="37" t="n"/>
      <c r="J278" s="37" t="n"/>
      <c r="K278" s="37" t="n"/>
      <c r="L278" s="37" t="n"/>
      <c r="M278" s="37" t="n"/>
      <c r="N278" s="37" t="n"/>
      <c r="O278" s="37" t="n"/>
      <c r="P278" s="37" t="n"/>
      <c r="Q278" s="37" t="n"/>
      <c r="R278" s="37" t="n"/>
      <c r="S278" s="37" t="n"/>
      <c r="T278" s="37" t="n"/>
      <c r="U278" s="37" t="n"/>
      <c r="V278" s="37" t="n"/>
      <c r="W278" s="32" t="n"/>
      <c r="X278" s="37" t="n"/>
      <c r="Y278" s="37" t="n"/>
      <c r="Z278" s="37" t="n"/>
      <c r="AA278" s="37" t="n"/>
      <c r="AB278" s="37" t="n"/>
      <c r="AC278" s="37" t="n"/>
      <c r="AD278" s="32" t="n"/>
      <c r="AE278" s="37" t="n"/>
      <c r="AF278" s="38" t="n"/>
      <c r="AG278" s="67">
        <f>IF(OR(AF278="",AE278=""),"",IFERROR(AF278*INDEX(FXRates[USD per unit],MATCH(AE278,FXRates[Currency],0)),"No rate"))</f>
        <v/>
      </c>
      <c r="AH278" s="36" t="n"/>
      <c r="AI278" s="36" t="n"/>
      <c r="AJ278" s="39">
        <f>IF(A278="","",IF(COUNTIF($A$6:$A$504,A278)&gt;1,"⚠ Duplicate",""))</f>
        <v/>
      </c>
      <c r="AK278" s="38" t="n"/>
      <c r="AL278" s="40" t="n"/>
      <c r="AM278" s="40" t="n"/>
      <c r="AN278" s="40" t="n"/>
      <c r="AO278" s="40" t="n"/>
      <c r="AP278" s="40" t="n"/>
      <c r="AQ278" s="40" t="n"/>
      <c r="AR278" s="40" t="n"/>
      <c r="AS278" s="40" t="n"/>
      <c r="AT278" s="40" t="n"/>
      <c r="AU278" s="40" t="n"/>
      <c r="AV278" s="40" t="n"/>
      <c r="AW278" s="40" t="n"/>
      <c r="AX278" s="40" t="n"/>
      <c r="AY278" s="40" t="n"/>
      <c r="AZ278" s="38" t="n"/>
      <c r="BA278" s="40" t="n"/>
      <c r="BB278" s="40" t="n"/>
      <c r="BC278" s="40" t="n"/>
      <c r="BD278" s="40" t="n"/>
      <c r="BE278" s="40" t="n"/>
      <c r="BF278" s="40" t="n"/>
      <c r="BG278" s="40" t="n"/>
      <c r="BH278" s="40" t="n"/>
      <c r="BI278" s="40" t="n"/>
      <c r="BJ278" s="40" t="n"/>
      <c r="BK278" s="40" t="n"/>
      <c r="BL278" s="40" t="n"/>
      <c r="BM278" s="40" t="n"/>
      <c r="BN278" s="40" t="n"/>
    </row>
    <row r="279" ht="18" customHeight="1" s="82">
      <c r="A279" s="30" t="n"/>
      <c r="B279" s="30" t="n"/>
      <c r="C279" s="30" t="n"/>
      <c r="D279" s="30" t="n"/>
      <c r="E279" s="31" t="n"/>
      <c r="F279" s="31" t="n"/>
      <c r="G279" s="31" t="n"/>
      <c r="H279" s="31" t="n"/>
      <c r="I279" s="31" t="n"/>
      <c r="J279" s="31" t="n"/>
      <c r="K279" s="31" t="n"/>
      <c r="L279" s="31" t="n"/>
      <c r="M279" s="31" t="n"/>
      <c r="N279" s="31" t="n"/>
      <c r="O279" s="31" t="n"/>
      <c r="P279" s="31" t="n"/>
      <c r="Q279" s="31" t="n"/>
      <c r="R279" s="31" t="n"/>
      <c r="S279" s="31" t="n"/>
      <c r="T279" s="31" t="n"/>
      <c r="U279" s="31" t="n"/>
      <c r="V279" s="31" t="n"/>
      <c r="W279" s="32" t="n"/>
      <c r="X279" s="31" t="n"/>
      <c r="Y279" s="31" t="n"/>
      <c r="Z279" s="31" t="n"/>
      <c r="AA279" s="31" t="n"/>
      <c r="AB279" s="31" t="n"/>
      <c r="AC279" s="31" t="n"/>
      <c r="AD279" s="32" t="n"/>
      <c r="AE279" s="31" t="n"/>
      <c r="AF279" s="33" t="n"/>
      <c r="AG279" s="66">
        <f>IF(OR(AF279="",AE279=""),"",IFERROR(AF279*INDEX(FXRates[USD per unit],MATCH(AE279,FXRates[Currency],0)),"No rate"))</f>
        <v/>
      </c>
      <c r="AH279" s="30" t="n"/>
      <c r="AI279" s="30" t="n"/>
      <c r="AJ279" s="34">
        <f>IF(A279="","",IF(COUNTIF($A$6:$A$504,A279)&gt;1,"⚠ Duplicate",""))</f>
        <v/>
      </c>
      <c r="AK279" s="33" t="n"/>
      <c r="AL279" s="41" t="n"/>
      <c r="AM279" s="41" t="n"/>
      <c r="AN279" s="41" t="n"/>
      <c r="AO279" s="41" t="n"/>
      <c r="AP279" s="41" t="n"/>
      <c r="AQ279" s="41" t="n"/>
      <c r="AR279" s="41" t="n"/>
      <c r="AS279" s="41" t="n"/>
      <c r="AT279" s="41" t="n"/>
      <c r="AU279" s="41" t="n"/>
      <c r="AV279" s="41" t="n"/>
      <c r="AW279" s="41" t="n"/>
      <c r="AX279" s="41" t="n"/>
      <c r="AY279" s="41" t="n"/>
      <c r="AZ279" s="33" t="n"/>
      <c r="BA279" s="41" t="n"/>
      <c r="BB279" s="41" t="n"/>
      <c r="BC279" s="41" t="n"/>
      <c r="BD279" s="41" t="n"/>
      <c r="BE279" s="41" t="n"/>
      <c r="BF279" s="41" t="n"/>
      <c r="BG279" s="41" t="n"/>
      <c r="BH279" s="41" t="n"/>
      <c r="BI279" s="41" t="n"/>
      <c r="BJ279" s="41" t="n"/>
      <c r="BK279" s="41" t="n"/>
      <c r="BL279" s="41" t="n"/>
      <c r="BM279" s="41" t="n"/>
      <c r="BN279" s="41" t="n"/>
    </row>
    <row r="280" ht="18" customHeight="1" s="82">
      <c r="A280" s="36" t="n"/>
      <c r="B280" s="36" t="n"/>
      <c r="C280" s="36" t="n"/>
      <c r="D280" s="36" t="n"/>
      <c r="E280" s="37" t="n"/>
      <c r="F280" s="37" t="n"/>
      <c r="G280" s="37" t="n"/>
      <c r="H280" s="37" t="n"/>
      <c r="I280" s="37" t="n"/>
      <c r="J280" s="37" t="n"/>
      <c r="K280" s="37" t="n"/>
      <c r="L280" s="37" t="n"/>
      <c r="M280" s="37" t="n"/>
      <c r="N280" s="37" t="n"/>
      <c r="O280" s="37" t="n"/>
      <c r="P280" s="37" t="n"/>
      <c r="Q280" s="37" t="n"/>
      <c r="R280" s="37" t="n"/>
      <c r="S280" s="37" t="n"/>
      <c r="T280" s="37" t="n"/>
      <c r="U280" s="37" t="n"/>
      <c r="V280" s="37" t="n"/>
      <c r="W280" s="32" t="n"/>
      <c r="X280" s="37" t="n"/>
      <c r="Y280" s="37" t="n"/>
      <c r="Z280" s="37" t="n"/>
      <c r="AA280" s="37" t="n"/>
      <c r="AB280" s="37" t="n"/>
      <c r="AC280" s="37" t="n"/>
      <c r="AD280" s="32" t="n"/>
      <c r="AE280" s="37" t="n"/>
      <c r="AF280" s="38" t="n"/>
      <c r="AG280" s="67">
        <f>IF(OR(AF280="",AE280=""),"",IFERROR(AF280*INDEX(FXRates[USD per unit],MATCH(AE280,FXRates[Currency],0)),"No rate"))</f>
        <v/>
      </c>
      <c r="AH280" s="36" t="n"/>
      <c r="AI280" s="36" t="n"/>
      <c r="AJ280" s="39">
        <f>IF(A280="","",IF(COUNTIF($A$6:$A$504,A280)&gt;1,"⚠ Duplicate",""))</f>
        <v/>
      </c>
      <c r="AK280" s="38" t="n"/>
      <c r="AL280" s="40" t="n"/>
      <c r="AM280" s="40" t="n"/>
      <c r="AN280" s="40" t="n"/>
      <c r="AO280" s="40" t="n"/>
      <c r="AP280" s="40" t="n"/>
      <c r="AQ280" s="40" t="n"/>
      <c r="AR280" s="40" t="n"/>
      <c r="AS280" s="40" t="n"/>
      <c r="AT280" s="40" t="n"/>
      <c r="AU280" s="40" t="n"/>
      <c r="AV280" s="40" t="n"/>
      <c r="AW280" s="40" t="n"/>
      <c r="AX280" s="40" t="n"/>
      <c r="AY280" s="40" t="n"/>
      <c r="AZ280" s="38" t="n"/>
      <c r="BA280" s="40" t="n"/>
      <c r="BB280" s="40" t="n"/>
      <c r="BC280" s="40" t="n"/>
      <c r="BD280" s="40" t="n"/>
      <c r="BE280" s="40" t="n"/>
      <c r="BF280" s="40" t="n"/>
      <c r="BG280" s="40" t="n"/>
      <c r="BH280" s="40" t="n"/>
      <c r="BI280" s="40" t="n"/>
      <c r="BJ280" s="40" t="n"/>
      <c r="BK280" s="40" t="n"/>
      <c r="BL280" s="40" t="n"/>
      <c r="BM280" s="40" t="n"/>
      <c r="BN280" s="40" t="n"/>
    </row>
    <row r="281" ht="18" customHeight="1" s="82">
      <c r="A281" s="30" t="n"/>
      <c r="B281" s="30" t="n"/>
      <c r="C281" s="30" t="n"/>
      <c r="D281" s="30" t="n"/>
      <c r="E281" s="31" t="n"/>
      <c r="F281" s="31" t="n"/>
      <c r="G281" s="31" t="n"/>
      <c r="H281" s="31" t="n"/>
      <c r="I281" s="31" t="n"/>
      <c r="J281" s="31" t="n"/>
      <c r="K281" s="31" t="n"/>
      <c r="L281" s="31" t="n"/>
      <c r="M281" s="31" t="n"/>
      <c r="N281" s="31" t="n"/>
      <c r="O281" s="31" t="n"/>
      <c r="P281" s="31" t="n"/>
      <c r="Q281" s="31" t="n"/>
      <c r="R281" s="31" t="n"/>
      <c r="S281" s="31" t="n"/>
      <c r="T281" s="31" t="n"/>
      <c r="U281" s="31" t="n"/>
      <c r="V281" s="31" t="n"/>
      <c r="W281" s="32" t="n"/>
      <c r="X281" s="31" t="n"/>
      <c r="Y281" s="31" t="n"/>
      <c r="Z281" s="31" t="n"/>
      <c r="AA281" s="31" t="n"/>
      <c r="AB281" s="31" t="n"/>
      <c r="AC281" s="31" t="n"/>
      <c r="AD281" s="32" t="n"/>
      <c r="AE281" s="31" t="n"/>
      <c r="AF281" s="33" t="n"/>
      <c r="AG281" s="66">
        <f>IF(OR(AF281="",AE281=""),"",IFERROR(AF281*INDEX(FXRates[USD per unit],MATCH(AE281,FXRates[Currency],0)),"No rate"))</f>
        <v/>
      </c>
      <c r="AH281" s="30" t="n"/>
      <c r="AI281" s="30" t="n"/>
      <c r="AJ281" s="34">
        <f>IF(A281="","",IF(COUNTIF($A$6:$A$504,A281)&gt;1,"⚠ Duplicate",""))</f>
        <v/>
      </c>
      <c r="AK281" s="33" t="n"/>
      <c r="AL281" s="41" t="n"/>
      <c r="AM281" s="41" t="n"/>
      <c r="AN281" s="41" t="n"/>
      <c r="AO281" s="41" t="n"/>
      <c r="AP281" s="41" t="n"/>
      <c r="AQ281" s="41" t="n"/>
      <c r="AR281" s="41" t="n"/>
      <c r="AS281" s="41" t="n"/>
      <c r="AT281" s="41" t="n"/>
      <c r="AU281" s="41" t="n"/>
      <c r="AV281" s="41" t="n"/>
      <c r="AW281" s="41" t="n"/>
      <c r="AX281" s="41" t="n"/>
      <c r="AY281" s="41" t="n"/>
      <c r="AZ281" s="33" t="n"/>
      <c r="BA281" s="41" t="n"/>
      <c r="BB281" s="41" t="n"/>
      <c r="BC281" s="41" t="n"/>
      <c r="BD281" s="41" t="n"/>
      <c r="BE281" s="41" t="n"/>
      <c r="BF281" s="41" t="n"/>
      <c r="BG281" s="41" t="n"/>
      <c r="BH281" s="41" t="n"/>
      <c r="BI281" s="41" t="n"/>
      <c r="BJ281" s="41" t="n"/>
      <c r="BK281" s="41" t="n"/>
      <c r="BL281" s="41" t="n"/>
      <c r="BM281" s="41" t="n"/>
      <c r="BN281" s="41" t="n"/>
    </row>
    <row r="282" ht="18" customHeight="1" s="82">
      <c r="A282" s="36" t="n"/>
      <c r="B282" s="36" t="n"/>
      <c r="C282" s="36" t="n"/>
      <c r="D282" s="36" t="n"/>
      <c r="E282" s="37" t="n"/>
      <c r="F282" s="37" t="n"/>
      <c r="G282" s="37" t="n"/>
      <c r="H282" s="37" t="n"/>
      <c r="I282" s="37" t="n"/>
      <c r="J282" s="37" t="n"/>
      <c r="K282" s="37" t="n"/>
      <c r="L282" s="37" t="n"/>
      <c r="M282" s="37" t="n"/>
      <c r="N282" s="37" t="n"/>
      <c r="O282" s="37" t="n"/>
      <c r="P282" s="37" t="n"/>
      <c r="Q282" s="37" t="n"/>
      <c r="R282" s="37" t="n"/>
      <c r="S282" s="37" t="n"/>
      <c r="T282" s="37" t="n"/>
      <c r="U282" s="37" t="n"/>
      <c r="V282" s="37" t="n"/>
      <c r="W282" s="32" t="n"/>
      <c r="X282" s="37" t="n"/>
      <c r="Y282" s="37" t="n"/>
      <c r="Z282" s="37" t="n"/>
      <c r="AA282" s="37" t="n"/>
      <c r="AB282" s="37" t="n"/>
      <c r="AC282" s="37" t="n"/>
      <c r="AD282" s="32" t="n"/>
      <c r="AE282" s="37" t="n"/>
      <c r="AF282" s="38" t="n"/>
      <c r="AG282" s="67">
        <f>IF(OR(AF282="",AE282=""),"",IFERROR(AF282*INDEX(FXRates[USD per unit],MATCH(AE282,FXRates[Currency],0)),"No rate"))</f>
        <v/>
      </c>
      <c r="AH282" s="36" t="n"/>
      <c r="AI282" s="36" t="n"/>
      <c r="AJ282" s="39">
        <f>IF(A282="","",IF(COUNTIF($A$6:$A$504,A282)&gt;1,"⚠ Duplicate",""))</f>
        <v/>
      </c>
      <c r="AK282" s="38" t="n"/>
      <c r="AL282" s="40" t="n"/>
      <c r="AM282" s="40" t="n"/>
      <c r="AN282" s="40" t="n"/>
      <c r="AO282" s="40" t="n"/>
      <c r="AP282" s="40" t="n"/>
      <c r="AQ282" s="40" t="n"/>
      <c r="AR282" s="40" t="n"/>
      <c r="AS282" s="40" t="n"/>
      <c r="AT282" s="40" t="n"/>
      <c r="AU282" s="40" t="n"/>
      <c r="AV282" s="40" t="n"/>
      <c r="AW282" s="40" t="n"/>
      <c r="AX282" s="40" t="n"/>
      <c r="AY282" s="40" t="n"/>
      <c r="AZ282" s="38" t="n"/>
      <c r="BA282" s="40" t="n"/>
      <c r="BB282" s="40" t="n"/>
      <c r="BC282" s="40" t="n"/>
      <c r="BD282" s="40" t="n"/>
      <c r="BE282" s="40" t="n"/>
      <c r="BF282" s="40" t="n"/>
      <c r="BG282" s="40" t="n"/>
      <c r="BH282" s="40" t="n"/>
      <c r="BI282" s="40" t="n"/>
      <c r="BJ282" s="40" t="n"/>
      <c r="BK282" s="40" t="n"/>
      <c r="BL282" s="40" t="n"/>
      <c r="BM282" s="40" t="n"/>
      <c r="BN282" s="40" t="n"/>
    </row>
    <row r="283" ht="18" customHeight="1" s="82">
      <c r="A283" s="30" t="n"/>
      <c r="B283" s="30" t="n"/>
      <c r="C283" s="30" t="n"/>
      <c r="D283" s="30" t="n"/>
      <c r="E283" s="31" t="n"/>
      <c r="F283" s="31" t="n"/>
      <c r="G283" s="31" t="n"/>
      <c r="H283" s="31" t="n"/>
      <c r="I283" s="31" t="n"/>
      <c r="J283" s="31" t="n"/>
      <c r="K283" s="31" t="n"/>
      <c r="L283" s="31" t="n"/>
      <c r="M283" s="31" t="n"/>
      <c r="N283" s="31" t="n"/>
      <c r="O283" s="31" t="n"/>
      <c r="P283" s="31" t="n"/>
      <c r="Q283" s="31" t="n"/>
      <c r="R283" s="31" t="n"/>
      <c r="S283" s="31" t="n"/>
      <c r="T283" s="31" t="n"/>
      <c r="U283" s="31" t="n"/>
      <c r="V283" s="31" t="n"/>
      <c r="W283" s="32" t="n"/>
      <c r="X283" s="31" t="n"/>
      <c r="Y283" s="31" t="n"/>
      <c r="Z283" s="31" t="n"/>
      <c r="AA283" s="31" t="n"/>
      <c r="AB283" s="31" t="n"/>
      <c r="AC283" s="31" t="n"/>
      <c r="AD283" s="32" t="n"/>
      <c r="AE283" s="31" t="n"/>
      <c r="AF283" s="33" t="n"/>
      <c r="AG283" s="66">
        <f>IF(OR(AF283="",AE283=""),"",IFERROR(AF283*INDEX(FXRates[USD per unit],MATCH(AE283,FXRates[Currency],0)),"No rate"))</f>
        <v/>
      </c>
      <c r="AH283" s="30" t="n"/>
      <c r="AI283" s="30" t="n"/>
      <c r="AJ283" s="34">
        <f>IF(A283="","",IF(COUNTIF($A$6:$A$504,A283)&gt;1,"⚠ Duplicate",""))</f>
        <v/>
      </c>
      <c r="AK283" s="33" t="n"/>
      <c r="AL283" s="41" t="n"/>
      <c r="AM283" s="41" t="n"/>
      <c r="AN283" s="41" t="n"/>
      <c r="AO283" s="41" t="n"/>
      <c r="AP283" s="41" t="n"/>
      <c r="AQ283" s="41" t="n"/>
      <c r="AR283" s="41" t="n"/>
      <c r="AS283" s="41" t="n"/>
      <c r="AT283" s="41" t="n"/>
      <c r="AU283" s="41" t="n"/>
      <c r="AV283" s="41" t="n"/>
      <c r="AW283" s="41" t="n"/>
      <c r="AX283" s="41" t="n"/>
      <c r="AY283" s="41" t="n"/>
      <c r="AZ283" s="33" t="n"/>
      <c r="BA283" s="41" t="n"/>
      <c r="BB283" s="41" t="n"/>
      <c r="BC283" s="41" t="n"/>
      <c r="BD283" s="41" t="n"/>
      <c r="BE283" s="41" t="n"/>
      <c r="BF283" s="41" t="n"/>
      <c r="BG283" s="41" t="n"/>
      <c r="BH283" s="41" t="n"/>
      <c r="BI283" s="41" t="n"/>
      <c r="BJ283" s="41" t="n"/>
      <c r="BK283" s="41" t="n"/>
      <c r="BL283" s="41" t="n"/>
      <c r="BM283" s="41" t="n"/>
      <c r="BN283" s="41" t="n"/>
    </row>
    <row r="284" ht="18" customHeight="1" s="82">
      <c r="A284" s="36" t="n"/>
      <c r="B284" s="36" t="n"/>
      <c r="C284" s="36" t="n"/>
      <c r="D284" s="36" t="n"/>
      <c r="E284" s="37" t="n"/>
      <c r="F284" s="37" t="n"/>
      <c r="G284" s="37" t="n"/>
      <c r="H284" s="37" t="n"/>
      <c r="I284" s="37" t="n"/>
      <c r="J284" s="37" t="n"/>
      <c r="K284" s="37" t="n"/>
      <c r="L284" s="37" t="n"/>
      <c r="M284" s="37" t="n"/>
      <c r="N284" s="37" t="n"/>
      <c r="O284" s="37" t="n"/>
      <c r="P284" s="37" t="n"/>
      <c r="Q284" s="37" t="n"/>
      <c r="R284" s="37" t="n"/>
      <c r="S284" s="37" t="n"/>
      <c r="T284" s="37" t="n"/>
      <c r="U284" s="37" t="n"/>
      <c r="V284" s="37" t="n"/>
      <c r="W284" s="32" t="n"/>
      <c r="X284" s="37" t="n"/>
      <c r="Y284" s="37" t="n"/>
      <c r="Z284" s="37" t="n"/>
      <c r="AA284" s="37" t="n"/>
      <c r="AB284" s="37" t="n"/>
      <c r="AC284" s="37" t="n"/>
      <c r="AD284" s="32" t="n"/>
      <c r="AE284" s="37" t="n"/>
      <c r="AF284" s="38" t="n"/>
      <c r="AG284" s="67">
        <f>IF(OR(AF284="",AE284=""),"",IFERROR(AF284*INDEX(FXRates[USD per unit],MATCH(AE284,FXRates[Currency],0)),"No rate"))</f>
        <v/>
      </c>
      <c r="AH284" s="36" t="n"/>
      <c r="AI284" s="36" t="n"/>
      <c r="AJ284" s="39">
        <f>IF(A284="","",IF(COUNTIF($A$6:$A$504,A284)&gt;1,"⚠ Duplicate",""))</f>
        <v/>
      </c>
      <c r="AK284" s="38" t="n"/>
      <c r="AL284" s="40" t="n"/>
      <c r="AM284" s="40" t="n"/>
      <c r="AN284" s="40" t="n"/>
      <c r="AO284" s="40" t="n"/>
      <c r="AP284" s="40" t="n"/>
      <c r="AQ284" s="40" t="n"/>
      <c r="AR284" s="40" t="n"/>
      <c r="AS284" s="40" t="n"/>
      <c r="AT284" s="40" t="n"/>
      <c r="AU284" s="40" t="n"/>
      <c r="AV284" s="40" t="n"/>
      <c r="AW284" s="40" t="n"/>
      <c r="AX284" s="40" t="n"/>
      <c r="AY284" s="40" t="n"/>
      <c r="AZ284" s="38" t="n"/>
      <c r="BA284" s="40" t="n"/>
      <c r="BB284" s="40" t="n"/>
      <c r="BC284" s="40" t="n"/>
      <c r="BD284" s="40" t="n"/>
      <c r="BE284" s="40" t="n"/>
      <c r="BF284" s="40" t="n"/>
      <c r="BG284" s="40" t="n"/>
      <c r="BH284" s="40" t="n"/>
      <c r="BI284" s="40" t="n"/>
      <c r="BJ284" s="40" t="n"/>
      <c r="BK284" s="40" t="n"/>
      <c r="BL284" s="40" t="n"/>
      <c r="BM284" s="40" t="n"/>
      <c r="BN284" s="40" t="n"/>
    </row>
    <row r="285" ht="18" customHeight="1" s="82">
      <c r="A285" s="30" t="n"/>
      <c r="B285" s="30" t="n"/>
      <c r="C285" s="30" t="n"/>
      <c r="D285" s="30" t="n"/>
      <c r="E285" s="31" t="n"/>
      <c r="F285" s="31" t="n"/>
      <c r="G285" s="31" t="n"/>
      <c r="H285" s="31" t="n"/>
      <c r="I285" s="31" t="n"/>
      <c r="J285" s="31" t="n"/>
      <c r="K285" s="31" t="n"/>
      <c r="L285" s="31" t="n"/>
      <c r="M285" s="31" t="n"/>
      <c r="N285" s="31" t="n"/>
      <c r="O285" s="31" t="n"/>
      <c r="P285" s="31" t="n"/>
      <c r="Q285" s="31" t="n"/>
      <c r="R285" s="31" t="n"/>
      <c r="S285" s="31" t="n"/>
      <c r="T285" s="31" t="n"/>
      <c r="U285" s="31" t="n"/>
      <c r="V285" s="31" t="n"/>
      <c r="W285" s="32" t="n"/>
      <c r="X285" s="31" t="n"/>
      <c r="Y285" s="31" t="n"/>
      <c r="Z285" s="31" t="n"/>
      <c r="AA285" s="31" t="n"/>
      <c r="AB285" s="31" t="n"/>
      <c r="AC285" s="31" t="n"/>
      <c r="AD285" s="32" t="n"/>
      <c r="AE285" s="31" t="n"/>
      <c r="AF285" s="33" t="n"/>
      <c r="AG285" s="66">
        <f>IF(OR(AF285="",AE285=""),"",IFERROR(AF285*INDEX(FXRates[USD per unit],MATCH(AE285,FXRates[Currency],0)),"No rate"))</f>
        <v/>
      </c>
      <c r="AH285" s="30" t="n"/>
      <c r="AI285" s="30" t="n"/>
      <c r="AJ285" s="34">
        <f>IF(A285="","",IF(COUNTIF($A$6:$A$504,A285)&gt;1,"⚠ Duplicate",""))</f>
        <v/>
      </c>
      <c r="AK285" s="33" t="n"/>
      <c r="AL285" s="41" t="n"/>
      <c r="AM285" s="41" t="n"/>
      <c r="AN285" s="41" t="n"/>
      <c r="AO285" s="41" t="n"/>
      <c r="AP285" s="41" t="n"/>
      <c r="AQ285" s="41" t="n"/>
      <c r="AR285" s="41" t="n"/>
      <c r="AS285" s="41" t="n"/>
      <c r="AT285" s="41" t="n"/>
      <c r="AU285" s="41" t="n"/>
      <c r="AV285" s="41" t="n"/>
      <c r="AW285" s="41" t="n"/>
      <c r="AX285" s="41" t="n"/>
      <c r="AY285" s="41" t="n"/>
      <c r="AZ285" s="33" t="n"/>
      <c r="BA285" s="41" t="n"/>
      <c r="BB285" s="41" t="n"/>
      <c r="BC285" s="41" t="n"/>
      <c r="BD285" s="41" t="n"/>
      <c r="BE285" s="41" t="n"/>
      <c r="BF285" s="41" t="n"/>
      <c r="BG285" s="41" t="n"/>
      <c r="BH285" s="41" t="n"/>
      <c r="BI285" s="41" t="n"/>
      <c r="BJ285" s="41" t="n"/>
      <c r="BK285" s="41" t="n"/>
      <c r="BL285" s="41" t="n"/>
      <c r="BM285" s="41" t="n"/>
      <c r="BN285" s="41" t="n"/>
    </row>
    <row r="286" ht="18" customHeight="1" s="82">
      <c r="A286" s="36" t="n"/>
      <c r="B286" s="36" t="n"/>
      <c r="C286" s="36" t="n"/>
      <c r="D286" s="36" t="n"/>
      <c r="E286" s="37" t="n"/>
      <c r="F286" s="37" t="n"/>
      <c r="G286" s="37" t="n"/>
      <c r="H286" s="37" t="n"/>
      <c r="I286" s="37" t="n"/>
      <c r="J286" s="37" t="n"/>
      <c r="K286" s="37" t="n"/>
      <c r="L286" s="37" t="n"/>
      <c r="M286" s="37" t="n"/>
      <c r="N286" s="37" t="n"/>
      <c r="O286" s="37" t="n"/>
      <c r="P286" s="37" t="n"/>
      <c r="Q286" s="37" t="n"/>
      <c r="R286" s="37" t="n"/>
      <c r="S286" s="37" t="n"/>
      <c r="T286" s="37" t="n"/>
      <c r="U286" s="37" t="n"/>
      <c r="V286" s="37" t="n"/>
      <c r="W286" s="32" t="n"/>
      <c r="X286" s="37" t="n"/>
      <c r="Y286" s="37" t="n"/>
      <c r="Z286" s="37" t="n"/>
      <c r="AA286" s="37" t="n"/>
      <c r="AB286" s="37" t="n"/>
      <c r="AC286" s="37" t="n"/>
      <c r="AD286" s="32" t="n"/>
      <c r="AE286" s="37" t="n"/>
      <c r="AF286" s="38" t="n"/>
      <c r="AG286" s="67">
        <f>IF(OR(AF286="",AE286=""),"",IFERROR(AF286*INDEX(FXRates[USD per unit],MATCH(AE286,FXRates[Currency],0)),"No rate"))</f>
        <v/>
      </c>
      <c r="AH286" s="36" t="n"/>
      <c r="AI286" s="36" t="n"/>
      <c r="AJ286" s="39">
        <f>IF(A286="","",IF(COUNTIF($A$6:$A$504,A286)&gt;1,"⚠ Duplicate",""))</f>
        <v/>
      </c>
      <c r="AK286" s="38" t="n"/>
      <c r="AL286" s="40" t="n"/>
      <c r="AM286" s="40" t="n"/>
      <c r="AN286" s="40" t="n"/>
      <c r="AO286" s="40" t="n"/>
      <c r="AP286" s="40" t="n"/>
      <c r="AQ286" s="40" t="n"/>
      <c r="AR286" s="40" t="n"/>
      <c r="AS286" s="40" t="n"/>
      <c r="AT286" s="40" t="n"/>
      <c r="AU286" s="40" t="n"/>
      <c r="AV286" s="40" t="n"/>
      <c r="AW286" s="40" t="n"/>
      <c r="AX286" s="40" t="n"/>
      <c r="AY286" s="40" t="n"/>
      <c r="AZ286" s="38" t="n"/>
      <c r="BA286" s="40" t="n"/>
      <c r="BB286" s="40" t="n"/>
      <c r="BC286" s="40" t="n"/>
      <c r="BD286" s="40" t="n"/>
      <c r="BE286" s="40" t="n"/>
      <c r="BF286" s="40" t="n"/>
      <c r="BG286" s="40" t="n"/>
      <c r="BH286" s="40" t="n"/>
      <c r="BI286" s="40" t="n"/>
      <c r="BJ286" s="40" t="n"/>
      <c r="BK286" s="40" t="n"/>
      <c r="BL286" s="40" t="n"/>
      <c r="BM286" s="40" t="n"/>
      <c r="BN286" s="40" t="n"/>
    </row>
    <row r="287" ht="18" customHeight="1" s="82">
      <c r="A287" s="30" t="n"/>
      <c r="B287" s="30" t="n"/>
      <c r="C287" s="30" t="n"/>
      <c r="D287" s="30" t="n"/>
      <c r="E287" s="31" t="n"/>
      <c r="F287" s="31" t="n"/>
      <c r="G287" s="31" t="n"/>
      <c r="H287" s="31" t="n"/>
      <c r="I287" s="31" t="n"/>
      <c r="J287" s="31" t="n"/>
      <c r="K287" s="31" t="n"/>
      <c r="L287" s="31" t="n"/>
      <c r="M287" s="31" t="n"/>
      <c r="N287" s="31" t="n"/>
      <c r="O287" s="31" t="n"/>
      <c r="P287" s="31" t="n"/>
      <c r="Q287" s="31" t="n"/>
      <c r="R287" s="31" t="n"/>
      <c r="S287" s="31" t="n"/>
      <c r="T287" s="31" t="n"/>
      <c r="U287" s="31" t="n"/>
      <c r="V287" s="31" t="n"/>
      <c r="W287" s="32" t="n"/>
      <c r="X287" s="31" t="n"/>
      <c r="Y287" s="31" t="n"/>
      <c r="Z287" s="31" t="n"/>
      <c r="AA287" s="31" t="n"/>
      <c r="AB287" s="31" t="n"/>
      <c r="AC287" s="31" t="n"/>
      <c r="AD287" s="32" t="n"/>
      <c r="AE287" s="31" t="n"/>
      <c r="AF287" s="33" t="n"/>
      <c r="AG287" s="66">
        <f>IF(OR(AF287="",AE287=""),"",IFERROR(AF287*INDEX(FXRates[USD per unit],MATCH(AE287,FXRates[Currency],0)),"No rate"))</f>
        <v/>
      </c>
      <c r="AH287" s="30" t="n"/>
      <c r="AI287" s="30" t="n"/>
      <c r="AJ287" s="34">
        <f>IF(A287="","",IF(COUNTIF($A$6:$A$504,A287)&gt;1,"⚠ Duplicate",""))</f>
        <v/>
      </c>
      <c r="AK287" s="33" t="n"/>
      <c r="AL287" s="41" t="n"/>
      <c r="AM287" s="41" t="n"/>
      <c r="AN287" s="41" t="n"/>
      <c r="AO287" s="41" t="n"/>
      <c r="AP287" s="41" t="n"/>
      <c r="AQ287" s="41" t="n"/>
      <c r="AR287" s="41" t="n"/>
      <c r="AS287" s="41" t="n"/>
      <c r="AT287" s="41" t="n"/>
      <c r="AU287" s="41" t="n"/>
      <c r="AV287" s="41" t="n"/>
      <c r="AW287" s="41" t="n"/>
      <c r="AX287" s="41" t="n"/>
      <c r="AY287" s="41" t="n"/>
      <c r="AZ287" s="33" t="n"/>
      <c r="BA287" s="41" t="n"/>
      <c r="BB287" s="41" t="n"/>
      <c r="BC287" s="41" t="n"/>
      <c r="BD287" s="41" t="n"/>
      <c r="BE287" s="41" t="n"/>
      <c r="BF287" s="41" t="n"/>
      <c r="BG287" s="41" t="n"/>
      <c r="BH287" s="41" t="n"/>
      <c r="BI287" s="41" t="n"/>
      <c r="BJ287" s="41" t="n"/>
      <c r="BK287" s="41" t="n"/>
      <c r="BL287" s="41" t="n"/>
      <c r="BM287" s="41" t="n"/>
      <c r="BN287" s="41" t="n"/>
    </row>
    <row r="288" ht="18" customHeight="1" s="82">
      <c r="A288" s="36" t="n"/>
      <c r="B288" s="36" t="n"/>
      <c r="C288" s="36" t="n"/>
      <c r="D288" s="36" t="n"/>
      <c r="E288" s="37" t="n"/>
      <c r="F288" s="37" t="n"/>
      <c r="G288" s="37" t="n"/>
      <c r="H288" s="37" t="n"/>
      <c r="I288" s="37" t="n"/>
      <c r="J288" s="37" t="n"/>
      <c r="K288" s="37" t="n"/>
      <c r="L288" s="37" t="n"/>
      <c r="M288" s="37" t="n"/>
      <c r="N288" s="37" t="n"/>
      <c r="O288" s="37" t="n"/>
      <c r="P288" s="37" t="n"/>
      <c r="Q288" s="37" t="n"/>
      <c r="R288" s="37" t="n"/>
      <c r="S288" s="37" t="n"/>
      <c r="T288" s="37" t="n"/>
      <c r="U288" s="37" t="n"/>
      <c r="V288" s="37" t="n"/>
      <c r="W288" s="32" t="n"/>
      <c r="X288" s="37" t="n"/>
      <c r="Y288" s="37" t="n"/>
      <c r="Z288" s="37" t="n"/>
      <c r="AA288" s="37" t="n"/>
      <c r="AB288" s="37" t="n"/>
      <c r="AC288" s="37" t="n"/>
      <c r="AD288" s="32" t="n"/>
      <c r="AE288" s="37" t="n"/>
      <c r="AF288" s="38" t="n"/>
      <c r="AG288" s="67">
        <f>IF(OR(AF288="",AE288=""),"",IFERROR(AF288*INDEX(FXRates[USD per unit],MATCH(AE288,FXRates[Currency],0)),"No rate"))</f>
        <v/>
      </c>
      <c r="AH288" s="36" t="n"/>
      <c r="AI288" s="36" t="n"/>
      <c r="AJ288" s="39">
        <f>IF(A288="","",IF(COUNTIF($A$6:$A$504,A288)&gt;1,"⚠ Duplicate",""))</f>
        <v/>
      </c>
      <c r="AK288" s="38" t="n"/>
      <c r="AL288" s="40" t="n"/>
      <c r="AM288" s="40" t="n"/>
      <c r="AN288" s="40" t="n"/>
      <c r="AO288" s="40" t="n"/>
      <c r="AP288" s="40" t="n"/>
      <c r="AQ288" s="40" t="n"/>
      <c r="AR288" s="40" t="n"/>
      <c r="AS288" s="40" t="n"/>
      <c r="AT288" s="40" t="n"/>
      <c r="AU288" s="40" t="n"/>
      <c r="AV288" s="40" t="n"/>
      <c r="AW288" s="40" t="n"/>
      <c r="AX288" s="40" t="n"/>
      <c r="AY288" s="40" t="n"/>
      <c r="AZ288" s="38" t="n"/>
      <c r="BA288" s="40" t="n"/>
      <c r="BB288" s="40" t="n"/>
      <c r="BC288" s="40" t="n"/>
      <c r="BD288" s="40" t="n"/>
      <c r="BE288" s="40" t="n"/>
      <c r="BF288" s="40" t="n"/>
      <c r="BG288" s="40" t="n"/>
      <c r="BH288" s="40" t="n"/>
      <c r="BI288" s="40" t="n"/>
      <c r="BJ288" s="40" t="n"/>
      <c r="BK288" s="40" t="n"/>
      <c r="BL288" s="40" t="n"/>
      <c r="BM288" s="40" t="n"/>
      <c r="BN288" s="40" t="n"/>
    </row>
    <row r="289" ht="18" customHeight="1" s="82">
      <c r="A289" s="30" t="n"/>
      <c r="B289" s="30" t="n"/>
      <c r="C289" s="30" t="n"/>
      <c r="D289" s="30" t="n"/>
      <c r="E289" s="31" t="n"/>
      <c r="F289" s="31" t="n"/>
      <c r="G289" s="31" t="n"/>
      <c r="H289" s="31" t="n"/>
      <c r="I289" s="31" t="n"/>
      <c r="J289" s="31" t="n"/>
      <c r="K289" s="31" t="n"/>
      <c r="L289" s="31" t="n"/>
      <c r="M289" s="31" t="n"/>
      <c r="N289" s="31" t="n"/>
      <c r="O289" s="31" t="n"/>
      <c r="P289" s="31" t="n"/>
      <c r="Q289" s="31" t="n"/>
      <c r="R289" s="31" t="n"/>
      <c r="S289" s="31" t="n"/>
      <c r="T289" s="31" t="n"/>
      <c r="U289" s="31" t="n"/>
      <c r="V289" s="31" t="n"/>
      <c r="W289" s="32" t="n"/>
      <c r="X289" s="31" t="n"/>
      <c r="Y289" s="31" t="n"/>
      <c r="Z289" s="31" t="n"/>
      <c r="AA289" s="31" t="n"/>
      <c r="AB289" s="31" t="n"/>
      <c r="AC289" s="31" t="n"/>
      <c r="AD289" s="32" t="n"/>
      <c r="AE289" s="31" t="n"/>
      <c r="AF289" s="33" t="n"/>
      <c r="AG289" s="66">
        <f>IF(OR(AF289="",AE289=""),"",IFERROR(AF289*INDEX(FXRates[USD per unit],MATCH(AE289,FXRates[Currency],0)),"No rate"))</f>
        <v/>
      </c>
      <c r="AH289" s="30" t="n"/>
      <c r="AI289" s="30" t="n"/>
      <c r="AJ289" s="34">
        <f>IF(A289="","",IF(COUNTIF($A$6:$A$504,A289)&gt;1,"⚠ Duplicate",""))</f>
        <v/>
      </c>
      <c r="AK289" s="33" t="n"/>
      <c r="AL289" s="41" t="n"/>
      <c r="AM289" s="41" t="n"/>
      <c r="AN289" s="41" t="n"/>
      <c r="AO289" s="41" t="n"/>
      <c r="AP289" s="41" t="n"/>
      <c r="AQ289" s="41" t="n"/>
      <c r="AR289" s="41" t="n"/>
      <c r="AS289" s="41" t="n"/>
      <c r="AT289" s="41" t="n"/>
      <c r="AU289" s="41" t="n"/>
      <c r="AV289" s="41" t="n"/>
      <c r="AW289" s="41" t="n"/>
      <c r="AX289" s="41" t="n"/>
      <c r="AY289" s="41" t="n"/>
      <c r="AZ289" s="33" t="n"/>
      <c r="BA289" s="41" t="n"/>
      <c r="BB289" s="41" t="n"/>
      <c r="BC289" s="41" t="n"/>
      <c r="BD289" s="41" t="n"/>
      <c r="BE289" s="41" t="n"/>
      <c r="BF289" s="41" t="n"/>
      <c r="BG289" s="41" t="n"/>
      <c r="BH289" s="41" t="n"/>
      <c r="BI289" s="41" t="n"/>
      <c r="BJ289" s="41" t="n"/>
      <c r="BK289" s="41" t="n"/>
      <c r="BL289" s="41" t="n"/>
      <c r="BM289" s="41" t="n"/>
      <c r="BN289" s="41" t="n"/>
    </row>
    <row r="290" ht="18" customHeight="1" s="82">
      <c r="A290" s="36" t="n"/>
      <c r="B290" s="36" t="n"/>
      <c r="C290" s="36" t="n"/>
      <c r="D290" s="36" t="n"/>
      <c r="E290" s="37" t="n"/>
      <c r="F290" s="37" t="n"/>
      <c r="G290" s="37" t="n"/>
      <c r="H290" s="37" t="n"/>
      <c r="I290" s="37" t="n"/>
      <c r="J290" s="37" t="n"/>
      <c r="K290" s="37" t="n"/>
      <c r="L290" s="37" t="n"/>
      <c r="M290" s="37" t="n"/>
      <c r="N290" s="37" t="n"/>
      <c r="O290" s="37" t="n"/>
      <c r="P290" s="37" t="n"/>
      <c r="Q290" s="37" t="n"/>
      <c r="R290" s="37" t="n"/>
      <c r="S290" s="37" t="n"/>
      <c r="T290" s="37" t="n"/>
      <c r="U290" s="37" t="n"/>
      <c r="V290" s="37" t="n"/>
      <c r="W290" s="32" t="n"/>
      <c r="X290" s="37" t="n"/>
      <c r="Y290" s="37" t="n"/>
      <c r="Z290" s="37" t="n"/>
      <c r="AA290" s="37" t="n"/>
      <c r="AB290" s="37" t="n"/>
      <c r="AC290" s="37" t="n"/>
      <c r="AD290" s="32" t="n"/>
      <c r="AE290" s="37" t="n"/>
      <c r="AF290" s="38" t="n"/>
      <c r="AG290" s="67">
        <f>IF(OR(AF290="",AE290=""),"",IFERROR(AF290*INDEX(FXRates[USD per unit],MATCH(AE290,FXRates[Currency],0)),"No rate"))</f>
        <v/>
      </c>
      <c r="AH290" s="36" t="n"/>
      <c r="AI290" s="36" t="n"/>
      <c r="AJ290" s="39">
        <f>IF(A290="","",IF(COUNTIF($A$6:$A$504,A290)&gt;1,"⚠ Duplicate",""))</f>
        <v/>
      </c>
      <c r="AK290" s="38" t="n"/>
      <c r="AL290" s="40" t="n"/>
      <c r="AM290" s="40" t="n"/>
      <c r="AN290" s="40" t="n"/>
      <c r="AO290" s="40" t="n"/>
      <c r="AP290" s="40" t="n"/>
      <c r="AQ290" s="40" t="n"/>
      <c r="AR290" s="40" t="n"/>
      <c r="AS290" s="40" t="n"/>
      <c r="AT290" s="40" t="n"/>
      <c r="AU290" s="40" t="n"/>
      <c r="AV290" s="40" t="n"/>
      <c r="AW290" s="40" t="n"/>
      <c r="AX290" s="40" t="n"/>
      <c r="AY290" s="40" t="n"/>
      <c r="AZ290" s="38" t="n"/>
      <c r="BA290" s="40" t="n"/>
      <c r="BB290" s="40" t="n"/>
      <c r="BC290" s="40" t="n"/>
      <c r="BD290" s="40" t="n"/>
      <c r="BE290" s="40" t="n"/>
      <c r="BF290" s="40" t="n"/>
      <c r="BG290" s="40" t="n"/>
      <c r="BH290" s="40" t="n"/>
      <c r="BI290" s="40" t="n"/>
      <c r="BJ290" s="40" t="n"/>
      <c r="BK290" s="40" t="n"/>
      <c r="BL290" s="40" t="n"/>
      <c r="BM290" s="40" t="n"/>
      <c r="BN290" s="40" t="n"/>
    </row>
    <row r="291" ht="18" customHeight="1" s="82">
      <c r="A291" s="30" t="n"/>
      <c r="B291" s="30" t="n"/>
      <c r="C291" s="30" t="n"/>
      <c r="D291" s="30" t="n"/>
      <c r="E291" s="31" t="n"/>
      <c r="F291" s="31" t="n"/>
      <c r="G291" s="31" t="n"/>
      <c r="H291" s="31" t="n"/>
      <c r="I291" s="31" t="n"/>
      <c r="J291" s="31" t="n"/>
      <c r="K291" s="31" t="n"/>
      <c r="L291" s="31" t="n"/>
      <c r="M291" s="31" t="n"/>
      <c r="N291" s="31" t="n"/>
      <c r="O291" s="31" t="n"/>
      <c r="P291" s="31" t="n"/>
      <c r="Q291" s="31" t="n"/>
      <c r="R291" s="31" t="n"/>
      <c r="S291" s="31" t="n"/>
      <c r="T291" s="31" t="n"/>
      <c r="U291" s="31" t="n"/>
      <c r="V291" s="31" t="n"/>
      <c r="W291" s="32" t="n"/>
      <c r="X291" s="31" t="n"/>
      <c r="Y291" s="31" t="n"/>
      <c r="Z291" s="31" t="n"/>
      <c r="AA291" s="31" t="n"/>
      <c r="AB291" s="31" t="n"/>
      <c r="AC291" s="31" t="n"/>
      <c r="AD291" s="32" t="n"/>
      <c r="AE291" s="31" t="n"/>
      <c r="AF291" s="33" t="n"/>
      <c r="AG291" s="66">
        <f>IF(OR(AF291="",AE291=""),"",IFERROR(AF291*INDEX(FXRates[USD per unit],MATCH(AE291,FXRates[Currency],0)),"No rate"))</f>
        <v/>
      </c>
      <c r="AH291" s="30" t="n"/>
      <c r="AI291" s="30" t="n"/>
      <c r="AJ291" s="34">
        <f>IF(A291="","",IF(COUNTIF($A$6:$A$504,A291)&gt;1,"⚠ Duplicate",""))</f>
        <v/>
      </c>
      <c r="AK291" s="33" t="n"/>
      <c r="AL291" s="41" t="n"/>
      <c r="AM291" s="41" t="n"/>
      <c r="AN291" s="41" t="n"/>
      <c r="AO291" s="41" t="n"/>
      <c r="AP291" s="41" t="n"/>
      <c r="AQ291" s="41" t="n"/>
      <c r="AR291" s="41" t="n"/>
      <c r="AS291" s="41" t="n"/>
      <c r="AT291" s="41" t="n"/>
      <c r="AU291" s="41" t="n"/>
      <c r="AV291" s="41" t="n"/>
      <c r="AW291" s="41" t="n"/>
      <c r="AX291" s="41" t="n"/>
      <c r="AY291" s="41" t="n"/>
      <c r="AZ291" s="33" t="n"/>
      <c r="BA291" s="41" t="n"/>
      <c r="BB291" s="41" t="n"/>
      <c r="BC291" s="41" t="n"/>
      <c r="BD291" s="41" t="n"/>
      <c r="BE291" s="41" t="n"/>
      <c r="BF291" s="41" t="n"/>
      <c r="BG291" s="41" t="n"/>
      <c r="BH291" s="41" t="n"/>
      <c r="BI291" s="41" t="n"/>
      <c r="BJ291" s="41" t="n"/>
      <c r="BK291" s="41" t="n"/>
      <c r="BL291" s="41" t="n"/>
      <c r="BM291" s="41" t="n"/>
      <c r="BN291" s="41" t="n"/>
    </row>
    <row r="292" ht="18" customHeight="1" s="82">
      <c r="A292" s="36" t="n"/>
      <c r="B292" s="36" t="n"/>
      <c r="C292" s="36" t="n"/>
      <c r="D292" s="36" t="n"/>
      <c r="E292" s="37" t="n"/>
      <c r="F292" s="37" t="n"/>
      <c r="G292" s="37" t="n"/>
      <c r="H292" s="37" t="n"/>
      <c r="I292" s="37" t="n"/>
      <c r="J292" s="37" t="n"/>
      <c r="K292" s="37" t="n"/>
      <c r="L292" s="37" t="n"/>
      <c r="M292" s="37" t="n"/>
      <c r="N292" s="37" t="n"/>
      <c r="O292" s="37" t="n"/>
      <c r="P292" s="37" t="n"/>
      <c r="Q292" s="37" t="n"/>
      <c r="R292" s="37" t="n"/>
      <c r="S292" s="37" t="n"/>
      <c r="T292" s="37" t="n"/>
      <c r="U292" s="37" t="n"/>
      <c r="V292" s="37" t="n"/>
      <c r="W292" s="32" t="n"/>
      <c r="X292" s="37" t="n"/>
      <c r="Y292" s="37" t="n"/>
      <c r="Z292" s="37" t="n"/>
      <c r="AA292" s="37" t="n"/>
      <c r="AB292" s="37" t="n"/>
      <c r="AC292" s="37" t="n"/>
      <c r="AD292" s="32" t="n"/>
      <c r="AE292" s="37" t="n"/>
      <c r="AF292" s="38" t="n"/>
      <c r="AG292" s="67">
        <f>IF(OR(AF292="",AE292=""),"",IFERROR(AF292*INDEX(FXRates[USD per unit],MATCH(AE292,FXRates[Currency],0)),"No rate"))</f>
        <v/>
      </c>
      <c r="AH292" s="36" t="n"/>
      <c r="AI292" s="36" t="n"/>
      <c r="AJ292" s="39">
        <f>IF(A292="","",IF(COUNTIF($A$6:$A$504,A292)&gt;1,"⚠ Duplicate",""))</f>
        <v/>
      </c>
      <c r="AK292" s="38" t="n"/>
      <c r="AL292" s="40" t="n"/>
      <c r="AM292" s="40" t="n"/>
      <c r="AN292" s="40" t="n"/>
      <c r="AO292" s="40" t="n"/>
      <c r="AP292" s="40" t="n"/>
      <c r="AQ292" s="40" t="n"/>
      <c r="AR292" s="40" t="n"/>
      <c r="AS292" s="40" t="n"/>
      <c r="AT292" s="40" t="n"/>
      <c r="AU292" s="40" t="n"/>
      <c r="AV292" s="40" t="n"/>
      <c r="AW292" s="40" t="n"/>
      <c r="AX292" s="40" t="n"/>
      <c r="AY292" s="40" t="n"/>
      <c r="AZ292" s="38" t="n"/>
      <c r="BA292" s="40" t="n"/>
      <c r="BB292" s="40" t="n"/>
      <c r="BC292" s="40" t="n"/>
      <c r="BD292" s="40" t="n"/>
      <c r="BE292" s="40" t="n"/>
      <c r="BF292" s="40" t="n"/>
      <c r="BG292" s="40" t="n"/>
      <c r="BH292" s="40" t="n"/>
      <c r="BI292" s="40" t="n"/>
      <c r="BJ292" s="40" t="n"/>
      <c r="BK292" s="40" t="n"/>
      <c r="BL292" s="40" t="n"/>
      <c r="BM292" s="40" t="n"/>
      <c r="BN292" s="40" t="n"/>
    </row>
    <row r="293" ht="18" customHeight="1" s="82">
      <c r="A293" s="30" t="n"/>
      <c r="B293" s="30" t="n"/>
      <c r="C293" s="30" t="n"/>
      <c r="D293" s="30" t="n"/>
      <c r="E293" s="31" t="n"/>
      <c r="F293" s="31" t="n"/>
      <c r="G293" s="31" t="n"/>
      <c r="H293" s="31" t="n"/>
      <c r="I293" s="31" t="n"/>
      <c r="J293" s="31" t="n"/>
      <c r="K293" s="31" t="n"/>
      <c r="L293" s="31" t="n"/>
      <c r="M293" s="31" t="n"/>
      <c r="N293" s="31" t="n"/>
      <c r="O293" s="31" t="n"/>
      <c r="P293" s="31" t="n"/>
      <c r="Q293" s="31" t="n"/>
      <c r="R293" s="31" t="n"/>
      <c r="S293" s="31" t="n"/>
      <c r="T293" s="31" t="n"/>
      <c r="U293" s="31" t="n"/>
      <c r="V293" s="31" t="n"/>
      <c r="W293" s="32" t="n"/>
      <c r="X293" s="31" t="n"/>
      <c r="Y293" s="31" t="n"/>
      <c r="Z293" s="31" t="n"/>
      <c r="AA293" s="31" t="n"/>
      <c r="AB293" s="31" t="n"/>
      <c r="AC293" s="31" t="n"/>
      <c r="AD293" s="32" t="n"/>
      <c r="AE293" s="31" t="n"/>
      <c r="AF293" s="33" t="n"/>
      <c r="AG293" s="66">
        <f>IF(OR(AF293="",AE293=""),"",IFERROR(AF293*INDEX(FXRates[USD per unit],MATCH(AE293,FXRates[Currency],0)),"No rate"))</f>
        <v/>
      </c>
      <c r="AH293" s="30" t="n"/>
      <c r="AI293" s="30" t="n"/>
      <c r="AJ293" s="34">
        <f>IF(A293="","",IF(COUNTIF($A$6:$A$504,A293)&gt;1,"⚠ Duplicate",""))</f>
        <v/>
      </c>
      <c r="AK293" s="33" t="n"/>
      <c r="AL293" s="41" t="n"/>
      <c r="AM293" s="41" t="n"/>
      <c r="AN293" s="41" t="n"/>
      <c r="AO293" s="41" t="n"/>
      <c r="AP293" s="41" t="n"/>
      <c r="AQ293" s="41" t="n"/>
      <c r="AR293" s="41" t="n"/>
      <c r="AS293" s="41" t="n"/>
      <c r="AT293" s="41" t="n"/>
      <c r="AU293" s="41" t="n"/>
      <c r="AV293" s="41" t="n"/>
      <c r="AW293" s="41" t="n"/>
      <c r="AX293" s="41" t="n"/>
      <c r="AY293" s="41" t="n"/>
      <c r="AZ293" s="33" t="n"/>
      <c r="BA293" s="41" t="n"/>
      <c r="BB293" s="41" t="n"/>
      <c r="BC293" s="41" t="n"/>
      <c r="BD293" s="41" t="n"/>
      <c r="BE293" s="41" t="n"/>
      <c r="BF293" s="41" t="n"/>
      <c r="BG293" s="41" t="n"/>
      <c r="BH293" s="41" t="n"/>
      <c r="BI293" s="41" t="n"/>
      <c r="BJ293" s="41" t="n"/>
      <c r="BK293" s="41" t="n"/>
      <c r="BL293" s="41" t="n"/>
      <c r="BM293" s="41" t="n"/>
      <c r="BN293" s="41" t="n"/>
    </row>
    <row r="294" ht="18" customHeight="1" s="82">
      <c r="A294" s="36" t="n"/>
      <c r="B294" s="36" t="n"/>
      <c r="C294" s="36" t="n"/>
      <c r="D294" s="36" t="n"/>
      <c r="E294" s="37" t="n"/>
      <c r="F294" s="37" t="n"/>
      <c r="G294" s="37" t="n"/>
      <c r="H294" s="37" t="n"/>
      <c r="I294" s="37" t="n"/>
      <c r="J294" s="37" t="n"/>
      <c r="K294" s="37" t="n"/>
      <c r="L294" s="37" t="n"/>
      <c r="M294" s="37" t="n"/>
      <c r="N294" s="37" t="n"/>
      <c r="O294" s="37" t="n"/>
      <c r="P294" s="37" t="n"/>
      <c r="Q294" s="37" t="n"/>
      <c r="R294" s="37" t="n"/>
      <c r="S294" s="37" t="n"/>
      <c r="T294" s="37" t="n"/>
      <c r="U294" s="37" t="n"/>
      <c r="V294" s="37" t="n"/>
      <c r="W294" s="32" t="n"/>
      <c r="X294" s="37" t="n"/>
      <c r="Y294" s="37" t="n"/>
      <c r="Z294" s="37" t="n"/>
      <c r="AA294" s="37" t="n"/>
      <c r="AB294" s="37" t="n"/>
      <c r="AC294" s="37" t="n"/>
      <c r="AD294" s="32" t="n"/>
      <c r="AE294" s="37" t="n"/>
      <c r="AF294" s="38" t="n"/>
      <c r="AG294" s="67">
        <f>IF(OR(AF294="",AE294=""),"",IFERROR(AF294*INDEX(FXRates[USD per unit],MATCH(AE294,FXRates[Currency],0)),"No rate"))</f>
        <v/>
      </c>
      <c r="AH294" s="36" t="n"/>
      <c r="AI294" s="36" t="n"/>
      <c r="AJ294" s="39">
        <f>IF(A294="","",IF(COUNTIF($A$6:$A$504,A294)&gt;1,"⚠ Duplicate",""))</f>
        <v/>
      </c>
      <c r="AK294" s="38" t="n"/>
      <c r="AL294" s="40" t="n"/>
      <c r="AM294" s="40" t="n"/>
      <c r="AN294" s="40" t="n"/>
      <c r="AO294" s="40" t="n"/>
      <c r="AP294" s="40" t="n"/>
      <c r="AQ294" s="40" t="n"/>
      <c r="AR294" s="40" t="n"/>
      <c r="AS294" s="40" t="n"/>
      <c r="AT294" s="40" t="n"/>
      <c r="AU294" s="40" t="n"/>
      <c r="AV294" s="40" t="n"/>
      <c r="AW294" s="40" t="n"/>
      <c r="AX294" s="40" t="n"/>
      <c r="AY294" s="40" t="n"/>
      <c r="AZ294" s="38" t="n"/>
      <c r="BA294" s="40" t="n"/>
      <c r="BB294" s="40" t="n"/>
      <c r="BC294" s="40" t="n"/>
      <c r="BD294" s="40" t="n"/>
      <c r="BE294" s="40" t="n"/>
      <c r="BF294" s="40" t="n"/>
      <c r="BG294" s="40" t="n"/>
      <c r="BH294" s="40" t="n"/>
      <c r="BI294" s="40" t="n"/>
      <c r="BJ294" s="40" t="n"/>
      <c r="BK294" s="40" t="n"/>
      <c r="BL294" s="40" t="n"/>
      <c r="BM294" s="40" t="n"/>
      <c r="BN294" s="40" t="n"/>
    </row>
    <row r="295" ht="18" customHeight="1" s="82">
      <c r="A295" s="30" t="n"/>
      <c r="B295" s="30" t="n"/>
      <c r="C295" s="30" t="n"/>
      <c r="D295" s="30" t="n"/>
      <c r="E295" s="31" t="n"/>
      <c r="F295" s="31" t="n"/>
      <c r="G295" s="31" t="n"/>
      <c r="H295" s="31" t="n"/>
      <c r="I295" s="31" t="n"/>
      <c r="J295" s="31" t="n"/>
      <c r="K295" s="31" t="n"/>
      <c r="L295" s="31" t="n"/>
      <c r="M295" s="31" t="n"/>
      <c r="N295" s="31" t="n"/>
      <c r="O295" s="31" t="n"/>
      <c r="P295" s="31" t="n"/>
      <c r="Q295" s="31" t="n"/>
      <c r="R295" s="31" t="n"/>
      <c r="S295" s="31" t="n"/>
      <c r="T295" s="31" t="n"/>
      <c r="U295" s="31" t="n"/>
      <c r="V295" s="31" t="n"/>
      <c r="W295" s="32" t="n"/>
      <c r="X295" s="31" t="n"/>
      <c r="Y295" s="31" t="n"/>
      <c r="Z295" s="31" t="n"/>
      <c r="AA295" s="31" t="n"/>
      <c r="AB295" s="31" t="n"/>
      <c r="AC295" s="31" t="n"/>
      <c r="AD295" s="32" t="n"/>
      <c r="AE295" s="31" t="n"/>
      <c r="AF295" s="33" t="n"/>
      <c r="AG295" s="66">
        <f>IF(OR(AF295="",AE295=""),"",IFERROR(AF295*INDEX(FXRates[USD per unit],MATCH(AE295,FXRates[Currency],0)),"No rate"))</f>
        <v/>
      </c>
      <c r="AH295" s="30" t="n"/>
      <c r="AI295" s="30" t="n"/>
      <c r="AJ295" s="34">
        <f>IF(A295="","",IF(COUNTIF($A$6:$A$504,A295)&gt;1,"⚠ Duplicate",""))</f>
        <v/>
      </c>
      <c r="AK295" s="33" t="n"/>
      <c r="AL295" s="41" t="n"/>
      <c r="AM295" s="41" t="n"/>
      <c r="AN295" s="41" t="n"/>
      <c r="AO295" s="41" t="n"/>
      <c r="AP295" s="41" t="n"/>
      <c r="AQ295" s="41" t="n"/>
      <c r="AR295" s="41" t="n"/>
      <c r="AS295" s="41" t="n"/>
      <c r="AT295" s="41" t="n"/>
      <c r="AU295" s="41" t="n"/>
      <c r="AV295" s="41" t="n"/>
      <c r="AW295" s="41" t="n"/>
      <c r="AX295" s="41" t="n"/>
      <c r="AY295" s="41" t="n"/>
      <c r="AZ295" s="33" t="n"/>
      <c r="BA295" s="41" t="n"/>
      <c r="BB295" s="41" t="n"/>
      <c r="BC295" s="41" t="n"/>
      <c r="BD295" s="41" t="n"/>
      <c r="BE295" s="41" t="n"/>
      <c r="BF295" s="41" t="n"/>
      <c r="BG295" s="41" t="n"/>
      <c r="BH295" s="41" t="n"/>
      <c r="BI295" s="41" t="n"/>
      <c r="BJ295" s="41" t="n"/>
      <c r="BK295" s="41" t="n"/>
      <c r="BL295" s="41" t="n"/>
      <c r="BM295" s="41" t="n"/>
      <c r="BN295" s="41" t="n"/>
    </row>
    <row r="296" ht="18" customHeight="1" s="82">
      <c r="A296" s="36" t="n"/>
      <c r="B296" s="36" t="n"/>
      <c r="C296" s="36" t="n"/>
      <c r="D296" s="36" t="n"/>
      <c r="E296" s="37" t="n"/>
      <c r="F296" s="37" t="n"/>
      <c r="G296" s="37" t="n"/>
      <c r="H296" s="37" t="n"/>
      <c r="I296" s="37" t="n"/>
      <c r="J296" s="37" t="n"/>
      <c r="K296" s="37" t="n"/>
      <c r="L296" s="37" t="n"/>
      <c r="M296" s="37" t="n"/>
      <c r="N296" s="37" t="n"/>
      <c r="O296" s="37" t="n"/>
      <c r="P296" s="37" t="n"/>
      <c r="Q296" s="37" t="n"/>
      <c r="R296" s="37" t="n"/>
      <c r="S296" s="37" t="n"/>
      <c r="T296" s="37" t="n"/>
      <c r="U296" s="37" t="n"/>
      <c r="V296" s="37" t="n"/>
      <c r="W296" s="32" t="n"/>
      <c r="X296" s="37" t="n"/>
      <c r="Y296" s="37" t="n"/>
      <c r="Z296" s="37" t="n"/>
      <c r="AA296" s="37" t="n"/>
      <c r="AB296" s="37" t="n"/>
      <c r="AC296" s="37" t="n"/>
      <c r="AD296" s="32" t="n"/>
      <c r="AE296" s="37" t="n"/>
      <c r="AF296" s="38" t="n"/>
      <c r="AG296" s="67">
        <f>IF(OR(AF296="",AE296=""),"",IFERROR(AF296*INDEX(FXRates[USD per unit],MATCH(AE296,FXRates[Currency],0)),"No rate"))</f>
        <v/>
      </c>
      <c r="AH296" s="36" t="n"/>
      <c r="AI296" s="36" t="n"/>
      <c r="AJ296" s="39">
        <f>IF(A296="","",IF(COUNTIF($A$6:$A$504,A296)&gt;1,"⚠ Duplicate",""))</f>
        <v/>
      </c>
      <c r="AK296" s="38" t="n"/>
      <c r="AL296" s="40" t="n"/>
      <c r="AM296" s="40" t="n"/>
      <c r="AN296" s="40" t="n"/>
      <c r="AO296" s="40" t="n"/>
      <c r="AP296" s="40" t="n"/>
      <c r="AQ296" s="40" t="n"/>
      <c r="AR296" s="40" t="n"/>
      <c r="AS296" s="40" t="n"/>
      <c r="AT296" s="40" t="n"/>
      <c r="AU296" s="40" t="n"/>
      <c r="AV296" s="40" t="n"/>
      <c r="AW296" s="40" t="n"/>
      <c r="AX296" s="40" t="n"/>
      <c r="AY296" s="40" t="n"/>
      <c r="AZ296" s="38" t="n"/>
      <c r="BA296" s="40" t="n"/>
      <c r="BB296" s="40" t="n"/>
      <c r="BC296" s="40" t="n"/>
      <c r="BD296" s="40" t="n"/>
      <c r="BE296" s="40" t="n"/>
      <c r="BF296" s="40" t="n"/>
      <c r="BG296" s="40" t="n"/>
      <c r="BH296" s="40" t="n"/>
      <c r="BI296" s="40" t="n"/>
      <c r="BJ296" s="40" t="n"/>
      <c r="BK296" s="40" t="n"/>
      <c r="BL296" s="40" t="n"/>
      <c r="BM296" s="40" t="n"/>
      <c r="BN296" s="40" t="n"/>
    </row>
    <row r="297" ht="18" customHeight="1" s="82">
      <c r="A297" s="30" t="n"/>
      <c r="B297" s="30" t="n"/>
      <c r="C297" s="30" t="n"/>
      <c r="D297" s="30" t="n"/>
      <c r="E297" s="31" t="n"/>
      <c r="F297" s="31" t="n"/>
      <c r="G297" s="31" t="n"/>
      <c r="H297" s="31" t="n"/>
      <c r="I297" s="31" t="n"/>
      <c r="J297" s="31" t="n"/>
      <c r="K297" s="31" t="n"/>
      <c r="L297" s="31" t="n"/>
      <c r="M297" s="31" t="n"/>
      <c r="N297" s="31" t="n"/>
      <c r="O297" s="31" t="n"/>
      <c r="P297" s="31" t="n"/>
      <c r="Q297" s="31" t="n"/>
      <c r="R297" s="31" t="n"/>
      <c r="S297" s="31" t="n"/>
      <c r="T297" s="31" t="n"/>
      <c r="U297" s="31" t="n"/>
      <c r="V297" s="31" t="n"/>
      <c r="W297" s="32" t="n"/>
      <c r="X297" s="31" t="n"/>
      <c r="Y297" s="31" t="n"/>
      <c r="Z297" s="31" t="n"/>
      <c r="AA297" s="31" t="n"/>
      <c r="AB297" s="31" t="n"/>
      <c r="AC297" s="31" t="n"/>
      <c r="AD297" s="32" t="n"/>
      <c r="AE297" s="31" t="n"/>
      <c r="AF297" s="33" t="n"/>
      <c r="AG297" s="66">
        <f>IF(OR(AF297="",AE297=""),"",IFERROR(AF297*INDEX(FXRates[USD per unit],MATCH(AE297,FXRates[Currency],0)),"No rate"))</f>
        <v/>
      </c>
      <c r="AH297" s="30" t="n"/>
      <c r="AI297" s="30" t="n"/>
      <c r="AJ297" s="34">
        <f>IF(A297="","",IF(COUNTIF($A$6:$A$504,A297)&gt;1,"⚠ Duplicate",""))</f>
        <v/>
      </c>
      <c r="AK297" s="33" t="n"/>
      <c r="AL297" s="41" t="n"/>
      <c r="AM297" s="41" t="n"/>
      <c r="AN297" s="41" t="n"/>
      <c r="AO297" s="41" t="n"/>
      <c r="AP297" s="41" t="n"/>
      <c r="AQ297" s="41" t="n"/>
      <c r="AR297" s="41" t="n"/>
      <c r="AS297" s="41" t="n"/>
      <c r="AT297" s="41" t="n"/>
      <c r="AU297" s="41" t="n"/>
      <c r="AV297" s="41" t="n"/>
      <c r="AW297" s="41" t="n"/>
      <c r="AX297" s="41" t="n"/>
      <c r="AY297" s="41" t="n"/>
      <c r="AZ297" s="33" t="n"/>
      <c r="BA297" s="41" t="n"/>
      <c r="BB297" s="41" t="n"/>
      <c r="BC297" s="41" t="n"/>
      <c r="BD297" s="41" t="n"/>
      <c r="BE297" s="41" t="n"/>
      <c r="BF297" s="41" t="n"/>
      <c r="BG297" s="41" t="n"/>
      <c r="BH297" s="41" t="n"/>
      <c r="BI297" s="41" t="n"/>
      <c r="BJ297" s="41" t="n"/>
      <c r="BK297" s="41" t="n"/>
      <c r="BL297" s="41" t="n"/>
      <c r="BM297" s="41" t="n"/>
      <c r="BN297" s="41" t="n"/>
    </row>
    <row r="298" ht="18" customHeight="1" s="82">
      <c r="A298" s="36" t="n"/>
      <c r="B298" s="36" t="n"/>
      <c r="C298" s="36" t="n"/>
      <c r="D298" s="36" t="n"/>
      <c r="E298" s="37" t="n"/>
      <c r="F298" s="37" t="n"/>
      <c r="G298" s="37" t="n"/>
      <c r="H298" s="37" t="n"/>
      <c r="I298" s="37" t="n"/>
      <c r="J298" s="37" t="n"/>
      <c r="K298" s="37" t="n"/>
      <c r="L298" s="37" t="n"/>
      <c r="M298" s="37" t="n"/>
      <c r="N298" s="37" t="n"/>
      <c r="O298" s="37" t="n"/>
      <c r="P298" s="37" t="n"/>
      <c r="Q298" s="37" t="n"/>
      <c r="R298" s="37" t="n"/>
      <c r="S298" s="37" t="n"/>
      <c r="T298" s="37" t="n"/>
      <c r="U298" s="37" t="n"/>
      <c r="V298" s="37" t="n"/>
      <c r="W298" s="32" t="n"/>
      <c r="X298" s="37" t="n"/>
      <c r="Y298" s="37" t="n"/>
      <c r="Z298" s="37" t="n"/>
      <c r="AA298" s="37" t="n"/>
      <c r="AB298" s="37" t="n"/>
      <c r="AC298" s="37" t="n"/>
      <c r="AD298" s="32" t="n"/>
      <c r="AE298" s="37" t="n"/>
      <c r="AF298" s="38" t="n"/>
      <c r="AG298" s="67">
        <f>IF(OR(AF298="",AE298=""),"",IFERROR(AF298*INDEX(FXRates[USD per unit],MATCH(AE298,FXRates[Currency],0)),"No rate"))</f>
        <v/>
      </c>
      <c r="AH298" s="36" t="n"/>
      <c r="AI298" s="36" t="n"/>
      <c r="AJ298" s="39">
        <f>IF(A298="","",IF(COUNTIF($A$6:$A$504,A298)&gt;1,"⚠ Duplicate",""))</f>
        <v/>
      </c>
      <c r="AK298" s="38" t="n"/>
      <c r="AL298" s="40" t="n"/>
      <c r="AM298" s="40" t="n"/>
      <c r="AN298" s="40" t="n"/>
      <c r="AO298" s="40" t="n"/>
      <c r="AP298" s="40" t="n"/>
      <c r="AQ298" s="40" t="n"/>
      <c r="AR298" s="40" t="n"/>
      <c r="AS298" s="40" t="n"/>
      <c r="AT298" s="40" t="n"/>
      <c r="AU298" s="40" t="n"/>
      <c r="AV298" s="40" t="n"/>
      <c r="AW298" s="40" t="n"/>
      <c r="AX298" s="40" t="n"/>
      <c r="AY298" s="40" t="n"/>
      <c r="AZ298" s="38" t="n"/>
      <c r="BA298" s="40" t="n"/>
      <c r="BB298" s="40" t="n"/>
      <c r="BC298" s="40" t="n"/>
      <c r="BD298" s="40" t="n"/>
      <c r="BE298" s="40" t="n"/>
      <c r="BF298" s="40" t="n"/>
      <c r="BG298" s="40" t="n"/>
      <c r="BH298" s="40" t="n"/>
      <c r="BI298" s="40" t="n"/>
      <c r="BJ298" s="40" t="n"/>
      <c r="BK298" s="40" t="n"/>
      <c r="BL298" s="40" t="n"/>
      <c r="BM298" s="40" t="n"/>
      <c r="BN298" s="40" t="n"/>
    </row>
    <row r="299" ht="18" customHeight="1" s="82">
      <c r="A299" s="30" t="n"/>
      <c r="B299" s="30" t="n"/>
      <c r="C299" s="30" t="n"/>
      <c r="D299" s="30" t="n"/>
      <c r="E299" s="31" t="n"/>
      <c r="F299" s="31" t="n"/>
      <c r="G299" s="31" t="n"/>
      <c r="H299" s="31" t="n"/>
      <c r="I299" s="31" t="n"/>
      <c r="J299" s="31" t="n"/>
      <c r="K299" s="31" t="n"/>
      <c r="L299" s="31" t="n"/>
      <c r="M299" s="31" t="n"/>
      <c r="N299" s="31" t="n"/>
      <c r="O299" s="31" t="n"/>
      <c r="P299" s="31" t="n"/>
      <c r="Q299" s="31" t="n"/>
      <c r="R299" s="31" t="n"/>
      <c r="S299" s="31" t="n"/>
      <c r="T299" s="31" t="n"/>
      <c r="U299" s="31" t="n"/>
      <c r="V299" s="31" t="n"/>
      <c r="W299" s="32" t="n"/>
      <c r="X299" s="31" t="n"/>
      <c r="Y299" s="31" t="n"/>
      <c r="Z299" s="31" t="n"/>
      <c r="AA299" s="31" t="n"/>
      <c r="AB299" s="31" t="n"/>
      <c r="AC299" s="31" t="n"/>
      <c r="AD299" s="32" t="n"/>
      <c r="AE299" s="31" t="n"/>
      <c r="AF299" s="33" t="n"/>
      <c r="AG299" s="66">
        <f>IF(OR(AF299="",AE299=""),"",IFERROR(AF299*INDEX(FXRates[USD per unit],MATCH(AE299,FXRates[Currency],0)),"No rate"))</f>
        <v/>
      </c>
      <c r="AH299" s="30" t="n"/>
      <c r="AI299" s="30" t="n"/>
      <c r="AJ299" s="34">
        <f>IF(A299="","",IF(COUNTIF($A$6:$A$504,A299)&gt;1,"⚠ Duplicate",""))</f>
        <v/>
      </c>
      <c r="AK299" s="33" t="n"/>
      <c r="AL299" s="41" t="n"/>
      <c r="AM299" s="41" t="n"/>
      <c r="AN299" s="41" t="n"/>
      <c r="AO299" s="41" t="n"/>
      <c r="AP299" s="41" t="n"/>
      <c r="AQ299" s="41" t="n"/>
      <c r="AR299" s="41" t="n"/>
      <c r="AS299" s="41" t="n"/>
      <c r="AT299" s="41" t="n"/>
      <c r="AU299" s="41" t="n"/>
      <c r="AV299" s="41" t="n"/>
      <c r="AW299" s="41" t="n"/>
      <c r="AX299" s="41" t="n"/>
      <c r="AY299" s="41" t="n"/>
      <c r="AZ299" s="33" t="n"/>
      <c r="BA299" s="41" t="n"/>
      <c r="BB299" s="41" t="n"/>
      <c r="BC299" s="41" t="n"/>
      <c r="BD299" s="41" t="n"/>
      <c r="BE299" s="41" t="n"/>
      <c r="BF299" s="41" t="n"/>
      <c r="BG299" s="41" t="n"/>
      <c r="BH299" s="41" t="n"/>
      <c r="BI299" s="41" t="n"/>
      <c r="BJ299" s="41" t="n"/>
      <c r="BK299" s="41" t="n"/>
      <c r="BL299" s="41" t="n"/>
      <c r="BM299" s="41" t="n"/>
      <c r="BN299" s="41" t="n"/>
    </row>
    <row r="300" ht="18" customHeight="1" s="82">
      <c r="A300" s="36" t="n"/>
      <c r="B300" s="36" t="n"/>
      <c r="C300" s="36" t="n"/>
      <c r="D300" s="36" t="n"/>
      <c r="E300" s="37" t="n"/>
      <c r="F300" s="37" t="n"/>
      <c r="G300" s="37" t="n"/>
      <c r="H300" s="37" t="n"/>
      <c r="I300" s="37" t="n"/>
      <c r="J300" s="37" t="n"/>
      <c r="K300" s="37" t="n"/>
      <c r="L300" s="37" t="n"/>
      <c r="M300" s="37" t="n"/>
      <c r="N300" s="37" t="n"/>
      <c r="O300" s="37" t="n"/>
      <c r="P300" s="37" t="n"/>
      <c r="Q300" s="37" t="n"/>
      <c r="R300" s="37" t="n"/>
      <c r="S300" s="37" t="n"/>
      <c r="T300" s="37" t="n"/>
      <c r="U300" s="37" t="n"/>
      <c r="V300" s="37" t="n"/>
      <c r="W300" s="32" t="n"/>
      <c r="X300" s="37" t="n"/>
      <c r="Y300" s="37" t="n"/>
      <c r="Z300" s="37" t="n"/>
      <c r="AA300" s="37" t="n"/>
      <c r="AB300" s="37" t="n"/>
      <c r="AC300" s="37" t="n"/>
      <c r="AD300" s="32" t="n"/>
      <c r="AE300" s="37" t="n"/>
      <c r="AF300" s="38" t="n"/>
      <c r="AG300" s="67">
        <f>IF(OR(AF300="",AE300=""),"",IFERROR(AF300*INDEX(FXRates[USD per unit],MATCH(AE300,FXRates[Currency],0)),"No rate"))</f>
        <v/>
      </c>
      <c r="AH300" s="36" t="n"/>
      <c r="AI300" s="36" t="n"/>
      <c r="AJ300" s="39">
        <f>IF(A300="","",IF(COUNTIF($A$6:$A$504,A300)&gt;1,"⚠ Duplicate",""))</f>
        <v/>
      </c>
      <c r="AK300" s="38" t="n"/>
      <c r="AL300" s="40" t="n"/>
      <c r="AM300" s="40" t="n"/>
      <c r="AN300" s="40" t="n"/>
      <c r="AO300" s="40" t="n"/>
      <c r="AP300" s="40" t="n"/>
      <c r="AQ300" s="40" t="n"/>
      <c r="AR300" s="40" t="n"/>
      <c r="AS300" s="40" t="n"/>
      <c r="AT300" s="40" t="n"/>
      <c r="AU300" s="40" t="n"/>
      <c r="AV300" s="40" t="n"/>
      <c r="AW300" s="40" t="n"/>
      <c r="AX300" s="40" t="n"/>
      <c r="AY300" s="40" t="n"/>
      <c r="AZ300" s="38" t="n"/>
      <c r="BA300" s="40" t="n"/>
      <c r="BB300" s="40" t="n"/>
      <c r="BC300" s="40" t="n"/>
      <c r="BD300" s="40" t="n"/>
      <c r="BE300" s="40" t="n"/>
      <c r="BF300" s="40" t="n"/>
      <c r="BG300" s="40" t="n"/>
      <c r="BH300" s="40" t="n"/>
      <c r="BI300" s="40" t="n"/>
      <c r="BJ300" s="40" t="n"/>
      <c r="BK300" s="40" t="n"/>
      <c r="BL300" s="40" t="n"/>
      <c r="BM300" s="40" t="n"/>
      <c r="BN300" s="40" t="n"/>
    </row>
    <row r="301" ht="18" customHeight="1" s="82">
      <c r="A301" s="30" t="n"/>
      <c r="B301" s="30" t="n"/>
      <c r="C301" s="30" t="n"/>
      <c r="D301" s="30" t="n"/>
      <c r="E301" s="31" t="n"/>
      <c r="F301" s="31" t="n"/>
      <c r="G301" s="31" t="n"/>
      <c r="H301" s="31" t="n"/>
      <c r="I301" s="31" t="n"/>
      <c r="J301" s="31" t="n"/>
      <c r="K301" s="31" t="n"/>
      <c r="L301" s="31" t="n"/>
      <c r="M301" s="31" t="n"/>
      <c r="N301" s="31" t="n"/>
      <c r="O301" s="31" t="n"/>
      <c r="P301" s="31" t="n"/>
      <c r="Q301" s="31" t="n"/>
      <c r="R301" s="31" t="n"/>
      <c r="S301" s="31" t="n"/>
      <c r="T301" s="31" t="n"/>
      <c r="U301" s="31" t="n"/>
      <c r="V301" s="31" t="n"/>
      <c r="W301" s="32" t="n"/>
      <c r="X301" s="31" t="n"/>
      <c r="Y301" s="31" t="n"/>
      <c r="Z301" s="31" t="n"/>
      <c r="AA301" s="31" t="n"/>
      <c r="AB301" s="31" t="n"/>
      <c r="AC301" s="31" t="n"/>
      <c r="AD301" s="32" t="n"/>
      <c r="AE301" s="31" t="n"/>
      <c r="AF301" s="33" t="n"/>
      <c r="AG301" s="66">
        <f>IF(OR(AF301="",AE301=""),"",IFERROR(AF301*INDEX(FXRates[USD per unit],MATCH(AE301,FXRates[Currency],0)),"No rate"))</f>
        <v/>
      </c>
      <c r="AH301" s="30" t="n"/>
      <c r="AI301" s="30" t="n"/>
      <c r="AJ301" s="34">
        <f>IF(A301="","",IF(COUNTIF($A$6:$A$504,A301)&gt;1,"⚠ Duplicate",""))</f>
        <v/>
      </c>
      <c r="AK301" s="33" t="n"/>
      <c r="AL301" s="41" t="n"/>
      <c r="AM301" s="41" t="n"/>
      <c r="AN301" s="41" t="n"/>
      <c r="AO301" s="41" t="n"/>
      <c r="AP301" s="41" t="n"/>
      <c r="AQ301" s="41" t="n"/>
      <c r="AR301" s="41" t="n"/>
      <c r="AS301" s="41" t="n"/>
      <c r="AT301" s="41" t="n"/>
      <c r="AU301" s="41" t="n"/>
      <c r="AV301" s="41" t="n"/>
      <c r="AW301" s="41" t="n"/>
      <c r="AX301" s="41" t="n"/>
      <c r="AY301" s="41" t="n"/>
      <c r="AZ301" s="33" t="n"/>
      <c r="BA301" s="41" t="n"/>
      <c r="BB301" s="41" t="n"/>
      <c r="BC301" s="41" t="n"/>
      <c r="BD301" s="41" t="n"/>
      <c r="BE301" s="41" t="n"/>
      <c r="BF301" s="41" t="n"/>
      <c r="BG301" s="41" t="n"/>
      <c r="BH301" s="41" t="n"/>
      <c r="BI301" s="41" t="n"/>
      <c r="BJ301" s="41" t="n"/>
      <c r="BK301" s="41" t="n"/>
      <c r="BL301" s="41" t="n"/>
      <c r="BM301" s="41" t="n"/>
      <c r="BN301" s="41" t="n"/>
    </row>
    <row r="302" ht="18" customHeight="1" s="82">
      <c r="A302" s="36" t="n"/>
      <c r="B302" s="36" t="n"/>
      <c r="C302" s="36" t="n"/>
      <c r="D302" s="36" t="n"/>
      <c r="E302" s="37" t="n"/>
      <c r="F302" s="37" t="n"/>
      <c r="G302" s="37" t="n"/>
      <c r="H302" s="37" t="n"/>
      <c r="I302" s="37" t="n"/>
      <c r="J302" s="37" t="n"/>
      <c r="K302" s="37" t="n"/>
      <c r="L302" s="37" t="n"/>
      <c r="M302" s="37" t="n"/>
      <c r="N302" s="37" t="n"/>
      <c r="O302" s="37" t="n"/>
      <c r="P302" s="37" t="n"/>
      <c r="Q302" s="37" t="n"/>
      <c r="R302" s="37" t="n"/>
      <c r="S302" s="37" t="n"/>
      <c r="T302" s="37" t="n"/>
      <c r="U302" s="37" t="n"/>
      <c r="V302" s="37" t="n"/>
      <c r="W302" s="32" t="n"/>
      <c r="X302" s="37" t="n"/>
      <c r="Y302" s="37" t="n"/>
      <c r="Z302" s="37" t="n"/>
      <c r="AA302" s="37" t="n"/>
      <c r="AB302" s="37" t="n"/>
      <c r="AC302" s="37" t="n"/>
      <c r="AD302" s="32" t="n"/>
      <c r="AE302" s="37" t="n"/>
      <c r="AF302" s="38" t="n"/>
      <c r="AG302" s="67">
        <f>IF(OR(AF302="",AE302=""),"",IFERROR(AF302*INDEX(FXRates[USD per unit],MATCH(AE302,FXRates[Currency],0)),"No rate"))</f>
        <v/>
      </c>
      <c r="AH302" s="36" t="n"/>
      <c r="AI302" s="36" t="n"/>
      <c r="AJ302" s="39">
        <f>IF(A302="","",IF(COUNTIF($A$6:$A$504,A302)&gt;1,"⚠ Duplicate",""))</f>
        <v/>
      </c>
      <c r="AK302" s="38" t="n"/>
      <c r="AL302" s="40" t="n"/>
      <c r="AM302" s="40" t="n"/>
      <c r="AN302" s="40" t="n"/>
      <c r="AO302" s="40" t="n"/>
      <c r="AP302" s="40" t="n"/>
      <c r="AQ302" s="40" t="n"/>
      <c r="AR302" s="40" t="n"/>
      <c r="AS302" s="40" t="n"/>
      <c r="AT302" s="40" t="n"/>
      <c r="AU302" s="40" t="n"/>
      <c r="AV302" s="40" t="n"/>
      <c r="AW302" s="40" t="n"/>
      <c r="AX302" s="40" t="n"/>
      <c r="AY302" s="40" t="n"/>
      <c r="AZ302" s="38" t="n"/>
      <c r="BA302" s="40" t="n"/>
      <c r="BB302" s="40" t="n"/>
      <c r="BC302" s="40" t="n"/>
      <c r="BD302" s="40" t="n"/>
      <c r="BE302" s="40" t="n"/>
      <c r="BF302" s="40" t="n"/>
      <c r="BG302" s="40" t="n"/>
      <c r="BH302" s="40" t="n"/>
      <c r="BI302" s="40" t="n"/>
      <c r="BJ302" s="40" t="n"/>
      <c r="BK302" s="40" t="n"/>
      <c r="BL302" s="40" t="n"/>
      <c r="BM302" s="40" t="n"/>
      <c r="BN302" s="40" t="n"/>
    </row>
    <row r="303" ht="18" customHeight="1" s="82">
      <c r="A303" s="30" t="n"/>
      <c r="B303" s="30" t="n"/>
      <c r="C303" s="30" t="n"/>
      <c r="D303" s="30" t="n"/>
      <c r="E303" s="31" t="n"/>
      <c r="F303" s="31" t="n"/>
      <c r="G303" s="31" t="n"/>
      <c r="H303" s="31" t="n"/>
      <c r="I303" s="31" t="n"/>
      <c r="J303" s="31" t="n"/>
      <c r="K303" s="31" t="n"/>
      <c r="L303" s="31" t="n"/>
      <c r="M303" s="31" t="n"/>
      <c r="N303" s="31" t="n"/>
      <c r="O303" s="31" t="n"/>
      <c r="P303" s="31" t="n"/>
      <c r="Q303" s="31" t="n"/>
      <c r="R303" s="31" t="n"/>
      <c r="S303" s="31" t="n"/>
      <c r="T303" s="31" t="n"/>
      <c r="U303" s="31" t="n"/>
      <c r="V303" s="31" t="n"/>
      <c r="W303" s="32" t="n"/>
      <c r="X303" s="31" t="n"/>
      <c r="Y303" s="31" t="n"/>
      <c r="Z303" s="31" t="n"/>
      <c r="AA303" s="31" t="n"/>
      <c r="AB303" s="31" t="n"/>
      <c r="AC303" s="31" t="n"/>
      <c r="AD303" s="32" t="n"/>
      <c r="AE303" s="31" t="n"/>
      <c r="AF303" s="33" t="n"/>
      <c r="AG303" s="66">
        <f>IF(OR(AF303="",AE303=""),"",IFERROR(AF303*INDEX(FXRates[USD per unit],MATCH(AE303,FXRates[Currency],0)),"No rate"))</f>
        <v/>
      </c>
      <c r="AH303" s="30" t="n"/>
      <c r="AI303" s="30" t="n"/>
      <c r="AJ303" s="34">
        <f>IF(A303="","",IF(COUNTIF($A$6:$A$504,A303)&gt;1,"⚠ Duplicate",""))</f>
        <v/>
      </c>
      <c r="AK303" s="33" t="n"/>
      <c r="AL303" s="41" t="n"/>
      <c r="AM303" s="41" t="n"/>
      <c r="AN303" s="41" t="n"/>
      <c r="AO303" s="41" t="n"/>
      <c r="AP303" s="41" t="n"/>
      <c r="AQ303" s="41" t="n"/>
      <c r="AR303" s="41" t="n"/>
      <c r="AS303" s="41" t="n"/>
      <c r="AT303" s="41" t="n"/>
      <c r="AU303" s="41" t="n"/>
      <c r="AV303" s="41" t="n"/>
      <c r="AW303" s="41" t="n"/>
      <c r="AX303" s="41" t="n"/>
      <c r="AY303" s="41" t="n"/>
      <c r="AZ303" s="33" t="n"/>
      <c r="BA303" s="41" t="n"/>
      <c r="BB303" s="41" t="n"/>
      <c r="BC303" s="41" t="n"/>
      <c r="BD303" s="41" t="n"/>
      <c r="BE303" s="41" t="n"/>
      <c r="BF303" s="41" t="n"/>
      <c r="BG303" s="41" t="n"/>
      <c r="BH303" s="41" t="n"/>
      <c r="BI303" s="41" t="n"/>
      <c r="BJ303" s="41" t="n"/>
      <c r="BK303" s="41" t="n"/>
      <c r="BL303" s="41" t="n"/>
      <c r="BM303" s="41" t="n"/>
      <c r="BN303" s="41" t="n"/>
    </row>
    <row r="304" ht="18" customHeight="1" s="82">
      <c r="A304" s="36" t="n"/>
      <c r="B304" s="36" t="n"/>
      <c r="C304" s="36" t="n"/>
      <c r="D304" s="36" t="n"/>
      <c r="E304" s="37" t="n"/>
      <c r="F304" s="37" t="n"/>
      <c r="G304" s="37" t="n"/>
      <c r="H304" s="37" t="n"/>
      <c r="I304" s="37" t="n"/>
      <c r="J304" s="37" t="n"/>
      <c r="K304" s="37" t="n"/>
      <c r="L304" s="37" t="n"/>
      <c r="M304" s="37" t="n"/>
      <c r="N304" s="37" t="n"/>
      <c r="O304" s="37" t="n"/>
      <c r="P304" s="37" t="n"/>
      <c r="Q304" s="37" t="n"/>
      <c r="R304" s="37" t="n"/>
      <c r="S304" s="37" t="n"/>
      <c r="T304" s="37" t="n"/>
      <c r="U304" s="37" t="n"/>
      <c r="V304" s="37" t="n"/>
      <c r="W304" s="32" t="n"/>
      <c r="X304" s="37" t="n"/>
      <c r="Y304" s="37" t="n"/>
      <c r="Z304" s="37" t="n"/>
      <c r="AA304" s="37" t="n"/>
      <c r="AB304" s="37" t="n"/>
      <c r="AC304" s="37" t="n"/>
      <c r="AD304" s="32" t="n"/>
      <c r="AE304" s="37" t="n"/>
      <c r="AF304" s="38" t="n"/>
      <c r="AG304" s="67">
        <f>IF(OR(AF304="",AE304=""),"",IFERROR(AF304*INDEX(FXRates[USD per unit],MATCH(AE304,FXRates[Currency],0)),"No rate"))</f>
        <v/>
      </c>
      <c r="AH304" s="36" t="n"/>
      <c r="AI304" s="36" t="n"/>
      <c r="AJ304" s="39">
        <f>IF(A304="","",IF(COUNTIF($A$6:$A$504,A304)&gt;1,"⚠ Duplicate",""))</f>
        <v/>
      </c>
      <c r="AK304" s="38" t="n"/>
      <c r="AL304" s="40" t="n"/>
      <c r="AM304" s="40" t="n"/>
      <c r="AN304" s="40" t="n"/>
      <c r="AO304" s="40" t="n"/>
      <c r="AP304" s="40" t="n"/>
      <c r="AQ304" s="40" t="n"/>
      <c r="AR304" s="40" t="n"/>
      <c r="AS304" s="40" t="n"/>
      <c r="AT304" s="40" t="n"/>
      <c r="AU304" s="40" t="n"/>
      <c r="AV304" s="40" t="n"/>
      <c r="AW304" s="40" t="n"/>
      <c r="AX304" s="40" t="n"/>
      <c r="AY304" s="40" t="n"/>
      <c r="AZ304" s="38" t="n"/>
      <c r="BA304" s="40" t="n"/>
      <c r="BB304" s="40" t="n"/>
      <c r="BC304" s="40" t="n"/>
      <c r="BD304" s="40" t="n"/>
      <c r="BE304" s="40" t="n"/>
      <c r="BF304" s="40" t="n"/>
      <c r="BG304" s="40" t="n"/>
      <c r="BH304" s="40" t="n"/>
      <c r="BI304" s="40" t="n"/>
      <c r="BJ304" s="40" t="n"/>
      <c r="BK304" s="40" t="n"/>
      <c r="BL304" s="40" t="n"/>
      <c r="BM304" s="40" t="n"/>
      <c r="BN304" s="40" t="n"/>
    </row>
    <row r="305" ht="18" customHeight="1" s="82">
      <c r="A305" s="30" t="n"/>
      <c r="B305" s="30" t="n"/>
      <c r="C305" s="30" t="n"/>
      <c r="D305" s="30" t="n"/>
      <c r="E305" s="31" t="n"/>
      <c r="F305" s="31" t="n"/>
      <c r="G305" s="31" t="n"/>
      <c r="H305" s="31" t="n"/>
      <c r="I305" s="31" t="n"/>
      <c r="J305" s="31" t="n"/>
      <c r="K305" s="31" t="n"/>
      <c r="L305" s="31" t="n"/>
      <c r="M305" s="31" t="n"/>
      <c r="N305" s="31" t="n"/>
      <c r="O305" s="31" t="n"/>
      <c r="P305" s="31" t="n"/>
      <c r="Q305" s="31" t="n"/>
      <c r="R305" s="31" t="n"/>
      <c r="S305" s="31" t="n"/>
      <c r="T305" s="31" t="n"/>
      <c r="U305" s="31" t="n"/>
      <c r="V305" s="31" t="n"/>
      <c r="W305" s="32" t="n"/>
      <c r="X305" s="31" t="n"/>
      <c r="Y305" s="31" t="n"/>
      <c r="Z305" s="31" t="n"/>
      <c r="AA305" s="31" t="n"/>
      <c r="AB305" s="31" t="n"/>
      <c r="AC305" s="31" t="n"/>
      <c r="AD305" s="32" t="n"/>
      <c r="AE305" s="31" t="n"/>
      <c r="AF305" s="33" t="n"/>
      <c r="AG305" s="66">
        <f>IF(OR(AF305="",AE305=""),"",IFERROR(AF305*INDEX(FXRates[USD per unit],MATCH(AE305,FXRates[Currency],0)),"No rate"))</f>
        <v/>
      </c>
      <c r="AH305" s="30" t="n"/>
      <c r="AI305" s="30" t="n"/>
      <c r="AJ305" s="34">
        <f>IF(A305="","",IF(COUNTIF($A$6:$A$504,A305)&gt;1,"⚠ Duplicate",""))</f>
        <v/>
      </c>
      <c r="AK305" s="33" t="n"/>
      <c r="AL305" s="41" t="n"/>
      <c r="AM305" s="41" t="n"/>
      <c r="AN305" s="41" t="n"/>
      <c r="AO305" s="41" t="n"/>
      <c r="AP305" s="41" t="n"/>
      <c r="AQ305" s="41" t="n"/>
      <c r="AR305" s="41" t="n"/>
      <c r="AS305" s="41" t="n"/>
      <c r="AT305" s="41" t="n"/>
      <c r="AU305" s="41" t="n"/>
      <c r="AV305" s="41" t="n"/>
      <c r="AW305" s="41" t="n"/>
      <c r="AX305" s="41" t="n"/>
      <c r="AY305" s="41" t="n"/>
      <c r="AZ305" s="33" t="n"/>
      <c r="BA305" s="41" t="n"/>
      <c r="BB305" s="41" t="n"/>
      <c r="BC305" s="41" t="n"/>
      <c r="BD305" s="41" t="n"/>
      <c r="BE305" s="41" t="n"/>
      <c r="BF305" s="41" t="n"/>
      <c r="BG305" s="41" t="n"/>
      <c r="BH305" s="41" t="n"/>
      <c r="BI305" s="41" t="n"/>
      <c r="BJ305" s="41" t="n"/>
      <c r="BK305" s="41" t="n"/>
      <c r="BL305" s="41" t="n"/>
      <c r="BM305" s="41" t="n"/>
      <c r="BN305" s="41" t="n"/>
    </row>
    <row r="306" ht="18" customHeight="1" s="82">
      <c r="A306" s="36" t="n"/>
      <c r="B306" s="36" t="n"/>
      <c r="C306" s="36" t="n"/>
      <c r="D306" s="36" t="n"/>
      <c r="E306" s="37" t="n"/>
      <c r="F306" s="37" t="n"/>
      <c r="G306" s="37" t="n"/>
      <c r="H306" s="37" t="n"/>
      <c r="I306" s="37" t="n"/>
      <c r="J306" s="37" t="n"/>
      <c r="K306" s="37" t="n"/>
      <c r="L306" s="37" t="n"/>
      <c r="M306" s="37" t="n"/>
      <c r="N306" s="37" t="n"/>
      <c r="O306" s="37" t="n"/>
      <c r="P306" s="37" t="n"/>
      <c r="Q306" s="37" t="n"/>
      <c r="R306" s="37" t="n"/>
      <c r="S306" s="37" t="n"/>
      <c r="T306" s="37" t="n"/>
      <c r="U306" s="37" t="n"/>
      <c r="V306" s="37" t="n"/>
      <c r="W306" s="32" t="n"/>
      <c r="X306" s="37" t="n"/>
      <c r="Y306" s="37" t="n"/>
      <c r="Z306" s="37" t="n"/>
      <c r="AA306" s="37" t="n"/>
      <c r="AB306" s="37" t="n"/>
      <c r="AC306" s="37" t="n"/>
      <c r="AD306" s="32" t="n"/>
      <c r="AE306" s="37" t="n"/>
      <c r="AF306" s="38" t="n"/>
      <c r="AG306" s="67">
        <f>IF(OR(AF306="",AE306=""),"",IFERROR(AF306*INDEX(FXRates[USD per unit],MATCH(AE306,FXRates[Currency],0)),"No rate"))</f>
        <v/>
      </c>
      <c r="AH306" s="36" t="n"/>
      <c r="AI306" s="36" t="n"/>
      <c r="AJ306" s="39">
        <f>IF(A306="","",IF(COUNTIF($A$6:$A$504,A306)&gt;1,"⚠ Duplicate",""))</f>
        <v/>
      </c>
      <c r="AK306" s="38" t="n"/>
      <c r="AL306" s="40" t="n"/>
      <c r="AM306" s="40" t="n"/>
      <c r="AN306" s="40" t="n"/>
      <c r="AO306" s="40" t="n"/>
      <c r="AP306" s="40" t="n"/>
      <c r="AQ306" s="40" t="n"/>
      <c r="AR306" s="40" t="n"/>
      <c r="AS306" s="40" t="n"/>
      <c r="AT306" s="40" t="n"/>
      <c r="AU306" s="40" t="n"/>
      <c r="AV306" s="40" t="n"/>
      <c r="AW306" s="40" t="n"/>
      <c r="AX306" s="40" t="n"/>
      <c r="AY306" s="40" t="n"/>
      <c r="AZ306" s="38" t="n"/>
      <c r="BA306" s="40" t="n"/>
      <c r="BB306" s="40" t="n"/>
      <c r="BC306" s="40" t="n"/>
      <c r="BD306" s="40" t="n"/>
      <c r="BE306" s="40" t="n"/>
      <c r="BF306" s="40" t="n"/>
      <c r="BG306" s="40" t="n"/>
      <c r="BH306" s="40" t="n"/>
      <c r="BI306" s="40" t="n"/>
      <c r="BJ306" s="40" t="n"/>
      <c r="BK306" s="40" t="n"/>
      <c r="BL306" s="40" t="n"/>
      <c r="BM306" s="40" t="n"/>
      <c r="BN306" s="40" t="n"/>
    </row>
    <row r="307" ht="18" customHeight="1" s="82">
      <c r="A307" s="30" t="n"/>
      <c r="B307" s="30" t="n"/>
      <c r="C307" s="30" t="n"/>
      <c r="D307" s="30" t="n"/>
      <c r="E307" s="31" t="n"/>
      <c r="F307" s="31" t="n"/>
      <c r="G307" s="31" t="n"/>
      <c r="H307" s="31" t="n"/>
      <c r="I307" s="31" t="n"/>
      <c r="J307" s="31" t="n"/>
      <c r="K307" s="31" t="n"/>
      <c r="L307" s="31" t="n"/>
      <c r="M307" s="31" t="n"/>
      <c r="N307" s="31" t="n"/>
      <c r="O307" s="31" t="n"/>
      <c r="P307" s="31" t="n"/>
      <c r="Q307" s="31" t="n"/>
      <c r="R307" s="31" t="n"/>
      <c r="S307" s="31" t="n"/>
      <c r="T307" s="31" t="n"/>
      <c r="U307" s="31" t="n"/>
      <c r="V307" s="31" t="n"/>
      <c r="W307" s="32" t="n"/>
      <c r="X307" s="31" t="n"/>
      <c r="Y307" s="31" t="n"/>
      <c r="Z307" s="31" t="n"/>
      <c r="AA307" s="31" t="n"/>
      <c r="AB307" s="31" t="n"/>
      <c r="AC307" s="31" t="n"/>
      <c r="AD307" s="32" t="n"/>
      <c r="AE307" s="31" t="n"/>
      <c r="AF307" s="33" t="n"/>
      <c r="AG307" s="66">
        <f>IF(OR(AF307="",AE307=""),"",IFERROR(AF307*INDEX(FXRates[USD per unit],MATCH(AE307,FXRates[Currency],0)),"No rate"))</f>
        <v/>
      </c>
      <c r="AH307" s="30" t="n"/>
      <c r="AI307" s="30" t="n"/>
      <c r="AJ307" s="34">
        <f>IF(A307="","",IF(COUNTIF($A$6:$A$504,A307)&gt;1,"⚠ Duplicate",""))</f>
        <v/>
      </c>
      <c r="AK307" s="33" t="n"/>
      <c r="AL307" s="41" t="n"/>
      <c r="AM307" s="41" t="n"/>
      <c r="AN307" s="41" t="n"/>
      <c r="AO307" s="41" t="n"/>
      <c r="AP307" s="41" t="n"/>
      <c r="AQ307" s="41" t="n"/>
      <c r="AR307" s="41" t="n"/>
      <c r="AS307" s="41" t="n"/>
      <c r="AT307" s="41" t="n"/>
      <c r="AU307" s="41" t="n"/>
      <c r="AV307" s="41" t="n"/>
      <c r="AW307" s="41" t="n"/>
      <c r="AX307" s="41" t="n"/>
      <c r="AY307" s="41" t="n"/>
      <c r="AZ307" s="33" t="n"/>
      <c r="BA307" s="41" t="n"/>
      <c r="BB307" s="41" t="n"/>
      <c r="BC307" s="41" t="n"/>
      <c r="BD307" s="41" t="n"/>
      <c r="BE307" s="41" t="n"/>
      <c r="BF307" s="41" t="n"/>
      <c r="BG307" s="41" t="n"/>
      <c r="BH307" s="41" t="n"/>
      <c r="BI307" s="41" t="n"/>
      <c r="BJ307" s="41" t="n"/>
      <c r="BK307" s="41" t="n"/>
      <c r="BL307" s="41" t="n"/>
      <c r="BM307" s="41" t="n"/>
      <c r="BN307" s="41" t="n"/>
    </row>
    <row r="308" ht="18" customHeight="1" s="82">
      <c r="A308" s="36" t="n"/>
      <c r="B308" s="36" t="n"/>
      <c r="C308" s="36" t="n"/>
      <c r="D308" s="36" t="n"/>
      <c r="E308" s="37" t="n"/>
      <c r="F308" s="37" t="n"/>
      <c r="G308" s="37" t="n"/>
      <c r="H308" s="37" t="n"/>
      <c r="I308" s="37" t="n"/>
      <c r="J308" s="37" t="n"/>
      <c r="K308" s="37" t="n"/>
      <c r="L308" s="37" t="n"/>
      <c r="M308" s="37" t="n"/>
      <c r="N308" s="37" t="n"/>
      <c r="O308" s="37" t="n"/>
      <c r="P308" s="37" t="n"/>
      <c r="Q308" s="37" t="n"/>
      <c r="R308" s="37" t="n"/>
      <c r="S308" s="37" t="n"/>
      <c r="T308" s="37" t="n"/>
      <c r="U308" s="37" t="n"/>
      <c r="V308" s="37" t="n"/>
      <c r="W308" s="32" t="n"/>
      <c r="X308" s="37" t="n"/>
      <c r="Y308" s="37" t="n"/>
      <c r="Z308" s="37" t="n"/>
      <c r="AA308" s="37" t="n"/>
      <c r="AB308" s="37" t="n"/>
      <c r="AC308" s="37" t="n"/>
      <c r="AD308" s="32" t="n"/>
      <c r="AE308" s="37" t="n"/>
      <c r="AF308" s="38" t="n"/>
      <c r="AG308" s="67">
        <f>IF(OR(AF308="",AE308=""),"",IFERROR(AF308*INDEX(FXRates[USD per unit],MATCH(AE308,FXRates[Currency],0)),"No rate"))</f>
        <v/>
      </c>
      <c r="AH308" s="36" t="n"/>
      <c r="AI308" s="36" t="n"/>
      <c r="AJ308" s="39">
        <f>IF(A308="","",IF(COUNTIF($A$6:$A$504,A308)&gt;1,"⚠ Duplicate",""))</f>
        <v/>
      </c>
      <c r="AK308" s="38" t="n"/>
      <c r="AL308" s="40" t="n"/>
      <c r="AM308" s="40" t="n"/>
      <c r="AN308" s="40" t="n"/>
      <c r="AO308" s="40" t="n"/>
      <c r="AP308" s="40" t="n"/>
      <c r="AQ308" s="40" t="n"/>
      <c r="AR308" s="40" t="n"/>
      <c r="AS308" s="40" t="n"/>
      <c r="AT308" s="40" t="n"/>
      <c r="AU308" s="40" t="n"/>
      <c r="AV308" s="40" t="n"/>
      <c r="AW308" s="40" t="n"/>
      <c r="AX308" s="40" t="n"/>
      <c r="AY308" s="40" t="n"/>
      <c r="AZ308" s="38" t="n"/>
      <c r="BA308" s="40" t="n"/>
      <c r="BB308" s="40" t="n"/>
      <c r="BC308" s="40" t="n"/>
      <c r="BD308" s="40" t="n"/>
      <c r="BE308" s="40" t="n"/>
      <c r="BF308" s="40" t="n"/>
      <c r="BG308" s="40" t="n"/>
      <c r="BH308" s="40" t="n"/>
      <c r="BI308" s="40" t="n"/>
      <c r="BJ308" s="40" t="n"/>
      <c r="BK308" s="40" t="n"/>
      <c r="BL308" s="40" t="n"/>
      <c r="BM308" s="40" t="n"/>
      <c r="BN308" s="40" t="n"/>
    </row>
    <row r="309" ht="18" customHeight="1" s="82">
      <c r="A309" s="30" t="n"/>
      <c r="B309" s="30" t="n"/>
      <c r="C309" s="30" t="n"/>
      <c r="D309" s="30" t="n"/>
      <c r="E309" s="31" t="n"/>
      <c r="F309" s="31" t="n"/>
      <c r="G309" s="31" t="n"/>
      <c r="H309" s="31" t="n"/>
      <c r="I309" s="31" t="n"/>
      <c r="J309" s="31" t="n"/>
      <c r="K309" s="31" t="n"/>
      <c r="L309" s="31" t="n"/>
      <c r="M309" s="31" t="n"/>
      <c r="N309" s="31" t="n"/>
      <c r="O309" s="31" t="n"/>
      <c r="P309" s="31" t="n"/>
      <c r="Q309" s="31" t="n"/>
      <c r="R309" s="31" t="n"/>
      <c r="S309" s="31" t="n"/>
      <c r="T309" s="31" t="n"/>
      <c r="U309" s="31" t="n"/>
      <c r="V309" s="31" t="n"/>
      <c r="W309" s="32" t="n"/>
      <c r="X309" s="31" t="n"/>
      <c r="Y309" s="31" t="n"/>
      <c r="Z309" s="31" t="n"/>
      <c r="AA309" s="31" t="n"/>
      <c r="AB309" s="31" t="n"/>
      <c r="AC309" s="31" t="n"/>
      <c r="AD309" s="32" t="n"/>
      <c r="AE309" s="31" t="n"/>
      <c r="AF309" s="33" t="n"/>
      <c r="AG309" s="66">
        <f>IF(OR(AF309="",AE309=""),"",IFERROR(AF309*INDEX(FXRates[USD per unit],MATCH(AE309,FXRates[Currency],0)),"No rate"))</f>
        <v/>
      </c>
      <c r="AH309" s="30" t="n"/>
      <c r="AI309" s="30" t="n"/>
      <c r="AJ309" s="34">
        <f>IF(A309="","",IF(COUNTIF($A$6:$A$504,A309)&gt;1,"⚠ Duplicate",""))</f>
        <v/>
      </c>
      <c r="AK309" s="33" t="n"/>
      <c r="AL309" s="41" t="n"/>
      <c r="AM309" s="41" t="n"/>
      <c r="AN309" s="41" t="n"/>
      <c r="AO309" s="41" t="n"/>
      <c r="AP309" s="41" t="n"/>
      <c r="AQ309" s="41" t="n"/>
      <c r="AR309" s="41" t="n"/>
      <c r="AS309" s="41" t="n"/>
      <c r="AT309" s="41" t="n"/>
      <c r="AU309" s="41" t="n"/>
      <c r="AV309" s="41" t="n"/>
      <c r="AW309" s="41" t="n"/>
      <c r="AX309" s="41" t="n"/>
      <c r="AY309" s="41" t="n"/>
      <c r="AZ309" s="33" t="n"/>
      <c r="BA309" s="41" t="n"/>
      <c r="BB309" s="41" t="n"/>
      <c r="BC309" s="41" t="n"/>
      <c r="BD309" s="41" t="n"/>
      <c r="BE309" s="41" t="n"/>
      <c r="BF309" s="41" t="n"/>
      <c r="BG309" s="41" t="n"/>
      <c r="BH309" s="41" t="n"/>
      <c r="BI309" s="41" t="n"/>
      <c r="BJ309" s="41" t="n"/>
      <c r="BK309" s="41" t="n"/>
      <c r="BL309" s="41" t="n"/>
      <c r="BM309" s="41" t="n"/>
      <c r="BN309" s="41" t="n"/>
    </row>
    <row r="310" ht="18" customHeight="1" s="82">
      <c r="A310" s="36" t="n"/>
      <c r="B310" s="36" t="n"/>
      <c r="C310" s="36" t="n"/>
      <c r="D310" s="36" t="n"/>
      <c r="E310" s="37" t="n"/>
      <c r="F310" s="37" t="n"/>
      <c r="G310" s="37" t="n"/>
      <c r="H310" s="37" t="n"/>
      <c r="I310" s="37" t="n"/>
      <c r="J310" s="37" t="n"/>
      <c r="K310" s="37" t="n"/>
      <c r="L310" s="37" t="n"/>
      <c r="M310" s="37" t="n"/>
      <c r="N310" s="37" t="n"/>
      <c r="O310" s="37" t="n"/>
      <c r="P310" s="37" t="n"/>
      <c r="Q310" s="37" t="n"/>
      <c r="R310" s="37" t="n"/>
      <c r="S310" s="37" t="n"/>
      <c r="T310" s="37" t="n"/>
      <c r="U310" s="37" t="n"/>
      <c r="V310" s="37" t="n"/>
      <c r="W310" s="32" t="n"/>
      <c r="X310" s="37" t="n"/>
      <c r="Y310" s="37" t="n"/>
      <c r="Z310" s="37" t="n"/>
      <c r="AA310" s="37" t="n"/>
      <c r="AB310" s="37" t="n"/>
      <c r="AC310" s="37" t="n"/>
      <c r="AD310" s="32" t="n"/>
      <c r="AE310" s="37" t="n"/>
      <c r="AF310" s="38" t="n"/>
      <c r="AG310" s="67">
        <f>IF(OR(AF310="",AE310=""),"",IFERROR(AF310*INDEX(FXRates[USD per unit],MATCH(AE310,FXRates[Currency],0)),"No rate"))</f>
        <v/>
      </c>
      <c r="AH310" s="36" t="n"/>
      <c r="AI310" s="36" t="n"/>
      <c r="AJ310" s="39">
        <f>IF(A310="","",IF(COUNTIF($A$6:$A$504,A310)&gt;1,"⚠ Duplicate",""))</f>
        <v/>
      </c>
      <c r="AK310" s="38" t="n"/>
      <c r="AL310" s="40" t="n"/>
      <c r="AM310" s="40" t="n"/>
      <c r="AN310" s="40" t="n"/>
      <c r="AO310" s="40" t="n"/>
      <c r="AP310" s="40" t="n"/>
      <c r="AQ310" s="40" t="n"/>
      <c r="AR310" s="40" t="n"/>
      <c r="AS310" s="40" t="n"/>
      <c r="AT310" s="40" t="n"/>
      <c r="AU310" s="40" t="n"/>
      <c r="AV310" s="40" t="n"/>
      <c r="AW310" s="40" t="n"/>
      <c r="AX310" s="40" t="n"/>
      <c r="AY310" s="40" t="n"/>
      <c r="AZ310" s="38" t="n"/>
      <c r="BA310" s="40" t="n"/>
      <c r="BB310" s="40" t="n"/>
      <c r="BC310" s="40" t="n"/>
      <c r="BD310" s="40" t="n"/>
      <c r="BE310" s="40" t="n"/>
      <c r="BF310" s="40" t="n"/>
      <c r="BG310" s="40" t="n"/>
      <c r="BH310" s="40" t="n"/>
      <c r="BI310" s="40" t="n"/>
      <c r="BJ310" s="40" t="n"/>
      <c r="BK310" s="40" t="n"/>
      <c r="BL310" s="40" t="n"/>
      <c r="BM310" s="40" t="n"/>
      <c r="BN310" s="40" t="n"/>
    </row>
    <row r="311" ht="18" customHeight="1" s="82">
      <c r="A311" s="30" t="n"/>
      <c r="B311" s="30" t="n"/>
      <c r="C311" s="30" t="n"/>
      <c r="D311" s="30" t="n"/>
      <c r="E311" s="31" t="n"/>
      <c r="F311" s="31" t="n"/>
      <c r="G311" s="31" t="n"/>
      <c r="H311" s="31" t="n"/>
      <c r="I311" s="31" t="n"/>
      <c r="J311" s="31" t="n"/>
      <c r="K311" s="31" t="n"/>
      <c r="L311" s="31" t="n"/>
      <c r="M311" s="31" t="n"/>
      <c r="N311" s="31" t="n"/>
      <c r="O311" s="31" t="n"/>
      <c r="P311" s="31" t="n"/>
      <c r="Q311" s="31" t="n"/>
      <c r="R311" s="31" t="n"/>
      <c r="S311" s="31" t="n"/>
      <c r="T311" s="31" t="n"/>
      <c r="U311" s="31" t="n"/>
      <c r="V311" s="31" t="n"/>
      <c r="W311" s="32" t="n"/>
      <c r="X311" s="31" t="n"/>
      <c r="Y311" s="31" t="n"/>
      <c r="Z311" s="31" t="n"/>
      <c r="AA311" s="31" t="n"/>
      <c r="AB311" s="31" t="n"/>
      <c r="AC311" s="31" t="n"/>
      <c r="AD311" s="32" t="n"/>
      <c r="AE311" s="31" t="n"/>
      <c r="AF311" s="33" t="n"/>
      <c r="AG311" s="66">
        <f>IF(OR(AF311="",AE311=""),"",IFERROR(AF311*INDEX(FXRates[USD per unit],MATCH(AE311,FXRates[Currency],0)),"No rate"))</f>
        <v/>
      </c>
      <c r="AH311" s="30" t="n"/>
      <c r="AI311" s="30" t="n"/>
      <c r="AJ311" s="34">
        <f>IF(A311="","",IF(COUNTIF($A$6:$A$504,A311)&gt;1,"⚠ Duplicate",""))</f>
        <v/>
      </c>
      <c r="AK311" s="33" t="n"/>
      <c r="AL311" s="41" t="n"/>
      <c r="AM311" s="41" t="n"/>
      <c r="AN311" s="41" t="n"/>
      <c r="AO311" s="41" t="n"/>
      <c r="AP311" s="41" t="n"/>
      <c r="AQ311" s="41" t="n"/>
      <c r="AR311" s="41" t="n"/>
      <c r="AS311" s="41" t="n"/>
      <c r="AT311" s="41" t="n"/>
      <c r="AU311" s="41" t="n"/>
      <c r="AV311" s="41" t="n"/>
      <c r="AW311" s="41" t="n"/>
      <c r="AX311" s="41" t="n"/>
      <c r="AY311" s="41" t="n"/>
      <c r="AZ311" s="33" t="n"/>
      <c r="BA311" s="41" t="n"/>
      <c r="BB311" s="41" t="n"/>
      <c r="BC311" s="41" t="n"/>
      <c r="BD311" s="41" t="n"/>
      <c r="BE311" s="41" t="n"/>
      <c r="BF311" s="41" t="n"/>
      <c r="BG311" s="41" t="n"/>
      <c r="BH311" s="41" t="n"/>
      <c r="BI311" s="41" t="n"/>
      <c r="BJ311" s="41" t="n"/>
      <c r="BK311" s="41" t="n"/>
      <c r="BL311" s="41" t="n"/>
      <c r="BM311" s="41" t="n"/>
      <c r="BN311" s="41" t="n"/>
    </row>
    <row r="312" ht="18" customHeight="1" s="82">
      <c r="A312" s="36" t="n"/>
      <c r="B312" s="36" t="n"/>
      <c r="C312" s="36" t="n"/>
      <c r="D312" s="36" t="n"/>
      <c r="E312" s="37" t="n"/>
      <c r="F312" s="37" t="n"/>
      <c r="G312" s="37" t="n"/>
      <c r="H312" s="37" t="n"/>
      <c r="I312" s="37" t="n"/>
      <c r="J312" s="37" t="n"/>
      <c r="K312" s="37" t="n"/>
      <c r="L312" s="37" t="n"/>
      <c r="M312" s="37" t="n"/>
      <c r="N312" s="37" t="n"/>
      <c r="O312" s="37" t="n"/>
      <c r="P312" s="37" t="n"/>
      <c r="Q312" s="37" t="n"/>
      <c r="R312" s="37" t="n"/>
      <c r="S312" s="37" t="n"/>
      <c r="T312" s="37" t="n"/>
      <c r="U312" s="37" t="n"/>
      <c r="V312" s="37" t="n"/>
      <c r="W312" s="32" t="n"/>
      <c r="X312" s="37" t="n"/>
      <c r="Y312" s="37" t="n"/>
      <c r="Z312" s="37" t="n"/>
      <c r="AA312" s="37" t="n"/>
      <c r="AB312" s="37" t="n"/>
      <c r="AC312" s="37" t="n"/>
      <c r="AD312" s="32" t="n"/>
      <c r="AE312" s="37" t="n"/>
      <c r="AF312" s="38" t="n"/>
      <c r="AG312" s="67">
        <f>IF(OR(AF312="",AE312=""),"",IFERROR(AF312*INDEX(FXRates[USD per unit],MATCH(AE312,FXRates[Currency],0)),"No rate"))</f>
        <v/>
      </c>
      <c r="AH312" s="36" t="n"/>
      <c r="AI312" s="36" t="n"/>
      <c r="AJ312" s="39">
        <f>IF(A312="","",IF(COUNTIF($A$6:$A$504,A312)&gt;1,"⚠ Duplicate",""))</f>
        <v/>
      </c>
      <c r="AK312" s="38" t="n"/>
      <c r="AL312" s="40" t="n"/>
      <c r="AM312" s="40" t="n"/>
      <c r="AN312" s="40" t="n"/>
      <c r="AO312" s="40" t="n"/>
      <c r="AP312" s="40" t="n"/>
      <c r="AQ312" s="40" t="n"/>
      <c r="AR312" s="40" t="n"/>
      <c r="AS312" s="40" t="n"/>
      <c r="AT312" s="40" t="n"/>
      <c r="AU312" s="40" t="n"/>
      <c r="AV312" s="40" t="n"/>
      <c r="AW312" s="40" t="n"/>
      <c r="AX312" s="40" t="n"/>
      <c r="AY312" s="40" t="n"/>
      <c r="AZ312" s="38" t="n"/>
      <c r="BA312" s="40" t="n"/>
      <c r="BB312" s="40" t="n"/>
      <c r="BC312" s="40" t="n"/>
      <c r="BD312" s="40" t="n"/>
      <c r="BE312" s="40" t="n"/>
      <c r="BF312" s="40" t="n"/>
      <c r="BG312" s="40" t="n"/>
      <c r="BH312" s="40" t="n"/>
      <c r="BI312" s="40" t="n"/>
      <c r="BJ312" s="40" t="n"/>
      <c r="BK312" s="40" t="n"/>
      <c r="BL312" s="40" t="n"/>
      <c r="BM312" s="40" t="n"/>
      <c r="BN312" s="40" t="n"/>
    </row>
    <row r="313" ht="18" customHeight="1" s="82">
      <c r="A313" s="30" t="n"/>
      <c r="B313" s="30" t="n"/>
      <c r="C313" s="30" t="n"/>
      <c r="D313" s="30" t="n"/>
      <c r="E313" s="31" t="n"/>
      <c r="F313" s="31" t="n"/>
      <c r="G313" s="31" t="n"/>
      <c r="H313" s="31" t="n"/>
      <c r="I313" s="31" t="n"/>
      <c r="J313" s="31" t="n"/>
      <c r="K313" s="31" t="n"/>
      <c r="L313" s="31" t="n"/>
      <c r="M313" s="31" t="n"/>
      <c r="N313" s="31" t="n"/>
      <c r="O313" s="31" t="n"/>
      <c r="P313" s="31" t="n"/>
      <c r="Q313" s="31" t="n"/>
      <c r="R313" s="31" t="n"/>
      <c r="S313" s="31" t="n"/>
      <c r="T313" s="31" t="n"/>
      <c r="U313" s="31" t="n"/>
      <c r="V313" s="31" t="n"/>
      <c r="W313" s="32" t="n"/>
      <c r="X313" s="31" t="n"/>
      <c r="Y313" s="31" t="n"/>
      <c r="Z313" s="31" t="n"/>
      <c r="AA313" s="31" t="n"/>
      <c r="AB313" s="31" t="n"/>
      <c r="AC313" s="31" t="n"/>
      <c r="AD313" s="32" t="n"/>
      <c r="AE313" s="31" t="n"/>
      <c r="AF313" s="33" t="n"/>
      <c r="AG313" s="66">
        <f>IF(OR(AF313="",AE313=""),"",IFERROR(AF313*INDEX(FXRates[USD per unit],MATCH(AE313,FXRates[Currency],0)),"No rate"))</f>
        <v/>
      </c>
      <c r="AH313" s="30" t="n"/>
      <c r="AI313" s="30" t="n"/>
      <c r="AJ313" s="34">
        <f>IF(A313="","",IF(COUNTIF($A$6:$A$504,A313)&gt;1,"⚠ Duplicate",""))</f>
        <v/>
      </c>
      <c r="AK313" s="33" t="n"/>
      <c r="AL313" s="41" t="n"/>
      <c r="AM313" s="41" t="n"/>
      <c r="AN313" s="41" t="n"/>
      <c r="AO313" s="41" t="n"/>
      <c r="AP313" s="41" t="n"/>
      <c r="AQ313" s="41" t="n"/>
      <c r="AR313" s="41" t="n"/>
      <c r="AS313" s="41" t="n"/>
      <c r="AT313" s="41" t="n"/>
      <c r="AU313" s="41" t="n"/>
      <c r="AV313" s="41" t="n"/>
      <c r="AW313" s="41" t="n"/>
      <c r="AX313" s="41" t="n"/>
      <c r="AY313" s="41" t="n"/>
      <c r="AZ313" s="33" t="n"/>
      <c r="BA313" s="41" t="n"/>
      <c r="BB313" s="41" t="n"/>
      <c r="BC313" s="41" t="n"/>
      <c r="BD313" s="41" t="n"/>
      <c r="BE313" s="41" t="n"/>
      <c r="BF313" s="41" t="n"/>
      <c r="BG313" s="41" t="n"/>
      <c r="BH313" s="41" t="n"/>
      <c r="BI313" s="41" t="n"/>
      <c r="BJ313" s="41" t="n"/>
      <c r="BK313" s="41" t="n"/>
      <c r="BL313" s="41" t="n"/>
      <c r="BM313" s="41" t="n"/>
      <c r="BN313" s="41" t="n"/>
    </row>
    <row r="314" ht="18" customHeight="1" s="82">
      <c r="A314" s="36" t="n"/>
      <c r="B314" s="36" t="n"/>
      <c r="C314" s="36" t="n"/>
      <c r="D314" s="36" t="n"/>
      <c r="E314" s="37" t="n"/>
      <c r="F314" s="37" t="n"/>
      <c r="G314" s="37" t="n"/>
      <c r="H314" s="37" t="n"/>
      <c r="I314" s="37" t="n"/>
      <c r="J314" s="37" t="n"/>
      <c r="K314" s="37" t="n"/>
      <c r="L314" s="37" t="n"/>
      <c r="M314" s="37" t="n"/>
      <c r="N314" s="37" t="n"/>
      <c r="O314" s="37" t="n"/>
      <c r="P314" s="37" t="n"/>
      <c r="Q314" s="37" t="n"/>
      <c r="R314" s="37" t="n"/>
      <c r="S314" s="37" t="n"/>
      <c r="T314" s="37" t="n"/>
      <c r="U314" s="37" t="n"/>
      <c r="V314" s="37" t="n"/>
      <c r="W314" s="32" t="n"/>
      <c r="X314" s="37" t="n"/>
      <c r="Y314" s="37" t="n"/>
      <c r="Z314" s="37" t="n"/>
      <c r="AA314" s="37" t="n"/>
      <c r="AB314" s="37" t="n"/>
      <c r="AC314" s="37" t="n"/>
      <c r="AD314" s="32" t="n"/>
      <c r="AE314" s="37" t="n"/>
      <c r="AF314" s="38" t="n"/>
      <c r="AG314" s="67">
        <f>IF(OR(AF314="",AE314=""),"",IFERROR(AF314*INDEX(FXRates[USD per unit],MATCH(AE314,FXRates[Currency],0)),"No rate"))</f>
        <v/>
      </c>
      <c r="AH314" s="36" t="n"/>
      <c r="AI314" s="36" t="n"/>
      <c r="AJ314" s="39">
        <f>IF(A314="","",IF(COUNTIF($A$6:$A$504,A314)&gt;1,"⚠ Duplicate",""))</f>
        <v/>
      </c>
      <c r="AK314" s="38" t="n"/>
      <c r="AL314" s="40" t="n"/>
      <c r="AM314" s="40" t="n"/>
      <c r="AN314" s="40" t="n"/>
      <c r="AO314" s="40" t="n"/>
      <c r="AP314" s="40" t="n"/>
      <c r="AQ314" s="40" t="n"/>
      <c r="AR314" s="40" t="n"/>
      <c r="AS314" s="40" t="n"/>
      <c r="AT314" s="40" t="n"/>
      <c r="AU314" s="40" t="n"/>
      <c r="AV314" s="40" t="n"/>
      <c r="AW314" s="40" t="n"/>
      <c r="AX314" s="40" t="n"/>
      <c r="AY314" s="40" t="n"/>
      <c r="AZ314" s="38" t="n"/>
      <c r="BA314" s="40" t="n"/>
      <c r="BB314" s="40" t="n"/>
      <c r="BC314" s="40" t="n"/>
      <c r="BD314" s="40" t="n"/>
      <c r="BE314" s="40" t="n"/>
      <c r="BF314" s="40" t="n"/>
      <c r="BG314" s="40" t="n"/>
      <c r="BH314" s="40" t="n"/>
      <c r="BI314" s="40" t="n"/>
      <c r="BJ314" s="40" t="n"/>
      <c r="BK314" s="40" t="n"/>
      <c r="BL314" s="40" t="n"/>
      <c r="BM314" s="40" t="n"/>
      <c r="BN314" s="40" t="n"/>
    </row>
    <row r="315" ht="18" customHeight="1" s="82">
      <c r="A315" s="30" t="n"/>
      <c r="B315" s="30" t="n"/>
      <c r="C315" s="30" t="n"/>
      <c r="D315" s="30" t="n"/>
      <c r="E315" s="31" t="n"/>
      <c r="F315" s="31" t="n"/>
      <c r="G315" s="31" t="n"/>
      <c r="H315" s="31" t="n"/>
      <c r="I315" s="31" t="n"/>
      <c r="J315" s="31" t="n"/>
      <c r="K315" s="31" t="n"/>
      <c r="L315" s="31" t="n"/>
      <c r="M315" s="31" t="n"/>
      <c r="N315" s="31" t="n"/>
      <c r="O315" s="31" t="n"/>
      <c r="P315" s="31" t="n"/>
      <c r="Q315" s="31" t="n"/>
      <c r="R315" s="31" t="n"/>
      <c r="S315" s="31" t="n"/>
      <c r="T315" s="31" t="n"/>
      <c r="U315" s="31" t="n"/>
      <c r="V315" s="31" t="n"/>
      <c r="W315" s="32" t="n"/>
      <c r="X315" s="31" t="n"/>
      <c r="Y315" s="31" t="n"/>
      <c r="Z315" s="31" t="n"/>
      <c r="AA315" s="31" t="n"/>
      <c r="AB315" s="31" t="n"/>
      <c r="AC315" s="31" t="n"/>
      <c r="AD315" s="32" t="n"/>
      <c r="AE315" s="31" t="n"/>
      <c r="AF315" s="33" t="n"/>
      <c r="AG315" s="66">
        <f>IF(OR(AF315="",AE315=""),"",IFERROR(AF315*INDEX(FXRates[USD per unit],MATCH(AE315,FXRates[Currency],0)),"No rate"))</f>
        <v/>
      </c>
      <c r="AH315" s="30" t="n"/>
      <c r="AI315" s="30" t="n"/>
      <c r="AJ315" s="34">
        <f>IF(A315="","",IF(COUNTIF($A$6:$A$504,A315)&gt;1,"⚠ Duplicate",""))</f>
        <v/>
      </c>
      <c r="AK315" s="33" t="n"/>
      <c r="AL315" s="41" t="n"/>
      <c r="AM315" s="41" t="n"/>
      <c r="AN315" s="41" t="n"/>
      <c r="AO315" s="41" t="n"/>
      <c r="AP315" s="41" t="n"/>
      <c r="AQ315" s="41" t="n"/>
      <c r="AR315" s="41" t="n"/>
      <c r="AS315" s="41" t="n"/>
      <c r="AT315" s="41" t="n"/>
      <c r="AU315" s="41" t="n"/>
      <c r="AV315" s="41" t="n"/>
      <c r="AW315" s="41" t="n"/>
      <c r="AX315" s="41" t="n"/>
      <c r="AY315" s="41" t="n"/>
      <c r="AZ315" s="33" t="n"/>
      <c r="BA315" s="41" t="n"/>
      <c r="BB315" s="41" t="n"/>
      <c r="BC315" s="41" t="n"/>
      <c r="BD315" s="41" t="n"/>
      <c r="BE315" s="41" t="n"/>
      <c r="BF315" s="41" t="n"/>
      <c r="BG315" s="41" t="n"/>
      <c r="BH315" s="41" t="n"/>
      <c r="BI315" s="41" t="n"/>
      <c r="BJ315" s="41" t="n"/>
      <c r="BK315" s="41" t="n"/>
      <c r="BL315" s="41" t="n"/>
      <c r="BM315" s="41" t="n"/>
      <c r="BN315" s="41" t="n"/>
    </row>
    <row r="316" ht="18" customHeight="1" s="82">
      <c r="A316" s="36" t="n"/>
      <c r="B316" s="36" t="n"/>
      <c r="C316" s="36" t="n"/>
      <c r="D316" s="36" t="n"/>
      <c r="E316" s="37" t="n"/>
      <c r="F316" s="37" t="n"/>
      <c r="G316" s="37" t="n"/>
      <c r="H316" s="37" t="n"/>
      <c r="I316" s="37" t="n"/>
      <c r="J316" s="37" t="n"/>
      <c r="K316" s="37" t="n"/>
      <c r="L316" s="37" t="n"/>
      <c r="M316" s="37" t="n"/>
      <c r="N316" s="37" t="n"/>
      <c r="O316" s="37" t="n"/>
      <c r="P316" s="37" t="n"/>
      <c r="Q316" s="37" t="n"/>
      <c r="R316" s="37" t="n"/>
      <c r="S316" s="37" t="n"/>
      <c r="T316" s="37" t="n"/>
      <c r="U316" s="37" t="n"/>
      <c r="V316" s="37" t="n"/>
      <c r="W316" s="32" t="n"/>
      <c r="X316" s="37" t="n"/>
      <c r="Y316" s="37" t="n"/>
      <c r="Z316" s="37" t="n"/>
      <c r="AA316" s="37" t="n"/>
      <c r="AB316" s="37" t="n"/>
      <c r="AC316" s="37" t="n"/>
      <c r="AD316" s="32" t="n"/>
      <c r="AE316" s="37" t="n"/>
      <c r="AF316" s="38" t="n"/>
      <c r="AG316" s="67">
        <f>IF(OR(AF316="",AE316=""),"",IFERROR(AF316*INDEX(FXRates[USD per unit],MATCH(AE316,FXRates[Currency],0)),"No rate"))</f>
        <v/>
      </c>
      <c r="AH316" s="36" t="n"/>
      <c r="AI316" s="36" t="n"/>
      <c r="AJ316" s="39">
        <f>IF(A316="","",IF(COUNTIF($A$6:$A$504,A316)&gt;1,"⚠ Duplicate",""))</f>
        <v/>
      </c>
      <c r="AK316" s="38" t="n"/>
      <c r="AL316" s="40" t="n"/>
      <c r="AM316" s="40" t="n"/>
      <c r="AN316" s="40" t="n"/>
      <c r="AO316" s="40" t="n"/>
      <c r="AP316" s="40" t="n"/>
      <c r="AQ316" s="40" t="n"/>
      <c r="AR316" s="40" t="n"/>
      <c r="AS316" s="40" t="n"/>
      <c r="AT316" s="40" t="n"/>
      <c r="AU316" s="40" t="n"/>
      <c r="AV316" s="40" t="n"/>
      <c r="AW316" s="40" t="n"/>
      <c r="AX316" s="40" t="n"/>
      <c r="AY316" s="40" t="n"/>
      <c r="AZ316" s="38" t="n"/>
      <c r="BA316" s="40" t="n"/>
      <c r="BB316" s="40" t="n"/>
      <c r="BC316" s="40" t="n"/>
      <c r="BD316" s="40" t="n"/>
      <c r="BE316" s="40" t="n"/>
      <c r="BF316" s="40" t="n"/>
      <c r="BG316" s="40" t="n"/>
      <c r="BH316" s="40" t="n"/>
      <c r="BI316" s="40" t="n"/>
      <c r="BJ316" s="40" t="n"/>
      <c r="BK316" s="40" t="n"/>
      <c r="BL316" s="40" t="n"/>
      <c r="BM316" s="40" t="n"/>
      <c r="BN316" s="40" t="n"/>
    </row>
    <row r="317" ht="18" customHeight="1" s="82">
      <c r="A317" s="30" t="n"/>
      <c r="B317" s="30" t="n"/>
      <c r="C317" s="30" t="n"/>
      <c r="D317" s="30" t="n"/>
      <c r="E317" s="31" t="n"/>
      <c r="F317" s="31" t="n"/>
      <c r="G317" s="31" t="n"/>
      <c r="H317" s="31" t="n"/>
      <c r="I317" s="31" t="n"/>
      <c r="J317" s="31" t="n"/>
      <c r="K317" s="31" t="n"/>
      <c r="L317" s="31" t="n"/>
      <c r="M317" s="31" t="n"/>
      <c r="N317" s="31" t="n"/>
      <c r="O317" s="31" t="n"/>
      <c r="P317" s="31" t="n"/>
      <c r="Q317" s="31" t="n"/>
      <c r="R317" s="31" t="n"/>
      <c r="S317" s="31" t="n"/>
      <c r="T317" s="31" t="n"/>
      <c r="U317" s="31" t="n"/>
      <c r="V317" s="31" t="n"/>
      <c r="W317" s="32" t="n"/>
      <c r="X317" s="31" t="n"/>
      <c r="Y317" s="31" t="n"/>
      <c r="Z317" s="31" t="n"/>
      <c r="AA317" s="31" t="n"/>
      <c r="AB317" s="31" t="n"/>
      <c r="AC317" s="31" t="n"/>
      <c r="AD317" s="32" t="n"/>
      <c r="AE317" s="31" t="n"/>
      <c r="AF317" s="33" t="n"/>
      <c r="AG317" s="66">
        <f>IF(OR(AF317="",AE317=""),"",IFERROR(AF317*INDEX(FXRates[USD per unit],MATCH(AE317,FXRates[Currency],0)),"No rate"))</f>
        <v/>
      </c>
      <c r="AH317" s="30" t="n"/>
      <c r="AI317" s="30" t="n"/>
      <c r="AJ317" s="34">
        <f>IF(A317="","",IF(COUNTIF($A$6:$A$504,A317)&gt;1,"⚠ Duplicate",""))</f>
        <v/>
      </c>
      <c r="AK317" s="33" t="n"/>
      <c r="AL317" s="41" t="n"/>
      <c r="AM317" s="41" t="n"/>
      <c r="AN317" s="41" t="n"/>
      <c r="AO317" s="41" t="n"/>
      <c r="AP317" s="41" t="n"/>
      <c r="AQ317" s="41" t="n"/>
      <c r="AR317" s="41" t="n"/>
      <c r="AS317" s="41" t="n"/>
      <c r="AT317" s="41" t="n"/>
      <c r="AU317" s="41" t="n"/>
      <c r="AV317" s="41" t="n"/>
      <c r="AW317" s="41" t="n"/>
      <c r="AX317" s="41" t="n"/>
      <c r="AY317" s="41" t="n"/>
      <c r="AZ317" s="33" t="n"/>
      <c r="BA317" s="41" t="n"/>
      <c r="BB317" s="41" t="n"/>
      <c r="BC317" s="41" t="n"/>
      <c r="BD317" s="41" t="n"/>
      <c r="BE317" s="41" t="n"/>
      <c r="BF317" s="41" t="n"/>
      <c r="BG317" s="41" t="n"/>
      <c r="BH317" s="41" t="n"/>
      <c r="BI317" s="41" t="n"/>
      <c r="BJ317" s="41" t="n"/>
      <c r="BK317" s="41" t="n"/>
      <c r="BL317" s="41" t="n"/>
      <c r="BM317" s="41" t="n"/>
      <c r="BN317" s="41" t="n"/>
    </row>
    <row r="318" ht="18" customHeight="1" s="82">
      <c r="A318" s="36" t="n"/>
      <c r="B318" s="36" t="n"/>
      <c r="C318" s="36" t="n"/>
      <c r="D318" s="36" t="n"/>
      <c r="E318" s="37" t="n"/>
      <c r="F318" s="37" t="n"/>
      <c r="G318" s="37" t="n"/>
      <c r="H318" s="37" t="n"/>
      <c r="I318" s="37" t="n"/>
      <c r="J318" s="37" t="n"/>
      <c r="K318" s="37" t="n"/>
      <c r="L318" s="37" t="n"/>
      <c r="M318" s="37" t="n"/>
      <c r="N318" s="37" t="n"/>
      <c r="O318" s="37" t="n"/>
      <c r="P318" s="37" t="n"/>
      <c r="Q318" s="37" t="n"/>
      <c r="R318" s="37" t="n"/>
      <c r="S318" s="37" t="n"/>
      <c r="T318" s="37" t="n"/>
      <c r="U318" s="37" t="n"/>
      <c r="V318" s="37" t="n"/>
      <c r="W318" s="32" t="n"/>
      <c r="X318" s="37" t="n"/>
      <c r="Y318" s="37" t="n"/>
      <c r="Z318" s="37" t="n"/>
      <c r="AA318" s="37" t="n"/>
      <c r="AB318" s="37" t="n"/>
      <c r="AC318" s="37" t="n"/>
      <c r="AD318" s="32" t="n"/>
      <c r="AE318" s="37" t="n"/>
      <c r="AF318" s="38" t="n"/>
      <c r="AG318" s="67">
        <f>IF(OR(AF318="",AE318=""),"",IFERROR(AF318*INDEX(FXRates[USD per unit],MATCH(AE318,FXRates[Currency],0)),"No rate"))</f>
        <v/>
      </c>
      <c r="AH318" s="36" t="n"/>
      <c r="AI318" s="36" t="n"/>
      <c r="AJ318" s="39">
        <f>IF(A318="","",IF(COUNTIF($A$6:$A$504,A318)&gt;1,"⚠ Duplicate",""))</f>
        <v/>
      </c>
      <c r="AK318" s="38" t="n"/>
      <c r="AL318" s="40" t="n"/>
      <c r="AM318" s="40" t="n"/>
      <c r="AN318" s="40" t="n"/>
      <c r="AO318" s="40" t="n"/>
      <c r="AP318" s="40" t="n"/>
      <c r="AQ318" s="40" t="n"/>
      <c r="AR318" s="40" t="n"/>
      <c r="AS318" s="40" t="n"/>
      <c r="AT318" s="40" t="n"/>
      <c r="AU318" s="40" t="n"/>
      <c r="AV318" s="40" t="n"/>
      <c r="AW318" s="40" t="n"/>
      <c r="AX318" s="40" t="n"/>
      <c r="AY318" s="40" t="n"/>
      <c r="AZ318" s="38" t="n"/>
      <c r="BA318" s="40" t="n"/>
      <c r="BB318" s="40" t="n"/>
      <c r="BC318" s="40" t="n"/>
      <c r="BD318" s="40" t="n"/>
      <c r="BE318" s="40" t="n"/>
      <c r="BF318" s="40" t="n"/>
      <c r="BG318" s="40" t="n"/>
      <c r="BH318" s="40" t="n"/>
      <c r="BI318" s="40" t="n"/>
      <c r="BJ318" s="40" t="n"/>
      <c r="BK318" s="40" t="n"/>
      <c r="BL318" s="40" t="n"/>
      <c r="BM318" s="40" t="n"/>
      <c r="BN318" s="40" t="n"/>
    </row>
    <row r="319" ht="18" customHeight="1" s="82">
      <c r="A319" s="30" t="n"/>
      <c r="B319" s="30" t="n"/>
      <c r="C319" s="30" t="n"/>
      <c r="D319" s="30" t="n"/>
      <c r="E319" s="31" t="n"/>
      <c r="F319" s="31" t="n"/>
      <c r="G319" s="31" t="n"/>
      <c r="H319" s="31" t="n"/>
      <c r="I319" s="31" t="n"/>
      <c r="J319" s="31" t="n"/>
      <c r="K319" s="31" t="n"/>
      <c r="L319" s="31" t="n"/>
      <c r="M319" s="31" t="n"/>
      <c r="N319" s="31" t="n"/>
      <c r="O319" s="31" t="n"/>
      <c r="P319" s="31" t="n"/>
      <c r="Q319" s="31" t="n"/>
      <c r="R319" s="31" t="n"/>
      <c r="S319" s="31" t="n"/>
      <c r="T319" s="31" t="n"/>
      <c r="U319" s="31" t="n"/>
      <c r="V319" s="31" t="n"/>
      <c r="W319" s="32" t="n"/>
      <c r="X319" s="31" t="n"/>
      <c r="Y319" s="31" t="n"/>
      <c r="Z319" s="31" t="n"/>
      <c r="AA319" s="31" t="n"/>
      <c r="AB319" s="31" t="n"/>
      <c r="AC319" s="31" t="n"/>
      <c r="AD319" s="32" t="n"/>
      <c r="AE319" s="31" t="n"/>
      <c r="AF319" s="33" t="n"/>
      <c r="AG319" s="66">
        <f>IF(OR(AF319="",AE319=""),"",IFERROR(AF319*INDEX(FXRates[USD per unit],MATCH(AE319,FXRates[Currency],0)),"No rate"))</f>
        <v/>
      </c>
      <c r="AH319" s="30" t="n"/>
      <c r="AI319" s="30" t="n"/>
      <c r="AJ319" s="34">
        <f>IF(A319="","",IF(COUNTIF($A$6:$A$504,A319)&gt;1,"⚠ Duplicate",""))</f>
        <v/>
      </c>
      <c r="AK319" s="33" t="n"/>
      <c r="AL319" s="41" t="n"/>
      <c r="AM319" s="41" t="n"/>
      <c r="AN319" s="41" t="n"/>
      <c r="AO319" s="41" t="n"/>
      <c r="AP319" s="41" t="n"/>
      <c r="AQ319" s="41" t="n"/>
      <c r="AR319" s="41" t="n"/>
      <c r="AS319" s="41" t="n"/>
      <c r="AT319" s="41" t="n"/>
      <c r="AU319" s="41" t="n"/>
      <c r="AV319" s="41" t="n"/>
      <c r="AW319" s="41" t="n"/>
      <c r="AX319" s="41" t="n"/>
      <c r="AY319" s="41" t="n"/>
      <c r="AZ319" s="33" t="n"/>
      <c r="BA319" s="41" t="n"/>
      <c r="BB319" s="41" t="n"/>
      <c r="BC319" s="41" t="n"/>
      <c r="BD319" s="41" t="n"/>
      <c r="BE319" s="41" t="n"/>
      <c r="BF319" s="41" t="n"/>
      <c r="BG319" s="41" t="n"/>
      <c r="BH319" s="41" t="n"/>
      <c r="BI319" s="41" t="n"/>
      <c r="BJ319" s="41" t="n"/>
      <c r="BK319" s="41" t="n"/>
      <c r="BL319" s="41" t="n"/>
      <c r="BM319" s="41" t="n"/>
      <c r="BN319" s="41" t="n"/>
    </row>
    <row r="320" ht="18" customHeight="1" s="82">
      <c r="A320" s="36" t="n"/>
      <c r="B320" s="36" t="n"/>
      <c r="C320" s="36" t="n"/>
      <c r="D320" s="36" t="n"/>
      <c r="E320" s="37" t="n"/>
      <c r="F320" s="37" t="n"/>
      <c r="G320" s="37" t="n"/>
      <c r="H320" s="37" t="n"/>
      <c r="I320" s="37" t="n"/>
      <c r="J320" s="37" t="n"/>
      <c r="K320" s="37" t="n"/>
      <c r="L320" s="37" t="n"/>
      <c r="M320" s="37" t="n"/>
      <c r="N320" s="37" t="n"/>
      <c r="O320" s="37" t="n"/>
      <c r="P320" s="37" t="n"/>
      <c r="Q320" s="37" t="n"/>
      <c r="R320" s="37" t="n"/>
      <c r="S320" s="37" t="n"/>
      <c r="T320" s="37" t="n"/>
      <c r="U320" s="37" t="n"/>
      <c r="V320" s="37" t="n"/>
      <c r="W320" s="32" t="n"/>
      <c r="X320" s="37" t="n"/>
      <c r="Y320" s="37" t="n"/>
      <c r="Z320" s="37" t="n"/>
      <c r="AA320" s="37" t="n"/>
      <c r="AB320" s="37" t="n"/>
      <c r="AC320" s="37" t="n"/>
      <c r="AD320" s="32" t="n"/>
      <c r="AE320" s="37" t="n"/>
      <c r="AF320" s="38" t="n"/>
      <c r="AG320" s="67">
        <f>IF(OR(AF320="",AE320=""),"",IFERROR(AF320*INDEX(FXRates[USD per unit],MATCH(AE320,FXRates[Currency],0)),"No rate"))</f>
        <v/>
      </c>
      <c r="AH320" s="36" t="n"/>
      <c r="AI320" s="36" t="n"/>
      <c r="AJ320" s="39">
        <f>IF(A320="","",IF(COUNTIF($A$6:$A$504,A320)&gt;1,"⚠ Duplicate",""))</f>
        <v/>
      </c>
      <c r="AK320" s="38" t="n"/>
      <c r="AL320" s="40" t="n"/>
      <c r="AM320" s="40" t="n"/>
      <c r="AN320" s="40" t="n"/>
      <c r="AO320" s="40" t="n"/>
      <c r="AP320" s="40" t="n"/>
      <c r="AQ320" s="40" t="n"/>
      <c r="AR320" s="40" t="n"/>
      <c r="AS320" s="40" t="n"/>
      <c r="AT320" s="40" t="n"/>
      <c r="AU320" s="40" t="n"/>
      <c r="AV320" s="40" t="n"/>
      <c r="AW320" s="40" t="n"/>
      <c r="AX320" s="40" t="n"/>
      <c r="AY320" s="40" t="n"/>
      <c r="AZ320" s="38" t="n"/>
      <c r="BA320" s="40" t="n"/>
      <c r="BB320" s="40" t="n"/>
      <c r="BC320" s="40" t="n"/>
      <c r="BD320" s="40" t="n"/>
      <c r="BE320" s="40" t="n"/>
      <c r="BF320" s="40" t="n"/>
      <c r="BG320" s="40" t="n"/>
      <c r="BH320" s="40" t="n"/>
      <c r="BI320" s="40" t="n"/>
      <c r="BJ320" s="40" t="n"/>
      <c r="BK320" s="40" t="n"/>
      <c r="BL320" s="40" t="n"/>
      <c r="BM320" s="40" t="n"/>
      <c r="BN320" s="40" t="n"/>
    </row>
    <row r="321" ht="18" customHeight="1" s="82">
      <c r="A321" s="30" t="n"/>
      <c r="B321" s="30" t="n"/>
      <c r="C321" s="30" t="n"/>
      <c r="D321" s="30" t="n"/>
      <c r="E321" s="31" t="n"/>
      <c r="F321" s="31" t="n"/>
      <c r="G321" s="31" t="n"/>
      <c r="H321" s="31" t="n"/>
      <c r="I321" s="31" t="n"/>
      <c r="J321" s="31" t="n"/>
      <c r="K321" s="31" t="n"/>
      <c r="L321" s="31" t="n"/>
      <c r="M321" s="31" t="n"/>
      <c r="N321" s="31" t="n"/>
      <c r="O321" s="31" t="n"/>
      <c r="P321" s="31" t="n"/>
      <c r="Q321" s="31" t="n"/>
      <c r="R321" s="31" t="n"/>
      <c r="S321" s="31" t="n"/>
      <c r="T321" s="31" t="n"/>
      <c r="U321" s="31" t="n"/>
      <c r="V321" s="31" t="n"/>
      <c r="W321" s="32" t="n"/>
      <c r="X321" s="31" t="n"/>
      <c r="Y321" s="31" t="n"/>
      <c r="Z321" s="31" t="n"/>
      <c r="AA321" s="31" t="n"/>
      <c r="AB321" s="31" t="n"/>
      <c r="AC321" s="31" t="n"/>
      <c r="AD321" s="32" t="n"/>
      <c r="AE321" s="31" t="n"/>
      <c r="AF321" s="33" t="n"/>
      <c r="AG321" s="66">
        <f>IF(OR(AF321="",AE321=""),"",IFERROR(AF321*INDEX(FXRates[USD per unit],MATCH(AE321,FXRates[Currency],0)),"No rate"))</f>
        <v/>
      </c>
      <c r="AH321" s="30" t="n"/>
      <c r="AI321" s="30" t="n"/>
      <c r="AJ321" s="34">
        <f>IF(A321="","",IF(COUNTIF($A$6:$A$504,A321)&gt;1,"⚠ Duplicate",""))</f>
        <v/>
      </c>
      <c r="AK321" s="33" t="n"/>
      <c r="AL321" s="41" t="n"/>
      <c r="AM321" s="41" t="n"/>
      <c r="AN321" s="41" t="n"/>
      <c r="AO321" s="41" t="n"/>
      <c r="AP321" s="41" t="n"/>
      <c r="AQ321" s="41" t="n"/>
      <c r="AR321" s="41" t="n"/>
      <c r="AS321" s="41" t="n"/>
      <c r="AT321" s="41" t="n"/>
      <c r="AU321" s="41" t="n"/>
      <c r="AV321" s="41" t="n"/>
      <c r="AW321" s="41" t="n"/>
      <c r="AX321" s="41" t="n"/>
      <c r="AY321" s="41" t="n"/>
      <c r="AZ321" s="33" t="n"/>
      <c r="BA321" s="41" t="n"/>
      <c r="BB321" s="41" t="n"/>
      <c r="BC321" s="41" t="n"/>
      <c r="BD321" s="41" t="n"/>
      <c r="BE321" s="41" t="n"/>
      <c r="BF321" s="41" t="n"/>
      <c r="BG321" s="41" t="n"/>
      <c r="BH321" s="41" t="n"/>
      <c r="BI321" s="41" t="n"/>
      <c r="BJ321" s="41" t="n"/>
      <c r="BK321" s="41" t="n"/>
      <c r="BL321" s="41" t="n"/>
      <c r="BM321" s="41" t="n"/>
      <c r="BN321" s="41" t="n"/>
    </row>
    <row r="322" ht="18" customHeight="1" s="82">
      <c r="A322" s="36" t="n"/>
      <c r="B322" s="36" t="n"/>
      <c r="C322" s="36" t="n"/>
      <c r="D322" s="36" t="n"/>
      <c r="E322" s="37" t="n"/>
      <c r="F322" s="37" t="n"/>
      <c r="G322" s="37" t="n"/>
      <c r="H322" s="37" t="n"/>
      <c r="I322" s="37" t="n"/>
      <c r="J322" s="37" t="n"/>
      <c r="K322" s="37" t="n"/>
      <c r="L322" s="37" t="n"/>
      <c r="M322" s="37" t="n"/>
      <c r="N322" s="37" t="n"/>
      <c r="O322" s="37" t="n"/>
      <c r="P322" s="37" t="n"/>
      <c r="Q322" s="37" t="n"/>
      <c r="R322" s="37" t="n"/>
      <c r="S322" s="37" t="n"/>
      <c r="T322" s="37" t="n"/>
      <c r="U322" s="37" t="n"/>
      <c r="V322" s="37" t="n"/>
      <c r="W322" s="32" t="n"/>
      <c r="X322" s="37" t="n"/>
      <c r="Y322" s="37" t="n"/>
      <c r="Z322" s="37" t="n"/>
      <c r="AA322" s="37" t="n"/>
      <c r="AB322" s="37" t="n"/>
      <c r="AC322" s="37" t="n"/>
      <c r="AD322" s="32" t="n"/>
      <c r="AE322" s="37" t="n"/>
      <c r="AF322" s="38" t="n"/>
      <c r="AG322" s="67">
        <f>IF(OR(AF322="",AE322=""),"",IFERROR(AF322*INDEX(FXRates[USD per unit],MATCH(AE322,FXRates[Currency],0)),"No rate"))</f>
        <v/>
      </c>
      <c r="AH322" s="36" t="n"/>
      <c r="AI322" s="36" t="n"/>
      <c r="AJ322" s="39">
        <f>IF(A322="","",IF(COUNTIF($A$6:$A$504,A322)&gt;1,"⚠ Duplicate",""))</f>
        <v/>
      </c>
      <c r="AK322" s="38" t="n"/>
      <c r="AL322" s="40" t="n"/>
      <c r="AM322" s="40" t="n"/>
      <c r="AN322" s="40" t="n"/>
      <c r="AO322" s="40" t="n"/>
      <c r="AP322" s="40" t="n"/>
      <c r="AQ322" s="40" t="n"/>
      <c r="AR322" s="40" t="n"/>
      <c r="AS322" s="40" t="n"/>
      <c r="AT322" s="40" t="n"/>
      <c r="AU322" s="40" t="n"/>
      <c r="AV322" s="40" t="n"/>
      <c r="AW322" s="40" t="n"/>
      <c r="AX322" s="40" t="n"/>
      <c r="AY322" s="40" t="n"/>
      <c r="AZ322" s="38" t="n"/>
      <c r="BA322" s="40" t="n"/>
      <c r="BB322" s="40" t="n"/>
      <c r="BC322" s="40" t="n"/>
      <c r="BD322" s="40" t="n"/>
      <c r="BE322" s="40" t="n"/>
      <c r="BF322" s="40" t="n"/>
      <c r="BG322" s="40" t="n"/>
      <c r="BH322" s="40" t="n"/>
      <c r="BI322" s="40" t="n"/>
      <c r="BJ322" s="40" t="n"/>
      <c r="BK322" s="40" t="n"/>
      <c r="BL322" s="40" t="n"/>
      <c r="BM322" s="40" t="n"/>
      <c r="BN322" s="40" t="n"/>
    </row>
    <row r="323" ht="18" customHeight="1" s="82">
      <c r="A323" s="30" t="n"/>
      <c r="B323" s="30" t="n"/>
      <c r="C323" s="30" t="n"/>
      <c r="D323" s="30" t="n"/>
      <c r="E323" s="31" t="n"/>
      <c r="F323" s="31" t="n"/>
      <c r="G323" s="31" t="n"/>
      <c r="H323" s="31" t="n"/>
      <c r="I323" s="31" t="n"/>
      <c r="J323" s="31" t="n"/>
      <c r="K323" s="31" t="n"/>
      <c r="L323" s="31" t="n"/>
      <c r="M323" s="31" t="n"/>
      <c r="N323" s="31" t="n"/>
      <c r="O323" s="31" t="n"/>
      <c r="P323" s="31" t="n"/>
      <c r="Q323" s="31" t="n"/>
      <c r="R323" s="31" t="n"/>
      <c r="S323" s="31" t="n"/>
      <c r="T323" s="31" t="n"/>
      <c r="U323" s="31" t="n"/>
      <c r="V323" s="31" t="n"/>
      <c r="W323" s="32" t="n"/>
      <c r="X323" s="31" t="n"/>
      <c r="Y323" s="31" t="n"/>
      <c r="Z323" s="31" t="n"/>
      <c r="AA323" s="31" t="n"/>
      <c r="AB323" s="31" t="n"/>
      <c r="AC323" s="31" t="n"/>
      <c r="AD323" s="32" t="n"/>
      <c r="AE323" s="31" t="n"/>
      <c r="AF323" s="33" t="n"/>
      <c r="AG323" s="66">
        <f>IF(OR(AF323="",AE323=""),"",IFERROR(AF323*INDEX(FXRates[USD per unit],MATCH(AE323,FXRates[Currency],0)),"No rate"))</f>
        <v/>
      </c>
      <c r="AH323" s="30" t="n"/>
      <c r="AI323" s="30" t="n"/>
      <c r="AJ323" s="34">
        <f>IF(A323="","",IF(COUNTIF($A$6:$A$504,A323)&gt;1,"⚠ Duplicate",""))</f>
        <v/>
      </c>
      <c r="AK323" s="33" t="n"/>
      <c r="AL323" s="41" t="n"/>
      <c r="AM323" s="41" t="n"/>
      <c r="AN323" s="41" t="n"/>
      <c r="AO323" s="41" t="n"/>
      <c r="AP323" s="41" t="n"/>
      <c r="AQ323" s="41" t="n"/>
      <c r="AR323" s="41" t="n"/>
      <c r="AS323" s="41" t="n"/>
      <c r="AT323" s="41" t="n"/>
      <c r="AU323" s="41" t="n"/>
      <c r="AV323" s="41" t="n"/>
      <c r="AW323" s="41" t="n"/>
      <c r="AX323" s="41" t="n"/>
      <c r="AY323" s="41" t="n"/>
      <c r="AZ323" s="33" t="n"/>
      <c r="BA323" s="41" t="n"/>
      <c r="BB323" s="41" t="n"/>
      <c r="BC323" s="41" t="n"/>
      <c r="BD323" s="41" t="n"/>
      <c r="BE323" s="41" t="n"/>
      <c r="BF323" s="41" t="n"/>
      <c r="BG323" s="41" t="n"/>
      <c r="BH323" s="41" t="n"/>
      <c r="BI323" s="41" t="n"/>
      <c r="BJ323" s="41" t="n"/>
      <c r="BK323" s="41" t="n"/>
      <c r="BL323" s="41" t="n"/>
      <c r="BM323" s="41" t="n"/>
      <c r="BN323" s="41" t="n"/>
    </row>
    <row r="324" ht="18" customHeight="1" s="82">
      <c r="A324" s="36" t="n"/>
      <c r="B324" s="36" t="n"/>
      <c r="C324" s="36" t="n"/>
      <c r="D324" s="36" t="n"/>
      <c r="E324" s="37" t="n"/>
      <c r="F324" s="37" t="n"/>
      <c r="G324" s="37" t="n"/>
      <c r="H324" s="37" t="n"/>
      <c r="I324" s="37" t="n"/>
      <c r="J324" s="37" t="n"/>
      <c r="K324" s="37" t="n"/>
      <c r="L324" s="37" t="n"/>
      <c r="M324" s="37" t="n"/>
      <c r="N324" s="37" t="n"/>
      <c r="O324" s="37" t="n"/>
      <c r="P324" s="37" t="n"/>
      <c r="Q324" s="37" t="n"/>
      <c r="R324" s="37" t="n"/>
      <c r="S324" s="37" t="n"/>
      <c r="T324" s="37" t="n"/>
      <c r="U324" s="37" t="n"/>
      <c r="V324" s="37" t="n"/>
      <c r="W324" s="32" t="n"/>
      <c r="X324" s="37" t="n"/>
      <c r="Y324" s="37" t="n"/>
      <c r="Z324" s="37" t="n"/>
      <c r="AA324" s="37" t="n"/>
      <c r="AB324" s="37" t="n"/>
      <c r="AC324" s="37" t="n"/>
      <c r="AD324" s="32" t="n"/>
      <c r="AE324" s="37" t="n"/>
      <c r="AF324" s="38" t="n"/>
      <c r="AG324" s="67">
        <f>IF(OR(AF324="",AE324=""),"",IFERROR(AF324*INDEX(FXRates[USD per unit],MATCH(AE324,FXRates[Currency],0)),"No rate"))</f>
        <v/>
      </c>
      <c r="AH324" s="36" t="n"/>
      <c r="AI324" s="36" t="n"/>
      <c r="AJ324" s="39">
        <f>IF(A324="","",IF(COUNTIF($A$6:$A$504,A324)&gt;1,"⚠ Duplicate",""))</f>
        <v/>
      </c>
      <c r="AK324" s="38" t="n"/>
      <c r="AL324" s="40" t="n"/>
      <c r="AM324" s="40" t="n"/>
      <c r="AN324" s="40" t="n"/>
      <c r="AO324" s="40" t="n"/>
      <c r="AP324" s="40" t="n"/>
      <c r="AQ324" s="40" t="n"/>
      <c r="AR324" s="40" t="n"/>
      <c r="AS324" s="40" t="n"/>
      <c r="AT324" s="40" t="n"/>
      <c r="AU324" s="40" t="n"/>
      <c r="AV324" s="40" t="n"/>
      <c r="AW324" s="40" t="n"/>
      <c r="AX324" s="40" t="n"/>
      <c r="AY324" s="40" t="n"/>
      <c r="AZ324" s="38" t="n"/>
      <c r="BA324" s="40" t="n"/>
      <c r="BB324" s="40" t="n"/>
      <c r="BC324" s="40" t="n"/>
      <c r="BD324" s="40" t="n"/>
      <c r="BE324" s="40" t="n"/>
      <c r="BF324" s="40" t="n"/>
      <c r="BG324" s="40" t="n"/>
      <c r="BH324" s="40" t="n"/>
      <c r="BI324" s="40" t="n"/>
      <c r="BJ324" s="40" t="n"/>
      <c r="BK324" s="40" t="n"/>
      <c r="BL324" s="40" t="n"/>
      <c r="BM324" s="40" t="n"/>
      <c r="BN324" s="40" t="n"/>
    </row>
    <row r="325" ht="18" customHeight="1" s="82">
      <c r="A325" s="30" t="n"/>
      <c r="B325" s="30" t="n"/>
      <c r="C325" s="30" t="n"/>
      <c r="D325" s="30" t="n"/>
      <c r="E325" s="31" t="n"/>
      <c r="F325" s="31" t="n"/>
      <c r="G325" s="31" t="n"/>
      <c r="H325" s="31" t="n"/>
      <c r="I325" s="31" t="n"/>
      <c r="J325" s="31" t="n"/>
      <c r="K325" s="31" t="n"/>
      <c r="L325" s="31" t="n"/>
      <c r="M325" s="31" t="n"/>
      <c r="N325" s="31" t="n"/>
      <c r="O325" s="31" t="n"/>
      <c r="P325" s="31" t="n"/>
      <c r="Q325" s="31" t="n"/>
      <c r="R325" s="31" t="n"/>
      <c r="S325" s="31" t="n"/>
      <c r="T325" s="31" t="n"/>
      <c r="U325" s="31" t="n"/>
      <c r="V325" s="31" t="n"/>
      <c r="W325" s="32" t="n"/>
      <c r="X325" s="31" t="n"/>
      <c r="Y325" s="31" t="n"/>
      <c r="Z325" s="31" t="n"/>
      <c r="AA325" s="31" t="n"/>
      <c r="AB325" s="31" t="n"/>
      <c r="AC325" s="31" t="n"/>
      <c r="AD325" s="32" t="n"/>
      <c r="AE325" s="31" t="n"/>
      <c r="AF325" s="33" t="n"/>
      <c r="AG325" s="66">
        <f>IF(OR(AF325="",AE325=""),"",IFERROR(AF325*INDEX(FXRates[USD per unit],MATCH(AE325,FXRates[Currency],0)),"No rate"))</f>
        <v/>
      </c>
      <c r="AH325" s="30" t="n"/>
      <c r="AI325" s="30" t="n"/>
      <c r="AJ325" s="34">
        <f>IF(A325="","",IF(COUNTIF($A$6:$A$504,A325)&gt;1,"⚠ Duplicate",""))</f>
        <v/>
      </c>
      <c r="AK325" s="33" t="n"/>
      <c r="AL325" s="41" t="n"/>
      <c r="AM325" s="41" t="n"/>
      <c r="AN325" s="41" t="n"/>
      <c r="AO325" s="41" t="n"/>
      <c r="AP325" s="41" t="n"/>
      <c r="AQ325" s="41" t="n"/>
      <c r="AR325" s="41" t="n"/>
      <c r="AS325" s="41" t="n"/>
      <c r="AT325" s="41" t="n"/>
      <c r="AU325" s="41" t="n"/>
      <c r="AV325" s="41" t="n"/>
      <c r="AW325" s="41" t="n"/>
      <c r="AX325" s="41" t="n"/>
      <c r="AY325" s="41" t="n"/>
      <c r="AZ325" s="33" t="n"/>
      <c r="BA325" s="41" t="n"/>
      <c r="BB325" s="41" t="n"/>
      <c r="BC325" s="41" t="n"/>
      <c r="BD325" s="41" t="n"/>
      <c r="BE325" s="41" t="n"/>
      <c r="BF325" s="41" t="n"/>
      <c r="BG325" s="41" t="n"/>
      <c r="BH325" s="41" t="n"/>
      <c r="BI325" s="41" t="n"/>
      <c r="BJ325" s="41" t="n"/>
      <c r="BK325" s="41" t="n"/>
      <c r="BL325" s="41" t="n"/>
      <c r="BM325" s="41" t="n"/>
      <c r="BN325" s="41" t="n"/>
    </row>
    <row r="326" ht="18" customHeight="1" s="82">
      <c r="A326" s="36" t="n"/>
      <c r="B326" s="36" t="n"/>
      <c r="C326" s="36" t="n"/>
      <c r="D326" s="36" t="n"/>
      <c r="E326" s="37" t="n"/>
      <c r="F326" s="37" t="n"/>
      <c r="G326" s="37" t="n"/>
      <c r="H326" s="37" t="n"/>
      <c r="I326" s="37" t="n"/>
      <c r="J326" s="37" t="n"/>
      <c r="K326" s="37" t="n"/>
      <c r="L326" s="37" t="n"/>
      <c r="M326" s="37" t="n"/>
      <c r="N326" s="37" t="n"/>
      <c r="O326" s="37" t="n"/>
      <c r="P326" s="37" t="n"/>
      <c r="Q326" s="37" t="n"/>
      <c r="R326" s="37" t="n"/>
      <c r="S326" s="37" t="n"/>
      <c r="T326" s="37" t="n"/>
      <c r="U326" s="37" t="n"/>
      <c r="V326" s="37" t="n"/>
      <c r="W326" s="32" t="n"/>
      <c r="X326" s="37" t="n"/>
      <c r="Y326" s="37" t="n"/>
      <c r="Z326" s="37" t="n"/>
      <c r="AA326" s="37" t="n"/>
      <c r="AB326" s="37" t="n"/>
      <c r="AC326" s="37" t="n"/>
      <c r="AD326" s="32" t="n"/>
      <c r="AE326" s="37" t="n"/>
      <c r="AF326" s="38" t="n"/>
      <c r="AG326" s="67">
        <f>IF(OR(AF326="",AE326=""),"",IFERROR(AF326*INDEX(FXRates[USD per unit],MATCH(AE326,FXRates[Currency],0)),"No rate"))</f>
        <v/>
      </c>
      <c r="AH326" s="36" t="n"/>
      <c r="AI326" s="36" t="n"/>
      <c r="AJ326" s="39">
        <f>IF(A326="","",IF(COUNTIF($A$6:$A$504,A326)&gt;1,"⚠ Duplicate",""))</f>
        <v/>
      </c>
      <c r="AK326" s="38" t="n"/>
      <c r="AL326" s="40" t="n"/>
      <c r="AM326" s="40" t="n"/>
      <c r="AN326" s="40" t="n"/>
      <c r="AO326" s="40" t="n"/>
      <c r="AP326" s="40" t="n"/>
      <c r="AQ326" s="40" t="n"/>
      <c r="AR326" s="40" t="n"/>
      <c r="AS326" s="40" t="n"/>
      <c r="AT326" s="40" t="n"/>
      <c r="AU326" s="40" t="n"/>
      <c r="AV326" s="40" t="n"/>
      <c r="AW326" s="40" t="n"/>
      <c r="AX326" s="40" t="n"/>
      <c r="AY326" s="40" t="n"/>
      <c r="AZ326" s="38" t="n"/>
      <c r="BA326" s="40" t="n"/>
      <c r="BB326" s="40" t="n"/>
      <c r="BC326" s="40" t="n"/>
      <c r="BD326" s="40" t="n"/>
      <c r="BE326" s="40" t="n"/>
      <c r="BF326" s="40" t="n"/>
      <c r="BG326" s="40" t="n"/>
      <c r="BH326" s="40" t="n"/>
      <c r="BI326" s="40" t="n"/>
      <c r="BJ326" s="40" t="n"/>
      <c r="BK326" s="40" t="n"/>
      <c r="BL326" s="40" t="n"/>
      <c r="BM326" s="40" t="n"/>
      <c r="BN326" s="40" t="n"/>
    </row>
    <row r="327" ht="18" customHeight="1" s="82">
      <c r="A327" s="30" t="n"/>
      <c r="B327" s="30" t="n"/>
      <c r="C327" s="30" t="n"/>
      <c r="D327" s="30" t="n"/>
      <c r="E327" s="31" t="n"/>
      <c r="F327" s="31" t="n"/>
      <c r="G327" s="31" t="n"/>
      <c r="H327" s="31" t="n"/>
      <c r="I327" s="31" t="n"/>
      <c r="J327" s="31" t="n"/>
      <c r="K327" s="31" t="n"/>
      <c r="L327" s="31" t="n"/>
      <c r="M327" s="31" t="n"/>
      <c r="N327" s="31" t="n"/>
      <c r="O327" s="31" t="n"/>
      <c r="P327" s="31" t="n"/>
      <c r="Q327" s="31" t="n"/>
      <c r="R327" s="31" t="n"/>
      <c r="S327" s="31" t="n"/>
      <c r="T327" s="31" t="n"/>
      <c r="U327" s="31" t="n"/>
      <c r="V327" s="31" t="n"/>
      <c r="W327" s="32" t="n"/>
      <c r="X327" s="31" t="n"/>
      <c r="Y327" s="31" t="n"/>
      <c r="Z327" s="31" t="n"/>
      <c r="AA327" s="31" t="n"/>
      <c r="AB327" s="31" t="n"/>
      <c r="AC327" s="31" t="n"/>
      <c r="AD327" s="32" t="n"/>
      <c r="AE327" s="31" t="n"/>
      <c r="AF327" s="33" t="n"/>
      <c r="AG327" s="66">
        <f>IF(OR(AF327="",AE327=""),"",IFERROR(AF327*INDEX(FXRates[USD per unit],MATCH(AE327,FXRates[Currency],0)),"No rate"))</f>
        <v/>
      </c>
      <c r="AH327" s="30" t="n"/>
      <c r="AI327" s="30" t="n"/>
      <c r="AJ327" s="34">
        <f>IF(A327="","",IF(COUNTIF($A$6:$A$504,A327)&gt;1,"⚠ Duplicate",""))</f>
        <v/>
      </c>
      <c r="AK327" s="33" t="n"/>
      <c r="AL327" s="41" t="n"/>
      <c r="AM327" s="41" t="n"/>
      <c r="AN327" s="41" t="n"/>
      <c r="AO327" s="41" t="n"/>
      <c r="AP327" s="41" t="n"/>
      <c r="AQ327" s="41" t="n"/>
      <c r="AR327" s="41" t="n"/>
      <c r="AS327" s="41" t="n"/>
      <c r="AT327" s="41" t="n"/>
      <c r="AU327" s="41" t="n"/>
      <c r="AV327" s="41" t="n"/>
      <c r="AW327" s="41" t="n"/>
      <c r="AX327" s="41" t="n"/>
      <c r="AY327" s="41" t="n"/>
      <c r="AZ327" s="33" t="n"/>
      <c r="BA327" s="41" t="n"/>
      <c r="BB327" s="41" t="n"/>
      <c r="BC327" s="41" t="n"/>
      <c r="BD327" s="41" t="n"/>
      <c r="BE327" s="41" t="n"/>
      <c r="BF327" s="41" t="n"/>
      <c r="BG327" s="41" t="n"/>
      <c r="BH327" s="41" t="n"/>
      <c r="BI327" s="41" t="n"/>
      <c r="BJ327" s="41" t="n"/>
      <c r="BK327" s="41" t="n"/>
      <c r="BL327" s="41" t="n"/>
      <c r="BM327" s="41" t="n"/>
      <c r="BN327" s="41" t="n"/>
    </row>
    <row r="328" ht="18" customHeight="1" s="82">
      <c r="A328" s="36" t="n"/>
      <c r="B328" s="36" t="n"/>
      <c r="C328" s="36" t="n"/>
      <c r="D328" s="36" t="n"/>
      <c r="E328" s="37" t="n"/>
      <c r="F328" s="37" t="n"/>
      <c r="G328" s="37" t="n"/>
      <c r="H328" s="37" t="n"/>
      <c r="I328" s="37" t="n"/>
      <c r="J328" s="37" t="n"/>
      <c r="K328" s="37" t="n"/>
      <c r="L328" s="37" t="n"/>
      <c r="M328" s="37" t="n"/>
      <c r="N328" s="37" t="n"/>
      <c r="O328" s="37" t="n"/>
      <c r="P328" s="37" t="n"/>
      <c r="Q328" s="37" t="n"/>
      <c r="R328" s="37" t="n"/>
      <c r="S328" s="37" t="n"/>
      <c r="T328" s="37" t="n"/>
      <c r="U328" s="37" t="n"/>
      <c r="V328" s="37" t="n"/>
      <c r="W328" s="32" t="n"/>
      <c r="X328" s="37" t="n"/>
      <c r="Y328" s="37" t="n"/>
      <c r="Z328" s="37" t="n"/>
      <c r="AA328" s="37" t="n"/>
      <c r="AB328" s="37" t="n"/>
      <c r="AC328" s="37" t="n"/>
      <c r="AD328" s="32" t="n"/>
      <c r="AE328" s="37" t="n"/>
      <c r="AF328" s="38" t="n"/>
      <c r="AG328" s="67">
        <f>IF(OR(AF328="",AE328=""),"",IFERROR(AF328*INDEX(FXRates[USD per unit],MATCH(AE328,FXRates[Currency],0)),"No rate"))</f>
        <v/>
      </c>
      <c r="AH328" s="36" t="n"/>
      <c r="AI328" s="36" t="n"/>
      <c r="AJ328" s="39">
        <f>IF(A328="","",IF(COUNTIF($A$6:$A$504,A328)&gt;1,"⚠ Duplicate",""))</f>
        <v/>
      </c>
      <c r="AK328" s="38" t="n"/>
      <c r="AL328" s="40" t="n"/>
      <c r="AM328" s="40" t="n"/>
      <c r="AN328" s="40" t="n"/>
      <c r="AO328" s="40" t="n"/>
      <c r="AP328" s="40" t="n"/>
      <c r="AQ328" s="40" t="n"/>
      <c r="AR328" s="40" t="n"/>
      <c r="AS328" s="40" t="n"/>
      <c r="AT328" s="40" t="n"/>
      <c r="AU328" s="40" t="n"/>
      <c r="AV328" s="40" t="n"/>
      <c r="AW328" s="40" t="n"/>
      <c r="AX328" s="40" t="n"/>
      <c r="AY328" s="40" t="n"/>
      <c r="AZ328" s="38" t="n"/>
      <c r="BA328" s="40" t="n"/>
      <c r="BB328" s="40" t="n"/>
      <c r="BC328" s="40" t="n"/>
      <c r="BD328" s="40" t="n"/>
      <c r="BE328" s="40" t="n"/>
      <c r="BF328" s="40" t="n"/>
      <c r="BG328" s="40" t="n"/>
      <c r="BH328" s="40" t="n"/>
      <c r="BI328" s="40" t="n"/>
      <c r="BJ328" s="40" t="n"/>
      <c r="BK328" s="40" t="n"/>
      <c r="BL328" s="40" t="n"/>
      <c r="BM328" s="40" t="n"/>
      <c r="BN328" s="40" t="n"/>
    </row>
    <row r="329" ht="18" customHeight="1" s="82">
      <c r="A329" s="30" t="n"/>
      <c r="B329" s="30" t="n"/>
      <c r="C329" s="30" t="n"/>
      <c r="D329" s="30" t="n"/>
      <c r="E329" s="31" t="n"/>
      <c r="F329" s="31" t="n"/>
      <c r="G329" s="31" t="n"/>
      <c r="H329" s="31" t="n"/>
      <c r="I329" s="31" t="n"/>
      <c r="J329" s="31" t="n"/>
      <c r="K329" s="31" t="n"/>
      <c r="L329" s="31" t="n"/>
      <c r="M329" s="31" t="n"/>
      <c r="N329" s="31" t="n"/>
      <c r="O329" s="31" t="n"/>
      <c r="P329" s="31" t="n"/>
      <c r="Q329" s="31" t="n"/>
      <c r="R329" s="31" t="n"/>
      <c r="S329" s="31" t="n"/>
      <c r="T329" s="31" t="n"/>
      <c r="U329" s="31" t="n"/>
      <c r="V329" s="31" t="n"/>
      <c r="W329" s="32" t="n"/>
      <c r="X329" s="31" t="n"/>
      <c r="Y329" s="31" t="n"/>
      <c r="Z329" s="31" t="n"/>
      <c r="AA329" s="31" t="n"/>
      <c r="AB329" s="31" t="n"/>
      <c r="AC329" s="31" t="n"/>
      <c r="AD329" s="32" t="n"/>
      <c r="AE329" s="31" t="n"/>
      <c r="AF329" s="33" t="n"/>
      <c r="AG329" s="66">
        <f>IF(OR(AF329="",AE329=""),"",IFERROR(AF329*INDEX(FXRates[USD per unit],MATCH(AE329,FXRates[Currency],0)),"No rate"))</f>
        <v/>
      </c>
      <c r="AH329" s="30" t="n"/>
      <c r="AI329" s="30" t="n"/>
      <c r="AJ329" s="34">
        <f>IF(A329="","",IF(COUNTIF($A$6:$A$504,A329)&gt;1,"⚠ Duplicate",""))</f>
        <v/>
      </c>
      <c r="AK329" s="33" t="n"/>
      <c r="AL329" s="41" t="n"/>
      <c r="AM329" s="41" t="n"/>
      <c r="AN329" s="41" t="n"/>
      <c r="AO329" s="41" t="n"/>
      <c r="AP329" s="41" t="n"/>
      <c r="AQ329" s="41" t="n"/>
      <c r="AR329" s="41" t="n"/>
      <c r="AS329" s="41" t="n"/>
      <c r="AT329" s="41" t="n"/>
      <c r="AU329" s="41" t="n"/>
      <c r="AV329" s="41" t="n"/>
      <c r="AW329" s="41" t="n"/>
      <c r="AX329" s="41" t="n"/>
      <c r="AY329" s="41" t="n"/>
      <c r="AZ329" s="33" t="n"/>
      <c r="BA329" s="41" t="n"/>
      <c r="BB329" s="41" t="n"/>
      <c r="BC329" s="41" t="n"/>
      <c r="BD329" s="41" t="n"/>
      <c r="BE329" s="41" t="n"/>
      <c r="BF329" s="41" t="n"/>
      <c r="BG329" s="41" t="n"/>
      <c r="BH329" s="41" t="n"/>
      <c r="BI329" s="41" t="n"/>
      <c r="BJ329" s="41" t="n"/>
      <c r="BK329" s="41" t="n"/>
      <c r="BL329" s="41" t="n"/>
      <c r="BM329" s="41" t="n"/>
      <c r="BN329" s="41" t="n"/>
    </row>
    <row r="330" ht="18" customHeight="1" s="82">
      <c r="A330" s="36" t="n"/>
      <c r="B330" s="36" t="n"/>
      <c r="C330" s="36" t="n"/>
      <c r="D330" s="36" t="n"/>
      <c r="E330" s="37" t="n"/>
      <c r="F330" s="37" t="n"/>
      <c r="G330" s="37" t="n"/>
      <c r="H330" s="37" t="n"/>
      <c r="I330" s="37" t="n"/>
      <c r="J330" s="37" t="n"/>
      <c r="K330" s="37" t="n"/>
      <c r="L330" s="37" t="n"/>
      <c r="M330" s="37" t="n"/>
      <c r="N330" s="37" t="n"/>
      <c r="O330" s="37" t="n"/>
      <c r="P330" s="37" t="n"/>
      <c r="Q330" s="37" t="n"/>
      <c r="R330" s="37" t="n"/>
      <c r="S330" s="37" t="n"/>
      <c r="T330" s="37" t="n"/>
      <c r="U330" s="37" t="n"/>
      <c r="V330" s="37" t="n"/>
      <c r="W330" s="32" t="n"/>
      <c r="X330" s="37" t="n"/>
      <c r="Y330" s="37" t="n"/>
      <c r="Z330" s="37" t="n"/>
      <c r="AA330" s="37" t="n"/>
      <c r="AB330" s="37" t="n"/>
      <c r="AC330" s="37" t="n"/>
      <c r="AD330" s="32" t="n"/>
      <c r="AE330" s="37" t="n"/>
      <c r="AF330" s="38" t="n"/>
      <c r="AG330" s="67">
        <f>IF(OR(AF330="",AE330=""),"",IFERROR(AF330*INDEX(FXRates[USD per unit],MATCH(AE330,FXRates[Currency],0)),"No rate"))</f>
        <v/>
      </c>
      <c r="AH330" s="36" t="n"/>
      <c r="AI330" s="36" t="n"/>
      <c r="AJ330" s="39">
        <f>IF(A330="","",IF(COUNTIF($A$6:$A$504,A330)&gt;1,"⚠ Duplicate",""))</f>
        <v/>
      </c>
      <c r="AK330" s="38" t="n"/>
      <c r="AL330" s="40" t="n"/>
      <c r="AM330" s="40" t="n"/>
      <c r="AN330" s="40" t="n"/>
      <c r="AO330" s="40" t="n"/>
      <c r="AP330" s="40" t="n"/>
      <c r="AQ330" s="40" t="n"/>
      <c r="AR330" s="40" t="n"/>
      <c r="AS330" s="40" t="n"/>
      <c r="AT330" s="40" t="n"/>
      <c r="AU330" s="40" t="n"/>
      <c r="AV330" s="40" t="n"/>
      <c r="AW330" s="40" t="n"/>
      <c r="AX330" s="40" t="n"/>
      <c r="AY330" s="40" t="n"/>
      <c r="AZ330" s="38" t="n"/>
      <c r="BA330" s="40" t="n"/>
      <c r="BB330" s="40" t="n"/>
      <c r="BC330" s="40" t="n"/>
      <c r="BD330" s="40" t="n"/>
      <c r="BE330" s="40" t="n"/>
      <c r="BF330" s="40" t="n"/>
      <c r="BG330" s="40" t="n"/>
      <c r="BH330" s="40" t="n"/>
      <c r="BI330" s="40" t="n"/>
      <c r="BJ330" s="40" t="n"/>
      <c r="BK330" s="40" t="n"/>
      <c r="BL330" s="40" t="n"/>
      <c r="BM330" s="40" t="n"/>
      <c r="BN330" s="40" t="n"/>
    </row>
    <row r="331" ht="18" customHeight="1" s="82">
      <c r="A331" s="30" t="n"/>
      <c r="B331" s="30" t="n"/>
      <c r="C331" s="30" t="n"/>
      <c r="D331" s="30" t="n"/>
      <c r="E331" s="31" t="n"/>
      <c r="F331" s="31" t="n"/>
      <c r="G331" s="31" t="n"/>
      <c r="H331" s="31" t="n"/>
      <c r="I331" s="31" t="n"/>
      <c r="J331" s="31" t="n"/>
      <c r="K331" s="31" t="n"/>
      <c r="L331" s="31" t="n"/>
      <c r="M331" s="31" t="n"/>
      <c r="N331" s="31" t="n"/>
      <c r="O331" s="31" t="n"/>
      <c r="P331" s="31" t="n"/>
      <c r="Q331" s="31" t="n"/>
      <c r="R331" s="31" t="n"/>
      <c r="S331" s="31" t="n"/>
      <c r="T331" s="31" t="n"/>
      <c r="U331" s="31" t="n"/>
      <c r="V331" s="31" t="n"/>
      <c r="W331" s="32" t="n"/>
      <c r="X331" s="31" t="n"/>
      <c r="Y331" s="31" t="n"/>
      <c r="Z331" s="31" t="n"/>
      <c r="AA331" s="31" t="n"/>
      <c r="AB331" s="31" t="n"/>
      <c r="AC331" s="31" t="n"/>
      <c r="AD331" s="32" t="n"/>
      <c r="AE331" s="31" t="n"/>
      <c r="AF331" s="33" t="n"/>
      <c r="AG331" s="66">
        <f>IF(OR(AF331="",AE331=""),"",IFERROR(AF331*INDEX(FXRates[USD per unit],MATCH(AE331,FXRates[Currency],0)),"No rate"))</f>
        <v/>
      </c>
      <c r="AH331" s="30" t="n"/>
      <c r="AI331" s="30" t="n"/>
      <c r="AJ331" s="34">
        <f>IF(A331="","",IF(COUNTIF($A$6:$A$504,A331)&gt;1,"⚠ Duplicate",""))</f>
        <v/>
      </c>
      <c r="AK331" s="33" t="n"/>
      <c r="AL331" s="41" t="n"/>
      <c r="AM331" s="41" t="n"/>
      <c r="AN331" s="41" t="n"/>
      <c r="AO331" s="41" t="n"/>
      <c r="AP331" s="41" t="n"/>
      <c r="AQ331" s="41" t="n"/>
      <c r="AR331" s="41" t="n"/>
      <c r="AS331" s="41" t="n"/>
      <c r="AT331" s="41" t="n"/>
      <c r="AU331" s="41" t="n"/>
      <c r="AV331" s="41" t="n"/>
      <c r="AW331" s="41" t="n"/>
      <c r="AX331" s="41" t="n"/>
      <c r="AY331" s="41" t="n"/>
      <c r="AZ331" s="33" t="n"/>
      <c r="BA331" s="41" t="n"/>
      <c r="BB331" s="41" t="n"/>
      <c r="BC331" s="41" t="n"/>
      <c r="BD331" s="41" t="n"/>
      <c r="BE331" s="41" t="n"/>
      <c r="BF331" s="41" t="n"/>
      <c r="BG331" s="41" t="n"/>
      <c r="BH331" s="41" t="n"/>
      <c r="BI331" s="41" t="n"/>
      <c r="BJ331" s="41" t="n"/>
      <c r="BK331" s="41" t="n"/>
      <c r="BL331" s="41" t="n"/>
      <c r="BM331" s="41" t="n"/>
      <c r="BN331" s="41" t="n"/>
    </row>
    <row r="332" ht="18" customHeight="1" s="82">
      <c r="A332" s="36" t="n"/>
      <c r="B332" s="36" t="n"/>
      <c r="C332" s="36" t="n"/>
      <c r="D332" s="36" t="n"/>
      <c r="E332" s="37" t="n"/>
      <c r="F332" s="37" t="n"/>
      <c r="G332" s="37" t="n"/>
      <c r="H332" s="37" t="n"/>
      <c r="I332" s="37" t="n"/>
      <c r="J332" s="37" t="n"/>
      <c r="K332" s="37" t="n"/>
      <c r="L332" s="37" t="n"/>
      <c r="M332" s="37" t="n"/>
      <c r="N332" s="37" t="n"/>
      <c r="O332" s="37" t="n"/>
      <c r="P332" s="37" t="n"/>
      <c r="Q332" s="37" t="n"/>
      <c r="R332" s="37" t="n"/>
      <c r="S332" s="37" t="n"/>
      <c r="T332" s="37" t="n"/>
      <c r="U332" s="37" t="n"/>
      <c r="V332" s="37" t="n"/>
      <c r="W332" s="32" t="n"/>
      <c r="X332" s="37" t="n"/>
      <c r="Y332" s="37" t="n"/>
      <c r="Z332" s="37" t="n"/>
      <c r="AA332" s="37" t="n"/>
      <c r="AB332" s="37" t="n"/>
      <c r="AC332" s="37" t="n"/>
      <c r="AD332" s="32" t="n"/>
      <c r="AE332" s="37" t="n"/>
      <c r="AF332" s="38" t="n"/>
      <c r="AG332" s="67">
        <f>IF(OR(AF332="",AE332=""),"",IFERROR(AF332*INDEX(FXRates[USD per unit],MATCH(AE332,FXRates[Currency],0)),"No rate"))</f>
        <v/>
      </c>
      <c r="AH332" s="36" t="n"/>
      <c r="AI332" s="36" t="n"/>
      <c r="AJ332" s="39">
        <f>IF(A332="","",IF(COUNTIF($A$6:$A$504,A332)&gt;1,"⚠ Duplicate",""))</f>
        <v/>
      </c>
      <c r="AK332" s="38" t="n"/>
      <c r="AL332" s="40" t="n"/>
      <c r="AM332" s="40" t="n"/>
      <c r="AN332" s="40" t="n"/>
      <c r="AO332" s="40" t="n"/>
      <c r="AP332" s="40" t="n"/>
      <c r="AQ332" s="40" t="n"/>
      <c r="AR332" s="40" t="n"/>
      <c r="AS332" s="40" t="n"/>
      <c r="AT332" s="40" t="n"/>
      <c r="AU332" s="40" t="n"/>
      <c r="AV332" s="40" t="n"/>
      <c r="AW332" s="40" t="n"/>
      <c r="AX332" s="40" t="n"/>
      <c r="AY332" s="40" t="n"/>
      <c r="AZ332" s="38" t="n"/>
      <c r="BA332" s="40" t="n"/>
      <c r="BB332" s="40" t="n"/>
      <c r="BC332" s="40" t="n"/>
      <c r="BD332" s="40" t="n"/>
      <c r="BE332" s="40" t="n"/>
      <c r="BF332" s="40" t="n"/>
      <c r="BG332" s="40" t="n"/>
      <c r="BH332" s="40" t="n"/>
      <c r="BI332" s="40" t="n"/>
      <c r="BJ332" s="40" t="n"/>
      <c r="BK332" s="40" t="n"/>
      <c r="BL332" s="40" t="n"/>
      <c r="BM332" s="40" t="n"/>
      <c r="BN332" s="40" t="n"/>
    </row>
    <row r="333" ht="18" customHeight="1" s="82">
      <c r="A333" s="30" t="n"/>
      <c r="B333" s="30" t="n"/>
      <c r="C333" s="30" t="n"/>
      <c r="D333" s="30" t="n"/>
      <c r="E333" s="31" t="n"/>
      <c r="F333" s="31" t="n"/>
      <c r="G333" s="31" t="n"/>
      <c r="H333" s="31" t="n"/>
      <c r="I333" s="31" t="n"/>
      <c r="J333" s="31" t="n"/>
      <c r="K333" s="31" t="n"/>
      <c r="L333" s="31" t="n"/>
      <c r="M333" s="31" t="n"/>
      <c r="N333" s="31" t="n"/>
      <c r="O333" s="31" t="n"/>
      <c r="P333" s="31" t="n"/>
      <c r="Q333" s="31" t="n"/>
      <c r="R333" s="31" t="n"/>
      <c r="S333" s="31" t="n"/>
      <c r="T333" s="31" t="n"/>
      <c r="U333" s="31" t="n"/>
      <c r="V333" s="31" t="n"/>
      <c r="W333" s="32" t="n"/>
      <c r="X333" s="31" t="n"/>
      <c r="Y333" s="31" t="n"/>
      <c r="Z333" s="31" t="n"/>
      <c r="AA333" s="31" t="n"/>
      <c r="AB333" s="31" t="n"/>
      <c r="AC333" s="31" t="n"/>
      <c r="AD333" s="32" t="n"/>
      <c r="AE333" s="31" t="n"/>
      <c r="AF333" s="33" t="n"/>
      <c r="AG333" s="66">
        <f>IF(OR(AF333="",AE333=""),"",IFERROR(AF333*INDEX(FXRates[USD per unit],MATCH(AE333,FXRates[Currency],0)),"No rate"))</f>
        <v/>
      </c>
      <c r="AH333" s="30" t="n"/>
      <c r="AI333" s="30" t="n"/>
      <c r="AJ333" s="34">
        <f>IF(A333="","",IF(COUNTIF($A$6:$A$504,A333)&gt;1,"⚠ Duplicate",""))</f>
        <v/>
      </c>
      <c r="AK333" s="33" t="n"/>
      <c r="AL333" s="41" t="n"/>
      <c r="AM333" s="41" t="n"/>
      <c r="AN333" s="41" t="n"/>
      <c r="AO333" s="41" t="n"/>
      <c r="AP333" s="41" t="n"/>
      <c r="AQ333" s="41" t="n"/>
      <c r="AR333" s="41" t="n"/>
      <c r="AS333" s="41" t="n"/>
      <c r="AT333" s="41" t="n"/>
      <c r="AU333" s="41" t="n"/>
      <c r="AV333" s="41" t="n"/>
      <c r="AW333" s="41" t="n"/>
      <c r="AX333" s="41" t="n"/>
      <c r="AY333" s="41" t="n"/>
      <c r="AZ333" s="33" t="n"/>
      <c r="BA333" s="41" t="n"/>
      <c r="BB333" s="41" t="n"/>
      <c r="BC333" s="41" t="n"/>
      <c r="BD333" s="41" t="n"/>
      <c r="BE333" s="41" t="n"/>
      <c r="BF333" s="41" t="n"/>
      <c r="BG333" s="41" t="n"/>
      <c r="BH333" s="41" t="n"/>
      <c r="BI333" s="41" t="n"/>
      <c r="BJ333" s="41" t="n"/>
      <c r="BK333" s="41" t="n"/>
      <c r="BL333" s="41" t="n"/>
      <c r="BM333" s="41" t="n"/>
      <c r="BN333" s="41" t="n"/>
    </row>
    <row r="334" ht="18" customHeight="1" s="82">
      <c r="A334" s="36" t="n"/>
      <c r="B334" s="36" t="n"/>
      <c r="C334" s="36" t="n"/>
      <c r="D334" s="36" t="n"/>
      <c r="E334" s="37" t="n"/>
      <c r="F334" s="37" t="n"/>
      <c r="G334" s="37" t="n"/>
      <c r="H334" s="37" t="n"/>
      <c r="I334" s="37" t="n"/>
      <c r="J334" s="37" t="n"/>
      <c r="K334" s="37" t="n"/>
      <c r="L334" s="37" t="n"/>
      <c r="M334" s="37" t="n"/>
      <c r="N334" s="37" t="n"/>
      <c r="O334" s="37" t="n"/>
      <c r="P334" s="37" t="n"/>
      <c r="Q334" s="37" t="n"/>
      <c r="R334" s="37" t="n"/>
      <c r="S334" s="37" t="n"/>
      <c r="T334" s="37" t="n"/>
      <c r="U334" s="37" t="n"/>
      <c r="V334" s="37" t="n"/>
      <c r="W334" s="32" t="n"/>
      <c r="X334" s="37" t="n"/>
      <c r="Y334" s="37" t="n"/>
      <c r="Z334" s="37" t="n"/>
      <c r="AA334" s="37" t="n"/>
      <c r="AB334" s="37" t="n"/>
      <c r="AC334" s="37" t="n"/>
      <c r="AD334" s="32" t="n"/>
      <c r="AE334" s="37" t="n"/>
      <c r="AF334" s="38" t="n"/>
      <c r="AG334" s="67">
        <f>IF(OR(AF334="",AE334=""),"",IFERROR(AF334*INDEX(FXRates[USD per unit],MATCH(AE334,FXRates[Currency],0)),"No rate"))</f>
        <v/>
      </c>
      <c r="AH334" s="36" t="n"/>
      <c r="AI334" s="36" t="n"/>
      <c r="AJ334" s="39">
        <f>IF(A334="","",IF(COUNTIF($A$6:$A$504,A334)&gt;1,"⚠ Duplicate",""))</f>
        <v/>
      </c>
      <c r="AK334" s="38" t="n"/>
      <c r="AL334" s="40" t="n"/>
      <c r="AM334" s="40" t="n"/>
      <c r="AN334" s="40" t="n"/>
      <c r="AO334" s="40" t="n"/>
      <c r="AP334" s="40" t="n"/>
      <c r="AQ334" s="40" t="n"/>
      <c r="AR334" s="40" t="n"/>
      <c r="AS334" s="40" t="n"/>
      <c r="AT334" s="40" t="n"/>
      <c r="AU334" s="40" t="n"/>
      <c r="AV334" s="40" t="n"/>
      <c r="AW334" s="40" t="n"/>
      <c r="AX334" s="40" t="n"/>
      <c r="AY334" s="40" t="n"/>
      <c r="AZ334" s="38" t="n"/>
      <c r="BA334" s="40" t="n"/>
      <c r="BB334" s="40" t="n"/>
      <c r="BC334" s="40" t="n"/>
      <c r="BD334" s="40" t="n"/>
      <c r="BE334" s="40" t="n"/>
      <c r="BF334" s="40" t="n"/>
      <c r="BG334" s="40" t="n"/>
      <c r="BH334" s="40" t="n"/>
      <c r="BI334" s="40" t="n"/>
      <c r="BJ334" s="40" t="n"/>
      <c r="BK334" s="40" t="n"/>
      <c r="BL334" s="40" t="n"/>
      <c r="BM334" s="40" t="n"/>
      <c r="BN334" s="40" t="n"/>
    </row>
    <row r="335" ht="18" customHeight="1" s="82">
      <c r="A335" s="30" t="n"/>
      <c r="B335" s="30" t="n"/>
      <c r="C335" s="30" t="n"/>
      <c r="D335" s="30" t="n"/>
      <c r="E335" s="31" t="n"/>
      <c r="F335" s="31" t="n"/>
      <c r="G335" s="31" t="n"/>
      <c r="H335" s="31" t="n"/>
      <c r="I335" s="31" t="n"/>
      <c r="J335" s="31" t="n"/>
      <c r="K335" s="31" t="n"/>
      <c r="L335" s="31" t="n"/>
      <c r="M335" s="31" t="n"/>
      <c r="N335" s="31" t="n"/>
      <c r="O335" s="31" t="n"/>
      <c r="P335" s="31" t="n"/>
      <c r="Q335" s="31" t="n"/>
      <c r="R335" s="31" t="n"/>
      <c r="S335" s="31" t="n"/>
      <c r="T335" s="31" t="n"/>
      <c r="U335" s="31" t="n"/>
      <c r="V335" s="31" t="n"/>
      <c r="W335" s="32" t="n"/>
      <c r="X335" s="31" t="n"/>
      <c r="Y335" s="31" t="n"/>
      <c r="Z335" s="31" t="n"/>
      <c r="AA335" s="31" t="n"/>
      <c r="AB335" s="31" t="n"/>
      <c r="AC335" s="31" t="n"/>
      <c r="AD335" s="32" t="n"/>
      <c r="AE335" s="31" t="n"/>
      <c r="AF335" s="33" t="n"/>
      <c r="AG335" s="66">
        <f>IF(OR(AF335="",AE335=""),"",IFERROR(AF335*INDEX(FXRates[USD per unit],MATCH(AE335,FXRates[Currency],0)),"No rate"))</f>
        <v/>
      </c>
      <c r="AH335" s="30" t="n"/>
      <c r="AI335" s="30" t="n"/>
      <c r="AJ335" s="34">
        <f>IF(A335="","",IF(COUNTIF($A$6:$A$504,A335)&gt;1,"⚠ Duplicate",""))</f>
        <v/>
      </c>
      <c r="AK335" s="33" t="n"/>
      <c r="AL335" s="41" t="n"/>
      <c r="AM335" s="41" t="n"/>
      <c r="AN335" s="41" t="n"/>
      <c r="AO335" s="41" t="n"/>
      <c r="AP335" s="41" t="n"/>
      <c r="AQ335" s="41" t="n"/>
      <c r="AR335" s="41" t="n"/>
      <c r="AS335" s="41" t="n"/>
      <c r="AT335" s="41" t="n"/>
      <c r="AU335" s="41" t="n"/>
      <c r="AV335" s="41" t="n"/>
      <c r="AW335" s="41" t="n"/>
      <c r="AX335" s="41" t="n"/>
      <c r="AY335" s="41" t="n"/>
      <c r="AZ335" s="33" t="n"/>
      <c r="BA335" s="41" t="n"/>
      <c r="BB335" s="41" t="n"/>
      <c r="BC335" s="41" t="n"/>
      <c r="BD335" s="41" t="n"/>
      <c r="BE335" s="41" t="n"/>
      <c r="BF335" s="41" t="n"/>
      <c r="BG335" s="41" t="n"/>
      <c r="BH335" s="41" t="n"/>
      <c r="BI335" s="41" t="n"/>
      <c r="BJ335" s="41" t="n"/>
      <c r="BK335" s="41" t="n"/>
      <c r="BL335" s="41" t="n"/>
      <c r="BM335" s="41" t="n"/>
      <c r="BN335" s="41" t="n"/>
    </row>
    <row r="336" ht="18" customHeight="1" s="82">
      <c r="A336" s="36" t="n"/>
      <c r="B336" s="36" t="n"/>
      <c r="C336" s="36" t="n"/>
      <c r="D336" s="36" t="n"/>
      <c r="E336" s="37" t="n"/>
      <c r="F336" s="37" t="n"/>
      <c r="G336" s="37" t="n"/>
      <c r="H336" s="37" t="n"/>
      <c r="I336" s="37" t="n"/>
      <c r="J336" s="37" t="n"/>
      <c r="K336" s="37" t="n"/>
      <c r="L336" s="37" t="n"/>
      <c r="M336" s="37" t="n"/>
      <c r="N336" s="37" t="n"/>
      <c r="O336" s="37" t="n"/>
      <c r="P336" s="37" t="n"/>
      <c r="Q336" s="37" t="n"/>
      <c r="R336" s="37" t="n"/>
      <c r="S336" s="37" t="n"/>
      <c r="T336" s="37" t="n"/>
      <c r="U336" s="37" t="n"/>
      <c r="V336" s="37" t="n"/>
      <c r="W336" s="32" t="n"/>
      <c r="X336" s="37" t="n"/>
      <c r="Y336" s="37" t="n"/>
      <c r="Z336" s="37" t="n"/>
      <c r="AA336" s="37" t="n"/>
      <c r="AB336" s="37" t="n"/>
      <c r="AC336" s="37" t="n"/>
      <c r="AD336" s="32" t="n"/>
      <c r="AE336" s="37" t="n"/>
      <c r="AF336" s="38" t="n"/>
      <c r="AG336" s="67">
        <f>IF(OR(AF336="",AE336=""),"",IFERROR(AF336*INDEX(FXRates[USD per unit],MATCH(AE336,FXRates[Currency],0)),"No rate"))</f>
        <v/>
      </c>
      <c r="AH336" s="36" t="n"/>
      <c r="AI336" s="36" t="n"/>
      <c r="AJ336" s="39">
        <f>IF(A336="","",IF(COUNTIF($A$6:$A$504,A336)&gt;1,"⚠ Duplicate",""))</f>
        <v/>
      </c>
      <c r="AK336" s="38" t="n"/>
      <c r="AL336" s="40" t="n"/>
      <c r="AM336" s="40" t="n"/>
      <c r="AN336" s="40" t="n"/>
      <c r="AO336" s="40" t="n"/>
      <c r="AP336" s="40" t="n"/>
      <c r="AQ336" s="40" t="n"/>
      <c r="AR336" s="40" t="n"/>
      <c r="AS336" s="40" t="n"/>
      <c r="AT336" s="40" t="n"/>
      <c r="AU336" s="40" t="n"/>
      <c r="AV336" s="40" t="n"/>
      <c r="AW336" s="40" t="n"/>
      <c r="AX336" s="40" t="n"/>
      <c r="AY336" s="40" t="n"/>
      <c r="AZ336" s="38" t="n"/>
      <c r="BA336" s="40" t="n"/>
      <c r="BB336" s="40" t="n"/>
      <c r="BC336" s="40" t="n"/>
      <c r="BD336" s="40" t="n"/>
      <c r="BE336" s="40" t="n"/>
      <c r="BF336" s="40" t="n"/>
      <c r="BG336" s="40" t="n"/>
      <c r="BH336" s="40" t="n"/>
      <c r="BI336" s="40" t="n"/>
      <c r="BJ336" s="40" t="n"/>
      <c r="BK336" s="40" t="n"/>
      <c r="BL336" s="40" t="n"/>
      <c r="BM336" s="40" t="n"/>
      <c r="BN336" s="40" t="n"/>
    </row>
    <row r="337" ht="18" customHeight="1" s="82">
      <c r="A337" s="30" t="n"/>
      <c r="B337" s="30" t="n"/>
      <c r="C337" s="30" t="n"/>
      <c r="D337" s="30" t="n"/>
      <c r="E337" s="31" t="n"/>
      <c r="F337" s="31" t="n"/>
      <c r="G337" s="31" t="n"/>
      <c r="H337" s="31" t="n"/>
      <c r="I337" s="31" t="n"/>
      <c r="J337" s="31" t="n"/>
      <c r="K337" s="31" t="n"/>
      <c r="L337" s="31" t="n"/>
      <c r="M337" s="31" t="n"/>
      <c r="N337" s="31" t="n"/>
      <c r="O337" s="31" t="n"/>
      <c r="P337" s="31" t="n"/>
      <c r="Q337" s="31" t="n"/>
      <c r="R337" s="31" t="n"/>
      <c r="S337" s="31" t="n"/>
      <c r="T337" s="31" t="n"/>
      <c r="U337" s="31" t="n"/>
      <c r="V337" s="31" t="n"/>
      <c r="W337" s="32" t="n"/>
      <c r="X337" s="31" t="n"/>
      <c r="Y337" s="31" t="n"/>
      <c r="Z337" s="31" t="n"/>
      <c r="AA337" s="31" t="n"/>
      <c r="AB337" s="31" t="n"/>
      <c r="AC337" s="31" t="n"/>
      <c r="AD337" s="32" t="n"/>
      <c r="AE337" s="31" t="n"/>
      <c r="AF337" s="33" t="n"/>
      <c r="AG337" s="66">
        <f>IF(OR(AF337="",AE337=""),"",IFERROR(AF337*INDEX(FXRates[USD per unit],MATCH(AE337,FXRates[Currency],0)),"No rate"))</f>
        <v/>
      </c>
      <c r="AH337" s="30" t="n"/>
      <c r="AI337" s="30" t="n"/>
      <c r="AJ337" s="34">
        <f>IF(A337="","",IF(COUNTIF($A$6:$A$504,A337)&gt;1,"⚠ Duplicate",""))</f>
        <v/>
      </c>
      <c r="AK337" s="33" t="n"/>
      <c r="AL337" s="41" t="n"/>
      <c r="AM337" s="41" t="n"/>
      <c r="AN337" s="41" t="n"/>
      <c r="AO337" s="41" t="n"/>
      <c r="AP337" s="41" t="n"/>
      <c r="AQ337" s="41" t="n"/>
      <c r="AR337" s="41" t="n"/>
      <c r="AS337" s="41" t="n"/>
      <c r="AT337" s="41" t="n"/>
      <c r="AU337" s="41" t="n"/>
      <c r="AV337" s="41" t="n"/>
      <c r="AW337" s="41" t="n"/>
      <c r="AX337" s="41" t="n"/>
      <c r="AY337" s="41" t="n"/>
      <c r="AZ337" s="33" t="n"/>
      <c r="BA337" s="41" t="n"/>
      <c r="BB337" s="41" t="n"/>
      <c r="BC337" s="41" t="n"/>
      <c r="BD337" s="41" t="n"/>
      <c r="BE337" s="41" t="n"/>
      <c r="BF337" s="41" t="n"/>
      <c r="BG337" s="41" t="n"/>
      <c r="BH337" s="41" t="n"/>
      <c r="BI337" s="41" t="n"/>
      <c r="BJ337" s="41" t="n"/>
      <c r="BK337" s="41" t="n"/>
      <c r="BL337" s="41" t="n"/>
      <c r="BM337" s="41" t="n"/>
      <c r="BN337" s="41" t="n"/>
    </row>
    <row r="338" ht="18" customHeight="1" s="82">
      <c r="A338" s="36" t="n"/>
      <c r="B338" s="36" t="n"/>
      <c r="C338" s="36" t="n"/>
      <c r="D338" s="36" t="n"/>
      <c r="E338" s="37" t="n"/>
      <c r="F338" s="37" t="n"/>
      <c r="G338" s="37" t="n"/>
      <c r="H338" s="37" t="n"/>
      <c r="I338" s="37" t="n"/>
      <c r="J338" s="37" t="n"/>
      <c r="K338" s="37" t="n"/>
      <c r="L338" s="37" t="n"/>
      <c r="M338" s="37" t="n"/>
      <c r="N338" s="37" t="n"/>
      <c r="O338" s="37" t="n"/>
      <c r="P338" s="37" t="n"/>
      <c r="Q338" s="37" t="n"/>
      <c r="R338" s="37" t="n"/>
      <c r="S338" s="37" t="n"/>
      <c r="T338" s="37" t="n"/>
      <c r="U338" s="37" t="n"/>
      <c r="V338" s="37" t="n"/>
      <c r="W338" s="32" t="n"/>
      <c r="X338" s="37" t="n"/>
      <c r="Y338" s="37" t="n"/>
      <c r="Z338" s="37" t="n"/>
      <c r="AA338" s="37" t="n"/>
      <c r="AB338" s="37" t="n"/>
      <c r="AC338" s="37" t="n"/>
      <c r="AD338" s="32" t="n"/>
      <c r="AE338" s="37" t="n"/>
      <c r="AF338" s="38" t="n"/>
      <c r="AG338" s="67">
        <f>IF(OR(AF338="",AE338=""),"",IFERROR(AF338*INDEX(FXRates[USD per unit],MATCH(AE338,FXRates[Currency],0)),"No rate"))</f>
        <v/>
      </c>
      <c r="AH338" s="36" t="n"/>
      <c r="AI338" s="36" t="n"/>
      <c r="AJ338" s="39">
        <f>IF(A338="","",IF(COUNTIF($A$6:$A$504,A338)&gt;1,"⚠ Duplicate",""))</f>
        <v/>
      </c>
      <c r="AK338" s="38" t="n"/>
      <c r="AL338" s="40" t="n"/>
      <c r="AM338" s="40" t="n"/>
      <c r="AN338" s="40" t="n"/>
      <c r="AO338" s="40" t="n"/>
      <c r="AP338" s="40" t="n"/>
      <c r="AQ338" s="40" t="n"/>
      <c r="AR338" s="40" t="n"/>
      <c r="AS338" s="40" t="n"/>
      <c r="AT338" s="40" t="n"/>
      <c r="AU338" s="40" t="n"/>
      <c r="AV338" s="40" t="n"/>
      <c r="AW338" s="40" t="n"/>
      <c r="AX338" s="40" t="n"/>
      <c r="AY338" s="40" t="n"/>
      <c r="AZ338" s="38" t="n"/>
      <c r="BA338" s="40" t="n"/>
      <c r="BB338" s="40" t="n"/>
      <c r="BC338" s="40" t="n"/>
      <c r="BD338" s="40" t="n"/>
      <c r="BE338" s="40" t="n"/>
      <c r="BF338" s="40" t="n"/>
      <c r="BG338" s="40" t="n"/>
      <c r="BH338" s="40" t="n"/>
      <c r="BI338" s="40" t="n"/>
      <c r="BJ338" s="40" t="n"/>
      <c r="BK338" s="40" t="n"/>
      <c r="BL338" s="40" t="n"/>
      <c r="BM338" s="40" t="n"/>
      <c r="BN338" s="40" t="n"/>
    </row>
    <row r="339" ht="18" customHeight="1" s="82">
      <c r="A339" s="30" t="n"/>
      <c r="B339" s="30" t="n"/>
      <c r="C339" s="30" t="n"/>
      <c r="D339" s="30" t="n"/>
      <c r="E339" s="31" t="n"/>
      <c r="F339" s="31" t="n"/>
      <c r="G339" s="31" t="n"/>
      <c r="H339" s="31" t="n"/>
      <c r="I339" s="31" t="n"/>
      <c r="J339" s="31" t="n"/>
      <c r="K339" s="31" t="n"/>
      <c r="L339" s="31" t="n"/>
      <c r="M339" s="31" t="n"/>
      <c r="N339" s="31" t="n"/>
      <c r="O339" s="31" t="n"/>
      <c r="P339" s="31" t="n"/>
      <c r="Q339" s="31" t="n"/>
      <c r="R339" s="31" t="n"/>
      <c r="S339" s="31" t="n"/>
      <c r="T339" s="31" t="n"/>
      <c r="U339" s="31" t="n"/>
      <c r="V339" s="31" t="n"/>
      <c r="W339" s="32" t="n"/>
      <c r="X339" s="31" t="n"/>
      <c r="Y339" s="31" t="n"/>
      <c r="Z339" s="31" t="n"/>
      <c r="AA339" s="31" t="n"/>
      <c r="AB339" s="31" t="n"/>
      <c r="AC339" s="31" t="n"/>
      <c r="AD339" s="32" t="n"/>
      <c r="AE339" s="31" t="n"/>
      <c r="AF339" s="33" t="n"/>
      <c r="AG339" s="66">
        <f>IF(OR(AF339="",AE339=""),"",IFERROR(AF339*INDEX(FXRates[USD per unit],MATCH(AE339,FXRates[Currency],0)),"No rate"))</f>
        <v/>
      </c>
      <c r="AH339" s="30" t="n"/>
      <c r="AI339" s="30" t="n"/>
      <c r="AJ339" s="34">
        <f>IF(A339="","",IF(COUNTIF($A$6:$A$504,A339)&gt;1,"⚠ Duplicate",""))</f>
        <v/>
      </c>
      <c r="AK339" s="33" t="n"/>
      <c r="AL339" s="41" t="n"/>
      <c r="AM339" s="41" t="n"/>
      <c r="AN339" s="41" t="n"/>
      <c r="AO339" s="41" t="n"/>
      <c r="AP339" s="41" t="n"/>
      <c r="AQ339" s="41" t="n"/>
      <c r="AR339" s="41" t="n"/>
      <c r="AS339" s="41" t="n"/>
      <c r="AT339" s="41" t="n"/>
      <c r="AU339" s="41" t="n"/>
      <c r="AV339" s="41" t="n"/>
      <c r="AW339" s="41" t="n"/>
      <c r="AX339" s="41" t="n"/>
      <c r="AY339" s="41" t="n"/>
      <c r="AZ339" s="33" t="n"/>
      <c r="BA339" s="41" t="n"/>
      <c r="BB339" s="41" t="n"/>
      <c r="BC339" s="41" t="n"/>
      <c r="BD339" s="41" t="n"/>
      <c r="BE339" s="41" t="n"/>
      <c r="BF339" s="41" t="n"/>
      <c r="BG339" s="41" t="n"/>
      <c r="BH339" s="41" t="n"/>
      <c r="BI339" s="41" t="n"/>
      <c r="BJ339" s="41" t="n"/>
      <c r="BK339" s="41" t="n"/>
      <c r="BL339" s="41" t="n"/>
      <c r="BM339" s="41" t="n"/>
      <c r="BN339" s="41" t="n"/>
    </row>
    <row r="340" ht="18" customHeight="1" s="82">
      <c r="A340" s="36" t="n"/>
      <c r="B340" s="36" t="n"/>
      <c r="C340" s="36" t="n"/>
      <c r="D340" s="36" t="n"/>
      <c r="E340" s="37" t="n"/>
      <c r="F340" s="37" t="n"/>
      <c r="G340" s="37" t="n"/>
      <c r="H340" s="37" t="n"/>
      <c r="I340" s="37" t="n"/>
      <c r="J340" s="37" t="n"/>
      <c r="K340" s="37" t="n"/>
      <c r="L340" s="37" t="n"/>
      <c r="M340" s="37" t="n"/>
      <c r="N340" s="37" t="n"/>
      <c r="O340" s="37" t="n"/>
      <c r="P340" s="37" t="n"/>
      <c r="Q340" s="37" t="n"/>
      <c r="R340" s="37" t="n"/>
      <c r="S340" s="37" t="n"/>
      <c r="T340" s="37" t="n"/>
      <c r="U340" s="37" t="n"/>
      <c r="V340" s="37" t="n"/>
      <c r="W340" s="32" t="n"/>
      <c r="X340" s="37" t="n"/>
      <c r="Y340" s="37" t="n"/>
      <c r="Z340" s="37" t="n"/>
      <c r="AA340" s="37" t="n"/>
      <c r="AB340" s="37" t="n"/>
      <c r="AC340" s="37" t="n"/>
      <c r="AD340" s="32" t="n"/>
      <c r="AE340" s="37" t="n"/>
      <c r="AF340" s="38" t="n"/>
      <c r="AG340" s="67">
        <f>IF(OR(AF340="",AE340=""),"",IFERROR(AF340*INDEX(FXRates[USD per unit],MATCH(AE340,FXRates[Currency],0)),"No rate"))</f>
        <v/>
      </c>
      <c r="AH340" s="36" t="n"/>
      <c r="AI340" s="36" t="n"/>
      <c r="AJ340" s="39">
        <f>IF(A340="","",IF(COUNTIF($A$6:$A$504,A340)&gt;1,"⚠ Duplicate",""))</f>
        <v/>
      </c>
      <c r="AK340" s="38" t="n"/>
      <c r="AL340" s="40" t="n"/>
      <c r="AM340" s="40" t="n"/>
      <c r="AN340" s="40" t="n"/>
      <c r="AO340" s="40" t="n"/>
      <c r="AP340" s="40" t="n"/>
      <c r="AQ340" s="40" t="n"/>
      <c r="AR340" s="40" t="n"/>
      <c r="AS340" s="40" t="n"/>
      <c r="AT340" s="40" t="n"/>
      <c r="AU340" s="40" t="n"/>
      <c r="AV340" s="40" t="n"/>
      <c r="AW340" s="40" t="n"/>
      <c r="AX340" s="40" t="n"/>
      <c r="AY340" s="40" t="n"/>
      <c r="AZ340" s="38" t="n"/>
      <c r="BA340" s="40" t="n"/>
      <c r="BB340" s="40" t="n"/>
      <c r="BC340" s="40" t="n"/>
      <c r="BD340" s="40" t="n"/>
      <c r="BE340" s="40" t="n"/>
      <c r="BF340" s="40" t="n"/>
      <c r="BG340" s="40" t="n"/>
      <c r="BH340" s="40" t="n"/>
      <c r="BI340" s="40" t="n"/>
      <c r="BJ340" s="40" t="n"/>
      <c r="BK340" s="40" t="n"/>
      <c r="BL340" s="40" t="n"/>
      <c r="BM340" s="40" t="n"/>
      <c r="BN340" s="40" t="n"/>
    </row>
    <row r="341" ht="18" customHeight="1" s="82">
      <c r="A341" s="30" t="n"/>
      <c r="B341" s="30" t="n"/>
      <c r="C341" s="30" t="n"/>
      <c r="D341" s="30" t="n"/>
      <c r="E341" s="31" t="n"/>
      <c r="F341" s="31" t="n"/>
      <c r="G341" s="31" t="n"/>
      <c r="H341" s="31" t="n"/>
      <c r="I341" s="31" t="n"/>
      <c r="J341" s="31" t="n"/>
      <c r="K341" s="31" t="n"/>
      <c r="L341" s="31" t="n"/>
      <c r="M341" s="31" t="n"/>
      <c r="N341" s="31" t="n"/>
      <c r="O341" s="31" t="n"/>
      <c r="P341" s="31" t="n"/>
      <c r="Q341" s="31" t="n"/>
      <c r="R341" s="31" t="n"/>
      <c r="S341" s="31" t="n"/>
      <c r="T341" s="31" t="n"/>
      <c r="U341" s="31" t="n"/>
      <c r="V341" s="31" t="n"/>
      <c r="W341" s="32" t="n"/>
      <c r="X341" s="31" t="n"/>
      <c r="Y341" s="31" t="n"/>
      <c r="Z341" s="31" t="n"/>
      <c r="AA341" s="31" t="n"/>
      <c r="AB341" s="31" t="n"/>
      <c r="AC341" s="31" t="n"/>
      <c r="AD341" s="32" t="n"/>
      <c r="AE341" s="31" t="n"/>
      <c r="AF341" s="33" t="n"/>
      <c r="AG341" s="66">
        <f>IF(OR(AF341="",AE341=""),"",IFERROR(AF341*INDEX(FXRates[USD per unit],MATCH(AE341,FXRates[Currency],0)),"No rate"))</f>
        <v/>
      </c>
      <c r="AH341" s="30" t="n"/>
      <c r="AI341" s="30" t="n"/>
      <c r="AJ341" s="34">
        <f>IF(A341="","",IF(COUNTIF($A$6:$A$504,A341)&gt;1,"⚠ Duplicate",""))</f>
        <v/>
      </c>
      <c r="AK341" s="33" t="n"/>
      <c r="AL341" s="41" t="n"/>
      <c r="AM341" s="41" t="n"/>
      <c r="AN341" s="41" t="n"/>
      <c r="AO341" s="41" t="n"/>
      <c r="AP341" s="41" t="n"/>
      <c r="AQ341" s="41" t="n"/>
      <c r="AR341" s="41" t="n"/>
      <c r="AS341" s="41" t="n"/>
      <c r="AT341" s="41" t="n"/>
      <c r="AU341" s="41" t="n"/>
      <c r="AV341" s="41" t="n"/>
      <c r="AW341" s="41" t="n"/>
      <c r="AX341" s="41" t="n"/>
      <c r="AY341" s="41" t="n"/>
      <c r="AZ341" s="33" t="n"/>
      <c r="BA341" s="41" t="n"/>
      <c r="BB341" s="41" t="n"/>
      <c r="BC341" s="41" t="n"/>
      <c r="BD341" s="41" t="n"/>
      <c r="BE341" s="41" t="n"/>
      <c r="BF341" s="41" t="n"/>
      <c r="BG341" s="41" t="n"/>
      <c r="BH341" s="41" t="n"/>
      <c r="BI341" s="41" t="n"/>
      <c r="BJ341" s="41" t="n"/>
      <c r="BK341" s="41" t="n"/>
      <c r="BL341" s="41" t="n"/>
      <c r="BM341" s="41" t="n"/>
      <c r="BN341" s="41" t="n"/>
    </row>
    <row r="342" ht="18" customHeight="1" s="82">
      <c r="A342" s="36" t="n"/>
      <c r="B342" s="36" t="n"/>
      <c r="C342" s="36" t="n"/>
      <c r="D342" s="36" t="n"/>
      <c r="E342" s="37" t="n"/>
      <c r="F342" s="37" t="n"/>
      <c r="G342" s="37" t="n"/>
      <c r="H342" s="37" t="n"/>
      <c r="I342" s="37" t="n"/>
      <c r="J342" s="37" t="n"/>
      <c r="K342" s="37" t="n"/>
      <c r="L342" s="37" t="n"/>
      <c r="M342" s="37" t="n"/>
      <c r="N342" s="37" t="n"/>
      <c r="O342" s="37" t="n"/>
      <c r="P342" s="37" t="n"/>
      <c r="Q342" s="37" t="n"/>
      <c r="R342" s="37" t="n"/>
      <c r="S342" s="37" t="n"/>
      <c r="T342" s="37" t="n"/>
      <c r="U342" s="37" t="n"/>
      <c r="V342" s="37" t="n"/>
      <c r="W342" s="32" t="n"/>
      <c r="X342" s="37" t="n"/>
      <c r="Y342" s="37" t="n"/>
      <c r="Z342" s="37" t="n"/>
      <c r="AA342" s="37" t="n"/>
      <c r="AB342" s="37" t="n"/>
      <c r="AC342" s="37" t="n"/>
      <c r="AD342" s="32" t="n"/>
      <c r="AE342" s="37" t="n"/>
      <c r="AF342" s="38" t="n"/>
      <c r="AG342" s="67">
        <f>IF(OR(AF342="",AE342=""),"",IFERROR(AF342*INDEX(FXRates[USD per unit],MATCH(AE342,FXRates[Currency],0)),"No rate"))</f>
        <v/>
      </c>
      <c r="AH342" s="36" t="n"/>
      <c r="AI342" s="36" t="n"/>
      <c r="AJ342" s="39">
        <f>IF(A342="","",IF(COUNTIF($A$6:$A$504,A342)&gt;1,"⚠ Duplicate",""))</f>
        <v/>
      </c>
      <c r="AK342" s="38" t="n"/>
      <c r="AL342" s="40" t="n"/>
      <c r="AM342" s="40" t="n"/>
      <c r="AN342" s="40" t="n"/>
      <c r="AO342" s="40" t="n"/>
      <c r="AP342" s="40" t="n"/>
      <c r="AQ342" s="40" t="n"/>
      <c r="AR342" s="40" t="n"/>
      <c r="AS342" s="40" t="n"/>
      <c r="AT342" s="40" t="n"/>
      <c r="AU342" s="40" t="n"/>
      <c r="AV342" s="40" t="n"/>
      <c r="AW342" s="40" t="n"/>
      <c r="AX342" s="40" t="n"/>
      <c r="AY342" s="40" t="n"/>
      <c r="AZ342" s="38" t="n"/>
      <c r="BA342" s="40" t="n"/>
      <c r="BB342" s="40" t="n"/>
      <c r="BC342" s="40" t="n"/>
      <c r="BD342" s="40" t="n"/>
      <c r="BE342" s="40" t="n"/>
      <c r="BF342" s="40" t="n"/>
      <c r="BG342" s="40" t="n"/>
      <c r="BH342" s="40" t="n"/>
      <c r="BI342" s="40" t="n"/>
      <c r="BJ342" s="40" t="n"/>
      <c r="BK342" s="40" t="n"/>
      <c r="BL342" s="40" t="n"/>
      <c r="BM342" s="40" t="n"/>
      <c r="BN342" s="40" t="n"/>
    </row>
    <row r="343" ht="18" customHeight="1" s="82">
      <c r="A343" s="30" t="n"/>
      <c r="B343" s="30" t="n"/>
      <c r="C343" s="30" t="n"/>
      <c r="D343" s="30" t="n"/>
      <c r="E343" s="31" t="n"/>
      <c r="F343" s="31" t="n"/>
      <c r="G343" s="31" t="n"/>
      <c r="H343" s="31" t="n"/>
      <c r="I343" s="31" t="n"/>
      <c r="J343" s="31" t="n"/>
      <c r="K343" s="31" t="n"/>
      <c r="L343" s="31" t="n"/>
      <c r="M343" s="31" t="n"/>
      <c r="N343" s="31" t="n"/>
      <c r="O343" s="31" t="n"/>
      <c r="P343" s="31" t="n"/>
      <c r="Q343" s="31" t="n"/>
      <c r="R343" s="31" t="n"/>
      <c r="S343" s="31" t="n"/>
      <c r="T343" s="31" t="n"/>
      <c r="U343" s="31" t="n"/>
      <c r="V343" s="31" t="n"/>
      <c r="W343" s="32" t="n"/>
      <c r="X343" s="31" t="n"/>
      <c r="Y343" s="31" t="n"/>
      <c r="Z343" s="31" t="n"/>
      <c r="AA343" s="31" t="n"/>
      <c r="AB343" s="31" t="n"/>
      <c r="AC343" s="31" t="n"/>
      <c r="AD343" s="32" t="n"/>
      <c r="AE343" s="31" t="n"/>
      <c r="AF343" s="33" t="n"/>
      <c r="AG343" s="66">
        <f>IF(OR(AF343="",AE343=""),"",IFERROR(AF343*INDEX(FXRates[USD per unit],MATCH(AE343,FXRates[Currency],0)),"No rate"))</f>
        <v/>
      </c>
      <c r="AH343" s="30" t="n"/>
      <c r="AI343" s="30" t="n"/>
      <c r="AJ343" s="34">
        <f>IF(A343="","",IF(COUNTIF($A$6:$A$504,A343)&gt;1,"⚠ Duplicate",""))</f>
        <v/>
      </c>
      <c r="AK343" s="33" t="n"/>
      <c r="AL343" s="41" t="n"/>
      <c r="AM343" s="41" t="n"/>
      <c r="AN343" s="41" t="n"/>
      <c r="AO343" s="41" t="n"/>
      <c r="AP343" s="41" t="n"/>
      <c r="AQ343" s="41" t="n"/>
      <c r="AR343" s="41" t="n"/>
      <c r="AS343" s="41" t="n"/>
      <c r="AT343" s="41" t="n"/>
      <c r="AU343" s="41" t="n"/>
      <c r="AV343" s="41" t="n"/>
      <c r="AW343" s="41" t="n"/>
      <c r="AX343" s="41" t="n"/>
      <c r="AY343" s="41" t="n"/>
      <c r="AZ343" s="33" t="n"/>
      <c r="BA343" s="41" t="n"/>
      <c r="BB343" s="41" t="n"/>
      <c r="BC343" s="41" t="n"/>
      <c r="BD343" s="41" t="n"/>
      <c r="BE343" s="41" t="n"/>
      <c r="BF343" s="41" t="n"/>
      <c r="BG343" s="41" t="n"/>
      <c r="BH343" s="41" t="n"/>
      <c r="BI343" s="41" t="n"/>
      <c r="BJ343" s="41" t="n"/>
      <c r="BK343" s="41" t="n"/>
      <c r="BL343" s="41" t="n"/>
      <c r="BM343" s="41" t="n"/>
      <c r="BN343" s="41" t="n"/>
    </row>
    <row r="344" ht="18" customHeight="1" s="82">
      <c r="A344" s="36" t="n"/>
      <c r="B344" s="36" t="n"/>
      <c r="C344" s="36" t="n"/>
      <c r="D344" s="36" t="n"/>
      <c r="E344" s="37" t="n"/>
      <c r="F344" s="37" t="n"/>
      <c r="G344" s="37" t="n"/>
      <c r="H344" s="37" t="n"/>
      <c r="I344" s="37" t="n"/>
      <c r="J344" s="37" t="n"/>
      <c r="K344" s="37" t="n"/>
      <c r="L344" s="37" t="n"/>
      <c r="M344" s="37" t="n"/>
      <c r="N344" s="37" t="n"/>
      <c r="O344" s="37" t="n"/>
      <c r="P344" s="37" t="n"/>
      <c r="Q344" s="37" t="n"/>
      <c r="R344" s="37" t="n"/>
      <c r="S344" s="37" t="n"/>
      <c r="T344" s="37" t="n"/>
      <c r="U344" s="37" t="n"/>
      <c r="V344" s="37" t="n"/>
      <c r="W344" s="32" t="n"/>
      <c r="X344" s="37" t="n"/>
      <c r="Y344" s="37" t="n"/>
      <c r="Z344" s="37" t="n"/>
      <c r="AA344" s="37" t="n"/>
      <c r="AB344" s="37" t="n"/>
      <c r="AC344" s="37" t="n"/>
      <c r="AD344" s="32" t="n"/>
      <c r="AE344" s="37" t="n"/>
      <c r="AF344" s="38" t="n"/>
      <c r="AG344" s="67">
        <f>IF(OR(AF344="",AE344=""),"",IFERROR(AF344*INDEX(FXRates[USD per unit],MATCH(AE344,FXRates[Currency],0)),"No rate"))</f>
        <v/>
      </c>
      <c r="AH344" s="36" t="n"/>
      <c r="AI344" s="36" t="n"/>
      <c r="AJ344" s="39">
        <f>IF(A344="","",IF(COUNTIF($A$6:$A$504,A344)&gt;1,"⚠ Duplicate",""))</f>
        <v/>
      </c>
      <c r="AK344" s="38" t="n"/>
      <c r="AL344" s="40" t="n"/>
      <c r="AM344" s="40" t="n"/>
      <c r="AN344" s="40" t="n"/>
      <c r="AO344" s="40" t="n"/>
      <c r="AP344" s="40" t="n"/>
      <c r="AQ344" s="40" t="n"/>
      <c r="AR344" s="40" t="n"/>
      <c r="AS344" s="40" t="n"/>
      <c r="AT344" s="40" t="n"/>
      <c r="AU344" s="40" t="n"/>
      <c r="AV344" s="40" t="n"/>
      <c r="AW344" s="40" t="n"/>
      <c r="AX344" s="40" t="n"/>
      <c r="AY344" s="40" t="n"/>
      <c r="AZ344" s="38" t="n"/>
      <c r="BA344" s="40" t="n"/>
      <c r="BB344" s="40" t="n"/>
      <c r="BC344" s="40" t="n"/>
      <c r="BD344" s="40" t="n"/>
      <c r="BE344" s="40" t="n"/>
      <c r="BF344" s="40" t="n"/>
      <c r="BG344" s="40" t="n"/>
      <c r="BH344" s="40" t="n"/>
      <c r="BI344" s="40" t="n"/>
      <c r="BJ344" s="40" t="n"/>
      <c r="BK344" s="40" t="n"/>
      <c r="BL344" s="40" t="n"/>
      <c r="BM344" s="40" t="n"/>
      <c r="BN344" s="40" t="n"/>
    </row>
    <row r="345" ht="18" customHeight="1" s="82">
      <c r="A345" s="30" t="n"/>
      <c r="B345" s="30" t="n"/>
      <c r="C345" s="30" t="n"/>
      <c r="D345" s="30" t="n"/>
      <c r="E345" s="31" t="n"/>
      <c r="F345" s="31" t="n"/>
      <c r="G345" s="31" t="n"/>
      <c r="H345" s="31" t="n"/>
      <c r="I345" s="31" t="n"/>
      <c r="J345" s="31" t="n"/>
      <c r="K345" s="31" t="n"/>
      <c r="L345" s="31" t="n"/>
      <c r="M345" s="31" t="n"/>
      <c r="N345" s="31" t="n"/>
      <c r="O345" s="31" t="n"/>
      <c r="P345" s="31" t="n"/>
      <c r="Q345" s="31" t="n"/>
      <c r="R345" s="31" t="n"/>
      <c r="S345" s="31" t="n"/>
      <c r="T345" s="31" t="n"/>
      <c r="U345" s="31" t="n"/>
      <c r="V345" s="31" t="n"/>
      <c r="W345" s="32" t="n"/>
      <c r="X345" s="31" t="n"/>
      <c r="Y345" s="31" t="n"/>
      <c r="Z345" s="31" t="n"/>
      <c r="AA345" s="31" t="n"/>
      <c r="AB345" s="31" t="n"/>
      <c r="AC345" s="31" t="n"/>
      <c r="AD345" s="32" t="n"/>
      <c r="AE345" s="31" t="n"/>
      <c r="AF345" s="33" t="n"/>
      <c r="AG345" s="66">
        <f>IF(OR(AF345="",AE345=""),"",IFERROR(AF345*INDEX(FXRates[USD per unit],MATCH(AE345,FXRates[Currency],0)),"No rate"))</f>
        <v/>
      </c>
      <c r="AH345" s="30" t="n"/>
      <c r="AI345" s="30" t="n"/>
      <c r="AJ345" s="34">
        <f>IF(A345="","",IF(COUNTIF($A$6:$A$504,A345)&gt;1,"⚠ Duplicate",""))</f>
        <v/>
      </c>
      <c r="AK345" s="33" t="n"/>
      <c r="AL345" s="41" t="n"/>
      <c r="AM345" s="41" t="n"/>
      <c r="AN345" s="41" t="n"/>
      <c r="AO345" s="41" t="n"/>
      <c r="AP345" s="41" t="n"/>
      <c r="AQ345" s="41" t="n"/>
      <c r="AR345" s="41" t="n"/>
      <c r="AS345" s="41" t="n"/>
      <c r="AT345" s="41" t="n"/>
      <c r="AU345" s="41" t="n"/>
      <c r="AV345" s="41" t="n"/>
      <c r="AW345" s="41" t="n"/>
      <c r="AX345" s="41" t="n"/>
      <c r="AY345" s="41" t="n"/>
      <c r="AZ345" s="33" t="n"/>
      <c r="BA345" s="41" t="n"/>
      <c r="BB345" s="41" t="n"/>
      <c r="BC345" s="41" t="n"/>
      <c r="BD345" s="41" t="n"/>
      <c r="BE345" s="41" t="n"/>
      <c r="BF345" s="41" t="n"/>
      <c r="BG345" s="41" t="n"/>
      <c r="BH345" s="41" t="n"/>
      <c r="BI345" s="41" t="n"/>
      <c r="BJ345" s="41" t="n"/>
      <c r="BK345" s="41" t="n"/>
      <c r="BL345" s="41" t="n"/>
      <c r="BM345" s="41" t="n"/>
      <c r="BN345" s="41" t="n"/>
    </row>
    <row r="346" ht="18" customHeight="1" s="82">
      <c r="A346" s="36" t="n"/>
      <c r="B346" s="36" t="n"/>
      <c r="C346" s="36" t="n"/>
      <c r="D346" s="36" t="n"/>
      <c r="E346" s="37" t="n"/>
      <c r="F346" s="37" t="n"/>
      <c r="G346" s="37" t="n"/>
      <c r="H346" s="37" t="n"/>
      <c r="I346" s="37" t="n"/>
      <c r="J346" s="37" t="n"/>
      <c r="K346" s="37" t="n"/>
      <c r="L346" s="37" t="n"/>
      <c r="M346" s="37" t="n"/>
      <c r="N346" s="37" t="n"/>
      <c r="O346" s="37" t="n"/>
      <c r="P346" s="37" t="n"/>
      <c r="Q346" s="37" t="n"/>
      <c r="R346" s="37" t="n"/>
      <c r="S346" s="37" t="n"/>
      <c r="T346" s="37" t="n"/>
      <c r="U346" s="37" t="n"/>
      <c r="V346" s="37" t="n"/>
      <c r="W346" s="32" t="n"/>
      <c r="X346" s="37" t="n"/>
      <c r="Y346" s="37" t="n"/>
      <c r="Z346" s="37" t="n"/>
      <c r="AA346" s="37" t="n"/>
      <c r="AB346" s="37" t="n"/>
      <c r="AC346" s="37" t="n"/>
      <c r="AD346" s="32" t="n"/>
      <c r="AE346" s="37" t="n"/>
      <c r="AF346" s="38" t="n"/>
      <c r="AG346" s="67">
        <f>IF(OR(AF346="",AE346=""),"",IFERROR(AF346*INDEX(FXRates[USD per unit],MATCH(AE346,FXRates[Currency],0)),"No rate"))</f>
        <v/>
      </c>
      <c r="AH346" s="36" t="n"/>
      <c r="AI346" s="36" t="n"/>
      <c r="AJ346" s="39">
        <f>IF(A346="","",IF(COUNTIF($A$6:$A$504,A346)&gt;1,"⚠ Duplicate",""))</f>
        <v/>
      </c>
      <c r="AK346" s="38" t="n"/>
      <c r="AL346" s="40" t="n"/>
      <c r="AM346" s="40" t="n"/>
      <c r="AN346" s="40" t="n"/>
      <c r="AO346" s="40" t="n"/>
      <c r="AP346" s="40" t="n"/>
      <c r="AQ346" s="40" t="n"/>
      <c r="AR346" s="40" t="n"/>
      <c r="AS346" s="40" t="n"/>
      <c r="AT346" s="40" t="n"/>
      <c r="AU346" s="40" t="n"/>
      <c r="AV346" s="40" t="n"/>
      <c r="AW346" s="40" t="n"/>
      <c r="AX346" s="40" t="n"/>
      <c r="AY346" s="40" t="n"/>
      <c r="AZ346" s="38" t="n"/>
      <c r="BA346" s="40" t="n"/>
      <c r="BB346" s="40" t="n"/>
      <c r="BC346" s="40" t="n"/>
      <c r="BD346" s="40" t="n"/>
      <c r="BE346" s="40" t="n"/>
      <c r="BF346" s="40" t="n"/>
      <c r="BG346" s="40" t="n"/>
      <c r="BH346" s="40" t="n"/>
      <c r="BI346" s="40" t="n"/>
      <c r="BJ346" s="40" t="n"/>
      <c r="BK346" s="40" t="n"/>
      <c r="BL346" s="40" t="n"/>
      <c r="BM346" s="40" t="n"/>
      <c r="BN346" s="40" t="n"/>
    </row>
    <row r="347" ht="18" customHeight="1" s="82">
      <c r="A347" s="30" t="n"/>
      <c r="B347" s="30" t="n"/>
      <c r="C347" s="30" t="n"/>
      <c r="D347" s="30" t="n"/>
      <c r="E347" s="31" t="n"/>
      <c r="F347" s="31" t="n"/>
      <c r="G347" s="31" t="n"/>
      <c r="H347" s="31" t="n"/>
      <c r="I347" s="31" t="n"/>
      <c r="J347" s="31" t="n"/>
      <c r="K347" s="31" t="n"/>
      <c r="L347" s="31" t="n"/>
      <c r="M347" s="31" t="n"/>
      <c r="N347" s="31" t="n"/>
      <c r="O347" s="31" t="n"/>
      <c r="P347" s="31" t="n"/>
      <c r="Q347" s="31" t="n"/>
      <c r="R347" s="31" t="n"/>
      <c r="S347" s="31" t="n"/>
      <c r="T347" s="31" t="n"/>
      <c r="U347" s="31" t="n"/>
      <c r="V347" s="31" t="n"/>
      <c r="W347" s="32" t="n"/>
      <c r="X347" s="31" t="n"/>
      <c r="Y347" s="31" t="n"/>
      <c r="Z347" s="31" t="n"/>
      <c r="AA347" s="31" t="n"/>
      <c r="AB347" s="31" t="n"/>
      <c r="AC347" s="31" t="n"/>
      <c r="AD347" s="32" t="n"/>
      <c r="AE347" s="31" t="n"/>
      <c r="AF347" s="33" t="n"/>
      <c r="AG347" s="66">
        <f>IF(OR(AF347="",AE347=""),"",IFERROR(AF347*INDEX(FXRates[USD per unit],MATCH(AE347,FXRates[Currency],0)),"No rate"))</f>
        <v/>
      </c>
      <c r="AH347" s="30" t="n"/>
      <c r="AI347" s="30" t="n"/>
      <c r="AJ347" s="34">
        <f>IF(A347="","",IF(COUNTIF($A$6:$A$504,A347)&gt;1,"⚠ Duplicate",""))</f>
        <v/>
      </c>
      <c r="AK347" s="33" t="n"/>
      <c r="AL347" s="41" t="n"/>
      <c r="AM347" s="41" t="n"/>
      <c r="AN347" s="41" t="n"/>
      <c r="AO347" s="41" t="n"/>
      <c r="AP347" s="41" t="n"/>
      <c r="AQ347" s="41" t="n"/>
      <c r="AR347" s="41" t="n"/>
      <c r="AS347" s="41" t="n"/>
      <c r="AT347" s="41" t="n"/>
      <c r="AU347" s="41" t="n"/>
      <c r="AV347" s="41" t="n"/>
      <c r="AW347" s="41" t="n"/>
      <c r="AX347" s="41" t="n"/>
      <c r="AY347" s="41" t="n"/>
      <c r="AZ347" s="33" t="n"/>
      <c r="BA347" s="41" t="n"/>
      <c r="BB347" s="41" t="n"/>
      <c r="BC347" s="41" t="n"/>
      <c r="BD347" s="41" t="n"/>
      <c r="BE347" s="41" t="n"/>
      <c r="BF347" s="41" t="n"/>
      <c r="BG347" s="41" t="n"/>
      <c r="BH347" s="41" t="n"/>
      <c r="BI347" s="41" t="n"/>
      <c r="BJ347" s="41" t="n"/>
      <c r="BK347" s="41" t="n"/>
      <c r="BL347" s="41" t="n"/>
      <c r="BM347" s="41" t="n"/>
      <c r="BN347" s="41" t="n"/>
    </row>
    <row r="348" ht="18" customHeight="1" s="82">
      <c r="A348" s="36" t="n"/>
      <c r="B348" s="36" t="n"/>
      <c r="C348" s="36" t="n"/>
      <c r="D348" s="36" t="n"/>
      <c r="E348" s="37" t="n"/>
      <c r="F348" s="37" t="n"/>
      <c r="G348" s="37" t="n"/>
      <c r="H348" s="37" t="n"/>
      <c r="I348" s="37" t="n"/>
      <c r="J348" s="37" t="n"/>
      <c r="K348" s="37" t="n"/>
      <c r="L348" s="37" t="n"/>
      <c r="M348" s="37" t="n"/>
      <c r="N348" s="37" t="n"/>
      <c r="O348" s="37" t="n"/>
      <c r="P348" s="37" t="n"/>
      <c r="Q348" s="37" t="n"/>
      <c r="R348" s="37" t="n"/>
      <c r="S348" s="37" t="n"/>
      <c r="T348" s="37" t="n"/>
      <c r="U348" s="37" t="n"/>
      <c r="V348" s="37" t="n"/>
      <c r="W348" s="32" t="n"/>
      <c r="X348" s="37" t="n"/>
      <c r="Y348" s="37" t="n"/>
      <c r="Z348" s="37" t="n"/>
      <c r="AA348" s="37" t="n"/>
      <c r="AB348" s="37" t="n"/>
      <c r="AC348" s="37" t="n"/>
      <c r="AD348" s="32" t="n"/>
      <c r="AE348" s="37" t="n"/>
      <c r="AF348" s="38" t="n"/>
      <c r="AG348" s="67">
        <f>IF(OR(AF348="",AE348=""),"",IFERROR(AF348*INDEX(FXRates[USD per unit],MATCH(AE348,FXRates[Currency],0)),"No rate"))</f>
        <v/>
      </c>
      <c r="AH348" s="36" t="n"/>
      <c r="AI348" s="36" t="n"/>
      <c r="AJ348" s="39">
        <f>IF(A348="","",IF(COUNTIF($A$6:$A$504,A348)&gt;1,"⚠ Duplicate",""))</f>
        <v/>
      </c>
      <c r="AK348" s="38" t="n"/>
      <c r="AL348" s="40" t="n"/>
      <c r="AM348" s="40" t="n"/>
      <c r="AN348" s="40" t="n"/>
      <c r="AO348" s="40" t="n"/>
      <c r="AP348" s="40" t="n"/>
      <c r="AQ348" s="40" t="n"/>
      <c r="AR348" s="40" t="n"/>
      <c r="AS348" s="40" t="n"/>
      <c r="AT348" s="40" t="n"/>
      <c r="AU348" s="40" t="n"/>
      <c r="AV348" s="40" t="n"/>
      <c r="AW348" s="40" t="n"/>
      <c r="AX348" s="40" t="n"/>
      <c r="AY348" s="40" t="n"/>
      <c r="AZ348" s="38" t="n"/>
      <c r="BA348" s="40" t="n"/>
      <c r="BB348" s="40" t="n"/>
      <c r="BC348" s="40" t="n"/>
      <c r="BD348" s="40" t="n"/>
      <c r="BE348" s="40" t="n"/>
      <c r="BF348" s="40" t="n"/>
      <c r="BG348" s="40" t="n"/>
      <c r="BH348" s="40" t="n"/>
      <c r="BI348" s="40" t="n"/>
      <c r="BJ348" s="40" t="n"/>
      <c r="BK348" s="40" t="n"/>
      <c r="BL348" s="40" t="n"/>
      <c r="BM348" s="40" t="n"/>
      <c r="BN348" s="40" t="n"/>
    </row>
    <row r="349" ht="18" customHeight="1" s="82">
      <c r="A349" s="30" t="n"/>
      <c r="B349" s="30" t="n"/>
      <c r="C349" s="30" t="n"/>
      <c r="D349" s="30" t="n"/>
      <c r="E349" s="31" t="n"/>
      <c r="F349" s="31" t="n"/>
      <c r="G349" s="31" t="n"/>
      <c r="H349" s="31" t="n"/>
      <c r="I349" s="31" t="n"/>
      <c r="J349" s="31" t="n"/>
      <c r="K349" s="31" t="n"/>
      <c r="L349" s="31" t="n"/>
      <c r="M349" s="31" t="n"/>
      <c r="N349" s="31" t="n"/>
      <c r="O349" s="31" t="n"/>
      <c r="P349" s="31" t="n"/>
      <c r="Q349" s="31" t="n"/>
      <c r="R349" s="31" t="n"/>
      <c r="S349" s="31" t="n"/>
      <c r="T349" s="31" t="n"/>
      <c r="U349" s="31" t="n"/>
      <c r="V349" s="31" t="n"/>
      <c r="W349" s="32" t="n"/>
      <c r="X349" s="31" t="n"/>
      <c r="Y349" s="31" t="n"/>
      <c r="Z349" s="31" t="n"/>
      <c r="AA349" s="31" t="n"/>
      <c r="AB349" s="31" t="n"/>
      <c r="AC349" s="31" t="n"/>
      <c r="AD349" s="32" t="n"/>
      <c r="AE349" s="31" t="n"/>
      <c r="AF349" s="33" t="n"/>
      <c r="AG349" s="66">
        <f>IF(OR(AF349="",AE349=""),"",IFERROR(AF349*INDEX(FXRates[USD per unit],MATCH(AE349,FXRates[Currency],0)),"No rate"))</f>
        <v/>
      </c>
      <c r="AH349" s="30" t="n"/>
      <c r="AI349" s="30" t="n"/>
      <c r="AJ349" s="34">
        <f>IF(A349="","",IF(COUNTIF($A$6:$A$504,A349)&gt;1,"⚠ Duplicate",""))</f>
        <v/>
      </c>
      <c r="AK349" s="33" t="n"/>
      <c r="AL349" s="41" t="n"/>
      <c r="AM349" s="41" t="n"/>
      <c r="AN349" s="41" t="n"/>
      <c r="AO349" s="41" t="n"/>
      <c r="AP349" s="41" t="n"/>
      <c r="AQ349" s="41" t="n"/>
      <c r="AR349" s="41" t="n"/>
      <c r="AS349" s="41" t="n"/>
      <c r="AT349" s="41" t="n"/>
      <c r="AU349" s="41" t="n"/>
      <c r="AV349" s="41" t="n"/>
      <c r="AW349" s="41" t="n"/>
      <c r="AX349" s="41" t="n"/>
      <c r="AY349" s="41" t="n"/>
      <c r="AZ349" s="33" t="n"/>
      <c r="BA349" s="41" t="n"/>
      <c r="BB349" s="41" t="n"/>
      <c r="BC349" s="41" t="n"/>
      <c r="BD349" s="41" t="n"/>
      <c r="BE349" s="41" t="n"/>
      <c r="BF349" s="41" t="n"/>
      <c r="BG349" s="41" t="n"/>
      <c r="BH349" s="41" t="n"/>
      <c r="BI349" s="41" t="n"/>
      <c r="BJ349" s="41" t="n"/>
      <c r="BK349" s="41" t="n"/>
      <c r="BL349" s="41" t="n"/>
      <c r="BM349" s="41" t="n"/>
      <c r="BN349" s="41" t="n"/>
    </row>
    <row r="350" ht="18" customHeight="1" s="82">
      <c r="A350" s="36" t="n"/>
      <c r="B350" s="36" t="n"/>
      <c r="C350" s="36" t="n"/>
      <c r="D350" s="36" t="n"/>
      <c r="E350" s="37" t="n"/>
      <c r="F350" s="37" t="n"/>
      <c r="G350" s="37" t="n"/>
      <c r="H350" s="37" t="n"/>
      <c r="I350" s="37" t="n"/>
      <c r="J350" s="37" t="n"/>
      <c r="K350" s="37" t="n"/>
      <c r="L350" s="37" t="n"/>
      <c r="M350" s="37" t="n"/>
      <c r="N350" s="37" t="n"/>
      <c r="O350" s="37" t="n"/>
      <c r="P350" s="37" t="n"/>
      <c r="Q350" s="37" t="n"/>
      <c r="R350" s="37" t="n"/>
      <c r="S350" s="37" t="n"/>
      <c r="T350" s="37" t="n"/>
      <c r="U350" s="37" t="n"/>
      <c r="V350" s="37" t="n"/>
      <c r="W350" s="32" t="n"/>
      <c r="X350" s="37" t="n"/>
      <c r="Y350" s="37" t="n"/>
      <c r="Z350" s="37" t="n"/>
      <c r="AA350" s="37" t="n"/>
      <c r="AB350" s="37" t="n"/>
      <c r="AC350" s="37" t="n"/>
      <c r="AD350" s="32" t="n"/>
      <c r="AE350" s="37" t="n"/>
      <c r="AF350" s="38" t="n"/>
      <c r="AG350" s="67">
        <f>IF(OR(AF350="",AE350=""),"",IFERROR(AF350*INDEX(FXRates[USD per unit],MATCH(AE350,FXRates[Currency],0)),"No rate"))</f>
        <v/>
      </c>
      <c r="AH350" s="36" t="n"/>
      <c r="AI350" s="36" t="n"/>
      <c r="AJ350" s="39">
        <f>IF(A350="","",IF(COUNTIF($A$6:$A$504,A350)&gt;1,"⚠ Duplicate",""))</f>
        <v/>
      </c>
      <c r="AK350" s="38" t="n"/>
      <c r="AL350" s="40" t="n"/>
      <c r="AM350" s="40" t="n"/>
      <c r="AN350" s="40" t="n"/>
      <c r="AO350" s="40" t="n"/>
      <c r="AP350" s="40" t="n"/>
      <c r="AQ350" s="40" t="n"/>
      <c r="AR350" s="40" t="n"/>
      <c r="AS350" s="40" t="n"/>
      <c r="AT350" s="40" t="n"/>
      <c r="AU350" s="40" t="n"/>
      <c r="AV350" s="40" t="n"/>
      <c r="AW350" s="40" t="n"/>
      <c r="AX350" s="40" t="n"/>
      <c r="AY350" s="40" t="n"/>
      <c r="AZ350" s="38" t="n"/>
      <c r="BA350" s="40" t="n"/>
      <c r="BB350" s="40" t="n"/>
      <c r="BC350" s="40" t="n"/>
      <c r="BD350" s="40" t="n"/>
      <c r="BE350" s="40" t="n"/>
      <c r="BF350" s="40" t="n"/>
      <c r="BG350" s="40" t="n"/>
      <c r="BH350" s="40" t="n"/>
      <c r="BI350" s="40" t="n"/>
      <c r="BJ350" s="40" t="n"/>
      <c r="BK350" s="40" t="n"/>
      <c r="BL350" s="40" t="n"/>
      <c r="BM350" s="40" t="n"/>
      <c r="BN350" s="40" t="n"/>
    </row>
    <row r="351" ht="18" customHeight="1" s="82">
      <c r="A351" s="30" t="n"/>
      <c r="B351" s="30" t="n"/>
      <c r="C351" s="30" t="n"/>
      <c r="D351" s="30" t="n"/>
      <c r="E351" s="31" t="n"/>
      <c r="F351" s="31" t="n"/>
      <c r="G351" s="31" t="n"/>
      <c r="H351" s="31" t="n"/>
      <c r="I351" s="31" t="n"/>
      <c r="J351" s="31" t="n"/>
      <c r="K351" s="31" t="n"/>
      <c r="L351" s="31" t="n"/>
      <c r="M351" s="31" t="n"/>
      <c r="N351" s="31" t="n"/>
      <c r="O351" s="31" t="n"/>
      <c r="P351" s="31" t="n"/>
      <c r="Q351" s="31" t="n"/>
      <c r="R351" s="31" t="n"/>
      <c r="S351" s="31" t="n"/>
      <c r="T351" s="31" t="n"/>
      <c r="U351" s="31" t="n"/>
      <c r="V351" s="31" t="n"/>
      <c r="W351" s="32" t="n"/>
      <c r="X351" s="31" t="n"/>
      <c r="Y351" s="31" t="n"/>
      <c r="Z351" s="31" t="n"/>
      <c r="AA351" s="31" t="n"/>
      <c r="AB351" s="31" t="n"/>
      <c r="AC351" s="31" t="n"/>
      <c r="AD351" s="32" t="n"/>
      <c r="AE351" s="31" t="n"/>
      <c r="AF351" s="33" t="n"/>
      <c r="AG351" s="66">
        <f>IF(OR(AF351="",AE351=""),"",IFERROR(AF351*INDEX(FXRates[USD per unit],MATCH(AE351,FXRates[Currency],0)),"No rate"))</f>
        <v/>
      </c>
      <c r="AH351" s="30" t="n"/>
      <c r="AI351" s="30" t="n"/>
      <c r="AJ351" s="34">
        <f>IF(A351="","",IF(COUNTIF($A$6:$A$504,A351)&gt;1,"⚠ Duplicate",""))</f>
        <v/>
      </c>
      <c r="AK351" s="33" t="n"/>
      <c r="AL351" s="41" t="n"/>
      <c r="AM351" s="41" t="n"/>
      <c r="AN351" s="41" t="n"/>
      <c r="AO351" s="41" t="n"/>
      <c r="AP351" s="41" t="n"/>
      <c r="AQ351" s="41" t="n"/>
      <c r="AR351" s="41" t="n"/>
      <c r="AS351" s="41" t="n"/>
      <c r="AT351" s="41" t="n"/>
      <c r="AU351" s="41" t="n"/>
      <c r="AV351" s="41" t="n"/>
      <c r="AW351" s="41" t="n"/>
      <c r="AX351" s="41" t="n"/>
      <c r="AY351" s="41" t="n"/>
      <c r="AZ351" s="33" t="n"/>
      <c r="BA351" s="41" t="n"/>
      <c r="BB351" s="41" t="n"/>
      <c r="BC351" s="41" t="n"/>
      <c r="BD351" s="41" t="n"/>
      <c r="BE351" s="41" t="n"/>
      <c r="BF351" s="41" t="n"/>
      <c r="BG351" s="41" t="n"/>
      <c r="BH351" s="41" t="n"/>
      <c r="BI351" s="41" t="n"/>
      <c r="BJ351" s="41" t="n"/>
      <c r="BK351" s="41" t="n"/>
      <c r="BL351" s="41" t="n"/>
      <c r="BM351" s="41" t="n"/>
      <c r="BN351" s="41" t="n"/>
    </row>
    <row r="352" ht="18" customHeight="1" s="82">
      <c r="A352" s="36" t="n"/>
      <c r="B352" s="36" t="n"/>
      <c r="C352" s="36" t="n"/>
      <c r="D352" s="36" t="n"/>
      <c r="E352" s="37" t="n"/>
      <c r="F352" s="37" t="n"/>
      <c r="G352" s="37" t="n"/>
      <c r="H352" s="37" t="n"/>
      <c r="I352" s="37" t="n"/>
      <c r="J352" s="37" t="n"/>
      <c r="K352" s="37" t="n"/>
      <c r="L352" s="37" t="n"/>
      <c r="M352" s="37" t="n"/>
      <c r="N352" s="37" t="n"/>
      <c r="O352" s="37" t="n"/>
      <c r="P352" s="37" t="n"/>
      <c r="Q352" s="37" t="n"/>
      <c r="R352" s="37" t="n"/>
      <c r="S352" s="37" t="n"/>
      <c r="T352" s="37" t="n"/>
      <c r="U352" s="37" t="n"/>
      <c r="V352" s="37" t="n"/>
      <c r="W352" s="32" t="n"/>
      <c r="X352" s="37" t="n"/>
      <c r="Y352" s="37" t="n"/>
      <c r="Z352" s="37" t="n"/>
      <c r="AA352" s="37" t="n"/>
      <c r="AB352" s="37" t="n"/>
      <c r="AC352" s="37" t="n"/>
      <c r="AD352" s="32" t="n"/>
      <c r="AE352" s="37" t="n"/>
      <c r="AF352" s="38" t="n"/>
      <c r="AG352" s="67">
        <f>IF(OR(AF352="",AE352=""),"",IFERROR(AF352*INDEX(FXRates[USD per unit],MATCH(AE352,FXRates[Currency],0)),"No rate"))</f>
        <v/>
      </c>
      <c r="AH352" s="36" t="n"/>
      <c r="AI352" s="36" t="n"/>
      <c r="AJ352" s="39">
        <f>IF(A352="","",IF(COUNTIF($A$6:$A$504,A352)&gt;1,"⚠ Duplicate",""))</f>
        <v/>
      </c>
      <c r="AK352" s="38" t="n"/>
      <c r="AL352" s="40" t="n"/>
      <c r="AM352" s="40" t="n"/>
      <c r="AN352" s="40" t="n"/>
      <c r="AO352" s="40" t="n"/>
      <c r="AP352" s="40" t="n"/>
      <c r="AQ352" s="40" t="n"/>
      <c r="AR352" s="40" t="n"/>
      <c r="AS352" s="40" t="n"/>
      <c r="AT352" s="40" t="n"/>
      <c r="AU352" s="40" t="n"/>
      <c r="AV352" s="40" t="n"/>
      <c r="AW352" s="40" t="n"/>
      <c r="AX352" s="40" t="n"/>
      <c r="AY352" s="40" t="n"/>
      <c r="AZ352" s="38" t="n"/>
      <c r="BA352" s="40" t="n"/>
      <c r="BB352" s="40" t="n"/>
      <c r="BC352" s="40" t="n"/>
      <c r="BD352" s="40" t="n"/>
      <c r="BE352" s="40" t="n"/>
      <c r="BF352" s="40" t="n"/>
      <c r="BG352" s="40" t="n"/>
      <c r="BH352" s="40" t="n"/>
      <c r="BI352" s="40" t="n"/>
      <c r="BJ352" s="40" t="n"/>
      <c r="BK352" s="40" t="n"/>
      <c r="BL352" s="40" t="n"/>
      <c r="BM352" s="40" t="n"/>
      <c r="BN352" s="40" t="n"/>
    </row>
    <row r="353" ht="18" customHeight="1" s="82">
      <c r="A353" s="30" t="n"/>
      <c r="B353" s="30" t="n"/>
      <c r="C353" s="30" t="n"/>
      <c r="D353" s="30" t="n"/>
      <c r="E353" s="31" t="n"/>
      <c r="F353" s="31" t="n"/>
      <c r="G353" s="31" t="n"/>
      <c r="H353" s="31" t="n"/>
      <c r="I353" s="31" t="n"/>
      <c r="J353" s="31" t="n"/>
      <c r="K353" s="31" t="n"/>
      <c r="L353" s="31" t="n"/>
      <c r="M353" s="31" t="n"/>
      <c r="N353" s="31" t="n"/>
      <c r="O353" s="31" t="n"/>
      <c r="P353" s="31" t="n"/>
      <c r="Q353" s="31" t="n"/>
      <c r="R353" s="31" t="n"/>
      <c r="S353" s="31" t="n"/>
      <c r="T353" s="31" t="n"/>
      <c r="U353" s="31" t="n"/>
      <c r="V353" s="31" t="n"/>
      <c r="W353" s="32" t="n"/>
      <c r="X353" s="31" t="n"/>
      <c r="Y353" s="31" t="n"/>
      <c r="Z353" s="31" t="n"/>
      <c r="AA353" s="31" t="n"/>
      <c r="AB353" s="31" t="n"/>
      <c r="AC353" s="31" t="n"/>
      <c r="AD353" s="32" t="n"/>
      <c r="AE353" s="31" t="n"/>
      <c r="AF353" s="33" t="n"/>
      <c r="AG353" s="66">
        <f>IF(OR(AF353="",AE353=""),"",IFERROR(AF353*INDEX(FXRates[USD per unit],MATCH(AE353,FXRates[Currency],0)),"No rate"))</f>
        <v/>
      </c>
      <c r="AH353" s="30" t="n"/>
      <c r="AI353" s="30" t="n"/>
      <c r="AJ353" s="34">
        <f>IF(A353="","",IF(COUNTIF($A$6:$A$504,A353)&gt;1,"⚠ Duplicate",""))</f>
        <v/>
      </c>
      <c r="AK353" s="33" t="n"/>
      <c r="AL353" s="41" t="n"/>
      <c r="AM353" s="41" t="n"/>
      <c r="AN353" s="41" t="n"/>
      <c r="AO353" s="41" t="n"/>
      <c r="AP353" s="41" t="n"/>
      <c r="AQ353" s="41" t="n"/>
      <c r="AR353" s="41" t="n"/>
      <c r="AS353" s="41" t="n"/>
      <c r="AT353" s="41" t="n"/>
      <c r="AU353" s="41" t="n"/>
      <c r="AV353" s="41" t="n"/>
      <c r="AW353" s="41" t="n"/>
      <c r="AX353" s="41" t="n"/>
      <c r="AY353" s="41" t="n"/>
      <c r="AZ353" s="33" t="n"/>
      <c r="BA353" s="41" t="n"/>
      <c r="BB353" s="41" t="n"/>
      <c r="BC353" s="41" t="n"/>
      <c r="BD353" s="41" t="n"/>
      <c r="BE353" s="41" t="n"/>
      <c r="BF353" s="41" t="n"/>
      <c r="BG353" s="41" t="n"/>
      <c r="BH353" s="41" t="n"/>
      <c r="BI353" s="41" t="n"/>
      <c r="BJ353" s="41" t="n"/>
      <c r="BK353" s="41" t="n"/>
      <c r="BL353" s="41" t="n"/>
      <c r="BM353" s="41" t="n"/>
      <c r="BN353" s="41" t="n"/>
    </row>
    <row r="354" ht="18" customHeight="1" s="82">
      <c r="A354" s="36" t="n"/>
      <c r="B354" s="36" t="n"/>
      <c r="C354" s="36" t="n"/>
      <c r="D354" s="36" t="n"/>
      <c r="E354" s="37" t="n"/>
      <c r="F354" s="37" t="n"/>
      <c r="G354" s="37" t="n"/>
      <c r="H354" s="37" t="n"/>
      <c r="I354" s="37" t="n"/>
      <c r="J354" s="37" t="n"/>
      <c r="K354" s="37" t="n"/>
      <c r="L354" s="37" t="n"/>
      <c r="M354" s="37" t="n"/>
      <c r="N354" s="37" t="n"/>
      <c r="O354" s="37" t="n"/>
      <c r="P354" s="37" t="n"/>
      <c r="Q354" s="37" t="n"/>
      <c r="R354" s="37" t="n"/>
      <c r="S354" s="37" t="n"/>
      <c r="T354" s="37" t="n"/>
      <c r="U354" s="37" t="n"/>
      <c r="V354" s="37" t="n"/>
      <c r="W354" s="32" t="n"/>
      <c r="X354" s="37" t="n"/>
      <c r="Y354" s="37" t="n"/>
      <c r="Z354" s="37" t="n"/>
      <c r="AA354" s="37" t="n"/>
      <c r="AB354" s="37" t="n"/>
      <c r="AC354" s="37" t="n"/>
      <c r="AD354" s="32" t="n"/>
      <c r="AE354" s="37" t="n"/>
      <c r="AF354" s="38" t="n"/>
      <c r="AG354" s="67">
        <f>IF(OR(AF354="",AE354=""),"",IFERROR(AF354*INDEX(FXRates[USD per unit],MATCH(AE354,FXRates[Currency],0)),"No rate"))</f>
        <v/>
      </c>
      <c r="AH354" s="36" t="n"/>
      <c r="AI354" s="36" t="n"/>
      <c r="AJ354" s="39">
        <f>IF(A354="","",IF(COUNTIF($A$6:$A$504,A354)&gt;1,"⚠ Duplicate",""))</f>
        <v/>
      </c>
      <c r="AK354" s="38" t="n"/>
      <c r="AL354" s="40" t="n"/>
      <c r="AM354" s="40" t="n"/>
      <c r="AN354" s="40" t="n"/>
      <c r="AO354" s="40" t="n"/>
      <c r="AP354" s="40" t="n"/>
      <c r="AQ354" s="40" t="n"/>
      <c r="AR354" s="40" t="n"/>
      <c r="AS354" s="40" t="n"/>
      <c r="AT354" s="40" t="n"/>
      <c r="AU354" s="40" t="n"/>
      <c r="AV354" s="40" t="n"/>
      <c r="AW354" s="40" t="n"/>
      <c r="AX354" s="40" t="n"/>
      <c r="AY354" s="40" t="n"/>
      <c r="AZ354" s="38" t="n"/>
      <c r="BA354" s="40" t="n"/>
      <c r="BB354" s="40" t="n"/>
      <c r="BC354" s="40" t="n"/>
      <c r="BD354" s="40" t="n"/>
      <c r="BE354" s="40" t="n"/>
      <c r="BF354" s="40" t="n"/>
      <c r="BG354" s="40" t="n"/>
      <c r="BH354" s="40" t="n"/>
      <c r="BI354" s="40" t="n"/>
      <c r="BJ354" s="40" t="n"/>
      <c r="BK354" s="40" t="n"/>
      <c r="BL354" s="40" t="n"/>
      <c r="BM354" s="40" t="n"/>
      <c r="BN354" s="40" t="n"/>
    </row>
    <row r="355" ht="18" customHeight="1" s="82">
      <c r="A355" s="30" t="n"/>
      <c r="B355" s="30" t="n"/>
      <c r="C355" s="30" t="n"/>
      <c r="D355" s="30" t="n"/>
      <c r="E355" s="31" t="n"/>
      <c r="F355" s="31" t="n"/>
      <c r="G355" s="31" t="n"/>
      <c r="H355" s="31" t="n"/>
      <c r="I355" s="31" t="n"/>
      <c r="J355" s="31" t="n"/>
      <c r="K355" s="31" t="n"/>
      <c r="L355" s="31" t="n"/>
      <c r="M355" s="31" t="n"/>
      <c r="N355" s="31" t="n"/>
      <c r="O355" s="31" t="n"/>
      <c r="P355" s="31" t="n"/>
      <c r="Q355" s="31" t="n"/>
      <c r="R355" s="31" t="n"/>
      <c r="S355" s="31" t="n"/>
      <c r="T355" s="31" t="n"/>
      <c r="U355" s="31" t="n"/>
      <c r="V355" s="31" t="n"/>
      <c r="W355" s="32" t="n"/>
      <c r="X355" s="31" t="n"/>
      <c r="Y355" s="31" t="n"/>
      <c r="Z355" s="31" t="n"/>
      <c r="AA355" s="31" t="n"/>
      <c r="AB355" s="31" t="n"/>
      <c r="AC355" s="31" t="n"/>
      <c r="AD355" s="32" t="n"/>
      <c r="AE355" s="31" t="n"/>
      <c r="AF355" s="33" t="n"/>
      <c r="AG355" s="66">
        <f>IF(OR(AF355="",AE355=""),"",IFERROR(AF355*INDEX(FXRates[USD per unit],MATCH(AE355,FXRates[Currency],0)),"No rate"))</f>
        <v/>
      </c>
      <c r="AH355" s="30" t="n"/>
      <c r="AI355" s="30" t="n"/>
      <c r="AJ355" s="34">
        <f>IF(A355="","",IF(COUNTIF($A$6:$A$504,A355)&gt;1,"⚠ Duplicate",""))</f>
        <v/>
      </c>
      <c r="AK355" s="33" t="n"/>
      <c r="AL355" s="41" t="n"/>
      <c r="AM355" s="41" t="n"/>
      <c r="AN355" s="41" t="n"/>
      <c r="AO355" s="41" t="n"/>
      <c r="AP355" s="41" t="n"/>
      <c r="AQ355" s="41" t="n"/>
      <c r="AR355" s="41" t="n"/>
      <c r="AS355" s="41" t="n"/>
      <c r="AT355" s="41" t="n"/>
      <c r="AU355" s="41" t="n"/>
      <c r="AV355" s="41" t="n"/>
      <c r="AW355" s="41" t="n"/>
      <c r="AX355" s="41" t="n"/>
      <c r="AY355" s="41" t="n"/>
      <c r="AZ355" s="33" t="n"/>
      <c r="BA355" s="41" t="n"/>
      <c r="BB355" s="41" t="n"/>
      <c r="BC355" s="41" t="n"/>
      <c r="BD355" s="41" t="n"/>
      <c r="BE355" s="41" t="n"/>
      <c r="BF355" s="41" t="n"/>
      <c r="BG355" s="41" t="n"/>
      <c r="BH355" s="41" t="n"/>
      <c r="BI355" s="41" t="n"/>
      <c r="BJ355" s="41" t="n"/>
      <c r="BK355" s="41" t="n"/>
      <c r="BL355" s="41" t="n"/>
      <c r="BM355" s="41" t="n"/>
      <c r="BN355" s="41" t="n"/>
    </row>
    <row r="356" ht="18" customHeight="1" s="82">
      <c r="A356" s="36" t="n"/>
      <c r="B356" s="36" t="n"/>
      <c r="C356" s="36" t="n"/>
      <c r="D356" s="36" t="n"/>
      <c r="E356" s="37" t="n"/>
      <c r="F356" s="37" t="n"/>
      <c r="G356" s="37" t="n"/>
      <c r="H356" s="37" t="n"/>
      <c r="I356" s="37" t="n"/>
      <c r="J356" s="37" t="n"/>
      <c r="K356" s="37" t="n"/>
      <c r="L356" s="37" t="n"/>
      <c r="M356" s="37" t="n"/>
      <c r="N356" s="37" t="n"/>
      <c r="O356" s="37" t="n"/>
      <c r="P356" s="37" t="n"/>
      <c r="Q356" s="37" t="n"/>
      <c r="R356" s="37" t="n"/>
      <c r="S356" s="37" t="n"/>
      <c r="T356" s="37" t="n"/>
      <c r="U356" s="37" t="n"/>
      <c r="V356" s="37" t="n"/>
      <c r="W356" s="32" t="n"/>
      <c r="X356" s="37" t="n"/>
      <c r="Y356" s="37" t="n"/>
      <c r="Z356" s="37" t="n"/>
      <c r="AA356" s="37" t="n"/>
      <c r="AB356" s="37" t="n"/>
      <c r="AC356" s="37" t="n"/>
      <c r="AD356" s="32" t="n"/>
      <c r="AE356" s="37" t="n"/>
      <c r="AF356" s="38" t="n"/>
      <c r="AG356" s="67">
        <f>IF(OR(AF356="",AE356=""),"",IFERROR(AF356*INDEX(FXRates[USD per unit],MATCH(AE356,FXRates[Currency],0)),"No rate"))</f>
        <v/>
      </c>
      <c r="AH356" s="36" t="n"/>
      <c r="AI356" s="36" t="n"/>
      <c r="AJ356" s="39">
        <f>IF(A356="","",IF(COUNTIF($A$6:$A$504,A356)&gt;1,"⚠ Duplicate",""))</f>
        <v/>
      </c>
      <c r="AK356" s="38" t="n"/>
      <c r="AL356" s="40" t="n"/>
      <c r="AM356" s="40" t="n"/>
      <c r="AN356" s="40" t="n"/>
      <c r="AO356" s="40" t="n"/>
      <c r="AP356" s="40" t="n"/>
      <c r="AQ356" s="40" t="n"/>
      <c r="AR356" s="40" t="n"/>
      <c r="AS356" s="40" t="n"/>
      <c r="AT356" s="40" t="n"/>
      <c r="AU356" s="40" t="n"/>
      <c r="AV356" s="40" t="n"/>
      <c r="AW356" s="40" t="n"/>
      <c r="AX356" s="40" t="n"/>
      <c r="AY356" s="40" t="n"/>
      <c r="AZ356" s="38" t="n"/>
      <c r="BA356" s="40" t="n"/>
      <c r="BB356" s="40" t="n"/>
      <c r="BC356" s="40" t="n"/>
      <c r="BD356" s="40" t="n"/>
      <c r="BE356" s="40" t="n"/>
      <c r="BF356" s="40" t="n"/>
      <c r="BG356" s="40" t="n"/>
      <c r="BH356" s="40" t="n"/>
      <c r="BI356" s="40" t="n"/>
      <c r="BJ356" s="40" t="n"/>
      <c r="BK356" s="40" t="n"/>
      <c r="BL356" s="40" t="n"/>
      <c r="BM356" s="40" t="n"/>
      <c r="BN356" s="40" t="n"/>
    </row>
    <row r="357" ht="18" customHeight="1" s="82">
      <c r="A357" s="30" t="n"/>
      <c r="B357" s="30" t="n"/>
      <c r="C357" s="30" t="n"/>
      <c r="D357" s="30" t="n"/>
      <c r="E357" s="31" t="n"/>
      <c r="F357" s="31" t="n"/>
      <c r="G357" s="31" t="n"/>
      <c r="H357" s="31" t="n"/>
      <c r="I357" s="31" t="n"/>
      <c r="J357" s="31" t="n"/>
      <c r="K357" s="31" t="n"/>
      <c r="L357" s="31" t="n"/>
      <c r="M357" s="31" t="n"/>
      <c r="N357" s="31" t="n"/>
      <c r="O357" s="31" t="n"/>
      <c r="P357" s="31" t="n"/>
      <c r="Q357" s="31" t="n"/>
      <c r="R357" s="31" t="n"/>
      <c r="S357" s="31" t="n"/>
      <c r="T357" s="31" t="n"/>
      <c r="U357" s="31" t="n"/>
      <c r="V357" s="31" t="n"/>
      <c r="W357" s="32" t="n"/>
      <c r="X357" s="31" t="n"/>
      <c r="Y357" s="31" t="n"/>
      <c r="Z357" s="31" t="n"/>
      <c r="AA357" s="31" t="n"/>
      <c r="AB357" s="31" t="n"/>
      <c r="AC357" s="31" t="n"/>
      <c r="AD357" s="32" t="n"/>
      <c r="AE357" s="31" t="n"/>
      <c r="AF357" s="33" t="n"/>
      <c r="AG357" s="66">
        <f>IF(OR(AF357="",AE357=""),"",IFERROR(AF357*INDEX(FXRates[USD per unit],MATCH(AE357,FXRates[Currency],0)),"No rate"))</f>
        <v/>
      </c>
      <c r="AH357" s="30" t="n"/>
      <c r="AI357" s="30" t="n"/>
      <c r="AJ357" s="34">
        <f>IF(A357="","",IF(COUNTIF($A$6:$A$504,A357)&gt;1,"⚠ Duplicate",""))</f>
        <v/>
      </c>
      <c r="AK357" s="33" t="n"/>
      <c r="AL357" s="41" t="n"/>
      <c r="AM357" s="41" t="n"/>
      <c r="AN357" s="41" t="n"/>
      <c r="AO357" s="41" t="n"/>
      <c r="AP357" s="41" t="n"/>
      <c r="AQ357" s="41" t="n"/>
      <c r="AR357" s="41" t="n"/>
      <c r="AS357" s="41" t="n"/>
      <c r="AT357" s="41" t="n"/>
      <c r="AU357" s="41" t="n"/>
      <c r="AV357" s="41" t="n"/>
      <c r="AW357" s="41" t="n"/>
      <c r="AX357" s="41" t="n"/>
      <c r="AY357" s="41" t="n"/>
      <c r="AZ357" s="33" t="n"/>
      <c r="BA357" s="41" t="n"/>
      <c r="BB357" s="41" t="n"/>
      <c r="BC357" s="41" t="n"/>
      <c r="BD357" s="41" t="n"/>
      <c r="BE357" s="41" t="n"/>
      <c r="BF357" s="41" t="n"/>
      <c r="BG357" s="41" t="n"/>
      <c r="BH357" s="41" t="n"/>
      <c r="BI357" s="41" t="n"/>
      <c r="BJ357" s="41" t="n"/>
      <c r="BK357" s="41" t="n"/>
      <c r="BL357" s="41" t="n"/>
      <c r="BM357" s="41" t="n"/>
      <c r="BN357" s="41" t="n"/>
    </row>
    <row r="358" ht="18" customHeight="1" s="82">
      <c r="A358" s="36" t="n"/>
      <c r="B358" s="36" t="n"/>
      <c r="C358" s="36" t="n"/>
      <c r="D358" s="36" t="n"/>
      <c r="E358" s="37" t="n"/>
      <c r="F358" s="37" t="n"/>
      <c r="G358" s="37" t="n"/>
      <c r="H358" s="37" t="n"/>
      <c r="I358" s="37" t="n"/>
      <c r="J358" s="37" t="n"/>
      <c r="K358" s="37" t="n"/>
      <c r="L358" s="37" t="n"/>
      <c r="M358" s="37" t="n"/>
      <c r="N358" s="37" t="n"/>
      <c r="O358" s="37" t="n"/>
      <c r="P358" s="37" t="n"/>
      <c r="Q358" s="37" t="n"/>
      <c r="R358" s="37" t="n"/>
      <c r="S358" s="37" t="n"/>
      <c r="T358" s="37" t="n"/>
      <c r="U358" s="37" t="n"/>
      <c r="V358" s="37" t="n"/>
      <c r="W358" s="32" t="n"/>
      <c r="X358" s="37" t="n"/>
      <c r="Y358" s="37" t="n"/>
      <c r="Z358" s="37" t="n"/>
      <c r="AA358" s="37" t="n"/>
      <c r="AB358" s="37" t="n"/>
      <c r="AC358" s="37" t="n"/>
      <c r="AD358" s="32" t="n"/>
      <c r="AE358" s="37" t="n"/>
      <c r="AF358" s="38" t="n"/>
      <c r="AG358" s="67">
        <f>IF(OR(AF358="",AE358=""),"",IFERROR(AF358*INDEX(FXRates[USD per unit],MATCH(AE358,FXRates[Currency],0)),"No rate"))</f>
        <v/>
      </c>
      <c r="AH358" s="36" t="n"/>
      <c r="AI358" s="36" t="n"/>
      <c r="AJ358" s="39">
        <f>IF(A358="","",IF(COUNTIF($A$6:$A$504,A358)&gt;1,"⚠ Duplicate",""))</f>
        <v/>
      </c>
      <c r="AK358" s="38" t="n"/>
      <c r="AL358" s="40" t="n"/>
      <c r="AM358" s="40" t="n"/>
      <c r="AN358" s="40" t="n"/>
      <c r="AO358" s="40" t="n"/>
      <c r="AP358" s="40" t="n"/>
      <c r="AQ358" s="40" t="n"/>
      <c r="AR358" s="40" t="n"/>
      <c r="AS358" s="40" t="n"/>
      <c r="AT358" s="40" t="n"/>
      <c r="AU358" s="40" t="n"/>
      <c r="AV358" s="40" t="n"/>
      <c r="AW358" s="40" t="n"/>
      <c r="AX358" s="40" t="n"/>
      <c r="AY358" s="40" t="n"/>
      <c r="AZ358" s="38" t="n"/>
      <c r="BA358" s="40" t="n"/>
      <c r="BB358" s="40" t="n"/>
      <c r="BC358" s="40" t="n"/>
      <c r="BD358" s="40" t="n"/>
      <c r="BE358" s="40" t="n"/>
      <c r="BF358" s="40" t="n"/>
      <c r="BG358" s="40" t="n"/>
      <c r="BH358" s="40" t="n"/>
      <c r="BI358" s="40" t="n"/>
      <c r="BJ358" s="40" t="n"/>
      <c r="BK358" s="40" t="n"/>
      <c r="BL358" s="40" t="n"/>
      <c r="BM358" s="40" t="n"/>
      <c r="BN358" s="40" t="n"/>
    </row>
    <row r="359" ht="18" customHeight="1" s="82">
      <c r="A359" s="30" t="n"/>
      <c r="B359" s="30" t="n"/>
      <c r="C359" s="30" t="n"/>
      <c r="D359" s="30" t="n"/>
      <c r="E359" s="31" t="n"/>
      <c r="F359" s="31" t="n"/>
      <c r="G359" s="31" t="n"/>
      <c r="H359" s="31" t="n"/>
      <c r="I359" s="31" t="n"/>
      <c r="J359" s="31" t="n"/>
      <c r="K359" s="31" t="n"/>
      <c r="L359" s="31" t="n"/>
      <c r="M359" s="31" t="n"/>
      <c r="N359" s="31" t="n"/>
      <c r="O359" s="31" t="n"/>
      <c r="P359" s="31" t="n"/>
      <c r="Q359" s="31" t="n"/>
      <c r="R359" s="31" t="n"/>
      <c r="S359" s="31" t="n"/>
      <c r="T359" s="31" t="n"/>
      <c r="U359" s="31" t="n"/>
      <c r="V359" s="31" t="n"/>
      <c r="W359" s="32" t="n"/>
      <c r="X359" s="31" t="n"/>
      <c r="Y359" s="31" t="n"/>
      <c r="Z359" s="31" t="n"/>
      <c r="AA359" s="31" t="n"/>
      <c r="AB359" s="31" t="n"/>
      <c r="AC359" s="31" t="n"/>
      <c r="AD359" s="32" t="n"/>
      <c r="AE359" s="31" t="n"/>
      <c r="AF359" s="33" t="n"/>
      <c r="AG359" s="66">
        <f>IF(OR(AF359="",AE359=""),"",IFERROR(AF359*INDEX(FXRates[USD per unit],MATCH(AE359,FXRates[Currency],0)),"No rate"))</f>
        <v/>
      </c>
      <c r="AH359" s="30" t="n"/>
      <c r="AI359" s="30" t="n"/>
      <c r="AJ359" s="34">
        <f>IF(A359="","",IF(COUNTIF($A$6:$A$504,A359)&gt;1,"⚠ Duplicate",""))</f>
        <v/>
      </c>
      <c r="AK359" s="33" t="n"/>
      <c r="AL359" s="41" t="n"/>
      <c r="AM359" s="41" t="n"/>
      <c r="AN359" s="41" t="n"/>
      <c r="AO359" s="41" t="n"/>
      <c r="AP359" s="41" t="n"/>
      <c r="AQ359" s="41" t="n"/>
      <c r="AR359" s="41" t="n"/>
      <c r="AS359" s="41" t="n"/>
      <c r="AT359" s="41" t="n"/>
      <c r="AU359" s="41" t="n"/>
      <c r="AV359" s="41" t="n"/>
      <c r="AW359" s="41" t="n"/>
      <c r="AX359" s="41" t="n"/>
      <c r="AY359" s="41" t="n"/>
      <c r="AZ359" s="33" t="n"/>
      <c r="BA359" s="41" t="n"/>
      <c r="BB359" s="41" t="n"/>
      <c r="BC359" s="41" t="n"/>
      <c r="BD359" s="41" t="n"/>
      <c r="BE359" s="41" t="n"/>
      <c r="BF359" s="41" t="n"/>
      <c r="BG359" s="41" t="n"/>
      <c r="BH359" s="41" t="n"/>
      <c r="BI359" s="41" t="n"/>
      <c r="BJ359" s="41" t="n"/>
      <c r="BK359" s="41" t="n"/>
      <c r="BL359" s="41" t="n"/>
      <c r="BM359" s="41" t="n"/>
      <c r="BN359" s="41" t="n"/>
    </row>
    <row r="360" ht="18" customHeight="1" s="82">
      <c r="A360" s="36" t="n"/>
      <c r="B360" s="36" t="n"/>
      <c r="C360" s="36" t="n"/>
      <c r="D360" s="36" t="n"/>
      <c r="E360" s="37" t="n"/>
      <c r="F360" s="37" t="n"/>
      <c r="G360" s="37" t="n"/>
      <c r="H360" s="37" t="n"/>
      <c r="I360" s="37" t="n"/>
      <c r="J360" s="37" t="n"/>
      <c r="K360" s="37" t="n"/>
      <c r="L360" s="37" t="n"/>
      <c r="M360" s="37" t="n"/>
      <c r="N360" s="37" t="n"/>
      <c r="O360" s="37" t="n"/>
      <c r="P360" s="37" t="n"/>
      <c r="Q360" s="37" t="n"/>
      <c r="R360" s="37" t="n"/>
      <c r="S360" s="37" t="n"/>
      <c r="T360" s="37" t="n"/>
      <c r="U360" s="37" t="n"/>
      <c r="V360" s="37" t="n"/>
      <c r="W360" s="32" t="n"/>
      <c r="X360" s="37" t="n"/>
      <c r="Y360" s="37" t="n"/>
      <c r="Z360" s="37" t="n"/>
      <c r="AA360" s="37" t="n"/>
      <c r="AB360" s="37" t="n"/>
      <c r="AC360" s="37" t="n"/>
      <c r="AD360" s="32" t="n"/>
      <c r="AE360" s="37" t="n"/>
      <c r="AF360" s="38" t="n"/>
      <c r="AG360" s="67">
        <f>IF(OR(AF360="",AE360=""),"",IFERROR(AF360*INDEX(FXRates[USD per unit],MATCH(AE360,FXRates[Currency],0)),"No rate"))</f>
        <v/>
      </c>
      <c r="AH360" s="36" t="n"/>
      <c r="AI360" s="36" t="n"/>
      <c r="AJ360" s="39">
        <f>IF(A360="","",IF(COUNTIF($A$6:$A$504,A360)&gt;1,"⚠ Duplicate",""))</f>
        <v/>
      </c>
      <c r="AK360" s="38" t="n"/>
      <c r="AL360" s="40" t="n"/>
      <c r="AM360" s="40" t="n"/>
      <c r="AN360" s="40" t="n"/>
      <c r="AO360" s="40" t="n"/>
      <c r="AP360" s="40" t="n"/>
      <c r="AQ360" s="40" t="n"/>
      <c r="AR360" s="40" t="n"/>
      <c r="AS360" s="40" t="n"/>
      <c r="AT360" s="40" t="n"/>
      <c r="AU360" s="40" t="n"/>
      <c r="AV360" s="40" t="n"/>
      <c r="AW360" s="40" t="n"/>
      <c r="AX360" s="40" t="n"/>
      <c r="AY360" s="40" t="n"/>
      <c r="AZ360" s="38" t="n"/>
      <c r="BA360" s="40" t="n"/>
      <c r="BB360" s="40" t="n"/>
      <c r="BC360" s="40" t="n"/>
      <c r="BD360" s="40" t="n"/>
      <c r="BE360" s="40" t="n"/>
      <c r="BF360" s="40" t="n"/>
      <c r="BG360" s="40" t="n"/>
      <c r="BH360" s="40" t="n"/>
      <c r="BI360" s="40" t="n"/>
      <c r="BJ360" s="40" t="n"/>
      <c r="BK360" s="40" t="n"/>
      <c r="BL360" s="40" t="n"/>
      <c r="BM360" s="40" t="n"/>
      <c r="BN360" s="40" t="n"/>
    </row>
    <row r="361" ht="18" customHeight="1" s="82">
      <c r="A361" s="30" t="n"/>
      <c r="B361" s="30" t="n"/>
      <c r="C361" s="30" t="n"/>
      <c r="D361" s="30" t="n"/>
      <c r="E361" s="31" t="n"/>
      <c r="F361" s="31" t="n"/>
      <c r="G361" s="31" t="n"/>
      <c r="H361" s="31" t="n"/>
      <c r="I361" s="31" t="n"/>
      <c r="J361" s="31" t="n"/>
      <c r="K361" s="31" t="n"/>
      <c r="L361" s="31" t="n"/>
      <c r="M361" s="31" t="n"/>
      <c r="N361" s="31" t="n"/>
      <c r="O361" s="31" t="n"/>
      <c r="P361" s="31" t="n"/>
      <c r="Q361" s="31" t="n"/>
      <c r="R361" s="31" t="n"/>
      <c r="S361" s="31" t="n"/>
      <c r="T361" s="31" t="n"/>
      <c r="U361" s="31" t="n"/>
      <c r="V361" s="31" t="n"/>
      <c r="W361" s="32" t="n"/>
      <c r="X361" s="31" t="n"/>
      <c r="Y361" s="31" t="n"/>
      <c r="Z361" s="31" t="n"/>
      <c r="AA361" s="31" t="n"/>
      <c r="AB361" s="31" t="n"/>
      <c r="AC361" s="31" t="n"/>
      <c r="AD361" s="32" t="n"/>
      <c r="AE361" s="31" t="n"/>
      <c r="AF361" s="33" t="n"/>
      <c r="AG361" s="66">
        <f>IF(OR(AF361="",AE361=""),"",IFERROR(AF361*INDEX(FXRates[USD per unit],MATCH(AE361,FXRates[Currency],0)),"No rate"))</f>
        <v/>
      </c>
      <c r="AH361" s="30" t="n"/>
      <c r="AI361" s="30" t="n"/>
      <c r="AJ361" s="34">
        <f>IF(A361="","",IF(COUNTIF($A$6:$A$504,A361)&gt;1,"⚠ Duplicate",""))</f>
        <v/>
      </c>
      <c r="AK361" s="33" t="n"/>
      <c r="AL361" s="41" t="n"/>
      <c r="AM361" s="41" t="n"/>
      <c r="AN361" s="41" t="n"/>
      <c r="AO361" s="41" t="n"/>
      <c r="AP361" s="41" t="n"/>
      <c r="AQ361" s="41" t="n"/>
      <c r="AR361" s="41" t="n"/>
      <c r="AS361" s="41" t="n"/>
      <c r="AT361" s="41" t="n"/>
      <c r="AU361" s="41" t="n"/>
      <c r="AV361" s="41" t="n"/>
      <c r="AW361" s="41" t="n"/>
      <c r="AX361" s="41" t="n"/>
      <c r="AY361" s="41" t="n"/>
      <c r="AZ361" s="33" t="n"/>
      <c r="BA361" s="41" t="n"/>
      <c r="BB361" s="41" t="n"/>
      <c r="BC361" s="41" t="n"/>
      <c r="BD361" s="41" t="n"/>
      <c r="BE361" s="41" t="n"/>
      <c r="BF361" s="41" t="n"/>
      <c r="BG361" s="41" t="n"/>
      <c r="BH361" s="41" t="n"/>
      <c r="BI361" s="41" t="n"/>
      <c r="BJ361" s="41" t="n"/>
      <c r="BK361" s="41" t="n"/>
      <c r="BL361" s="41" t="n"/>
      <c r="BM361" s="41" t="n"/>
      <c r="BN361" s="41" t="n"/>
    </row>
    <row r="362" ht="18" customHeight="1" s="82">
      <c r="A362" s="36" t="n"/>
      <c r="B362" s="36" t="n"/>
      <c r="C362" s="36" t="n"/>
      <c r="D362" s="36" t="n"/>
      <c r="E362" s="37" t="n"/>
      <c r="F362" s="37" t="n"/>
      <c r="G362" s="37" t="n"/>
      <c r="H362" s="37" t="n"/>
      <c r="I362" s="37" t="n"/>
      <c r="J362" s="37" t="n"/>
      <c r="K362" s="37" t="n"/>
      <c r="L362" s="37" t="n"/>
      <c r="M362" s="37" t="n"/>
      <c r="N362" s="37" t="n"/>
      <c r="O362" s="37" t="n"/>
      <c r="P362" s="37" t="n"/>
      <c r="Q362" s="37" t="n"/>
      <c r="R362" s="37" t="n"/>
      <c r="S362" s="37" t="n"/>
      <c r="T362" s="37" t="n"/>
      <c r="U362" s="37" t="n"/>
      <c r="V362" s="37" t="n"/>
      <c r="W362" s="32" t="n"/>
      <c r="X362" s="37" t="n"/>
      <c r="Y362" s="37" t="n"/>
      <c r="Z362" s="37" t="n"/>
      <c r="AA362" s="37" t="n"/>
      <c r="AB362" s="37" t="n"/>
      <c r="AC362" s="37" t="n"/>
      <c r="AD362" s="32" t="n"/>
      <c r="AE362" s="37" t="n"/>
      <c r="AF362" s="38" t="n"/>
      <c r="AG362" s="67">
        <f>IF(OR(AF362="",AE362=""),"",IFERROR(AF362*INDEX(FXRates[USD per unit],MATCH(AE362,FXRates[Currency],0)),"No rate"))</f>
        <v/>
      </c>
      <c r="AH362" s="36" t="n"/>
      <c r="AI362" s="36" t="n"/>
      <c r="AJ362" s="39">
        <f>IF(A362="","",IF(COUNTIF($A$6:$A$504,A362)&gt;1,"⚠ Duplicate",""))</f>
        <v/>
      </c>
      <c r="AK362" s="38" t="n"/>
      <c r="AL362" s="40" t="n"/>
      <c r="AM362" s="40" t="n"/>
      <c r="AN362" s="40" t="n"/>
      <c r="AO362" s="40" t="n"/>
      <c r="AP362" s="40" t="n"/>
      <c r="AQ362" s="40" t="n"/>
      <c r="AR362" s="40" t="n"/>
      <c r="AS362" s="40" t="n"/>
      <c r="AT362" s="40" t="n"/>
      <c r="AU362" s="40" t="n"/>
      <c r="AV362" s="40" t="n"/>
      <c r="AW362" s="40" t="n"/>
      <c r="AX362" s="40" t="n"/>
      <c r="AY362" s="40" t="n"/>
      <c r="AZ362" s="38" t="n"/>
      <c r="BA362" s="40" t="n"/>
      <c r="BB362" s="40" t="n"/>
      <c r="BC362" s="40" t="n"/>
      <c r="BD362" s="40" t="n"/>
      <c r="BE362" s="40" t="n"/>
      <c r="BF362" s="40" t="n"/>
      <c r="BG362" s="40" t="n"/>
      <c r="BH362" s="40" t="n"/>
      <c r="BI362" s="40" t="n"/>
      <c r="BJ362" s="40" t="n"/>
      <c r="BK362" s="40" t="n"/>
      <c r="BL362" s="40" t="n"/>
      <c r="BM362" s="40" t="n"/>
      <c r="BN362" s="40" t="n"/>
    </row>
    <row r="363" ht="18" customHeight="1" s="82">
      <c r="A363" s="30" t="n"/>
      <c r="B363" s="30" t="n"/>
      <c r="C363" s="30" t="n"/>
      <c r="D363" s="30" t="n"/>
      <c r="E363" s="31" t="n"/>
      <c r="F363" s="31" t="n"/>
      <c r="G363" s="31" t="n"/>
      <c r="H363" s="31" t="n"/>
      <c r="I363" s="31" t="n"/>
      <c r="J363" s="31" t="n"/>
      <c r="K363" s="31" t="n"/>
      <c r="L363" s="31" t="n"/>
      <c r="M363" s="31" t="n"/>
      <c r="N363" s="31" t="n"/>
      <c r="O363" s="31" t="n"/>
      <c r="P363" s="31" t="n"/>
      <c r="Q363" s="31" t="n"/>
      <c r="R363" s="31" t="n"/>
      <c r="S363" s="31" t="n"/>
      <c r="T363" s="31" t="n"/>
      <c r="U363" s="31" t="n"/>
      <c r="V363" s="31" t="n"/>
      <c r="W363" s="32" t="n"/>
      <c r="X363" s="31" t="n"/>
      <c r="Y363" s="31" t="n"/>
      <c r="Z363" s="31" t="n"/>
      <c r="AA363" s="31" t="n"/>
      <c r="AB363" s="31" t="n"/>
      <c r="AC363" s="31" t="n"/>
      <c r="AD363" s="32" t="n"/>
      <c r="AE363" s="31" t="n"/>
      <c r="AF363" s="33" t="n"/>
      <c r="AG363" s="66">
        <f>IF(OR(AF363="",AE363=""),"",IFERROR(AF363*INDEX(FXRates[USD per unit],MATCH(AE363,FXRates[Currency],0)),"No rate"))</f>
        <v/>
      </c>
      <c r="AH363" s="30" t="n"/>
      <c r="AI363" s="30" t="n"/>
      <c r="AJ363" s="34">
        <f>IF(A363="","",IF(COUNTIF($A$6:$A$504,A363)&gt;1,"⚠ Duplicate",""))</f>
        <v/>
      </c>
      <c r="AK363" s="33" t="n"/>
      <c r="AL363" s="41" t="n"/>
      <c r="AM363" s="41" t="n"/>
      <c r="AN363" s="41" t="n"/>
      <c r="AO363" s="41" t="n"/>
      <c r="AP363" s="41" t="n"/>
      <c r="AQ363" s="41" t="n"/>
      <c r="AR363" s="41" t="n"/>
      <c r="AS363" s="41" t="n"/>
      <c r="AT363" s="41" t="n"/>
      <c r="AU363" s="41" t="n"/>
      <c r="AV363" s="41" t="n"/>
      <c r="AW363" s="41" t="n"/>
      <c r="AX363" s="41" t="n"/>
      <c r="AY363" s="41" t="n"/>
      <c r="AZ363" s="33" t="n"/>
      <c r="BA363" s="41" t="n"/>
      <c r="BB363" s="41" t="n"/>
      <c r="BC363" s="41" t="n"/>
      <c r="BD363" s="41" t="n"/>
      <c r="BE363" s="41" t="n"/>
      <c r="BF363" s="41" t="n"/>
      <c r="BG363" s="41" t="n"/>
      <c r="BH363" s="41" t="n"/>
      <c r="BI363" s="41" t="n"/>
      <c r="BJ363" s="41" t="n"/>
      <c r="BK363" s="41" t="n"/>
      <c r="BL363" s="41" t="n"/>
      <c r="BM363" s="41" t="n"/>
      <c r="BN363" s="41" t="n"/>
    </row>
    <row r="364" ht="18" customHeight="1" s="82">
      <c r="A364" s="36" t="n"/>
      <c r="B364" s="36" t="n"/>
      <c r="C364" s="36" t="n"/>
      <c r="D364" s="36" t="n"/>
      <c r="E364" s="37" t="n"/>
      <c r="F364" s="37" t="n"/>
      <c r="G364" s="37" t="n"/>
      <c r="H364" s="37" t="n"/>
      <c r="I364" s="37" t="n"/>
      <c r="J364" s="37" t="n"/>
      <c r="K364" s="37" t="n"/>
      <c r="L364" s="37" t="n"/>
      <c r="M364" s="37" t="n"/>
      <c r="N364" s="37" t="n"/>
      <c r="O364" s="37" t="n"/>
      <c r="P364" s="37" t="n"/>
      <c r="Q364" s="37" t="n"/>
      <c r="R364" s="37" t="n"/>
      <c r="S364" s="37" t="n"/>
      <c r="T364" s="37" t="n"/>
      <c r="U364" s="37" t="n"/>
      <c r="V364" s="37" t="n"/>
      <c r="W364" s="32" t="n"/>
      <c r="X364" s="37" t="n"/>
      <c r="Y364" s="37" t="n"/>
      <c r="Z364" s="37" t="n"/>
      <c r="AA364" s="37" t="n"/>
      <c r="AB364" s="37" t="n"/>
      <c r="AC364" s="37" t="n"/>
      <c r="AD364" s="32" t="n"/>
      <c r="AE364" s="37" t="n"/>
      <c r="AF364" s="38" t="n"/>
      <c r="AG364" s="67">
        <f>IF(OR(AF364="",AE364=""),"",IFERROR(AF364*INDEX(FXRates[USD per unit],MATCH(AE364,FXRates[Currency],0)),"No rate"))</f>
        <v/>
      </c>
      <c r="AH364" s="36" t="n"/>
      <c r="AI364" s="36" t="n"/>
      <c r="AJ364" s="39">
        <f>IF(A364="","",IF(COUNTIF($A$6:$A$504,A364)&gt;1,"⚠ Duplicate",""))</f>
        <v/>
      </c>
      <c r="AK364" s="38" t="n"/>
      <c r="AL364" s="40" t="n"/>
      <c r="AM364" s="40" t="n"/>
      <c r="AN364" s="40" t="n"/>
      <c r="AO364" s="40" t="n"/>
      <c r="AP364" s="40" t="n"/>
      <c r="AQ364" s="40" t="n"/>
      <c r="AR364" s="40" t="n"/>
      <c r="AS364" s="40" t="n"/>
      <c r="AT364" s="40" t="n"/>
      <c r="AU364" s="40" t="n"/>
      <c r="AV364" s="40" t="n"/>
      <c r="AW364" s="40" t="n"/>
      <c r="AX364" s="40" t="n"/>
      <c r="AY364" s="40" t="n"/>
      <c r="AZ364" s="38" t="n"/>
      <c r="BA364" s="40" t="n"/>
      <c r="BB364" s="40" t="n"/>
      <c r="BC364" s="40" t="n"/>
      <c r="BD364" s="40" t="n"/>
      <c r="BE364" s="40" t="n"/>
      <c r="BF364" s="40" t="n"/>
      <c r="BG364" s="40" t="n"/>
      <c r="BH364" s="40" t="n"/>
      <c r="BI364" s="40" t="n"/>
      <c r="BJ364" s="40" t="n"/>
      <c r="BK364" s="40" t="n"/>
      <c r="BL364" s="40" t="n"/>
      <c r="BM364" s="40" t="n"/>
      <c r="BN364" s="40" t="n"/>
    </row>
    <row r="365" ht="18" customHeight="1" s="82">
      <c r="A365" s="30" t="n"/>
      <c r="B365" s="30" t="n"/>
      <c r="C365" s="30" t="n"/>
      <c r="D365" s="30" t="n"/>
      <c r="E365" s="31" t="n"/>
      <c r="F365" s="31" t="n"/>
      <c r="G365" s="31" t="n"/>
      <c r="H365" s="31" t="n"/>
      <c r="I365" s="31" t="n"/>
      <c r="J365" s="31" t="n"/>
      <c r="K365" s="31" t="n"/>
      <c r="L365" s="31" t="n"/>
      <c r="M365" s="31" t="n"/>
      <c r="N365" s="31" t="n"/>
      <c r="O365" s="31" t="n"/>
      <c r="P365" s="31" t="n"/>
      <c r="Q365" s="31" t="n"/>
      <c r="R365" s="31" t="n"/>
      <c r="S365" s="31" t="n"/>
      <c r="T365" s="31" t="n"/>
      <c r="U365" s="31" t="n"/>
      <c r="V365" s="31" t="n"/>
      <c r="W365" s="32" t="n"/>
      <c r="X365" s="31" t="n"/>
      <c r="Y365" s="31" t="n"/>
      <c r="Z365" s="31" t="n"/>
      <c r="AA365" s="31" t="n"/>
      <c r="AB365" s="31" t="n"/>
      <c r="AC365" s="31" t="n"/>
      <c r="AD365" s="32" t="n"/>
      <c r="AE365" s="31" t="n"/>
      <c r="AF365" s="33" t="n"/>
      <c r="AG365" s="66">
        <f>IF(OR(AF365="",AE365=""),"",IFERROR(AF365*INDEX(FXRates[USD per unit],MATCH(AE365,FXRates[Currency],0)),"No rate"))</f>
        <v/>
      </c>
      <c r="AH365" s="30" t="n"/>
      <c r="AI365" s="30" t="n"/>
      <c r="AJ365" s="34">
        <f>IF(A365="","",IF(COUNTIF($A$6:$A$504,A365)&gt;1,"⚠ Duplicate",""))</f>
        <v/>
      </c>
      <c r="AK365" s="33" t="n"/>
      <c r="AL365" s="41" t="n"/>
      <c r="AM365" s="41" t="n"/>
      <c r="AN365" s="41" t="n"/>
      <c r="AO365" s="41" t="n"/>
      <c r="AP365" s="41" t="n"/>
      <c r="AQ365" s="41" t="n"/>
      <c r="AR365" s="41" t="n"/>
      <c r="AS365" s="41" t="n"/>
      <c r="AT365" s="41" t="n"/>
      <c r="AU365" s="41" t="n"/>
      <c r="AV365" s="41" t="n"/>
      <c r="AW365" s="41" t="n"/>
      <c r="AX365" s="41" t="n"/>
      <c r="AY365" s="41" t="n"/>
      <c r="AZ365" s="33" t="n"/>
      <c r="BA365" s="41" t="n"/>
      <c r="BB365" s="41" t="n"/>
      <c r="BC365" s="41" t="n"/>
      <c r="BD365" s="41" t="n"/>
      <c r="BE365" s="41" t="n"/>
      <c r="BF365" s="41" t="n"/>
      <c r="BG365" s="41" t="n"/>
      <c r="BH365" s="41" t="n"/>
      <c r="BI365" s="41" t="n"/>
      <c r="BJ365" s="41" t="n"/>
      <c r="BK365" s="41" t="n"/>
      <c r="BL365" s="41" t="n"/>
      <c r="BM365" s="41" t="n"/>
      <c r="BN365" s="41" t="n"/>
    </row>
    <row r="366" ht="18" customHeight="1" s="82">
      <c r="A366" s="36" t="n"/>
      <c r="B366" s="36" t="n"/>
      <c r="C366" s="36" t="n"/>
      <c r="D366" s="36" t="n"/>
      <c r="E366" s="37" t="n"/>
      <c r="F366" s="37" t="n"/>
      <c r="G366" s="37" t="n"/>
      <c r="H366" s="37" t="n"/>
      <c r="I366" s="37" t="n"/>
      <c r="J366" s="37" t="n"/>
      <c r="K366" s="37" t="n"/>
      <c r="L366" s="37" t="n"/>
      <c r="M366" s="37" t="n"/>
      <c r="N366" s="37" t="n"/>
      <c r="O366" s="37" t="n"/>
      <c r="P366" s="37" t="n"/>
      <c r="Q366" s="37" t="n"/>
      <c r="R366" s="37" t="n"/>
      <c r="S366" s="37" t="n"/>
      <c r="T366" s="37" t="n"/>
      <c r="U366" s="37" t="n"/>
      <c r="V366" s="37" t="n"/>
      <c r="W366" s="32" t="n"/>
      <c r="X366" s="37" t="n"/>
      <c r="Y366" s="37" t="n"/>
      <c r="Z366" s="37" t="n"/>
      <c r="AA366" s="37" t="n"/>
      <c r="AB366" s="37" t="n"/>
      <c r="AC366" s="37" t="n"/>
      <c r="AD366" s="32" t="n"/>
      <c r="AE366" s="37" t="n"/>
      <c r="AF366" s="38" t="n"/>
      <c r="AG366" s="67">
        <f>IF(OR(AF366="",AE366=""),"",IFERROR(AF366*INDEX(FXRates[USD per unit],MATCH(AE366,FXRates[Currency],0)),"No rate"))</f>
        <v/>
      </c>
      <c r="AH366" s="36" t="n"/>
      <c r="AI366" s="36" t="n"/>
      <c r="AJ366" s="39">
        <f>IF(A366="","",IF(COUNTIF($A$6:$A$504,A366)&gt;1,"⚠ Duplicate",""))</f>
        <v/>
      </c>
      <c r="AK366" s="38" t="n"/>
      <c r="AL366" s="40" t="n"/>
      <c r="AM366" s="40" t="n"/>
      <c r="AN366" s="40" t="n"/>
      <c r="AO366" s="40" t="n"/>
      <c r="AP366" s="40" t="n"/>
      <c r="AQ366" s="40" t="n"/>
      <c r="AR366" s="40" t="n"/>
      <c r="AS366" s="40" t="n"/>
      <c r="AT366" s="40" t="n"/>
      <c r="AU366" s="40" t="n"/>
      <c r="AV366" s="40" t="n"/>
      <c r="AW366" s="40" t="n"/>
      <c r="AX366" s="40" t="n"/>
      <c r="AY366" s="40" t="n"/>
      <c r="AZ366" s="38" t="n"/>
      <c r="BA366" s="40" t="n"/>
      <c r="BB366" s="40" t="n"/>
      <c r="BC366" s="40" t="n"/>
      <c r="BD366" s="40" t="n"/>
      <c r="BE366" s="40" t="n"/>
      <c r="BF366" s="40" t="n"/>
      <c r="BG366" s="40" t="n"/>
      <c r="BH366" s="40" t="n"/>
      <c r="BI366" s="40" t="n"/>
      <c r="BJ366" s="40" t="n"/>
      <c r="BK366" s="40" t="n"/>
      <c r="BL366" s="40" t="n"/>
      <c r="BM366" s="40" t="n"/>
      <c r="BN366" s="40" t="n"/>
    </row>
    <row r="367" ht="18" customHeight="1" s="82">
      <c r="A367" s="30" t="n"/>
      <c r="B367" s="30" t="n"/>
      <c r="C367" s="30" t="n"/>
      <c r="D367" s="30" t="n"/>
      <c r="E367" s="31" t="n"/>
      <c r="F367" s="31" t="n"/>
      <c r="G367" s="31" t="n"/>
      <c r="H367" s="31" t="n"/>
      <c r="I367" s="31" t="n"/>
      <c r="J367" s="31" t="n"/>
      <c r="K367" s="31" t="n"/>
      <c r="L367" s="31" t="n"/>
      <c r="M367" s="31" t="n"/>
      <c r="N367" s="31" t="n"/>
      <c r="O367" s="31" t="n"/>
      <c r="P367" s="31" t="n"/>
      <c r="Q367" s="31" t="n"/>
      <c r="R367" s="31" t="n"/>
      <c r="S367" s="31" t="n"/>
      <c r="T367" s="31" t="n"/>
      <c r="U367" s="31" t="n"/>
      <c r="V367" s="31" t="n"/>
      <c r="W367" s="32" t="n"/>
      <c r="X367" s="31" t="n"/>
      <c r="Y367" s="31" t="n"/>
      <c r="Z367" s="31" t="n"/>
      <c r="AA367" s="31" t="n"/>
      <c r="AB367" s="31" t="n"/>
      <c r="AC367" s="31" t="n"/>
      <c r="AD367" s="32" t="n"/>
      <c r="AE367" s="31" t="n"/>
      <c r="AF367" s="33" t="n"/>
      <c r="AG367" s="66">
        <f>IF(OR(AF367="",AE367=""),"",IFERROR(AF367*INDEX(FXRates[USD per unit],MATCH(AE367,FXRates[Currency],0)),"No rate"))</f>
        <v/>
      </c>
      <c r="AH367" s="30" t="n"/>
      <c r="AI367" s="30" t="n"/>
      <c r="AJ367" s="34">
        <f>IF(A367="","",IF(COUNTIF($A$6:$A$504,A367)&gt;1,"⚠ Duplicate",""))</f>
        <v/>
      </c>
      <c r="AK367" s="33" t="n"/>
      <c r="AL367" s="41" t="n"/>
      <c r="AM367" s="41" t="n"/>
      <c r="AN367" s="41" t="n"/>
      <c r="AO367" s="41" t="n"/>
      <c r="AP367" s="41" t="n"/>
      <c r="AQ367" s="41" t="n"/>
      <c r="AR367" s="41" t="n"/>
      <c r="AS367" s="41" t="n"/>
      <c r="AT367" s="41" t="n"/>
      <c r="AU367" s="41" t="n"/>
      <c r="AV367" s="41" t="n"/>
      <c r="AW367" s="41" t="n"/>
      <c r="AX367" s="41" t="n"/>
      <c r="AY367" s="41" t="n"/>
      <c r="AZ367" s="33" t="n"/>
      <c r="BA367" s="41" t="n"/>
      <c r="BB367" s="41" t="n"/>
      <c r="BC367" s="41" t="n"/>
      <c r="BD367" s="41" t="n"/>
      <c r="BE367" s="41" t="n"/>
      <c r="BF367" s="41" t="n"/>
      <c r="BG367" s="41" t="n"/>
      <c r="BH367" s="41" t="n"/>
      <c r="BI367" s="41" t="n"/>
      <c r="BJ367" s="41" t="n"/>
      <c r="BK367" s="41" t="n"/>
      <c r="BL367" s="41" t="n"/>
      <c r="BM367" s="41" t="n"/>
      <c r="BN367" s="41" t="n"/>
    </row>
    <row r="368" ht="18" customHeight="1" s="82">
      <c r="A368" s="36" t="n"/>
      <c r="B368" s="36" t="n"/>
      <c r="C368" s="36" t="n"/>
      <c r="D368" s="36" t="n"/>
      <c r="E368" s="37" t="n"/>
      <c r="F368" s="37" t="n"/>
      <c r="G368" s="37" t="n"/>
      <c r="H368" s="37" t="n"/>
      <c r="I368" s="37" t="n"/>
      <c r="J368" s="37" t="n"/>
      <c r="K368" s="37" t="n"/>
      <c r="L368" s="37" t="n"/>
      <c r="M368" s="37" t="n"/>
      <c r="N368" s="37" t="n"/>
      <c r="O368" s="37" t="n"/>
      <c r="P368" s="37" t="n"/>
      <c r="Q368" s="37" t="n"/>
      <c r="R368" s="37" t="n"/>
      <c r="S368" s="37" t="n"/>
      <c r="T368" s="37" t="n"/>
      <c r="U368" s="37" t="n"/>
      <c r="V368" s="37" t="n"/>
      <c r="W368" s="32" t="n"/>
      <c r="X368" s="37" t="n"/>
      <c r="Y368" s="37" t="n"/>
      <c r="Z368" s="37" t="n"/>
      <c r="AA368" s="37" t="n"/>
      <c r="AB368" s="37" t="n"/>
      <c r="AC368" s="37" t="n"/>
      <c r="AD368" s="32" t="n"/>
      <c r="AE368" s="37" t="n"/>
      <c r="AF368" s="38" t="n"/>
      <c r="AG368" s="67">
        <f>IF(OR(AF368="",AE368=""),"",IFERROR(AF368*INDEX(FXRates[USD per unit],MATCH(AE368,FXRates[Currency],0)),"No rate"))</f>
        <v/>
      </c>
      <c r="AH368" s="36" t="n"/>
      <c r="AI368" s="36" t="n"/>
      <c r="AJ368" s="39">
        <f>IF(A368="","",IF(COUNTIF($A$6:$A$504,A368)&gt;1,"⚠ Duplicate",""))</f>
        <v/>
      </c>
      <c r="AK368" s="38" t="n"/>
      <c r="AL368" s="40" t="n"/>
      <c r="AM368" s="40" t="n"/>
      <c r="AN368" s="40" t="n"/>
      <c r="AO368" s="40" t="n"/>
      <c r="AP368" s="40" t="n"/>
      <c r="AQ368" s="40" t="n"/>
      <c r="AR368" s="40" t="n"/>
      <c r="AS368" s="40" t="n"/>
      <c r="AT368" s="40" t="n"/>
      <c r="AU368" s="40" t="n"/>
      <c r="AV368" s="40" t="n"/>
      <c r="AW368" s="40" t="n"/>
      <c r="AX368" s="40" t="n"/>
      <c r="AY368" s="40" t="n"/>
      <c r="AZ368" s="38" t="n"/>
      <c r="BA368" s="40" t="n"/>
      <c r="BB368" s="40" t="n"/>
      <c r="BC368" s="40" t="n"/>
      <c r="BD368" s="40" t="n"/>
      <c r="BE368" s="40" t="n"/>
      <c r="BF368" s="40" t="n"/>
      <c r="BG368" s="40" t="n"/>
      <c r="BH368" s="40" t="n"/>
      <c r="BI368" s="40" t="n"/>
      <c r="BJ368" s="40" t="n"/>
      <c r="BK368" s="40" t="n"/>
      <c r="BL368" s="40" t="n"/>
      <c r="BM368" s="40" t="n"/>
      <c r="BN368" s="40" t="n"/>
    </row>
    <row r="369" ht="18" customHeight="1" s="82">
      <c r="A369" s="30" t="n"/>
      <c r="B369" s="30" t="n"/>
      <c r="C369" s="30" t="n"/>
      <c r="D369" s="30" t="n"/>
      <c r="E369" s="31" t="n"/>
      <c r="F369" s="31" t="n"/>
      <c r="G369" s="31" t="n"/>
      <c r="H369" s="31" t="n"/>
      <c r="I369" s="31" t="n"/>
      <c r="J369" s="31" t="n"/>
      <c r="K369" s="31" t="n"/>
      <c r="L369" s="31" t="n"/>
      <c r="M369" s="31" t="n"/>
      <c r="N369" s="31" t="n"/>
      <c r="O369" s="31" t="n"/>
      <c r="P369" s="31" t="n"/>
      <c r="Q369" s="31" t="n"/>
      <c r="R369" s="31" t="n"/>
      <c r="S369" s="31" t="n"/>
      <c r="T369" s="31" t="n"/>
      <c r="U369" s="31" t="n"/>
      <c r="V369" s="31" t="n"/>
      <c r="W369" s="32" t="n"/>
      <c r="X369" s="31" t="n"/>
      <c r="Y369" s="31" t="n"/>
      <c r="Z369" s="31" t="n"/>
      <c r="AA369" s="31" t="n"/>
      <c r="AB369" s="31" t="n"/>
      <c r="AC369" s="31" t="n"/>
      <c r="AD369" s="32" t="n"/>
      <c r="AE369" s="31" t="n"/>
      <c r="AF369" s="33" t="n"/>
      <c r="AG369" s="66">
        <f>IF(OR(AF369="",AE369=""),"",IFERROR(AF369*INDEX(FXRates[USD per unit],MATCH(AE369,FXRates[Currency],0)),"No rate"))</f>
        <v/>
      </c>
      <c r="AH369" s="30" t="n"/>
      <c r="AI369" s="30" t="n"/>
      <c r="AJ369" s="34">
        <f>IF(A369="","",IF(COUNTIF($A$6:$A$504,A369)&gt;1,"⚠ Duplicate",""))</f>
        <v/>
      </c>
      <c r="AK369" s="33" t="n"/>
      <c r="AL369" s="41" t="n"/>
      <c r="AM369" s="41" t="n"/>
      <c r="AN369" s="41" t="n"/>
      <c r="AO369" s="41" t="n"/>
      <c r="AP369" s="41" t="n"/>
      <c r="AQ369" s="41" t="n"/>
      <c r="AR369" s="41" t="n"/>
      <c r="AS369" s="41" t="n"/>
      <c r="AT369" s="41" t="n"/>
      <c r="AU369" s="41" t="n"/>
      <c r="AV369" s="41" t="n"/>
      <c r="AW369" s="41" t="n"/>
      <c r="AX369" s="41" t="n"/>
      <c r="AY369" s="41" t="n"/>
      <c r="AZ369" s="33" t="n"/>
      <c r="BA369" s="41" t="n"/>
      <c r="BB369" s="41" t="n"/>
      <c r="BC369" s="41" t="n"/>
      <c r="BD369" s="41" t="n"/>
      <c r="BE369" s="41" t="n"/>
      <c r="BF369" s="41" t="n"/>
      <c r="BG369" s="41" t="n"/>
      <c r="BH369" s="41" t="n"/>
      <c r="BI369" s="41" t="n"/>
      <c r="BJ369" s="41" t="n"/>
      <c r="BK369" s="41" t="n"/>
      <c r="BL369" s="41" t="n"/>
      <c r="BM369" s="41" t="n"/>
      <c r="BN369" s="41" t="n"/>
    </row>
    <row r="370" ht="18" customHeight="1" s="82">
      <c r="A370" s="36" t="n"/>
      <c r="B370" s="36" t="n"/>
      <c r="C370" s="36" t="n"/>
      <c r="D370" s="36" t="n"/>
      <c r="E370" s="37" t="n"/>
      <c r="F370" s="37" t="n"/>
      <c r="G370" s="37" t="n"/>
      <c r="H370" s="37" t="n"/>
      <c r="I370" s="37" t="n"/>
      <c r="J370" s="37" t="n"/>
      <c r="K370" s="37" t="n"/>
      <c r="L370" s="37" t="n"/>
      <c r="M370" s="37" t="n"/>
      <c r="N370" s="37" t="n"/>
      <c r="O370" s="37" t="n"/>
      <c r="P370" s="37" t="n"/>
      <c r="Q370" s="37" t="n"/>
      <c r="R370" s="37" t="n"/>
      <c r="S370" s="37" t="n"/>
      <c r="T370" s="37" t="n"/>
      <c r="U370" s="37" t="n"/>
      <c r="V370" s="37" t="n"/>
      <c r="W370" s="32" t="n"/>
      <c r="X370" s="37" t="n"/>
      <c r="Y370" s="37" t="n"/>
      <c r="Z370" s="37" t="n"/>
      <c r="AA370" s="37" t="n"/>
      <c r="AB370" s="37" t="n"/>
      <c r="AC370" s="37" t="n"/>
      <c r="AD370" s="32" t="n"/>
      <c r="AE370" s="37" t="n"/>
      <c r="AF370" s="38" t="n"/>
      <c r="AG370" s="67">
        <f>IF(OR(AF370="",AE370=""),"",IFERROR(AF370*INDEX(FXRates[USD per unit],MATCH(AE370,FXRates[Currency],0)),"No rate"))</f>
        <v/>
      </c>
      <c r="AH370" s="36" t="n"/>
      <c r="AI370" s="36" t="n"/>
      <c r="AJ370" s="39">
        <f>IF(A370="","",IF(COUNTIF($A$6:$A$504,A370)&gt;1,"⚠ Duplicate",""))</f>
        <v/>
      </c>
      <c r="AK370" s="38" t="n"/>
      <c r="AL370" s="40" t="n"/>
      <c r="AM370" s="40" t="n"/>
      <c r="AN370" s="40" t="n"/>
      <c r="AO370" s="40" t="n"/>
      <c r="AP370" s="40" t="n"/>
      <c r="AQ370" s="40" t="n"/>
      <c r="AR370" s="40" t="n"/>
      <c r="AS370" s="40" t="n"/>
      <c r="AT370" s="40" t="n"/>
      <c r="AU370" s="40" t="n"/>
      <c r="AV370" s="40" t="n"/>
      <c r="AW370" s="40" t="n"/>
      <c r="AX370" s="40" t="n"/>
      <c r="AY370" s="40" t="n"/>
      <c r="AZ370" s="38" t="n"/>
      <c r="BA370" s="40" t="n"/>
      <c r="BB370" s="40" t="n"/>
      <c r="BC370" s="40" t="n"/>
      <c r="BD370" s="40" t="n"/>
      <c r="BE370" s="40" t="n"/>
      <c r="BF370" s="40" t="n"/>
      <c r="BG370" s="40" t="n"/>
      <c r="BH370" s="40" t="n"/>
      <c r="BI370" s="40" t="n"/>
      <c r="BJ370" s="40" t="n"/>
      <c r="BK370" s="40" t="n"/>
      <c r="BL370" s="40" t="n"/>
      <c r="BM370" s="40" t="n"/>
      <c r="BN370" s="40" t="n"/>
    </row>
    <row r="371" ht="18" customHeight="1" s="82">
      <c r="A371" s="30" t="n"/>
      <c r="B371" s="30" t="n"/>
      <c r="C371" s="30" t="n"/>
      <c r="D371" s="30" t="n"/>
      <c r="E371" s="31" t="n"/>
      <c r="F371" s="31" t="n"/>
      <c r="G371" s="31" t="n"/>
      <c r="H371" s="31" t="n"/>
      <c r="I371" s="31" t="n"/>
      <c r="J371" s="31" t="n"/>
      <c r="K371" s="31" t="n"/>
      <c r="L371" s="31" t="n"/>
      <c r="M371" s="31" t="n"/>
      <c r="N371" s="31" t="n"/>
      <c r="O371" s="31" t="n"/>
      <c r="P371" s="31" t="n"/>
      <c r="Q371" s="31" t="n"/>
      <c r="R371" s="31" t="n"/>
      <c r="S371" s="31" t="n"/>
      <c r="T371" s="31" t="n"/>
      <c r="U371" s="31" t="n"/>
      <c r="V371" s="31" t="n"/>
      <c r="W371" s="32" t="n"/>
      <c r="X371" s="31" t="n"/>
      <c r="Y371" s="31" t="n"/>
      <c r="Z371" s="31" t="n"/>
      <c r="AA371" s="31" t="n"/>
      <c r="AB371" s="31" t="n"/>
      <c r="AC371" s="31" t="n"/>
      <c r="AD371" s="32" t="n"/>
      <c r="AE371" s="31" t="n"/>
      <c r="AF371" s="33" t="n"/>
      <c r="AG371" s="66">
        <f>IF(OR(AF371="",AE371=""),"",IFERROR(AF371*INDEX(FXRates[USD per unit],MATCH(AE371,FXRates[Currency],0)),"No rate"))</f>
        <v/>
      </c>
      <c r="AH371" s="30" t="n"/>
      <c r="AI371" s="30" t="n"/>
      <c r="AJ371" s="34">
        <f>IF(A371="","",IF(COUNTIF($A$6:$A$504,A371)&gt;1,"⚠ Duplicate",""))</f>
        <v/>
      </c>
      <c r="AK371" s="33" t="n"/>
      <c r="AL371" s="41" t="n"/>
      <c r="AM371" s="41" t="n"/>
      <c r="AN371" s="41" t="n"/>
      <c r="AO371" s="41" t="n"/>
      <c r="AP371" s="41" t="n"/>
      <c r="AQ371" s="41" t="n"/>
      <c r="AR371" s="41" t="n"/>
      <c r="AS371" s="41" t="n"/>
      <c r="AT371" s="41" t="n"/>
      <c r="AU371" s="41" t="n"/>
      <c r="AV371" s="41" t="n"/>
      <c r="AW371" s="41" t="n"/>
      <c r="AX371" s="41" t="n"/>
      <c r="AY371" s="41" t="n"/>
      <c r="AZ371" s="33" t="n"/>
      <c r="BA371" s="41" t="n"/>
      <c r="BB371" s="41" t="n"/>
      <c r="BC371" s="41" t="n"/>
      <c r="BD371" s="41" t="n"/>
      <c r="BE371" s="41" t="n"/>
      <c r="BF371" s="41" t="n"/>
      <c r="BG371" s="41" t="n"/>
      <c r="BH371" s="41" t="n"/>
      <c r="BI371" s="41" t="n"/>
      <c r="BJ371" s="41" t="n"/>
      <c r="BK371" s="41" t="n"/>
      <c r="BL371" s="41" t="n"/>
      <c r="BM371" s="41" t="n"/>
      <c r="BN371" s="41" t="n"/>
    </row>
    <row r="372" ht="18" customHeight="1" s="82">
      <c r="A372" s="36" t="n"/>
      <c r="B372" s="36" t="n"/>
      <c r="C372" s="36" t="n"/>
      <c r="D372" s="36" t="n"/>
      <c r="E372" s="37" t="n"/>
      <c r="F372" s="37" t="n"/>
      <c r="G372" s="37" t="n"/>
      <c r="H372" s="37" t="n"/>
      <c r="I372" s="37" t="n"/>
      <c r="J372" s="37" t="n"/>
      <c r="K372" s="37" t="n"/>
      <c r="L372" s="37" t="n"/>
      <c r="M372" s="37" t="n"/>
      <c r="N372" s="37" t="n"/>
      <c r="O372" s="37" t="n"/>
      <c r="P372" s="37" t="n"/>
      <c r="Q372" s="37" t="n"/>
      <c r="R372" s="37" t="n"/>
      <c r="S372" s="37" t="n"/>
      <c r="T372" s="37" t="n"/>
      <c r="U372" s="37" t="n"/>
      <c r="V372" s="37" t="n"/>
      <c r="W372" s="32" t="n"/>
      <c r="X372" s="37" t="n"/>
      <c r="Y372" s="37" t="n"/>
      <c r="Z372" s="37" t="n"/>
      <c r="AA372" s="37" t="n"/>
      <c r="AB372" s="37" t="n"/>
      <c r="AC372" s="37" t="n"/>
      <c r="AD372" s="32" t="n"/>
      <c r="AE372" s="37" t="n"/>
      <c r="AF372" s="38" t="n"/>
      <c r="AG372" s="67">
        <f>IF(OR(AF372="",AE372=""),"",IFERROR(AF372*INDEX(FXRates[USD per unit],MATCH(AE372,FXRates[Currency],0)),"No rate"))</f>
        <v/>
      </c>
      <c r="AH372" s="36" t="n"/>
      <c r="AI372" s="36" t="n"/>
      <c r="AJ372" s="39">
        <f>IF(A372="","",IF(COUNTIF($A$6:$A$504,A372)&gt;1,"⚠ Duplicate",""))</f>
        <v/>
      </c>
      <c r="AK372" s="38" t="n"/>
      <c r="AL372" s="40" t="n"/>
      <c r="AM372" s="40" t="n"/>
      <c r="AN372" s="40" t="n"/>
      <c r="AO372" s="40" t="n"/>
      <c r="AP372" s="40" t="n"/>
      <c r="AQ372" s="40" t="n"/>
      <c r="AR372" s="40" t="n"/>
      <c r="AS372" s="40" t="n"/>
      <c r="AT372" s="40" t="n"/>
      <c r="AU372" s="40" t="n"/>
      <c r="AV372" s="40" t="n"/>
      <c r="AW372" s="40" t="n"/>
      <c r="AX372" s="40" t="n"/>
      <c r="AY372" s="40" t="n"/>
      <c r="AZ372" s="38" t="n"/>
      <c r="BA372" s="40" t="n"/>
      <c r="BB372" s="40" t="n"/>
      <c r="BC372" s="40" t="n"/>
      <c r="BD372" s="40" t="n"/>
      <c r="BE372" s="40" t="n"/>
      <c r="BF372" s="40" t="n"/>
      <c r="BG372" s="40" t="n"/>
      <c r="BH372" s="40" t="n"/>
      <c r="BI372" s="40" t="n"/>
      <c r="BJ372" s="40" t="n"/>
      <c r="BK372" s="40" t="n"/>
      <c r="BL372" s="40" t="n"/>
      <c r="BM372" s="40" t="n"/>
      <c r="BN372" s="40" t="n"/>
    </row>
    <row r="373" ht="18" customHeight="1" s="82">
      <c r="A373" s="30" t="n"/>
      <c r="B373" s="30" t="n"/>
      <c r="C373" s="30" t="n"/>
      <c r="D373" s="30" t="n"/>
      <c r="E373" s="31" t="n"/>
      <c r="F373" s="31" t="n"/>
      <c r="G373" s="31" t="n"/>
      <c r="H373" s="31" t="n"/>
      <c r="I373" s="31" t="n"/>
      <c r="J373" s="31" t="n"/>
      <c r="K373" s="31" t="n"/>
      <c r="L373" s="31" t="n"/>
      <c r="M373" s="31" t="n"/>
      <c r="N373" s="31" t="n"/>
      <c r="O373" s="31" t="n"/>
      <c r="P373" s="31" t="n"/>
      <c r="Q373" s="31" t="n"/>
      <c r="R373" s="31" t="n"/>
      <c r="S373" s="31" t="n"/>
      <c r="T373" s="31" t="n"/>
      <c r="U373" s="31" t="n"/>
      <c r="V373" s="31" t="n"/>
      <c r="W373" s="32" t="n"/>
      <c r="X373" s="31" t="n"/>
      <c r="Y373" s="31" t="n"/>
      <c r="Z373" s="31" t="n"/>
      <c r="AA373" s="31" t="n"/>
      <c r="AB373" s="31" t="n"/>
      <c r="AC373" s="31" t="n"/>
      <c r="AD373" s="32" t="n"/>
      <c r="AE373" s="31" t="n"/>
      <c r="AF373" s="33" t="n"/>
      <c r="AG373" s="66">
        <f>IF(OR(AF373="",AE373=""),"",IFERROR(AF373*INDEX(FXRates[USD per unit],MATCH(AE373,FXRates[Currency],0)),"No rate"))</f>
        <v/>
      </c>
      <c r="AH373" s="30" t="n"/>
      <c r="AI373" s="30" t="n"/>
      <c r="AJ373" s="34">
        <f>IF(A373="","",IF(COUNTIF($A$6:$A$504,A373)&gt;1,"⚠ Duplicate",""))</f>
        <v/>
      </c>
      <c r="AK373" s="33" t="n"/>
      <c r="AL373" s="41" t="n"/>
      <c r="AM373" s="41" t="n"/>
      <c r="AN373" s="41" t="n"/>
      <c r="AO373" s="41" t="n"/>
      <c r="AP373" s="41" t="n"/>
      <c r="AQ373" s="41" t="n"/>
      <c r="AR373" s="41" t="n"/>
      <c r="AS373" s="41" t="n"/>
      <c r="AT373" s="41" t="n"/>
      <c r="AU373" s="41" t="n"/>
      <c r="AV373" s="41" t="n"/>
      <c r="AW373" s="41" t="n"/>
      <c r="AX373" s="41" t="n"/>
      <c r="AY373" s="41" t="n"/>
      <c r="AZ373" s="33" t="n"/>
      <c r="BA373" s="41" t="n"/>
      <c r="BB373" s="41" t="n"/>
      <c r="BC373" s="41" t="n"/>
      <c r="BD373" s="41" t="n"/>
      <c r="BE373" s="41" t="n"/>
      <c r="BF373" s="41" t="n"/>
      <c r="BG373" s="41" t="n"/>
      <c r="BH373" s="41" t="n"/>
      <c r="BI373" s="41" t="n"/>
      <c r="BJ373" s="41" t="n"/>
      <c r="BK373" s="41" t="n"/>
      <c r="BL373" s="41" t="n"/>
      <c r="BM373" s="41" t="n"/>
      <c r="BN373" s="41" t="n"/>
    </row>
    <row r="374" ht="18" customHeight="1" s="82">
      <c r="A374" s="36" t="n"/>
      <c r="B374" s="36" t="n"/>
      <c r="C374" s="36" t="n"/>
      <c r="D374" s="36" t="n"/>
      <c r="E374" s="37" t="n"/>
      <c r="F374" s="37" t="n"/>
      <c r="G374" s="37" t="n"/>
      <c r="H374" s="37" t="n"/>
      <c r="I374" s="37" t="n"/>
      <c r="J374" s="37" t="n"/>
      <c r="K374" s="37" t="n"/>
      <c r="L374" s="37" t="n"/>
      <c r="M374" s="37" t="n"/>
      <c r="N374" s="37" t="n"/>
      <c r="O374" s="37" t="n"/>
      <c r="P374" s="37" t="n"/>
      <c r="Q374" s="37" t="n"/>
      <c r="R374" s="37" t="n"/>
      <c r="S374" s="37" t="n"/>
      <c r="T374" s="37" t="n"/>
      <c r="U374" s="37" t="n"/>
      <c r="V374" s="37" t="n"/>
      <c r="W374" s="32" t="n"/>
      <c r="X374" s="37" t="n"/>
      <c r="Y374" s="37" t="n"/>
      <c r="Z374" s="37" t="n"/>
      <c r="AA374" s="37" t="n"/>
      <c r="AB374" s="37" t="n"/>
      <c r="AC374" s="37" t="n"/>
      <c r="AD374" s="32" t="n"/>
      <c r="AE374" s="37" t="n"/>
      <c r="AF374" s="38" t="n"/>
      <c r="AG374" s="67">
        <f>IF(OR(AF374="",AE374=""),"",IFERROR(AF374*INDEX(FXRates[USD per unit],MATCH(AE374,FXRates[Currency],0)),"No rate"))</f>
        <v/>
      </c>
      <c r="AH374" s="36" t="n"/>
      <c r="AI374" s="36" t="n"/>
      <c r="AJ374" s="39">
        <f>IF(A374="","",IF(COUNTIF($A$6:$A$504,A374)&gt;1,"⚠ Duplicate",""))</f>
        <v/>
      </c>
      <c r="AK374" s="38" t="n"/>
      <c r="AL374" s="40" t="n"/>
      <c r="AM374" s="40" t="n"/>
      <c r="AN374" s="40" t="n"/>
      <c r="AO374" s="40" t="n"/>
      <c r="AP374" s="40" t="n"/>
      <c r="AQ374" s="40" t="n"/>
      <c r="AR374" s="40" t="n"/>
      <c r="AS374" s="40" t="n"/>
      <c r="AT374" s="40" t="n"/>
      <c r="AU374" s="40" t="n"/>
      <c r="AV374" s="40" t="n"/>
      <c r="AW374" s="40" t="n"/>
      <c r="AX374" s="40" t="n"/>
      <c r="AY374" s="40" t="n"/>
      <c r="AZ374" s="38" t="n"/>
      <c r="BA374" s="40" t="n"/>
      <c r="BB374" s="40" t="n"/>
      <c r="BC374" s="40" t="n"/>
      <c r="BD374" s="40" t="n"/>
      <c r="BE374" s="40" t="n"/>
      <c r="BF374" s="40" t="n"/>
      <c r="BG374" s="40" t="n"/>
      <c r="BH374" s="40" t="n"/>
      <c r="BI374" s="40" t="n"/>
      <c r="BJ374" s="40" t="n"/>
      <c r="BK374" s="40" t="n"/>
      <c r="BL374" s="40" t="n"/>
      <c r="BM374" s="40" t="n"/>
      <c r="BN374" s="40" t="n"/>
    </row>
    <row r="375" ht="18" customHeight="1" s="82">
      <c r="A375" s="30" t="n"/>
      <c r="B375" s="30" t="n"/>
      <c r="C375" s="30" t="n"/>
      <c r="D375" s="30" t="n"/>
      <c r="E375" s="31" t="n"/>
      <c r="F375" s="31" t="n"/>
      <c r="G375" s="31" t="n"/>
      <c r="H375" s="31" t="n"/>
      <c r="I375" s="31" t="n"/>
      <c r="J375" s="31" t="n"/>
      <c r="K375" s="31" t="n"/>
      <c r="L375" s="31" t="n"/>
      <c r="M375" s="31" t="n"/>
      <c r="N375" s="31" t="n"/>
      <c r="O375" s="31" t="n"/>
      <c r="P375" s="31" t="n"/>
      <c r="Q375" s="31" t="n"/>
      <c r="R375" s="31" t="n"/>
      <c r="S375" s="31" t="n"/>
      <c r="T375" s="31" t="n"/>
      <c r="U375" s="31" t="n"/>
      <c r="V375" s="31" t="n"/>
      <c r="W375" s="32" t="n"/>
      <c r="X375" s="31" t="n"/>
      <c r="Y375" s="31" t="n"/>
      <c r="Z375" s="31" t="n"/>
      <c r="AA375" s="31" t="n"/>
      <c r="AB375" s="31" t="n"/>
      <c r="AC375" s="31" t="n"/>
      <c r="AD375" s="32" t="n"/>
      <c r="AE375" s="31" t="n"/>
      <c r="AF375" s="33" t="n"/>
      <c r="AG375" s="66">
        <f>IF(OR(AF375="",AE375=""),"",IFERROR(AF375*INDEX(FXRates[USD per unit],MATCH(AE375,FXRates[Currency],0)),"No rate"))</f>
        <v/>
      </c>
      <c r="AH375" s="30" t="n"/>
      <c r="AI375" s="30" t="n"/>
      <c r="AJ375" s="34">
        <f>IF(A375="","",IF(COUNTIF($A$6:$A$504,A375)&gt;1,"⚠ Duplicate",""))</f>
        <v/>
      </c>
      <c r="AK375" s="33" t="n"/>
      <c r="AL375" s="41" t="n"/>
      <c r="AM375" s="41" t="n"/>
      <c r="AN375" s="41" t="n"/>
      <c r="AO375" s="41" t="n"/>
      <c r="AP375" s="41" t="n"/>
      <c r="AQ375" s="41" t="n"/>
      <c r="AR375" s="41" t="n"/>
      <c r="AS375" s="41" t="n"/>
      <c r="AT375" s="41" t="n"/>
      <c r="AU375" s="41" t="n"/>
      <c r="AV375" s="41" t="n"/>
      <c r="AW375" s="41" t="n"/>
      <c r="AX375" s="41" t="n"/>
      <c r="AY375" s="41" t="n"/>
      <c r="AZ375" s="33" t="n"/>
      <c r="BA375" s="41" t="n"/>
      <c r="BB375" s="41" t="n"/>
      <c r="BC375" s="41" t="n"/>
      <c r="BD375" s="41" t="n"/>
      <c r="BE375" s="41" t="n"/>
      <c r="BF375" s="41" t="n"/>
      <c r="BG375" s="41" t="n"/>
      <c r="BH375" s="41" t="n"/>
      <c r="BI375" s="41" t="n"/>
      <c r="BJ375" s="41" t="n"/>
      <c r="BK375" s="41" t="n"/>
      <c r="BL375" s="41" t="n"/>
      <c r="BM375" s="41" t="n"/>
      <c r="BN375" s="41" t="n"/>
    </row>
    <row r="376" ht="18" customHeight="1" s="82">
      <c r="A376" s="36" t="n"/>
      <c r="B376" s="36" t="n"/>
      <c r="C376" s="36" t="n"/>
      <c r="D376" s="36" t="n"/>
      <c r="E376" s="37" t="n"/>
      <c r="F376" s="37" t="n"/>
      <c r="G376" s="37" t="n"/>
      <c r="H376" s="37" t="n"/>
      <c r="I376" s="37" t="n"/>
      <c r="J376" s="37" t="n"/>
      <c r="K376" s="37" t="n"/>
      <c r="L376" s="37" t="n"/>
      <c r="M376" s="37" t="n"/>
      <c r="N376" s="37" t="n"/>
      <c r="O376" s="37" t="n"/>
      <c r="P376" s="37" t="n"/>
      <c r="Q376" s="37" t="n"/>
      <c r="R376" s="37" t="n"/>
      <c r="S376" s="37" t="n"/>
      <c r="T376" s="37" t="n"/>
      <c r="U376" s="37" t="n"/>
      <c r="V376" s="37" t="n"/>
      <c r="W376" s="32" t="n"/>
      <c r="X376" s="37" t="n"/>
      <c r="Y376" s="37" t="n"/>
      <c r="Z376" s="37" t="n"/>
      <c r="AA376" s="37" t="n"/>
      <c r="AB376" s="37" t="n"/>
      <c r="AC376" s="37" t="n"/>
      <c r="AD376" s="32" t="n"/>
      <c r="AE376" s="37" t="n"/>
      <c r="AF376" s="38" t="n"/>
      <c r="AG376" s="67">
        <f>IF(OR(AF376="",AE376=""),"",IFERROR(AF376*INDEX(FXRates[USD per unit],MATCH(AE376,FXRates[Currency],0)),"No rate"))</f>
        <v/>
      </c>
      <c r="AH376" s="36" t="n"/>
      <c r="AI376" s="36" t="n"/>
      <c r="AJ376" s="39">
        <f>IF(A376="","",IF(COUNTIF($A$6:$A$504,A376)&gt;1,"⚠ Duplicate",""))</f>
        <v/>
      </c>
      <c r="AK376" s="38" t="n"/>
      <c r="AL376" s="40" t="n"/>
      <c r="AM376" s="40" t="n"/>
      <c r="AN376" s="40" t="n"/>
      <c r="AO376" s="40" t="n"/>
      <c r="AP376" s="40" t="n"/>
      <c r="AQ376" s="40" t="n"/>
      <c r="AR376" s="40" t="n"/>
      <c r="AS376" s="40" t="n"/>
      <c r="AT376" s="40" t="n"/>
      <c r="AU376" s="40" t="n"/>
      <c r="AV376" s="40" t="n"/>
      <c r="AW376" s="40" t="n"/>
      <c r="AX376" s="40" t="n"/>
      <c r="AY376" s="40" t="n"/>
      <c r="AZ376" s="38" t="n"/>
      <c r="BA376" s="40" t="n"/>
      <c r="BB376" s="40" t="n"/>
      <c r="BC376" s="40" t="n"/>
      <c r="BD376" s="40" t="n"/>
      <c r="BE376" s="40" t="n"/>
      <c r="BF376" s="40" t="n"/>
      <c r="BG376" s="40" t="n"/>
      <c r="BH376" s="40" t="n"/>
      <c r="BI376" s="40" t="n"/>
      <c r="BJ376" s="40" t="n"/>
      <c r="BK376" s="40" t="n"/>
      <c r="BL376" s="40" t="n"/>
      <c r="BM376" s="40" t="n"/>
      <c r="BN376" s="40" t="n"/>
    </row>
    <row r="377" ht="18" customHeight="1" s="82">
      <c r="A377" s="30" t="n"/>
      <c r="B377" s="30" t="n"/>
      <c r="C377" s="30" t="n"/>
      <c r="D377" s="30" t="n"/>
      <c r="E377" s="31" t="n"/>
      <c r="F377" s="31" t="n"/>
      <c r="G377" s="31" t="n"/>
      <c r="H377" s="31" t="n"/>
      <c r="I377" s="31" t="n"/>
      <c r="J377" s="31" t="n"/>
      <c r="K377" s="31" t="n"/>
      <c r="L377" s="31" t="n"/>
      <c r="M377" s="31" t="n"/>
      <c r="N377" s="31" t="n"/>
      <c r="O377" s="31" t="n"/>
      <c r="P377" s="31" t="n"/>
      <c r="Q377" s="31" t="n"/>
      <c r="R377" s="31" t="n"/>
      <c r="S377" s="31" t="n"/>
      <c r="T377" s="31" t="n"/>
      <c r="U377" s="31" t="n"/>
      <c r="V377" s="31" t="n"/>
      <c r="W377" s="32" t="n"/>
      <c r="X377" s="31" t="n"/>
      <c r="Y377" s="31" t="n"/>
      <c r="Z377" s="31" t="n"/>
      <c r="AA377" s="31" t="n"/>
      <c r="AB377" s="31" t="n"/>
      <c r="AC377" s="31" t="n"/>
      <c r="AD377" s="32" t="n"/>
      <c r="AE377" s="31" t="n"/>
      <c r="AF377" s="33" t="n"/>
      <c r="AG377" s="66">
        <f>IF(OR(AF377="",AE377=""),"",IFERROR(AF377*INDEX(FXRates[USD per unit],MATCH(AE377,FXRates[Currency],0)),"No rate"))</f>
        <v/>
      </c>
      <c r="AH377" s="30" t="n"/>
      <c r="AI377" s="30" t="n"/>
      <c r="AJ377" s="34">
        <f>IF(A377="","",IF(COUNTIF($A$6:$A$504,A377)&gt;1,"⚠ Duplicate",""))</f>
        <v/>
      </c>
      <c r="AK377" s="33" t="n"/>
      <c r="AL377" s="41" t="n"/>
      <c r="AM377" s="41" t="n"/>
      <c r="AN377" s="41" t="n"/>
      <c r="AO377" s="41" t="n"/>
      <c r="AP377" s="41" t="n"/>
      <c r="AQ377" s="41" t="n"/>
      <c r="AR377" s="41" t="n"/>
      <c r="AS377" s="41" t="n"/>
      <c r="AT377" s="41" t="n"/>
      <c r="AU377" s="41" t="n"/>
      <c r="AV377" s="41" t="n"/>
      <c r="AW377" s="41" t="n"/>
      <c r="AX377" s="41" t="n"/>
      <c r="AY377" s="41" t="n"/>
      <c r="AZ377" s="33" t="n"/>
      <c r="BA377" s="41" t="n"/>
      <c r="BB377" s="41" t="n"/>
      <c r="BC377" s="41" t="n"/>
      <c r="BD377" s="41" t="n"/>
      <c r="BE377" s="41" t="n"/>
      <c r="BF377" s="41" t="n"/>
      <c r="BG377" s="41" t="n"/>
      <c r="BH377" s="41" t="n"/>
      <c r="BI377" s="41" t="n"/>
      <c r="BJ377" s="41" t="n"/>
      <c r="BK377" s="41" t="n"/>
      <c r="BL377" s="41" t="n"/>
      <c r="BM377" s="41" t="n"/>
      <c r="BN377" s="41" t="n"/>
    </row>
    <row r="378" ht="18" customHeight="1" s="82">
      <c r="A378" s="36" t="n"/>
      <c r="B378" s="36" t="n"/>
      <c r="C378" s="36" t="n"/>
      <c r="D378" s="36" t="n"/>
      <c r="E378" s="37" t="n"/>
      <c r="F378" s="37" t="n"/>
      <c r="G378" s="37" t="n"/>
      <c r="H378" s="37" t="n"/>
      <c r="I378" s="37" t="n"/>
      <c r="J378" s="37" t="n"/>
      <c r="K378" s="37" t="n"/>
      <c r="L378" s="37" t="n"/>
      <c r="M378" s="37" t="n"/>
      <c r="N378" s="37" t="n"/>
      <c r="O378" s="37" t="n"/>
      <c r="P378" s="37" t="n"/>
      <c r="Q378" s="37" t="n"/>
      <c r="R378" s="37" t="n"/>
      <c r="S378" s="37" t="n"/>
      <c r="T378" s="37" t="n"/>
      <c r="U378" s="37" t="n"/>
      <c r="V378" s="37" t="n"/>
      <c r="W378" s="32" t="n"/>
      <c r="X378" s="37" t="n"/>
      <c r="Y378" s="37" t="n"/>
      <c r="Z378" s="37" t="n"/>
      <c r="AA378" s="37" t="n"/>
      <c r="AB378" s="37" t="n"/>
      <c r="AC378" s="37" t="n"/>
      <c r="AD378" s="32" t="n"/>
      <c r="AE378" s="37" t="n"/>
      <c r="AF378" s="38" t="n"/>
      <c r="AG378" s="67">
        <f>IF(OR(AF378="",AE378=""),"",IFERROR(AF378*INDEX(FXRates[USD per unit],MATCH(AE378,FXRates[Currency],0)),"No rate"))</f>
        <v/>
      </c>
      <c r="AH378" s="36" t="n"/>
      <c r="AI378" s="36" t="n"/>
      <c r="AJ378" s="39">
        <f>IF(A378="","",IF(COUNTIF($A$6:$A$504,A378)&gt;1,"⚠ Duplicate",""))</f>
        <v/>
      </c>
      <c r="AK378" s="38" t="n"/>
      <c r="AL378" s="40" t="n"/>
      <c r="AM378" s="40" t="n"/>
      <c r="AN378" s="40" t="n"/>
      <c r="AO378" s="40" t="n"/>
      <c r="AP378" s="40" t="n"/>
      <c r="AQ378" s="40" t="n"/>
      <c r="AR378" s="40" t="n"/>
      <c r="AS378" s="40" t="n"/>
      <c r="AT378" s="40" t="n"/>
      <c r="AU378" s="40" t="n"/>
      <c r="AV378" s="40" t="n"/>
      <c r="AW378" s="40" t="n"/>
      <c r="AX378" s="40" t="n"/>
      <c r="AY378" s="40" t="n"/>
      <c r="AZ378" s="38" t="n"/>
      <c r="BA378" s="40" t="n"/>
      <c r="BB378" s="40" t="n"/>
      <c r="BC378" s="40" t="n"/>
      <c r="BD378" s="40" t="n"/>
      <c r="BE378" s="40" t="n"/>
      <c r="BF378" s="40" t="n"/>
      <c r="BG378" s="40" t="n"/>
      <c r="BH378" s="40" t="n"/>
      <c r="BI378" s="40" t="n"/>
      <c r="BJ378" s="40" t="n"/>
      <c r="BK378" s="40" t="n"/>
      <c r="BL378" s="40" t="n"/>
      <c r="BM378" s="40" t="n"/>
      <c r="BN378" s="40" t="n"/>
    </row>
    <row r="379" ht="18" customHeight="1" s="82">
      <c r="A379" s="30" t="n"/>
      <c r="B379" s="30" t="n"/>
      <c r="C379" s="30" t="n"/>
      <c r="D379" s="30" t="n"/>
      <c r="E379" s="31" t="n"/>
      <c r="F379" s="31" t="n"/>
      <c r="G379" s="31" t="n"/>
      <c r="H379" s="31" t="n"/>
      <c r="I379" s="31" t="n"/>
      <c r="J379" s="31" t="n"/>
      <c r="K379" s="31" t="n"/>
      <c r="L379" s="31" t="n"/>
      <c r="M379" s="31" t="n"/>
      <c r="N379" s="31" t="n"/>
      <c r="O379" s="31" t="n"/>
      <c r="P379" s="31" t="n"/>
      <c r="Q379" s="31" t="n"/>
      <c r="R379" s="31" t="n"/>
      <c r="S379" s="31" t="n"/>
      <c r="T379" s="31" t="n"/>
      <c r="U379" s="31" t="n"/>
      <c r="V379" s="31" t="n"/>
      <c r="W379" s="32" t="n"/>
      <c r="X379" s="31" t="n"/>
      <c r="Y379" s="31" t="n"/>
      <c r="Z379" s="31" t="n"/>
      <c r="AA379" s="31" t="n"/>
      <c r="AB379" s="31" t="n"/>
      <c r="AC379" s="31" t="n"/>
      <c r="AD379" s="32" t="n"/>
      <c r="AE379" s="31" t="n"/>
      <c r="AF379" s="33" t="n"/>
      <c r="AG379" s="66">
        <f>IF(OR(AF379="",AE379=""),"",IFERROR(AF379*INDEX(FXRates[USD per unit],MATCH(AE379,FXRates[Currency],0)),"No rate"))</f>
        <v/>
      </c>
      <c r="AH379" s="30" t="n"/>
      <c r="AI379" s="30" t="n"/>
      <c r="AJ379" s="34">
        <f>IF(A379="","",IF(COUNTIF($A$6:$A$504,A379)&gt;1,"⚠ Duplicate",""))</f>
        <v/>
      </c>
      <c r="AK379" s="33" t="n"/>
      <c r="AL379" s="41" t="n"/>
      <c r="AM379" s="41" t="n"/>
      <c r="AN379" s="41" t="n"/>
      <c r="AO379" s="41" t="n"/>
      <c r="AP379" s="41" t="n"/>
      <c r="AQ379" s="41" t="n"/>
      <c r="AR379" s="41" t="n"/>
      <c r="AS379" s="41" t="n"/>
      <c r="AT379" s="41" t="n"/>
      <c r="AU379" s="41" t="n"/>
      <c r="AV379" s="41" t="n"/>
      <c r="AW379" s="41" t="n"/>
      <c r="AX379" s="41" t="n"/>
      <c r="AY379" s="41" t="n"/>
      <c r="AZ379" s="33" t="n"/>
      <c r="BA379" s="41" t="n"/>
      <c r="BB379" s="41" t="n"/>
      <c r="BC379" s="41" t="n"/>
      <c r="BD379" s="41" t="n"/>
      <c r="BE379" s="41" t="n"/>
      <c r="BF379" s="41" t="n"/>
      <c r="BG379" s="41" t="n"/>
      <c r="BH379" s="41" t="n"/>
      <c r="BI379" s="41" t="n"/>
      <c r="BJ379" s="41" t="n"/>
      <c r="BK379" s="41" t="n"/>
      <c r="BL379" s="41" t="n"/>
      <c r="BM379" s="41" t="n"/>
      <c r="BN379" s="41" t="n"/>
    </row>
    <row r="380" ht="18" customHeight="1" s="82">
      <c r="A380" s="36" t="n"/>
      <c r="B380" s="36" t="n"/>
      <c r="C380" s="36" t="n"/>
      <c r="D380" s="36" t="n"/>
      <c r="E380" s="37" t="n"/>
      <c r="F380" s="37" t="n"/>
      <c r="G380" s="37" t="n"/>
      <c r="H380" s="37" t="n"/>
      <c r="I380" s="37" t="n"/>
      <c r="J380" s="37" t="n"/>
      <c r="K380" s="37" t="n"/>
      <c r="L380" s="37" t="n"/>
      <c r="M380" s="37" t="n"/>
      <c r="N380" s="37" t="n"/>
      <c r="O380" s="37" t="n"/>
      <c r="P380" s="37" t="n"/>
      <c r="Q380" s="37" t="n"/>
      <c r="R380" s="37" t="n"/>
      <c r="S380" s="37" t="n"/>
      <c r="T380" s="37" t="n"/>
      <c r="U380" s="37" t="n"/>
      <c r="V380" s="37" t="n"/>
      <c r="W380" s="32" t="n"/>
      <c r="X380" s="37" t="n"/>
      <c r="Y380" s="37" t="n"/>
      <c r="Z380" s="37" t="n"/>
      <c r="AA380" s="37" t="n"/>
      <c r="AB380" s="37" t="n"/>
      <c r="AC380" s="37" t="n"/>
      <c r="AD380" s="32" t="n"/>
      <c r="AE380" s="37" t="n"/>
      <c r="AF380" s="38" t="n"/>
      <c r="AG380" s="67">
        <f>IF(OR(AF380="",AE380=""),"",IFERROR(AF380*INDEX(FXRates[USD per unit],MATCH(AE380,FXRates[Currency],0)),"No rate"))</f>
        <v/>
      </c>
      <c r="AH380" s="36" t="n"/>
      <c r="AI380" s="36" t="n"/>
      <c r="AJ380" s="39">
        <f>IF(A380="","",IF(COUNTIF($A$6:$A$504,A380)&gt;1,"⚠ Duplicate",""))</f>
        <v/>
      </c>
      <c r="AK380" s="38" t="n"/>
      <c r="AL380" s="40" t="n"/>
      <c r="AM380" s="40" t="n"/>
      <c r="AN380" s="40" t="n"/>
      <c r="AO380" s="40" t="n"/>
      <c r="AP380" s="40" t="n"/>
      <c r="AQ380" s="40" t="n"/>
      <c r="AR380" s="40" t="n"/>
      <c r="AS380" s="40" t="n"/>
      <c r="AT380" s="40" t="n"/>
      <c r="AU380" s="40" t="n"/>
      <c r="AV380" s="40" t="n"/>
      <c r="AW380" s="40" t="n"/>
      <c r="AX380" s="40" t="n"/>
      <c r="AY380" s="40" t="n"/>
      <c r="AZ380" s="38" t="n"/>
      <c r="BA380" s="40" t="n"/>
      <c r="BB380" s="40" t="n"/>
      <c r="BC380" s="40" t="n"/>
      <c r="BD380" s="40" t="n"/>
      <c r="BE380" s="40" t="n"/>
      <c r="BF380" s="40" t="n"/>
      <c r="BG380" s="40" t="n"/>
      <c r="BH380" s="40" t="n"/>
      <c r="BI380" s="40" t="n"/>
      <c r="BJ380" s="40" t="n"/>
      <c r="BK380" s="40" t="n"/>
      <c r="BL380" s="40" t="n"/>
      <c r="BM380" s="40" t="n"/>
      <c r="BN380" s="40" t="n"/>
    </row>
    <row r="381" ht="18" customHeight="1" s="82">
      <c r="A381" s="30" t="n"/>
      <c r="B381" s="30" t="n"/>
      <c r="C381" s="30" t="n"/>
      <c r="D381" s="30" t="n"/>
      <c r="E381" s="31" t="n"/>
      <c r="F381" s="31" t="n"/>
      <c r="G381" s="31" t="n"/>
      <c r="H381" s="31" t="n"/>
      <c r="I381" s="31" t="n"/>
      <c r="J381" s="31" t="n"/>
      <c r="K381" s="31" t="n"/>
      <c r="L381" s="31" t="n"/>
      <c r="M381" s="31" t="n"/>
      <c r="N381" s="31" t="n"/>
      <c r="O381" s="31" t="n"/>
      <c r="P381" s="31" t="n"/>
      <c r="Q381" s="31" t="n"/>
      <c r="R381" s="31" t="n"/>
      <c r="S381" s="31" t="n"/>
      <c r="T381" s="31" t="n"/>
      <c r="U381" s="31" t="n"/>
      <c r="V381" s="31" t="n"/>
      <c r="W381" s="32" t="n"/>
      <c r="X381" s="31" t="n"/>
      <c r="Y381" s="31" t="n"/>
      <c r="Z381" s="31" t="n"/>
      <c r="AA381" s="31" t="n"/>
      <c r="AB381" s="31" t="n"/>
      <c r="AC381" s="31" t="n"/>
      <c r="AD381" s="32" t="n"/>
      <c r="AE381" s="31" t="n"/>
      <c r="AF381" s="33" t="n"/>
      <c r="AG381" s="66">
        <f>IF(OR(AF381="",AE381=""),"",IFERROR(AF381*INDEX(FXRates[USD per unit],MATCH(AE381,FXRates[Currency],0)),"No rate"))</f>
        <v/>
      </c>
      <c r="AH381" s="30" t="n"/>
      <c r="AI381" s="30" t="n"/>
      <c r="AJ381" s="34">
        <f>IF(A381="","",IF(COUNTIF($A$6:$A$504,A381)&gt;1,"⚠ Duplicate",""))</f>
        <v/>
      </c>
      <c r="AK381" s="33" t="n"/>
      <c r="AL381" s="41" t="n"/>
      <c r="AM381" s="41" t="n"/>
      <c r="AN381" s="41" t="n"/>
      <c r="AO381" s="41" t="n"/>
      <c r="AP381" s="41" t="n"/>
      <c r="AQ381" s="41" t="n"/>
      <c r="AR381" s="41" t="n"/>
      <c r="AS381" s="41" t="n"/>
      <c r="AT381" s="41" t="n"/>
      <c r="AU381" s="41" t="n"/>
      <c r="AV381" s="41" t="n"/>
      <c r="AW381" s="41" t="n"/>
      <c r="AX381" s="41" t="n"/>
      <c r="AY381" s="41" t="n"/>
      <c r="AZ381" s="33" t="n"/>
      <c r="BA381" s="41" t="n"/>
      <c r="BB381" s="41" t="n"/>
      <c r="BC381" s="41" t="n"/>
      <c r="BD381" s="41" t="n"/>
      <c r="BE381" s="41" t="n"/>
      <c r="BF381" s="41" t="n"/>
      <c r="BG381" s="41" t="n"/>
      <c r="BH381" s="41" t="n"/>
      <c r="BI381" s="41" t="n"/>
      <c r="BJ381" s="41" t="n"/>
      <c r="BK381" s="41" t="n"/>
      <c r="BL381" s="41" t="n"/>
      <c r="BM381" s="41" t="n"/>
      <c r="BN381" s="41" t="n"/>
    </row>
    <row r="382" ht="18" customHeight="1" s="82">
      <c r="A382" s="36" t="n"/>
      <c r="B382" s="36" t="n"/>
      <c r="C382" s="36" t="n"/>
      <c r="D382" s="36" t="n"/>
      <c r="E382" s="37" t="n"/>
      <c r="F382" s="37" t="n"/>
      <c r="G382" s="37" t="n"/>
      <c r="H382" s="37" t="n"/>
      <c r="I382" s="37" t="n"/>
      <c r="J382" s="37" t="n"/>
      <c r="K382" s="37" t="n"/>
      <c r="L382" s="37" t="n"/>
      <c r="M382" s="37" t="n"/>
      <c r="N382" s="37" t="n"/>
      <c r="O382" s="37" t="n"/>
      <c r="P382" s="37" t="n"/>
      <c r="Q382" s="37" t="n"/>
      <c r="R382" s="37" t="n"/>
      <c r="S382" s="37" t="n"/>
      <c r="T382" s="37" t="n"/>
      <c r="U382" s="37" t="n"/>
      <c r="V382" s="37" t="n"/>
      <c r="W382" s="32" t="n"/>
      <c r="X382" s="37" t="n"/>
      <c r="Y382" s="37" t="n"/>
      <c r="Z382" s="37" t="n"/>
      <c r="AA382" s="37" t="n"/>
      <c r="AB382" s="37" t="n"/>
      <c r="AC382" s="37" t="n"/>
      <c r="AD382" s="32" t="n"/>
      <c r="AE382" s="37" t="n"/>
      <c r="AF382" s="38" t="n"/>
      <c r="AG382" s="67">
        <f>IF(OR(AF382="",AE382=""),"",IFERROR(AF382*INDEX(FXRates[USD per unit],MATCH(AE382,FXRates[Currency],0)),"No rate"))</f>
        <v/>
      </c>
      <c r="AH382" s="36" t="n"/>
      <c r="AI382" s="36" t="n"/>
      <c r="AJ382" s="39">
        <f>IF(A382="","",IF(COUNTIF($A$6:$A$504,A382)&gt;1,"⚠ Duplicate",""))</f>
        <v/>
      </c>
      <c r="AK382" s="38" t="n"/>
      <c r="AL382" s="40" t="n"/>
      <c r="AM382" s="40" t="n"/>
      <c r="AN382" s="40" t="n"/>
      <c r="AO382" s="40" t="n"/>
      <c r="AP382" s="40" t="n"/>
      <c r="AQ382" s="40" t="n"/>
      <c r="AR382" s="40" t="n"/>
      <c r="AS382" s="40" t="n"/>
      <c r="AT382" s="40" t="n"/>
      <c r="AU382" s="40" t="n"/>
      <c r="AV382" s="40" t="n"/>
      <c r="AW382" s="40" t="n"/>
      <c r="AX382" s="40" t="n"/>
      <c r="AY382" s="40" t="n"/>
      <c r="AZ382" s="38" t="n"/>
      <c r="BA382" s="40" t="n"/>
      <c r="BB382" s="40" t="n"/>
      <c r="BC382" s="40" t="n"/>
      <c r="BD382" s="40" t="n"/>
      <c r="BE382" s="40" t="n"/>
      <c r="BF382" s="40" t="n"/>
      <c r="BG382" s="40" t="n"/>
      <c r="BH382" s="40" t="n"/>
      <c r="BI382" s="40" t="n"/>
      <c r="BJ382" s="40" t="n"/>
      <c r="BK382" s="40" t="n"/>
      <c r="BL382" s="40" t="n"/>
      <c r="BM382" s="40" t="n"/>
      <c r="BN382" s="40" t="n"/>
    </row>
    <row r="383" ht="18" customHeight="1" s="82">
      <c r="A383" s="30" t="n"/>
      <c r="B383" s="30" t="n"/>
      <c r="C383" s="30" t="n"/>
      <c r="D383" s="30" t="n"/>
      <c r="E383" s="31" t="n"/>
      <c r="F383" s="31" t="n"/>
      <c r="G383" s="31" t="n"/>
      <c r="H383" s="31" t="n"/>
      <c r="I383" s="31" t="n"/>
      <c r="J383" s="31" t="n"/>
      <c r="K383" s="31" t="n"/>
      <c r="L383" s="31" t="n"/>
      <c r="M383" s="31" t="n"/>
      <c r="N383" s="31" t="n"/>
      <c r="O383" s="31" t="n"/>
      <c r="P383" s="31" t="n"/>
      <c r="Q383" s="31" t="n"/>
      <c r="R383" s="31" t="n"/>
      <c r="S383" s="31" t="n"/>
      <c r="T383" s="31" t="n"/>
      <c r="U383" s="31" t="n"/>
      <c r="V383" s="31" t="n"/>
      <c r="W383" s="32" t="n"/>
      <c r="X383" s="31" t="n"/>
      <c r="Y383" s="31" t="n"/>
      <c r="Z383" s="31" t="n"/>
      <c r="AA383" s="31" t="n"/>
      <c r="AB383" s="31" t="n"/>
      <c r="AC383" s="31" t="n"/>
      <c r="AD383" s="32" t="n"/>
      <c r="AE383" s="31" t="n"/>
      <c r="AF383" s="33" t="n"/>
      <c r="AG383" s="66">
        <f>IF(OR(AF383="",AE383=""),"",IFERROR(AF383*INDEX(FXRates[USD per unit],MATCH(AE383,FXRates[Currency],0)),"No rate"))</f>
        <v/>
      </c>
      <c r="AH383" s="30" t="n"/>
      <c r="AI383" s="30" t="n"/>
      <c r="AJ383" s="34">
        <f>IF(A383="","",IF(COUNTIF($A$6:$A$504,A383)&gt;1,"⚠ Duplicate",""))</f>
        <v/>
      </c>
      <c r="AK383" s="33" t="n"/>
      <c r="AL383" s="41" t="n"/>
      <c r="AM383" s="41" t="n"/>
      <c r="AN383" s="41" t="n"/>
      <c r="AO383" s="41" t="n"/>
      <c r="AP383" s="41" t="n"/>
      <c r="AQ383" s="41" t="n"/>
      <c r="AR383" s="41" t="n"/>
      <c r="AS383" s="41" t="n"/>
      <c r="AT383" s="41" t="n"/>
      <c r="AU383" s="41" t="n"/>
      <c r="AV383" s="41" t="n"/>
      <c r="AW383" s="41" t="n"/>
      <c r="AX383" s="41" t="n"/>
      <c r="AY383" s="41" t="n"/>
      <c r="AZ383" s="33" t="n"/>
      <c r="BA383" s="41" t="n"/>
      <c r="BB383" s="41" t="n"/>
      <c r="BC383" s="41" t="n"/>
      <c r="BD383" s="41" t="n"/>
      <c r="BE383" s="41" t="n"/>
      <c r="BF383" s="41" t="n"/>
      <c r="BG383" s="41" t="n"/>
      <c r="BH383" s="41" t="n"/>
      <c r="BI383" s="41" t="n"/>
      <c r="BJ383" s="41" t="n"/>
      <c r="BK383" s="41" t="n"/>
      <c r="BL383" s="41" t="n"/>
      <c r="BM383" s="41" t="n"/>
      <c r="BN383" s="41" t="n"/>
    </row>
    <row r="384" ht="18" customHeight="1" s="82">
      <c r="A384" s="36" t="n"/>
      <c r="B384" s="36" t="n"/>
      <c r="C384" s="36" t="n"/>
      <c r="D384" s="36" t="n"/>
      <c r="E384" s="37" t="n"/>
      <c r="F384" s="37" t="n"/>
      <c r="G384" s="37" t="n"/>
      <c r="H384" s="37" t="n"/>
      <c r="I384" s="37" t="n"/>
      <c r="J384" s="37" t="n"/>
      <c r="K384" s="37" t="n"/>
      <c r="L384" s="37" t="n"/>
      <c r="M384" s="37" t="n"/>
      <c r="N384" s="37" t="n"/>
      <c r="O384" s="37" t="n"/>
      <c r="P384" s="37" t="n"/>
      <c r="Q384" s="37" t="n"/>
      <c r="R384" s="37" t="n"/>
      <c r="S384" s="37" t="n"/>
      <c r="T384" s="37" t="n"/>
      <c r="U384" s="37" t="n"/>
      <c r="V384" s="37" t="n"/>
      <c r="W384" s="32" t="n"/>
      <c r="X384" s="37" t="n"/>
      <c r="Y384" s="37" t="n"/>
      <c r="Z384" s="37" t="n"/>
      <c r="AA384" s="37" t="n"/>
      <c r="AB384" s="37" t="n"/>
      <c r="AC384" s="37" t="n"/>
      <c r="AD384" s="32" t="n"/>
      <c r="AE384" s="37" t="n"/>
      <c r="AF384" s="38" t="n"/>
      <c r="AG384" s="67">
        <f>IF(OR(AF384="",AE384=""),"",IFERROR(AF384*INDEX(FXRates[USD per unit],MATCH(AE384,FXRates[Currency],0)),"No rate"))</f>
        <v/>
      </c>
      <c r="AH384" s="36" t="n"/>
      <c r="AI384" s="36" t="n"/>
      <c r="AJ384" s="39">
        <f>IF(A384="","",IF(COUNTIF($A$6:$A$504,A384)&gt;1,"⚠ Duplicate",""))</f>
        <v/>
      </c>
      <c r="AK384" s="38" t="n"/>
      <c r="AL384" s="40" t="n"/>
      <c r="AM384" s="40" t="n"/>
      <c r="AN384" s="40" t="n"/>
      <c r="AO384" s="40" t="n"/>
      <c r="AP384" s="40" t="n"/>
      <c r="AQ384" s="40" t="n"/>
      <c r="AR384" s="40" t="n"/>
      <c r="AS384" s="40" t="n"/>
      <c r="AT384" s="40" t="n"/>
      <c r="AU384" s="40" t="n"/>
      <c r="AV384" s="40" t="n"/>
      <c r="AW384" s="40" t="n"/>
      <c r="AX384" s="40" t="n"/>
      <c r="AY384" s="40" t="n"/>
      <c r="AZ384" s="38" t="n"/>
      <c r="BA384" s="40" t="n"/>
      <c r="BB384" s="40" t="n"/>
      <c r="BC384" s="40" t="n"/>
      <c r="BD384" s="40" t="n"/>
      <c r="BE384" s="40" t="n"/>
      <c r="BF384" s="40" t="n"/>
      <c r="BG384" s="40" t="n"/>
      <c r="BH384" s="40" t="n"/>
      <c r="BI384" s="40" t="n"/>
      <c r="BJ384" s="40" t="n"/>
      <c r="BK384" s="40" t="n"/>
      <c r="BL384" s="40" t="n"/>
      <c r="BM384" s="40" t="n"/>
      <c r="BN384" s="40" t="n"/>
    </row>
    <row r="385" ht="18" customHeight="1" s="82">
      <c r="A385" s="30" t="n"/>
      <c r="B385" s="30" t="n"/>
      <c r="C385" s="30" t="n"/>
      <c r="D385" s="30" t="n"/>
      <c r="E385" s="31" t="n"/>
      <c r="F385" s="31" t="n"/>
      <c r="G385" s="31" t="n"/>
      <c r="H385" s="31" t="n"/>
      <c r="I385" s="31" t="n"/>
      <c r="J385" s="31" t="n"/>
      <c r="K385" s="31" t="n"/>
      <c r="L385" s="31" t="n"/>
      <c r="M385" s="31" t="n"/>
      <c r="N385" s="31" t="n"/>
      <c r="O385" s="31" t="n"/>
      <c r="P385" s="31" t="n"/>
      <c r="Q385" s="31" t="n"/>
      <c r="R385" s="31" t="n"/>
      <c r="S385" s="31" t="n"/>
      <c r="T385" s="31" t="n"/>
      <c r="U385" s="31" t="n"/>
      <c r="V385" s="31" t="n"/>
      <c r="W385" s="32" t="n"/>
      <c r="X385" s="31" t="n"/>
      <c r="Y385" s="31" t="n"/>
      <c r="Z385" s="31" t="n"/>
      <c r="AA385" s="31" t="n"/>
      <c r="AB385" s="31" t="n"/>
      <c r="AC385" s="31" t="n"/>
      <c r="AD385" s="32" t="n"/>
      <c r="AE385" s="31" t="n"/>
      <c r="AF385" s="33" t="n"/>
      <c r="AG385" s="66">
        <f>IF(OR(AF385="",AE385=""),"",IFERROR(AF385*INDEX(FXRates[USD per unit],MATCH(AE385,FXRates[Currency],0)),"No rate"))</f>
        <v/>
      </c>
      <c r="AH385" s="30" t="n"/>
      <c r="AI385" s="30" t="n"/>
      <c r="AJ385" s="34">
        <f>IF(A385="","",IF(COUNTIF($A$6:$A$504,A385)&gt;1,"⚠ Duplicate",""))</f>
        <v/>
      </c>
      <c r="AK385" s="33" t="n"/>
      <c r="AL385" s="41" t="n"/>
      <c r="AM385" s="41" t="n"/>
      <c r="AN385" s="41" t="n"/>
      <c r="AO385" s="41" t="n"/>
      <c r="AP385" s="41" t="n"/>
      <c r="AQ385" s="41" t="n"/>
      <c r="AR385" s="41" t="n"/>
      <c r="AS385" s="41" t="n"/>
      <c r="AT385" s="41" t="n"/>
      <c r="AU385" s="41" t="n"/>
      <c r="AV385" s="41" t="n"/>
      <c r="AW385" s="41" t="n"/>
      <c r="AX385" s="41" t="n"/>
      <c r="AY385" s="41" t="n"/>
      <c r="AZ385" s="33" t="n"/>
      <c r="BA385" s="41" t="n"/>
      <c r="BB385" s="41" t="n"/>
      <c r="BC385" s="41" t="n"/>
      <c r="BD385" s="41" t="n"/>
      <c r="BE385" s="41" t="n"/>
      <c r="BF385" s="41" t="n"/>
      <c r="BG385" s="41" t="n"/>
      <c r="BH385" s="41" t="n"/>
      <c r="BI385" s="41" t="n"/>
      <c r="BJ385" s="41" t="n"/>
      <c r="BK385" s="41" t="n"/>
      <c r="BL385" s="41" t="n"/>
      <c r="BM385" s="41" t="n"/>
      <c r="BN385" s="41" t="n"/>
    </row>
    <row r="386" ht="18" customHeight="1" s="82">
      <c r="A386" s="36" t="n"/>
      <c r="B386" s="36" t="n"/>
      <c r="C386" s="36" t="n"/>
      <c r="D386" s="36" t="n"/>
      <c r="E386" s="37" t="n"/>
      <c r="F386" s="37" t="n"/>
      <c r="G386" s="37" t="n"/>
      <c r="H386" s="37" t="n"/>
      <c r="I386" s="37" t="n"/>
      <c r="J386" s="37" t="n"/>
      <c r="K386" s="37" t="n"/>
      <c r="L386" s="37" t="n"/>
      <c r="M386" s="37" t="n"/>
      <c r="N386" s="37" t="n"/>
      <c r="O386" s="37" t="n"/>
      <c r="P386" s="37" t="n"/>
      <c r="Q386" s="37" t="n"/>
      <c r="R386" s="37" t="n"/>
      <c r="S386" s="37" t="n"/>
      <c r="T386" s="37" t="n"/>
      <c r="U386" s="37" t="n"/>
      <c r="V386" s="37" t="n"/>
      <c r="W386" s="32" t="n"/>
      <c r="X386" s="37" t="n"/>
      <c r="Y386" s="37" t="n"/>
      <c r="Z386" s="37" t="n"/>
      <c r="AA386" s="37" t="n"/>
      <c r="AB386" s="37" t="n"/>
      <c r="AC386" s="37" t="n"/>
      <c r="AD386" s="32" t="n"/>
      <c r="AE386" s="37" t="n"/>
      <c r="AF386" s="38" t="n"/>
      <c r="AG386" s="67">
        <f>IF(OR(AF386="",AE386=""),"",IFERROR(AF386*INDEX(FXRates[USD per unit],MATCH(AE386,FXRates[Currency],0)),"No rate"))</f>
        <v/>
      </c>
      <c r="AH386" s="36" t="n"/>
      <c r="AI386" s="36" t="n"/>
      <c r="AJ386" s="39">
        <f>IF(A386="","",IF(COUNTIF($A$6:$A$504,A386)&gt;1,"⚠ Duplicate",""))</f>
        <v/>
      </c>
      <c r="AK386" s="38" t="n"/>
      <c r="AL386" s="40" t="n"/>
      <c r="AM386" s="40" t="n"/>
      <c r="AN386" s="40" t="n"/>
      <c r="AO386" s="40" t="n"/>
      <c r="AP386" s="40" t="n"/>
      <c r="AQ386" s="40" t="n"/>
      <c r="AR386" s="40" t="n"/>
      <c r="AS386" s="40" t="n"/>
      <c r="AT386" s="40" t="n"/>
      <c r="AU386" s="40" t="n"/>
      <c r="AV386" s="40" t="n"/>
      <c r="AW386" s="40" t="n"/>
      <c r="AX386" s="40" t="n"/>
      <c r="AY386" s="40" t="n"/>
      <c r="AZ386" s="38" t="n"/>
      <c r="BA386" s="40" t="n"/>
      <c r="BB386" s="40" t="n"/>
      <c r="BC386" s="40" t="n"/>
      <c r="BD386" s="40" t="n"/>
      <c r="BE386" s="40" t="n"/>
      <c r="BF386" s="40" t="n"/>
      <c r="BG386" s="40" t="n"/>
      <c r="BH386" s="40" t="n"/>
      <c r="BI386" s="40" t="n"/>
      <c r="BJ386" s="40" t="n"/>
      <c r="BK386" s="40" t="n"/>
      <c r="BL386" s="40" t="n"/>
      <c r="BM386" s="40" t="n"/>
      <c r="BN386" s="40" t="n"/>
    </row>
    <row r="387" ht="18" customHeight="1" s="82">
      <c r="A387" s="30" t="n"/>
      <c r="B387" s="30" t="n"/>
      <c r="C387" s="30" t="n"/>
      <c r="D387" s="30" t="n"/>
      <c r="E387" s="31" t="n"/>
      <c r="F387" s="31" t="n"/>
      <c r="G387" s="31" t="n"/>
      <c r="H387" s="31" t="n"/>
      <c r="I387" s="31" t="n"/>
      <c r="J387" s="31" t="n"/>
      <c r="K387" s="31" t="n"/>
      <c r="L387" s="31" t="n"/>
      <c r="M387" s="31" t="n"/>
      <c r="N387" s="31" t="n"/>
      <c r="O387" s="31" t="n"/>
      <c r="P387" s="31" t="n"/>
      <c r="Q387" s="31" t="n"/>
      <c r="R387" s="31" t="n"/>
      <c r="S387" s="31" t="n"/>
      <c r="T387" s="31" t="n"/>
      <c r="U387" s="31" t="n"/>
      <c r="V387" s="31" t="n"/>
      <c r="W387" s="32" t="n"/>
      <c r="X387" s="31" t="n"/>
      <c r="Y387" s="31" t="n"/>
      <c r="Z387" s="31" t="n"/>
      <c r="AA387" s="31" t="n"/>
      <c r="AB387" s="31" t="n"/>
      <c r="AC387" s="31" t="n"/>
      <c r="AD387" s="32" t="n"/>
      <c r="AE387" s="31" t="n"/>
      <c r="AF387" s="33" t="n"/>
      <c r="AG387" s="66">
        <f>IF(OR(AF387="",AE387=""),"",IFERROR(AF387*INDEX(FXRates[USD per unit],MATCH(AE387,FXRates[Currency],0)),"No rate"))</f>
        <v/>
      </c>
      <c r="AH387" s="30" t="n"/>
      <c r="AI387" s="30" t="n"/>
      <c r="AJ387" s="34">
        <f>IF(A387="","",IF(COUNTIF($A$6:$A$504,A387)&gt;1,"⚠ Duplicate",""))</f>
        <v/>
      </c>
      <c r="AK387" s="33" t="n"/>
      <c r="AL387" s="41" t="n"/>
      <c r="AM387" s="41" t="n"/>
      <c r="AN387" s="41" t="n"/>
      <c r="AO387" s="41" t="n"/>
      <c r="AP387" s="41" t="n"/>
      <c r="AQ387" s="41" t="n"/>
      <c r="AR387" s="41" t="n"/>
      <c r="AS387" s="41" t="n"/>
      <c r="AT387" s="41" t="n"/>
      <c r="AU387" s="41" t="n"/>
      <c r="AV387" s="41" t="n"/>
      <c r="AW387" s="41" t="n"/>
      <c r="AX387" s="41" t="n"/>
      <c r="AY387" s="41" t="n"/>
      <c r="AZ387" s="33" t="n"/>
      <c r="BA387" s="41" t="n"/>
      <c r="BB387" s="41" t="n"/>
      <c r="BC387" s="41" t="n"/>
      <c r="BD387" s="41" t="n"/>
      <c r="BE387" s="41" t="n"/>
      <c r="BF387" s="41" t="n"/>
      <c r="BG387" s="41" t="n"/>
      <c r="BH387" s="41" t="n"/>
      <c r="BI387" s="41" t="n"/>
      <c r="BJ387" s="41" t="n"/>
      <c r="BK387" s="41" t="n"/>
      <c r="BL387" s="41" t="n"/>
      <c r="BM387" s="41" t="n"/>
      <c r="BN387" s="41" t="n"/>
    </row>
    <row r="388" ht="18" customHeight="1" s="82">
      <c r="A388" s="36" t="n"/>
      <c r="B388" s="36" t="n"/>
      <c r="C388" s="36" t="n"/>
      <c r="D388" s="36" t="n"/>
      <c r="E388" s="37" t="n"/>
      <c r="F388" s="37" t="n"/>
      <c r="G388" s="37" t="n"/>
      <c r="H388" s="37" t="n"/>
      <c r="I388" s="37" t="n"/>
      <c r="J388" s="37" t="n"/>
      <c r="K388" s="37" t="n"/>
      <c r="L388" s="37" t="n"/>
      <c r="M388" s="37" t="n"/>
      <c r="N388" s="37" t="n"/>
      <c r="O388" s="37" t="n"/>
      <c r="P388" s="37" t="n"/>
      <c r="Q388" s="37" t="n"/>
      <c r="R388" s="37" t="n"/>
      <c r="S388" s="37" t="n"/>
      <c r="T388" s="37" t="n"/>
      <c r="U388" s="37" t="n"/>
      <c r="V388" s="37" t="n"/>
      <c r="W388" s="32" t="n"/>
      <c r="X388" s="37" t="n"/>
      <c r="Y388" s="37" t="n"/>
      <c r="Z388" s="37" t="n"/>
      <c r="AA388" s="37" t="n"/>
      <c r="AB388" s="37" t="n"/>
      <c r="AC388" s="37" t="n"/>
      <c r="AD388" s="32" t="n"/>
      <c r="AE388" s="37" t="n"/>
      <c r="AF388" s="38" t="n"/>
      <c r="AG388" s="67">
        <f>IF(OR(AF388="",AE388=""),"",IFERROR(AF388*INDEX(FXRates[USD per unit],MATCH(AE388,FXRates[Currency],0)),"No rate"))</f>
        <v/>
      </c>
      <c r="AH388" s="36" t="n"/>
      <c r="AI388" s="36" t="n"/>
      <c r="AJ388" s="39">
        <f>IF(A388="","",IF(COUNTIF($A$6:$A$504,A388)&gt;1,"⚠ Duplicate",""))</f>
        <v/>
      </c>
      <c r="AK388" s="38" t="n"/>
      <c r="AL388" s="40" t="n"/>
      <c r="AM388" s="40" t="n"/>
      <c r="AN388" s="40" t="n"/>
      <c r="AO388" s="40" t="n"/>
      <c r="AP388" s="40" t="n"/>
      <c r="AQ388" s="40" t="n"/>
      <c r="AR388" s="40" t="n"/>
      <c r="AS388" s="40" t="n"/>
      <c r="AT388" s="40" t="n"/>
      <c r="AU388" s="40" t="n"/>
      <c r="AV388" s="40" t="n"/>
      <c r="AW388" s="40" t="n"/>
      <c r="AX388" s="40" t="n"/>
      <c r="AY388" s="40" t="n"/>
      <c r="AZ388" s="38" t="n"/>
      <c r="BA388" s="40" t="n"/>
      <c r="BB388" s="40" t="n"/>
      <c r="BC388" s="40" t="n"/>
      <c r="BD388" s="40" t="n"/>
      <c r="BE388" s="40" t="n"/>
      <c r="BF388" s="40" t="n"/>
      <c r="BG388" s="40" t="n"/>
      <c r="BH388" s="40" t="n"/>
      <c r="BI388" s="40" t="n"/>
      <c r="BJ388" s="40" t="n"/>
      <c r="BK388" s="40" t="n"/>
      <c r="BL388" s="40" t="n"/>
      <c r="BM388" s="40" t="n"/>
      <c r="BN388" s="40" t="n"/>
    </row>
    <row r="389" ht="18" customHeight="1" s="82">
      <c r="A389" s="30" t="n"/>
      <c r="B389" s="30" t="n"/>
      <c r="C389" s="30" t="n"/>
      <c r="D389" s="30" t="n"/>
      <c r="E389" s="31" t="n"/>
      <c r="F389" s="31" t="n"/>
      <c r="G389" s="31" t="n"/>
      <c r="H389" s="31" t="n"/>
      <c r="I389" s="31" t="n"/>
      <c r="J389" s="31" t="n"/>
      <c r="K389" s="31" t="n"/>
      <c r="L389" s="31" t="n"/>
      <c r="M389" s="31" t="n"/>
      <c r="N389" s="31" t="n"/>
      <c r="O389" s="31" t="n"/>
      <c r="P389" s="31" t="n"/>
      <c r="Q389" s="31" t="n"/>
      <c r="R389" s="31" t="n"/>
      <c r="S389" s="31" t="n"/>
      <c r="T389" s="31" t="n"/>
      <c r="U389" s="31" t="n"/>
      <c r="V389" s="31" t="n"/>
      <c r="W389" s="32" t="n"/>
      <c r="X389" s="31" t="n"/>
      <c r="Y389" s="31" t="n"/>
      <c r="Z389" s="31" t="n"/>
      <c r="AA389" s="31" t="n"/>
      <c r="AB389" s="31" t="n"/>
      <c r="AC389" s="31" t="n"/>
      <c r="AD389" s="32" t="n"/>
      <c r="AE389" s="31" t="n"/>
      <c r="AF389" s="33" t="n"/>
      <c r="AG389" s="66">
        <f>IF(OR(AF389="",AE389=""),"",IFERROR(AF389*INDEX(FXRates[USD per unit],MATCH(AE389,FXRates[Currency],0)),"No rate"))</f>
        <v/>
      </c>
      <c r="AH389" s="30" t="n"/>
      <c r="AI389" s="30" t="n"/>
      <c r="AJ389" s="34">
        <f>IF(A389="","",IF(COUNTIF($A$6:$A$504,A389)&gt;1,"⚠ Duplicate",""))</f>
        <v/>
      </c>
      <c r="AK389" s="33" t="n"/>
      <c r="AL389" s="41" t="n"/>
      <c r="AM389" s="41" t="n"/>
      <c r="AN389" s="41" t="n"/>
      <c r="AO389" s="41" t="n"/>
      <c r="AP389" s="41" t="n"/>
      <c r="AQ389" s="41" t="n"/>
      <c r="AR389" s="41" t="n"/>
      <c r="AS389" s="41" t="n"/>
      <c r="AT389" s="41" t="n"/>
      <c r="AU389" s="41" t="n"/>
      <c r="AV389" s="41" t="n"/>
      <c r="AW389" s="41" t="n"/>
      <c r="AX389" s="41" t="n"/>
      <c r="AY389" s="41" t="n"/>
      <c r="AZ389" s="33" t="n"/>
      <c r="BA389" s="41" t="n"/>
      <c r="BB389" s="41" t="n"/>
      <c r="BC389" s="41" t="n"/>
      <c r="BD389" s="41" t="n"/>
      <c r="BE389" s="41" t="n"/>
      <c r="BF389" s="41" t="n"/>
      <c r="BG389" s="41" t="n"/>
      <c r="BH389" s="41" t="n"/>
      <c r="BI389" s="41" t="n"/>
      <c r="BJ389" s="41" t="n"/>
      <c r="BK389" s="41" t="n"/>
      <c r="BL389" s="41" t="n"/>
      <c r="BM389" s="41" t="n"/>
      <c r="BN389" s="41" t="n"/>
    </row>
    <row r="390" ht="18" customHeight="1" s="82">
      <c r="A390" s="36" t="n"/>
      <c r="B390" s="36" t="n"/>
      <c r="C390" s="36" t="n"/>
      <c r="D390" s="36" t="n"/>
      <c r="E390" s="37" t="n"/>
      <c r="F390" s="37" t="n"/>
      <c r="G390" s="37" t="n"/>
      <c r="H390" s="37" t="n"/>
      <c r="I390" s="37" t="n"/>
      <c r="J390" s="37" t="n"/>
      <c r="K390" s="37" t="n"/>
      <c r="L390" s="37" t="n"/>
      <c r="M390" s="37" t="n"/>
      <c r="N390" s="37" t="n"/>
      <c r="O390" s="37" t="n"/>
      <c r="P390" s="37" t="n"/>
      <c r="Q390" s="37" t="n"/>
      <c r="R390" s="37" t="n"/>
      <c r="S390" s="37" t="n"/>
      <c r="T390" s="37" t="n"/>
      <c r="U390" s="37" t="n"/>
      <c r="V390" s="37" t="n"/>
      <c r="W390" s="32" t="n"/>
      <c r="X390" s="37" t="n"/>
      <c r="Y390" s="37" t="n"/>
      <c r="Z390" s="37" t="n"/>
      <c r="AA390" s="37" t="n"/>
      <c r="AB390" s="37" t="n"/>
      <c r="AC390" s="37" t="n"/>
      <c r="AD390" s="32" t="n"/>
      <c r="AE390" s="37" t="n"/>
      <c r="AF390" s="38" t="n"/>
      <c r="AG390" s="67">
        <f>IF(OR(AF390="",AE390=""),"",IFERROR(AF390*INDEX(FXRates[USD per unit],MATCH(AE390,FXRates[Currency],0)),"No rate"))</f>
        <v/>
      </c>
      <c r="AH390" s="36" t="n"/>
      <c r="AI390" s="36" t="n"/>
      <c r="AJ390" s="39">
        <f>IF(A390="","",IF(COUNTIF($A$6:$A$504,A390)&gt;1,"⚠ Duplicate",""))</f>
        <v/>
      </c>
      <c r="AK390" s="38" t="n"/>
      <c r="AL390" s="40" t="n"/>
      <c r="AM390" s="40" t="n"/>
      <c r="AN390" s="40" t="n"/>
      <c r="AO390" s="40" t="n"/>
      <c r="AP390" s="40" t="n"/>
      <c r="AQ390" s="40" t="n"/>
      <c r="AR390" s="40" t="n"/>
      <c r="AS390" s="40" t="n"/>
      <c r="AT390" s="40" t="n"/>
      <c r="AU390" s="40" t="n"/>
      <c r="AV390" s="40" t="n"/>
      <c r="AW390" s="40" t="n"/>
      <c r="AX390" s="40" t="n"/>
      <c r="AY390" s="40" t="n"/>
      <c r="AZ390" s="38" t="n"/>
      <c r="BA390" s="40" t="n"/>
      <c r="BB390" s="40" t="n"/>
      <c r="BC390" s="40" t="n"/>
      <c r="BD390" s="40" t="n"/>
      <c r="BE390" s="40" t="n"/>
      <c r="BF390" s="40" t="n"/>
      <c r="BG390" s="40" t="n"/>
      <c r="BH390" s="40" t="n"/>
      <c r="BI390" s="40" t="n"/>
      <c r="BJ390" s="40" t="n"/>
      <c r="BK390" s="40" t="n"/>
      <c r="BL390" s="40" t="n"/>
      <c r="BM390" s="40" t="n"/>
      <c r="BN390" s="40" t="n"/>
    </row>
    <row r="391" ht="18" customHeight="1" s="82">
      <c r="A391" s="30" t="n"/>
      <c r="B391" s="30" t="n"/>
      <c r="C391" s="30" t="n"/>
      <c r="D391" s="30" t="n"/>
      <c r="E391" s="31" t="n"/>
      <c r="F391" s="31" t="n"/>
      <c r="G391" s="31" t="n"/>
      <c r="H391" s="31" t="n"/>
      <c r="I391" s="31" t="n"/>
      <c r="J391" s="31" t="n"/>
      <c r="K391" s="31" t="n"/>
      <c r="L391" s="31" t="n"/>
      <c r="M391" s="31" t="n"/>
      <c r="N391" s="31" t="n"/>
      <c r="O391" s="31" t="n"/>
      <c r="P391" s="31" t="n"/>
      <c r="Q391" s="31" t="n"/>
      <c r="R391" s="31" t="n"/>
      <c r="S391" s="31" t="n"/>
      <c r="T391" s="31" t="n"/>
      <c r="U391" s="31" t="n"/>
      <c r="V391" s="31" t="n"/>
      <c r="W391" s="32" t="n"/>
      <c r="X391" s="31" t="n"/>
      <c r="Y391" s="31" t="n"/>
      <c r="Z391" s="31" t="n"/>
      <c r="AA391" s="31" t="n"/>
      <c r="AB391" s="31" t="n"/>
      <c r="AC391" s="31" t="n"/>
      <c r="AD391" s="32" t="n"/>
      <c r="AE391" s="31" t="n"/>
      <c r="AF391" s="33" t="n"/>
      <c r="AG391" s="66">
        <f>IF(OR(AF391="",AE391=""),"",IFERROR(AF391*INDEX(FXRates[USD per unit],MATCH(AE391,FXRates[Currency],0)),"No rate"))</f>
        <v/>
      </c>
      <c r="AH391" s="30" t="n"/>
      <c r="AI391" s="30" t="n"/>
      <c r="AJ391" s="34">
        <f>IF(A391="","",IF(COUNTIF($A$6:$A$504,A391)&gt;1,"⚠ Duplicate",""))</f>
        <v/>
      </c>
      <c r="AK391" s="33" t="n"/>
      <c r="AL391" s="41" t="n"/>
      <c r="AM391" s="41" t="n"/>
      <c r="AN391" s="41" t="n"/>
      <c r="AO391" s="41" t="n"/>
      <c r="AP391" s="41" t="n"/>
      <c r="AQ391" s="41" t="n"/>
      <c r="AR391" s="41" t="n"/>
      <c r="AS391" s="41" t="n"/>
      <c r="AT391" s="41" t="n"/>
      <c r="AU391" s="41" t="n"/>
      <c r="AV391" s="41" t="n"/>
      <c r="AW391" s="41" t="n"/>
      <c r="AX391" s="41" t="n"/>
      <c r="AY391" s="41" t="n"/>
      <c r="AZ391" s="33" t="n"/>
      <c r="BA391" s="41" t="n"/>
      <c r="BB391" s="41" t="n"/>
      <c r="BC391" s="41" t="n"/>
      <c r="BD391" s="41" t="n"/>
      <c r="BE391" s="41" t="n"/>
      <c r="BF391" s="41" t="n"/>
      <c r="BG391" s="41" t="n"/>
      <c r="BH391" s="41" t="n"/>
      <c r="BI391" s="41" t="n"/>
      <c r="BJ391" s="41" t="n"/>
      <c r="BK391" s="41" t="n"/>
      <c r="BL391" s="41" t="n"/>
      <c r="BM391" s="41" t="n"/>
      <c r="BN391" s="41" t="n"/>
    </row>
    <row r="392" ht="18" customHeight="1" s="82">
      <c r="A392" s="36" t="n"/>
      <c r="B392" s="36" t="n"/>
      <c r="C392" s="36" t="n"/>
      <c r="D392" s="36" t="n"/>
      <c r="E392" s="37" t="n"/>
      <c r="F392" s="37" t="n"/>
      <c r="G392" s="37" t="n"/>
      <c r="H392" s="37" t="n"/>
      <c r="I392" s="37" t="n"/>
      <c r="J392" s="37" t="n"/>
      <c r="K392" s="37" t="n"/>
      <c r="L392" s="37" t="n"/>
      <c r="M392" s="37" t="n"/>
      <c r="N392" s="37" t="n"/>
      <c r="O392" s="37" t="n"/>
      <c r="P392" s="37" t="n"/>
      <c r="Q392" s="37" t="n"/>
      <c r="R392" s="37" t="n"/>
      <c r="S392" s="37" t="n"/>
      <c r="T392" s="37" t="n"/>
      <c r="U392" s="37" t="n"/>
      <c r="V392" s="37" t="n"/>
      <c r="W392" s="32" t="n"/>
      <c r="X392" s="37" t="n"/>
      <c r="Y392" s="37" t="n"/>
      <c r="Z392" s="37" t="n"/>
      <c r="AA392" s="37" t="n"/>
      <c r="AB392" s="37" t="n"/>
      <c r="AC392" s="37" t="n"/>
      <c r="AD392" s="32" t="n"/>
      <c r="AE392" s="37" t="n"/>
      <c r="AF392" s="38" t="n"/>
      <c r="AG392" s="67">
        <f>IF(OR(AF392="",AE392=""),"",IFERROR(AF392*INDEX(FXRates[USD per unit],MATCH(AE392,FXRates[Currency],0)),"No rate"))</f>
        <v/>
      </c>
      <c r="AH392" s="36" t="n"/>
      <c r="AI392" s="36" t="n"/>
      <c r="AJ392" s="39">
        <f>IF(A392="","",IF(COUNTIF($A$6:$A$504,A392)&gt;1,"⚠ Duplicate",""))</f>
        <v/>
      </c>
      <c r="AK392" s="38" t="n"/>
      <c r="AL392" s="40" t="n"/>
      <c r="AM392" s="40" t="n"/>
      <c r="AN392" s="40" t="n"/>
      <c r="AO392" s="40" t="n"/>
      <c r="AP392" s="40" t="n"/>
      <c r="AQ392" s="40" t="n"/>
      <c r="AR392" s="40" t="n"/>
      <c r="AS392" s="40" t="n"/>
      <c r="AT392" s="40" t="n"/>
      <c r="AU392" s="40" t="n"/>
      <c r="AV392" s="40" t="n"/>
      <c r="AW392" s="40" t="n"/>
      <c r="AX392" s="40" t="n"/>
      <c r="AY392" s="40" t="n"/>
      <c r="AZ392" s="38" t="n"/>
      <c r="BA392" s="40" t="n"/>
      <c r="BB392" s="40" t="n"/>
      <c r="BC392" s="40" t="n"/>
      <c r="BD392" s="40" t="n"/>
      <c r="BE392" s="40" t="n"/>
      <c r="BF392" s="40" t="n"/>
      <c r="BG392" s="40" t="n"/>
      <c r="BH392" s="40" t="n"/>
      <c r="BI392" s="40" t="n"/>
      <c r="BJ392" s="40" t="n"/>
      <c r="BK392" s="40" t="n"/>
      <c r="BL392" s="40" t="n"/>
      <c r="BM392" s="40" t="n"/>
      <c r="BN392" s="40" t="n"/>
    </row>
    <row r="393" ht="18" customHeight="1" s="82">
      <c r="A393" s="30" t="n"/>
      <c r="B393" s="30" t="n"/>
      <c r="C393" s="30" t="n"/>
      <c r="D393" s="30" t="n"/>
      <c r="E393" s="31" t="n"/>
      <c r="F393" s="31" t="n"/>
      <c r="G393" s="31" t="n"/>
      <c r="H393" s="31" t="n"/>
      <c r="I393" s="31" t="n"/>
      <c r="J393" s="31" t="n"/>
      <c r="K393" s="31" t="n"/>
      <c r="L393" s="31" t="n"/>
      <c r="M393" s="31" t="n"/>
      <c r="N393" s="31" t="n"/>
      <c r="O393" s="31" t="n"/>
      <c r="P393" s="31" t="n"/>
      <c r="Q393" s="31" t="n"/>
      <c r="R393" s="31" t="n"/>
      <c r="S393" s="31" t="n"/>
      <c r="T393" s="31" t="n"/>
      <c r="U393" s="31" t="n"/>
      <c r="V393" s="31" t="n"/>
      <c r="W393" s="32" t="n"/>
      <c r="X393" s="31" t="n"/>
      <c r="Y393" s="31" t="n"/>
      <c r="Z393" s="31" t="n"/>
      <c r="AA393" s="31" t="n"/>
      <c r="AB393" s="31" t="n"/>
      <c r="AC393" s="31" t="n"/>
      <c r="AD393" s="32" t="n"/>
      <c r="AE393" s="31" t="n"/>
      <c r="AF393" s="33" t="n"/>
      <c r="AG393" s="66">
        <f>IF(OR(AF393="",AE393=""),"",IFERROR(AF393*INDEX(FXRates[USD per unit],MATCH(AE393,FXRates[Currency],0)),"No rate"))</f>
        <v/>
      </c>
      <c r="AH393" s="30" t="n"/>
      <c r="AI393" s="30" t="n"/>
      <c r="AJ393" s="34">
        <f>IF(A393="","",IF(COUNTIF($A$6:$A$504,A393)&gt;1,"⚠ Duplicate",""))</f>
        <v/>
      </c>
      <c r="AK393" s="33" t="n"/>
      <c r="AL393" s="41" t="n"/>
      <c r="AM393" s="41" t="n"/>
      <c r="AN393" s="41" t="n"/>
      <c r="AO393" s="41" t="n"/>
      <c r="AP393" s="41" t="n"/>
      <c r="AQ393" s="41" t="n"/>
      <c r="AR393" s="41" t="n"/>
      <c r="AS393" s="41" t="n"/>
      <c r="AT393" s="41" t="n"/>
      <c r="AU393" s="41" t="n"/>
      <c r="AV393" s="41" t="n"/>
      <c r="AW393" s="41" t="n"/>
      <c r="AX393" s="41" t="n"/>
      <c r="AY393" s="41" t="n"/>
      <c r="AZ393" s="33" t="n"/>
      <c r="BA393" s="41" t="n"/>
      <c r="BB393" s="41" t="n"/>
      <c r="BC393" s="41" t="n"/>
      <c r="BD393" s="41" t="n"/>
      <c r="BE393" s="41" t="n"/>
      <c r="BF393" s="41" t="n"/>
      <c r="BG393" s="41" t="n"/>
      <c r="BH393" s="41" t="n"/>
      <c r="BI393" s="41" t="n"/>
      <c r="BJ393" s="41" t="n"/>
      <c r="BK393" s="41" t="n"/>
      <c r="BL393" s="41" t="n"/>
      <c r="BM393" s="41" t="n"/>
      <c r="BN393" s="41" t="n"/>
    </row>
    <row r="394" ht="18" customHeight="1" s="82">
      <c r="A394" s="36" t="n"/>
      <c r="B394" s="36" t="n"/>
      <c r="C394" s="36" t="n"/>
      <c r="D394" s="36" t="n"/>
      <c r="E394" s="37" t="n"/>
      <c r="F394" s="37" t="n"/>
      <c r="G394" s="37" t="n"/>
      <c r="H394" s="37" t="n"/>
      <c r="I394" s="37" t="n"/>
      <c r="J394" s="37" t="n"/>
      <c r="K394" s="37" t="n"/>
      <c r="L394" s="37" t="n"/>
      <c r="M394" s="37" t="n"/>
      <c r="N394" s="37" t="n"/>
      <c r="O394" s="37" t="n"/>
      <c r="P394" s="37" t="n"/>
      <c r="Q394" s="37" t="n"/>
      <c r="R394" s="37" t="n"/>
      <c r="S394" s="37" t="n"/>
      <c r="T394" s="37" t="n"/>
      <c r="U394" s="37" t="n"/>
      <c r="V394" s="37" t="n"/>
      <c r="W394" s="32" t="n"/>
      <c r="X394" s="37" t="n"/>
      <c r="Y394" s="37" t="n"/>
      <c r="Z394" s="37" t="n"/>
      <c r="AA394" s="37" t="n"/>
      <c r="AB394" s="37" t="n"/>
      <c r="AC394" s="37" t="n"/>
      <c r="AD394" s="32" t="n"/>
      <c r="AE394" s="37" t="n"/>
      <c r="AF394" s="38" t="n"/>
      <c r="AG394" s="67">
        <f>IF(OR(AF394="",AE394=""),"",IFERROR(AF394*INDEX(FXRates[USD per unit],MATCH(AE394,FXRates[Currency],0)),"No rate"))</f>
        <v/>
      </c>
      <c r="AH394" s="36" t="n"/>
      <c r="AI394" s="36" t="n"/>
      <c r="AJ394" s="39">
        <f>IF(A394="","",IF(COUNTIF($A$6:$A$504,A394)&gt;1,"⚠ Duplicate",""))</f>
        <v/>
      </c>
      <c r="AK394" s="38" t="n"/>
      <c r="AL394" s="40" t="n"/>
      <c r="AM394" s="40" t="n"/>
      <c r="AN394" s="40" t="n"/>
      <c r="AO394" s="40" t="n"/>
      <c r="AP394" s="40" t="n"/>
      <c r="AQ394" s="40" t="n"/>
      <c r="AR394" s="40" t="n"/>
      <c r="AS394" s="40" t="n"/>
      <c r="AT394" s="40" t="n"/>
      <c r="AU394" s="40" t="n"/>
      <c r="AV394" s="40" t="n"/>
      <c r="AW394" s="40" t="n"/>
      <c r="AX394" s="40" t="n"/>
      <c r="AY394" s="40" t="n"/>
      <c r="AZ394" s="38" t="n"/>
      <c r="BA394" s="40" t="n"/>
      <c r="BB394" s="40" t="n"/>
      <c r="BC394" s="40" t="n"/>
      <c r="BD394" s="40" t="n"/>
      <c r="BE394" s="40" t="n"/>
      <c r="BF394" s="40" t="n"/>
      <c r="BG394" s="40" t="n"/>
      <c r="BH394" s="40" t="n"/>
      <c r="BI394" s="40" t="n"/>
      <c r="BJ394" s="40" t="n"/>
      <c r="BK394" s="40" t="n"/>
      <c r="BL394" s="40" t="n"/>
      <c r="BM394" s="40" t="n"/>
      <c r="BN394" s="40" t="n"/>
    </row>
    <row r="395" ht="18" customHeight="1" s="82">
      <c r="A395" s="30" t="n"/>
      <c r="B395" s="30" t="n"/>
      <c r="C395" s="30" t="n"/>
      <c r="D395" s="30" t="n"/>
      <c r="E395" s="31" t="n"/>
      <c r="F395" s="31" t="n"/>
      <c r="G395" s="31" t="n"/>
      <c r="H395" s="31" t="n"/>
      <c r="I395" s="31" t="n"/>
      <c r="J395" s="31" t="n"/>
      <c r="K395" s="31" t="n"/>
      <c r="L395" s="31" t="n"/>
      <c r="M395" s="31" t="n"/>
      <c r="N395" s="31" t="n"/>
      <c r="O395" s="31" t="n"/>
      <c r="P395" s="31" t="n"/>
      <c r="Q395" s="31" t="n"/>
      <c r="R395" s="31" t="n"/>
      <c r="S395" s="31" t="n"/>
      <c r="T395" s="31" t="n"/>
      <c r="U395" s="31" t="n"/>
      <c r="V395" s="31" t="n"/>
      <c r="W395" s="32" t="n"/>
      <c r="X395" s="31" t="n"/>
      <c r="Y395" s="31" t="n"/>
      <c r="Z395" s="31" t="n"/>
      <c r="AA395" s="31" t="n"/>
      <c r="AB395" s="31" t="n"/>
      <c r="AC395" s="31" t="n"/>
      <c r="AD395" s="32" t="n"/>
      <c r="AE395" s="31" t="n"/>
      <c r="AF395" s="33" t="n"/>
      <c r="AG395" s="66">
        <f>IF(OR(AF395="",AE395=""),"",IFERROR(AF395*INDEX(FXRates[USD per unit],MATCH(AE395,FXRates[Currency],0)),"No rate"))</f>
        <v/>
      </c>
      <c r="AH395" s="30" t="n"/>
      <c r="AI395" s="30" t="n"/>
      <c r="AJ395" s="34">
        <f>IF(A395="","",IF(COUNTIF($A$6:$A$504,A395)&gt;1,"⚠ Duplicate",""))</f>
        <v/>
      </c>
      <c r="AK395" s="33" t="n"/>
      <c r="AL395" s="41" t="n"/>
      <c r="AM395" s="41" t="n"/>
      <c r="AN395" s="41" t="n"/>
      <c r="AO395" s="41" t="n"/>
      <c r="AP395" s="41" t="n"/>
      <c r="AQ395" s="41" t="n"/>
      <c r="AR395" s="41" t="n"/>
      <c r="AS395" s="41" t="n"/>
      <c r="AT395" s="41" t="n"/>
      <c r="AU395" s="41" t="n"/>
      <c r="AV395" s="41" t="n"/>
      <c r="AW395" s="41" t="n"/>
      <c r="AX395" s="41" t="n"/>
      <c r="AY395" s="41" t="n"/>
      <c r="AZ395" s="33" t="n"/>
      <c r="BA395" s="41" t="n"/>
      <c r="BB395" s="41" t="n"/>
      <c r="BC395" s="41" t="n"/>
      <c r="BD395" s="41" t="n"/>
      <c r="BE395" s="41" t="n"/>
      <c r="BF395" s="41" t="n"/>
      <c r="BG395" s="41" t="n"/>
      <c r="BH395" s="41" t="n"/>
      <c r="BI395" s="41" t="n"/>
      <c r="BJ395" s="41" t="n"/>
      <c r="BK395" s="41" t="n"/>
      <c r="BL395" s="41" t="n"/>
      <c r="BM395" s="41" t="n"/>
      <c r="BN395" s="41" t="n"/>
    </row>
    <row r="396" ht="18" customHeight="1" s="82">
      <c r="A396" s="36" t="n"/>
      <c r="B396" s="36" t="n"/>
      <c r="C396" s="36" t="n"/>
      <c r="D396" s="36" t="n"/>
      <c r="E396" s="37" t="n"/>
      <c r="F396" s="37" t="n"/>
      <c r="G396" s="37" t="n"/>
      <c r="H396" s="37" t="n"/>
      <c r="I396" s="37" t="n"/>
      <c r="J396" s="37" t="n"/>
      <c r="K396" s="37" t="n"/>
      <c r="L396" s="37" t="n"/>
      <c r="M396" s="37" t="n"/>
      <c r="N396" s="37" t="n"/>
      <c r="O396" s="37" t="n"/>
      <c r="P396" s="37" t="n"/>
      <c r="Q396" s="37" t="n"/>
      <c r="R396" s="37" t="n"/>
      <c r="S396" s="37" t="n"/>
      <c r="T396" s="37" t="n"/>
      <c r="U396" s="37" t="n"/>
      <c r="V396" s="37" t="n"/>
      <c r="W396" s="32" t="n"/>
      <c r="X396" s="37" t="n"/>
      <c r="Y396" s="37" t="n"/>
      <c r="Z396" s="37" t="n"/>
      <c r="AA396" s="37" t="n"/>
      <c r="AB396" s="37" t="n"/>
      <c r="AC396" s="37" t="n"/>
      <c r="AD396" s="32" t="n"/>
      <c r="AE396" s="37" t="n"/>
      <c r="AF396" s="38" t="n"/>
      <c r="AG396" s="67">
        <f>IF(OR(AF396="",AE396=""),"",IFERROR(AF396*INDEX(FXRates[USD per unit],MATCH(AE396,FXRates[Currency],0)),"No rate"))</f>
        <v/>
      </c>
      <c r="AH396" s="36" t="n"/>
      <c r="AI396" s="36" t="n"/>
      <c r="AJ396" s="39">
        <f>IF(A396="","",IF(COUNTIF($A$6:$A$504,A396)&gt;1,"⚠ Duplicate",""))</f>
        <v/>
      </c>
      <c r="AK396" s="38" t="n"/>
      <c r="AL396" s="40" t="n"/>
      <c r="AM396" s="40" t="n"/>
      <c r="AN396" s="40" t="n"/>
      <c r="AO396" s="40" t="n"/>
      <c r="AP396" s="40" t="n"/>
      <c r="AQ396" s="40" t="n"/>
      <c r="AR396" s="40" t="n"/>
      <c r="AS396" s="40" t="n"/>
      <c r="AT396" s="40" t="n"/>
      <c r="AU396" s="40" t="n"/>
      <c r="AV396" s="40" t="n"/>
      <c r="AW396" s="40" t="n"/>
      <c r="AX396" s="40" t="n"/>
      <c r="AY396" s="40" t="n"/>
      <c r="AZ396" s="38" t="n"/>
      <c r="BA396" s="40" t="n"/>
      <c r="BB396" s="40" t="n"/>
      <c r="BC396" s="40" t="n"/>
      <c r="BD396" s="40" t="n"/>
      <c r="BE396" s="40" t="n"/>
      <c r="BF396" s="40" t="n"/>
      <c r="BG396" s="40" t="n"/>
      <c r="BH396" s="40" t="n"/>
      <c r="BI396" s="40" t="n"/>
      <c r="BJ396" s="40" t="n"/>
      <c r="BK396" s="40" t="n"/>
      <c r="BL396" s="40" t="n"/>
      <c r="BM396" s="40" t="n"/>
      <c r="BN396" s="40" t="n"/>
    </row>
    <row r="397" ht="18" customHeight="1" s="82">
      <c r="A397" s="30" t="n"/>
      <c r="B397" s="30" t="n"/>
      <c r="C397" s="30" t="n"/>
      <c r="D397" s="30" t="n"/>
      <c r="E397" s="31" t="n"/>
      <c r="F397" s="31" t="n"/>
      <c r="G397" s="31" t="n"/>
      <c r="H397" s="31" t="n"/>
      <c r="I397" s="31" t="n"/>
      <c r="J397" s="31" t="n"/>
      <c r="K397" s="31" t="n"/>
      <c r="L397" s="31" t="n"/>
      <c r="M397" s="31" t="n"/>
      <c r="N397" s="31" t="n"/>
      <c r="O397" s="31" t="n"/>
      <c r="P397" s="31" t="n"/>
      <c r="Q397" s="31" t="n"/>
      <c r="R397" s="31" t="n"/>
      <c r="S397" s="31" t="n"/>
      <c r="T397" s="31" t="n"/>
      <c r="U397" s="31" t="n"/>
      <c r="V397" s="31" t="n"/>
      <c r="W397" s="32" t="n"/>
      <c r="X397" s="31" t="n"/>
      <c r="Y397" s="31" t="n"/>
      <c r="Z397" s="31" t="n"/>
      <c r="AA397" s="31" t="n"/>
      <c r="AB397" s="31" t="n"/>
      <c r="AC397" s="31" t="n"/>
      <c r="AD397" s="32" t="n"/>
      <c r="AE397" s="31" t="n"/>
      <c r="AF397" s="33" t="n"/>
      <c r="AG397" s="66">
        <f>IF(OR(AF397="",AE397=""),"",IFERROR(AF397*INDEX(FXRates[USD per unit],MATCH(AE397,FXRates[Currency],0)),"No rate"))</f>
        <v/>
      </c>
      <c r="AH397" s="30" t="n"/>
      <c r="AI397" s="30" t="n"/>
      <c r="AJ397" s="34">
        <f>IF(A397="","",IF(COUNTIF($A$6:$A$504,A397)&gt;1,"⚠ Duplicate",""))</f>
        <v/>
      </c>
      <c r="AK397" s="33" t="n"/>
      <c r="AL397" s="41" t="n"/>
      <c r="AM397" s="41" t="n"/>
      <c r="AN397" s="41" t="n"/>
      <c r="AO397" s="41" t="n"/>
      <c r="AP397" s="41" t="n"/>
      <c r="AQ397" s="41" t="n"/>
      <c r="AR397" s="41" t="n"/>
      <c r="AS397" s="41" t="n"/>
      <c r="AT397" s="41" t="n"/>
      <c r="AU397" s="41" t="n"/>
      <c r="AV397" s="41" t="n"/>
      <c r="AW397" s="41" t="n"/>
      <c r="AX397" s="41" t="n"/>
      <c r="AY397" s="41" t="n"/>
      <c r="AZ397" s="33" t="n"/>
      <c r="BA397" s="41" t="n"/>
      <c r="BB397" s="41" t="n"/>
      <c r="BC397" s="41" t="n"/>
      <c r="BD397" s="41" t="n"/>
      <c r="BE397" s="41" t="n"/>
      <c r="BF397" s="41" t="n"/>
      <c r="BG397" s="41" t="n"/>
      <c r="BH397" s="41" t="n"/>
      <c r="BI397" s="41" t="n"/>
      <c r="BJ397" s="41" t="n"/>
      <c r="BK397" s="41" t="n"/>
      <c r="BL397" s="41" t="n"/>
      <c r="BM397" s="41" t="n"/>
      <c r="BN397" s="41" t="n"/>
    </row>
    <row r="398" ht="18" customHeight="1" s="82">
      <c r="A398" s="36" t="n"/>
      <c r="B398" s="36" t="n"/>
      <c r="C398" s="36" t="n"/>
      <c r="D398" s="36" t="n"/>
      <c r="E398" s="37" t="n"/>
      <c r="F398" s="37" t="n"/>
      <c r="G398" s="37" t="n"/>
      <c r="H398" s="37" t="n"/>
      <c r="I398" s="37" t="n"/>
      <c r="J398" s="37" t="n"/>
      <c r="K398" s="37" t="n"/>
      <c r="L398" s="37" t="n"/>
      <c r="M398" s="37" t="n"/>
      <c r="N398" s="37" t="n"/>
      <c r="O398" s="37" t="n"/>
      <c r="P398" s="37" t="n"/>
      <c r="Q398" s="37" t="n"/>
      <c r="R398" s="37" t="n"/>
      <c r="S398" s="37" t="n"/>
      <c r="T398" s="37" t="n"/>
      <c r="U398" s="37" t="n"/>
      <c r="V398" s="37" t="n"/>
      <c r="W398" s="32" t="n"/>
      <c r="X398" s="37" t="n"/>
      <c r="Y398" s="37" t="n"/>
      <c r="Z398" s="37" t="n"/>
      <c r="AA398" s="37" t="n"/>
      <c r="AB398" s="37" t="n"/>
      <c r="AC398" s="37" t="n"/>
      <c r="AD398" s="32" t="n"/>
      <c r="AE398" s="37" t="n"/>
      <c r="AF398" s="38" t="n"/>
      <c r="AG398" s="67">
        <f>IF(OR(AF398="",AE398=""),"",IFERROR(AF398*INDEX(FXRates[USD per unit],MATCH(AE398,FXRates[Currency],0)),"No rate"))</f>
        <v/>
      </c>
      <c r="AH398" s="36" t="n"/>
      <c r="AI398" s="36" t="n"/>
      <c r="AJ398" s="39">
        <f>IF(A398="","",IF(COUNTIF($A$6:$A$504,A398)&gt;1,"⚠ Duplicate",""))</f>
        <v/>
      </c>
      <c r="AK398" s="38" t="n"/>
      <c r="AL398" s="40" t="n"/>
      <c r="AM398" s="40" t="n"/>
      <c r="AN398" s="40" t="n"/>
      <c r="AO398" s="40" t="n"/>
      <c r="AP398" s="40" t="n"/>
      <c r="AQ398" s="40" t="n"/>
      <c r="AR398" s="40" t="n"/>
      <c r="AS398" s="40" t="n"/>
      <c r="AT398" s="40" t="n"/>
      <c r="AU398" s="40" t="n"/>
      <c r="AV398" s="40" t="n"/>
      <c r="AW398" s="40" t="n"/>
      <c r="AX398" s="40" t="n"/>
      <c r="AY398" s="40" t="n"/>
      <c r="AZ398" s="38" t="n"/>
      <c r="BA398" s="40" t="n"/>
      <c r="BB398" s="40" t="n"/>
      <c r="BC398" s="40" t="n"/>
      <c r="BD398" s="40" t="n"/>
      <c r="BE398" s="40" t="n"/>
      <c r="BF398" s="40" t="n"/>
      <c r="BG398" s="40" t="n"/>
      <c r="BH398" s="40" t="n"/>
      <c r="BI398" s="40" t="n"/>
      <c r="BJ398" s="40" t="n"/>
      <c r="BK398" s="40" t="n"/>
      <c r="BL398" s="40" t="n"/>
      <c r="BM398" s="40" t="n"/>
      <c r="BN398" s="40" t="n"/>
    </row>
    <row r="399" ht="18" customHeight="1" s="82">
      <c r="A399" s="30" t="n"/>
      <c r="B399" s="30" t="n"/>
      <c r="C399" s="30" t="n"/>
      <c r="D399" s="30" t="n"/>
      <c r="E399" s="31" t="n"/>
      <c r="F399" s="31" t="n"/>
      <c r="G399" s="31" t="n"/>
      <c r="H399" s="31" t="n"/>
      <c r="I399" s="31" t="n"/>
      <c r="J399" s="31" t="n"/>
      <c r="K399" s="31" t="n"/>
      <c r="L399" s="31" t="n"/>
      <c r="M399" s="31" t="n"/>
      <c r="N399" s="31" t="n"/>
      <c r="O399" s="31" t="n"/>
      <c r="P399" s="31" t="n"/>
      <c r="Q399" s="31" t="n"/>
      <c r="R399" s="31" t="n"/>
      <c r="S399" s="31" t="n"/>
      <c r="T399" s="31" t="n"/>
      <c r="U399" s="31" t="n"/>
      <c r="V399" s="31" t="n"/>
      <c r="W399" s="32" t="n"/>
      <c r="X399" s="31" t="n"/>
      <c r="Y399" s="31" t="n"/>
      <c r="Z399" s="31" t="n"/>
      <c r="AA399" s="31" t="n"/>
      <c r="AB399" s="31" t="n"/>
      <c r="AC399" s="31" t="n"/>
      <c r="AD399" s="32" t="n"/>
      <c r="AE399" s="31" t="n"/>
      <c r="AF399" s="33" t="n"/>
      <c r="AG399" s="66">
        <f>IF(OR(AF399="",AE399=""),"",IFERROR(AF399*INDEX(FXRates[USD per unit],MATCH(AE399,FXRates[Currency],0)),"No rate"))</f>
        <v/>
      </c>
      <c r="AH399" s="30" t="n"/>
      <c r="AI399" s="30" t="n"/>
      <c r="AJ399" s="34">
        <f>IF(A399="","",IF(COUNTIF($A$6:$A$504,A399)&gt;1,"⚠ Duplicate",""))</f>
        <v/>
      </c>
      <c r="AK399" s="33" t="n"/>
      <c r="AL399" s="41" t="n"/>
      <c r="AM399" s="41" t="n"/>
      <c r="AN399" s="41" t="n"/>
      <c r="AO399" s="41" t="n"/>
      <c r="AP399" s="41" t="n"/>
      <c r="AQ399" s="41" t="n"/>
      <c r="AR399" s="41" t="n"/>
      <c r="AS399" s="41" t="n"/>
      <c r="AT399" s="41" t="n"/>
      <c r="AU399" s="41" t="n"/>
      <c r="AV399" s="41" t="n"/>
      <c r="AW399" s="41" t="n"/>
      <c r="AX399" s="41" t="n"/>
      <c r="AY399" s="41" t="n"/>
      <c r="AZ399" s="33" t="n"/>
      <c r="BA399" s="41" t="n"/>
      <c r="BB399" s="41" t="n"/>
      <c r="BC399" s="41" t="n"/>
      <c r="BD399" s="41" t="n"/>
      <c r="BE399" s="41" t="n"/>
      <c r="BF399" s="41" t="n"/>
      <c r="BG399" s="41" t="n"/>
      <c r="BH399" s="41" t="n"/>
      <c r="BI399" s="41" t="n"/>
      <c r="BJ399" s="41" t="n"/>
      <c r="BK399" s="41" t="n"/>
      <c r="BL399" s="41" t="n"/>
      <c r="BM399" s="41" t="n"/>
      <c r="BN399" s="41" t="n"/>
    </row>
    <row r="400" ht="18" customHeight="1" s="82">
      <c r="A400" s="36" t="n"/>
      <c r="B400" s="36" t="n"/>
      <c r="C400" s="36" t="n"/>
      <c r="D400" s="36" t="n"/>
      <c r="E400" s="37" t="n"/>
      <c r="F400" s="37" t="n"/>
      <c r="G400" s="37" t="n"/>
      <c r="H400" s="37" t="n"/>
      <c r="I400" s="37" t="n"/>
      <c r="J400" s="37" t="n"/>
      <c r="K400" s="37" t="n"/>
      <c r="L400" s="37" t="n"/>
      <c r="M400" s="37" t="n"/>
      <c r="N400" s="37" t="n"/>
      <c r="O400" s="37" t="n"/>
      <c r="P400" s="37" t="n"/>
      <c r="Q400" s="37" t="n"/>
      <c r="R400" s="37" t="n"/>
      <c r="S400" s="37" t="n"/>
      <c r="T400" s="37" t="n"/>
      <c r="U400" s="37" t="n"/>
      <c r="V400" s="37" t="n"/>
      <c r="W400" s="32" t="n"/>
      <c r="X400" s="37" t="n"/>
      <c r="Y400" s="37" t="n"/>
      <c r="Z400" s="37" t="n"/>
      <c r="AA400" s="37" t="n"/>
      <c r="AB400" s="37" t="n"/>
      <c r="AC400" s="37" t="n"/>
      <c r="AD400" s="32" t="n"/>
      <c r="AE400" s="37" t="n"/>
      <c r="AF400" s="38" t="n"/>
      <c r="AG400" s="67">
        <f>IF(OR(AF400="",AE400=""),"",IFERROR(AF400*INDEX(FXRates[USD per unit],MATCH(AE400,FXRates[Currency],0)),"No rate"))</f>
        <v/>
      </c>
      <c r="AH400" s="36" t="n"/>
      <c r="AI400" s="36" t="n"/>
      <c r="AJ400" s="39">
        <f>IF(A400="","",IF(COUNTIF($A$6:$A$504,A400)&gt;1,"⚠ Duplicate",""))</f>
        <v/>
      </c>
      <c r="AK400" s="38" t="n"/>
      <c r="AL400" s="40" t="n"/>
      <c r="AM400" s="40" t="n"/>
      <c r="AN400" s="40" t="n"/>
      <c r="AO400" s="40" t="n"/>
      <c r="AP400" s="40" t="n"/>
      <c r="AQ400" s="40" t="n"/>
      <c r="AR400" s="40" t="n"/>
      <c r="AS400" s="40" t="n"/>
      <c r="AT400" s="40" t="n"/>
      <c r="AU400" s="40" t="n"/>
      <c r="AV400" s="40" t="n"/>
      <c r="AW400" s="40" t="n"/>
      <c r="AX400" s="40" t="n"/>
      <c r="AY400" s="40" t="n"/>
      <c r="AZ400" s="38" t="n"/>
      <c r="BA400" s="40" t="n"/>
      <c r="BB400" s="40" t="n"/>
      <c r="BC400" s="40" t="n"/>
      <c r="BD400" s="40" t="n"/>
      <c r="BE400" s="40" t="n"/>
      <c r="BF400" s="40" t="n"/>
      <c r="BG400" s="40" t="n"/>
      <c r="BH400" s="40" t="n"/>
      <c r="BI400" s="40" t="n"/>
      <c r="BJ400" s="40" t="n"/>
      <c r="BK400" s="40" t="n"/>
      <c r="BL400" s="40" t="n"/>
      <c r="BM400" s="40" t="n"/>
      <c r="BN400" s="40" t="n"/>
    </row>
    <row r="401" ht="18" customHeight="1" s="82">
      <c r="A401" s="30" t="n"/>
      <c r="B401" s="30" t="n"/>
      <c r="C401" s="30" t="n"/>
      <c r="D401" s="30" t="n"/>
      <c r="E401" s="31" t="n"/>
      <c r="F401" s="31" t="n"/>
      <c r="G401" s="31" t="n"/>
      <c r="H401" s="31" t="n"/>
      <c r="I401" s="31" t="n"/>
      <c r="J401" s="31" t="n"/>
      <c r="K401" s="31" t="n"/>
      <c r="L401" s="31" t="n"/>
      <c r="M401" s="31" t="n"/>
      <c r="N401" s="31" t="n"/>
      <c r="O401" s="31" t="n"/>
      <c r="P401" s="31" t="n"/>
      <c r="Q401" s="31" t="n"/>
      <c r="R401" s="31" t="n"/>
      <c r="S401" s="31" t="n"/>
      <c r="T401" s="31" t="n"/>
      <c r="U401" s="31" t="n"/>
      <c r="V401" s="31" t="n"/>
      <c r="W401" s="32" t="n"/>
      <c r="X401" s="31" t="n"/>
      <c r="Y401" s="31" t="n"/>
      <c r="Z401" s="31" t="n"/>
      <c r="AA401" s="31" t="n"/>
      <c r="AB401" s="31" t="n"/>
      <c r="AC401" s="31" t="n"/>
      <c r="AD401" s="32" t="n"/>
      <c r="AE401" s="31" t="n"/>
      <c r="AF401" s="33" t="n"/>
      <c r="AG401" s="66">
        <f>IF(OR(AF401="",AE401=""),"",IFERROR(AF401*INDEX(FXRates[USD per unit],MATCH(AE401,FXRates[Currency],0)),"No rate"))</f>
        <v/>
      </c>
      <c r="AH401" s="30" t="n"/>
      <c r="AI401" s="30" t="n"/>
      <c r="AJ401" s="34">
        <f>IF(A401="","",IF(COUNTIF($A$6:$A$504,A401)&gt;1,"⚠ Duplicate",""))</f>
        <v/>
      </c>
      <c r="AK401" s="33" t="n"/>
      <c r="AL401" s="41" t="n"/>
      <c r="AM401" s="41" t="n"/>
      <c r="AN401" s="41" t="n"/>
      <c r="AO401" s="41" t="n"/>
      <c r="AP401" s="41" t="n"/>
      <c r="AQ401" s="41" t="n"/>
      <c r="AR401" s="41" t="n"/>
      <c r="AS401" s="41" t="n"/>
      <c r="AT401" s="41" t="n"/>
      <c r="AU401" s="41" t="n"/>
      <c r="AV401" s="41" t="n"/>
      <c r="AW401" s="41" t="n"/>
      <c r="AX401" s="41" t="n"/>
      <c r="AY401" s="41" t="n"/>
      <c r="AZ401" s="33" t="n"/>
      <c r="BA401" s="41" t="n"/>
      <c r="BB401" s="41" t="n"/>
      <c r="BC401" s="41" t="n"/>
      <c r="BD401" s="41" t="n"/>
      <c r="BE401" s="41" t="n"/>
      <c r="BF401" s="41" t="n"/>
      <c r="BG401" s="41" t="n"/>
      <c r="BH401" s="41" t="n"/>
      <c r="BI401" s="41" t="n"/>
      <c r="BJ401" s="41" t="n"/>
      <c r="BK401" s="41" t="n"/>
      <c r="BL401" s="41" t="n"/>
      <c r="BM401" s="41" t="n"/>
      <c r="BN401" s="41" t="n"/>
    </row>
    <row r="402" ht="18" customHeight="1" s="82">
      <c r="A402" s="36" t="n"/>
      <c r="B402" s="36" t="n"/>
      <c r="C402" s="36" t="n"/>
      <c r="D402" s="36" t="n"/>
      <c r="E402" s="37" t="n"/>
      <c r="F402" s="37" t="n"/>
      <c r="G402" s="37" t="n"/>
      <c r="H402" s="37" t="n"/>
      <c r="I402" s="37" t="n"/>
      <c r="J402" s="37" t="n"/>
      <c r="K402" s="37" t="n"/>
      <c r="L402" s="37" t="n"/>
      <c r="M402" s="37" t="n"/>
      <c r="N402" s="37" t="n"/>
      <c r="O402" s="37" t="n"/>
      <c r="P402" s="37" t="n"/>
      <c r="Q402" s="37" t="n"/>
      <c r="R402" s="37" t="n"/>
      <c r="S402" s="37" t="n"/>
      <c r="T402" s="37" t="n"/>
      <c r="U402" s="37" t="n"/>
      <c r="V402" s="37" t="n"/>
      <c r="W402" s="32" t="n"/>
      <c r="X402" s="37" t="n"/>
      <c r="Y402" s="37" t="n"/>
      <c r="Z402" s="37" t="n"/>
      <c r="AA402" s="37" t="n"/>
      <c r="AB402" s="37" t="n"/>
      <c r="AC402" s="37" t="n"/>
      <c r="AD402" s="32" t="n"/>
      <c r="AE402" s="37" t="n"/>
      <c r="AF402" s="38" t="n"/>
      <c r="AG402" s="67">
        <f>IF(OR(AF402="",AE402=""),"",IFERROR(AF402*INDEX(FXRates[USD per unit],MATCH(AE402,FXRates[Currency],0)),"No rate"))</f>
        <v/>
      </c>
      <c r="AH402" s="36" t="n"/>
      <c r="AI402" s="36" t="n"/>
      <c r="AJ402" s="39">
        <f>IF(A402="","",IF(COUNTIF($A$6:$A$504,A402)&gt;1,"⚠ Duplicate",""))</f>
        <v/>
      </c>
      <c r="AK402" s="38" t="n"/>
      <c r="AL402" s="40" t="n"/>
      <c r="AM402" s="40" t="n"/>
      <c r="AN402" s="40" t="n"/>
      <c r="AO402" s="40" t="n"/>
      <c r="AP402" s="40" t="n"/>
      <c r="AQ402" s="40" t="n"/>
      <c r="AR402" s="40" t="n"/>
      <c r="AS402" s="40" t="n"/>
      <c r="AT402" s="40" t="n"/>
      <c r="AU402" s="40" t="n"/>
      <c r="AV402" s="40" t="n"/>
      <c r="AW402" s="40" t="n"/>
      <c r="AX402" s="40" t="n"/>
      <c r="AY402" s="40" t="n"/>
      <c r="AZ402" s="38" t="n"/>
      <c r="BA402" s="40" t="n"/>
      <c r="BB402" s="40" t="n"/>
      <c r="BC402" s="40" t="n"/>
      <c r="BD402" s="40" t="n"/>
      <c r="BE402" s="40" t="n"/>
      <c r="BF402" s="40" t="n"/>
      <c r="BG402" s="40" t="n"/>
      <c r="BH402" s="40" t="n"/>
      <c r="BI402" s="40" t="n"/>
      <c r="BJ402" s="40" t="n"/>
      <c r="BK402" s="40" t="n"/>
      <c r="BL402" s="40" t="n"/>
      <c r="BM402" s="40" t="n"/>
      <c r="BN402" s="40" t="n"/>
    </row>
    <row r="403" ht="18" customHeight="1" s="82">
      <c r="A403" s="30" t="n"/>
      <c r="B403" s="30" t="n"/>
      <c r="C403" s="30" t="n"/>
      <c r="D403" s="30" t="n"/>
      <c r="E403" s="31" t="n"/>
      <c r="F403" s="31" t="n"/>
      <c r="G403" s="31" t="n"/>
      <c r="H403" s="31" t="n"/>
      <c r="I403" s="31" t="n"/>
      <c r="J403" s="31" t="n"/>
      <c r="K403" s="31" t="n"/>
      <c r="L403" s="31" t="n"/>
      <c r="M403" s="31" t="n"/>
      <c r="N403" s="31" t="n"/>
      <c r="O403" s="31" t="n"/>
      <c r="P403" s="31" t="n"/>
      <c r="Q403" s="31" t="n"/>
      <c r="R403" s="31" t="n"/>
      <c r="S403" s="31" t="n"/>
      <c r="T403" s="31" t="n"/>
      <c r="U403" s="31" t="n"/>
      <c r="V403" s="31" t="n"/>
      <c r="W403" s="32" t="n"/>
      <c r="X403" s="31" t="n"/>
      <c r="Y403" s="31" t="n"/>
      <c r="Z403" s="31" t="n"/>
      <c r="AA403" s="31" t="n"/>
      <c r="AB403" s="31" t="n"/>
      <c r="AC403" s="31" t="n"/>
      <c r="AD403" s="32" t="n"/>
      <c r="AE403" s="31" t="n"/>
      <c r="AF403" s="33" t="n"/>
      <c r="AG403" s="66">
        <f>IF(OR(AF403="",AE403=""),"",IFERROR(AF403*INDEX(FXRates[USD per unit],MATCH(AE403,FXRates[Currency],0)),"No rate"))</f>
        <v/>
      </c>
      <c r="AH403" s="30" t="n"/>
      <c r="AI403" s="30" t="n"/>
      <c r="AJ403" s="34">
        <f>IF(A403="","",IF(COUNTIF($A$6:$A$504,A403)&gt;1,"⚠ Duplicate",""))</f>
        <v/>
      </c>
      <c r="AK403" s="33" t="n"/>
      <c r="AL403" s="41" t="n"/>
      <c r="AM403" s="41" t="n"/>
      <c r="AN403" s="41" t="n"/>
      <c r="AO403" s="41" t="n"/>
      <c r="AP403" s="41" t="n"/>
      <c r="AQ403" s="41" t="n"/>
      <c r="AR403" s="41" t="n"/>
      <c r="AS403" s="41" t="n"/>
      <c r="AT403" s="41" t="n"/>
      <c r="AU403" s="41" t="n"/>
      <c r="AV403" s="41" t="n"/>
      <c r="AW403" s="41" t="n"/>
      <c r="AX403" s="41" t="n"/>
      <c r="AY403" s="41" t="n"/>
      <c r="AZ403" s="33" t="n"/>
      <c r="BA403" s="41" t="n"/>
      <c r="BB403" s="41" t="n"/>
      <c r="BC403" s="41" t="n"/>
      <c r="BD403" s="41" t="n"/>
      <c r="BE403" s="41" t="n"/>
      <c r="BF403" s="41" t="n"/>
      <c r="BG403" s="41" t="n"/>
      <c r="BH403" s="41" t="n"/>
      <c r="BI403" s="41" t="n"/>
      <c r="BJ403" s="41" t="n"/>
      <c r="BK403" s="41" t="n"/>
      <c r="BL403" s="41" t="n"/>
      <c r="BM403" s="41" t="n"/>
      <c r="BN403" s="41" t="n"/>
    </row>
    <row r="404" ht="18" customHeight="1" s="82">
      <c r="A404" s="36" t="n"/>
      <c r="B404" s="36" t="n"/>
      <c r="C404" s="36" t="n"/>
      <c r="D404" s="36" t="n"/>
      <c r="E404" s="37" t="n"/>
      <c r="F404" s="37" t="n"/>
      <c r="G404" s="37" t="n"/>
      <c r="H404" s="37" t="n"/>
      <c r="I404" s="37" t="n"/>
      <c r="J404" s="37" t="n"/>
      <c r="K404" s="37" t="n"/>
      <c r="L404" s="37" t="n"/>
      <c r="M404" s="37" t="n"/>
      <c r="N404" s="37" t="n"/>
      <c r="O404" s="37" t="n"/>
      <c r="P404" s="37" t="n"/>
      <c r="Q404" s="37" t="n"/>
      <c r="R404" s="37" t="n"/>
      <c r="S404" s="37" t="n"/>
      <c r="T404" s="37" t="n"/>
      <c r="U404" s="37" t="n"/>
      <c r="V404" s="37" t="n"/>
      <c r="W404" s="32" t="n"/>
      <c r="X404" s="37" t="n"/>
      <c r="Y404" s="37" t="n"/>
      <c r="Z404" s="37" t="n"/>
      <c r="AA404" s="37" t="n"/>
      <c r="AB404" s="37" t="n"/>
      <c r="AC404" s="37" t="n"/>
      <c r="AD404" s="32" t="n"/>
      <c r="AE404" s="37" t="n"/>
      <c r="AF404" s="38" t="n"/>
      <c r="AG404" s="67">
        <f>IF(OR(AF404="",AE404=""),"",IFERROR(AF404*INDEX(FXRates[USD per unit],MATCH(AE404,FXRates[Currency],0)),"No rate"))</f>
        <v/>
      </c>
      <c r="AH404" s="36" t="n"/>
      <c r="AI404" s="36" t="n"/>
      <c r="AJ404" s="39">
        <f>IF(A404="","",IF(COUNTIF($A$6:$A$504,A404)&gt;1,"⚠ Duplicate",""))</f>
        <v/>
      </c>
      <c r="AK404" s="38" t="n"/>
      <c r="AL404" s="40" t="n"/>
      <c r="AM404" s="40" t="n"/>
      <c r="AN404" s="40" t="n"/>
      <c r="AO404" s="40" t="n"/>
      <c r="AP404" s="40" t="n"/>
      <c r="AQ404" s="40" t="n"/>
      <c r="AR404" s="40" t="n"/>
      <c r="AS404" s="40" t="n"/>
      <c r="AT404" s="40" t="n"/>
      <c r="AU404" s="40" t="n"/>
      <c r="AV404" s="40" t="n"/>
      <c r="AW404" s="40" t="n"/>
      <c r="AX404" s="40" t="n"/>
      <c r="AY404" s="40" t="n"/>
      <c r="AZ404" s="38" t="n"/>
      <c r="BA404" s="40" t="n"/>
      <c r="BB404" s="40" t="n"/>
      <c r="BC404" s="40" t="n"/>
      <c r="BD404" s="40" t="n"/>
      <c r="BE404" s="40" t="n"/>
      <c r="BF404" s="40" t="n"/>
      <c r="BG404" s="40" t="n"/>
      <c r="BH404" s="40" t="n"/>
      <c r="BI404" s="40" t="n"/>
      <c r="BJ404" s="40" t="n"/>
      <c r="BK404" s="40" t="n"/>
      <c r="BL404" s="40" t="n"/>
      <c r="BM404" s="40" t="n"/>
      <c r="BN404" s="40" t="n"/>
    </row>
    <row r="405" ht="18" customHeight="1" s="82">
      <c r="A405" s="30" t="n"/>
      <c r="B405" s="30" t="n"/>
      <c r="C405" s="30" t="n"/>
      <c r="D405" s="30" t="n"/>
      <c r="E405" s="31" t="n"/>
      <c r="F405" s="31" t="n"/>
      <c r="G405" s="31" t="n"/>
      <c r="H405" s="31" t="n"/>
      <c r="I405" s="31" t="n"/>
      <c r="J405" s="31" t="n"/>
      <c r="K405" s="31" t="n"/>
      <c r="L405" s="31" t="n"/>
      <c r="M405" s="31" t="n"/>
      <c r="N405" s="31" t="n"/>
      <c r="O405" s="31" t="n"/>
      <c r="P405" s="31" t="n"/>
      <c r="Q405" s="31" t="n"/>
      <c r="R405" s="31" t="n"/>
      <c r="S405" s="31" t="n"/>
      <c r="T405" s="31" t="n"/>
      <c r="U405" s="31" t="n"/>
      <c r="V405" s="31" t="n"/>
      <c r="W405" s="32" t="n"/>
      <c r="X405" s="31" t="n"/>
      <c r="Y405" s="31" t="n"/>
      <c r="Z405" s="31" t="n"/>
      <c r="AA405" s="31" t="n"/>
      <c r="AB405" s="31" t="n"/>
      <c r="AC405" s="31" t="n"/>
      <c r="AD405" s="32" t="n"/>
      <c r="AE405" s="31" t="n"/>
      <c r="AF405" s="33" t="n"/>
      <c r="AG405" s="66">
        <f>IF(OR(AF405="",AE405=""),"",IFERROR(AF405*INDEX(FXRates[USD per unit],MATCH(AE405,FXRates[Currency],0)),"No rate"))</f>
        <v/>
      </c>
      <c r="AH405" s="30" t="n"/>
      <c r="AI405" s="30" t="n"/>
      <c r="AJ405" s="34">
        <f>IF(A405="","",IF(COUNTIF($A$6:$A$504,A405)&gt;1,"⚠ Duplicate",""))</f>
        <v/>
      </c>
      <c r="AK405" s="33" t="n"/>
      <c r="AL405" s="41" t="n"/>
      <c r="AM405" s="41" t="n"/>
      <c r="AN405" s="41" t="n"/>
      <c r="AO405" s="41" t="n"/>
      <c r="AP405" s="41" t="n"/>
      <c r="AQ405" s="41" t="n"/>
      <c r="AR405" s="41" t="n"/>
      <c r="AS405" s="41" t="n"/>
      <c r="AT405" s="41" t="n"/>
      <c r="AU405" s="41" t="n"/>
      <c r="AV405" s="41" t="n"/>
      <c r="AW405" s="41" t="n"/>
      <c r="AX405" s="41" t="n"/>
      <c r="AY405" s="41" t="n"/>
      <c r="AZ405" s="33" t="n"/>
      <c r="BA405" s="41" t="n"/>
      <c r="BB405" s="41" t="n"/>
      <c r="BC405" s="41" t="n"/>
      <c r="BD405" s="41" t="n"/>
      <c r="BE405" s="41" t="n"/>
      <c r="BF405" s="41" t="n"/>
      <c r="BG405" s="41" t="n"/>
      <c r="BH405" s="41" t="n"/>
      <c r="BI405" s="41" t="n"/>
      <c r="BJ405" s="41" t="n"/>
      <c r="BK405" s="41" t="n"/>
      <c r="BL405" s="41" t="n"/>
      <c r="BM405" s="41" t="n"/>
      <c r="BN405" s="41" t="n"/>
    </row>
    <row r="406" ht="18" customHeight="1" s="82">
      <c r="A406" s="36" t="n"/>
      <c r="B406" s="36" t="n"/>
      <c r="C406" s="36" t="n"/>
      <c r="D406" s="36" t="n"/>
      <c r="E406" s="37" t="n"/>
      <c r="F406" s="37" t="n"/>
      <c r="G406" s="37" t="n"/>
      <c r="H406" s="37" t="n"/>
      <c r="I406" s="37" t="n"/>
      <c r="J406" s="37" t="n"/>
      <c r="K406" s="37" t="n"/>
      <c r="L406" s="37" t="n"/>
      <c r="M406" s="37" t="n"/>
      <c r="N406" s="37" t="n"/>
      <c r="O406" s="37" t="n"/>
      <c r="P406" s="37" t="n"/>
      <c r="Q406" s="37" t="n"/>
      <c r="R406" s="37" t="n"/>
      <c r="S406" s="37" t="n"/>
      <c r="T406" s="37" t="n"/>
      <c r="U406" s="37" t="n"/>
      <c r="V406" s="37" t="n"/>
      <c r="W406" s="32" t="n"/>
      <c r="X406" s="37" t="n"/>
      <c r="Y406" s="37" t="n"/>
      <c r="Z406" s="37" t="n"/>
      <c r="AA406" s="37" t="n"/>
      <c r="AB406" s="37" t="n"/>
      <c r="AC406" s="37" t="n"/>
      <c r="AD406" s="32" t="n"/>
      <c r="AE406" s="37" t="n"/>
      <c r="AF406" s="38" t="n"/>
      <c r="AG406" s="67">
        <f>IF(OR(AF406="",AE406=""),"",IFERROR(AF406*INDEX(FXRates[USD per unit],MATCH(AE406,FXRates[Currency],0)),"No rate"))</f>
        <v/>
      </c>
      <c r="AH406" s="36" t="n"/>
      <c r="AI406" s="36" t="n"/>
      <c r="AJ406" s="39">
        <f>IF(A406="","",IF(COUNTIF($A$6:$A$504,A406)&gt;1,"⚠ Duplicate",""))</f>
        <v/>
      </c>
      <c r="AK406" s="38" t="n"/>
      <c r="AL406" s="40" t="n"/>
      <c r="AM406" s="40" t="n"/>
      <c r="AN406" s="40" t="n"/>
      <c r="AO406" s="40" t="n"/>
      <c r="AP406" s="40" t="n"/>
      <c r="AQ406" s="40" t="n"/>
      <c r="AR406" s="40" t="n"/>
      <c r="AS406" s="40" t="n"/>
      <c r="AT406" s="40" t="n"/>
      <c r="AU406" s="40" t="n"/>
      <c r="AV406" s="40" t="n"/>
      <c r="AW406" s="40" t="n"/>
      <c r="AX406" s="40" t="n"/>
      <c r="AY406" s="40" t="n"/>
      <c r="AZ406" s="38" t="n"/>
      <c r="BA406" s="40" t="n"/>
      <c r="BB406" s="40" t="n"/>
      <c r="BC406" s="40" t="n"/>
      <c r="BD406" s="40" t="n"/>
      <c r="BE406" s="40" t="n"/>
      <c r="BF406" s="40" t="n"/>
      <c r="BG406" s="40" t="n"/>
      <c r="BH406" s="40" t="n"/>
      <c r="BI406" s="40" t="n"/>
      <c r="BJ406" s="40" t="n"/>
      <c r="BK406" s="40" t="n"/>
      <c r="BL406" s="40" t="n"/>
      <c r="BM406" s="40" t="n"/>
      <c r="BN406" s="40" t="n"/>
    </row>
    <row r="407" ht="18" customHeight="1" s="82">
      <c r="A407" s="30" t="n"/>
      <c r="B407" s="30" t="n"/>
      <c r="C407" s="30" t="n"/>
      <c r="D407" s="30" t="n"/>
      <c r="E407" s="31" t="n"/>
      <c r="F407" s="31" t="n"/>
      <c r="G407" s="31" t="n"/>
      <c r="H407" s="31" t="n"/>
      <c r="I407" s="31" t="n"/>
      <c r="J407" s="31" t="n"/>
      <c r="K407" s="31" t="n"/>
      <c r="L407" s="31" t="n"/>
      <c r="M407" s="31" t="n"/>
      <c r="N407" s="31" t="n"/>
      <c r="O407" s="31" t="n"/>
      <c r="P407" s="31" t="n"/>
      <c r="Q407" s="31" t="n"/>
      <c r="R407" s="31" t="n"/>
      <c r="S407" s="31" t="n"/>
      <c r="T407" s="31" t="n"/>
      <c r="U407" s="31" t="n"/>
      <c r="V407" s="31" t="n"/>
      <c r="W407" s="32" t="n"/>
      <c r="X407" s="31" t="n"/>
      <c r="Y407" s="31" t="n"/>
      <c r="Z407" s="31" t="n"/>
      <c r="AA407" s="31" t="n"/>
      <c r="AB407" s="31" t="n"/>
      <c r="AC407" s="31" t="n"/>
      <c r="AD407" s="32" t="n"/>
      <c r="AE407" s="31" t="n"/>
      <c r="AF407" s="33" t="n"/>
      <c r="AG407" s="66">
        <f>IF(OR(AF407="",AE407=""),"",IFERROR(AF407*INDEX(FXRates[USD per unit],MATCH(AE407,FXRates[Currency],0)),"No rate"))</f>
        <v/>
      </c>
      <c r="AH407" s="30" t="n"/>
      <c r="AI407" s="30" t="n"/>
      <c r="AJ407" s="34">
        <f>IF(A407="","",IF(COUNTIF($A$6:$A$504,A407)&gt;1,"⚠ Duplicate",""))</f>
        <v/>
      </c>
      <c r="AK407" s="33" t="n"/>
      <c r="AL407" s="41" t="n"/>
      <c r="AM407" s="41" t="n"/>
      <c r="AN407" s="41" t="n"/>
      <c r="AO407" s="41" t="n"/>
      <c r="AP407" s="41" t="n"/>
      <c r="AQ407" s="41" t="n"/>
      <c r="AR407" s="41" t="n"/>
      <c r="AS407" s="41" t="n"/>
      <c r="AT407" s="41" t="n"/>
      <c r="AU407" s="41" t="n"/>
      <c r="AV407" s="41" t="n"/>
      <c r="AW407" s="41" t="n"/>
      <c r="AX407" s="41" t="n"/>
      <c r="AY407" s="41" t="n"/>
      <c r="AZ407" s="33" t="n"/>
      <c r="BA407" s="41" t="n"/>
      <c r="BB407" s="41" t="n"/>
      <c r="BC407" s="41" t="n"/>
      <c r="BD407" s="41" t="n"/>
      <c r="BE407" s="41" t="n"/>
      <c r="BF407" s="41" t="n"/>
      <c r="BG407" s="41" t="n"/>
      <c r="BH407" s="41" t="n"/>
      <c r="BI407" s="41" t="n"/>
      <c r="BJ407" s="41" t="n"/>
      <c r="BK407" s="41" t="n"/>
      <c r="BL407" s="41" t="n"/>
      <c r="BM407" s="41" t="n"/>
      <c r="BN407" s="41" t="n"/>
    </row>
    <row r="408" ht="18" customHeight="1" s="82">
      <c r="A408" s="36" t="n"/>
      <c r="B408" s="36" t="n"/>
      <c r="C408" s="36" t="n"/>
      <c r="D408" s="36" t="n"/>
      <c r="E408" s="37" t="n"/>
      <c r="F408" s="37" t="n"/>
      <c r="G408" s="37" t="n"/>
      <c r="H408" s="37" t="n"/>
      <c r="I408" s="37" t="n"/>
      <c r="J408" s="37" t="n"/>
      <c r="K408" s="37" t="n"/>
      <c r="L408" s="37" t="n"/>
      <c r="M408" s="37" t="n"/>
      <c r="N408" s="37" t="n"/>
      <c r="O408" s="37" t="n"/>
      <c r="P408" s="37" t="n"/>
      <c r="Q408" s="37" t="n"/>
      <c r="R408" s="37" t="n"/>
      <c r="S408" s="37" t="n"/>
      <c r="T408" s="37" t="n"/>
      <c r="U408" s="37" t="n"/>
      <c r="V408" s="37" t="n"/>
      <c r="W408" s="32" t="n"/>
      <c r="X408" s="37" t="n"/>
      <c r="Y408" s="37" t="n"/>
      <c r="Z408" s="37" t="n"/>
      <c r="AA408" s="37" t="n"/>
      <c r="AB408" s="37" t="n"/>
      <c r="AC408" s="37" t="n"/>
      <c r="AD408" s="32" t="n"/>
      <c r="AE408" s="37" t="n"/>
      <c r="AF408" s="38" t="n"/>
      <c r="AG408" s="67">
        <f>IF(OR(AF408="",AE408=""),"",IFERROR(AF408*INDEX(FXRates[USD per unit],MATCH(AE408,FXRates[Currency],0)),"No rate"))</f>
        <v/>
      </c>
      <c r="AH408" s="36" t="n"/>
      <c r="AI408" s="36" t="n"/>
      <c r="AJ408" s="39">
        <f>IF(A408="","",IF(COUNTIF($A$6:$A$504,A408)&gt;1,"⚠ Duplicate",""))</f>
        <v/>
      </c>
      <c r="AK408" s="38" t="n"/>
      <c r="AL408" s="40" t="n"/>
      <c r="AM408" s="40" t="n"/>
      <c r="AN408" s="40" t="n"/>
      <c r="AO408" s="40" t="n"/>
      <c r="AP408" s="40" t="n"/>
      <c r="AQ408" s="40" t="n"/>
      <c r="AR408" s="40" t="n"/>
      <c r="AS408" s="40" t="n"/>
      <c r="AT408" s="40" t="n"/>
      <c r="AU408" s="40" t="n"/>
      <c r="AV408" s="40" t="n"/>
      <c r="AW408" s="40" t="n"/>
      <c r="AX408" s="40" t="n"/>
      <c r="AY408" s="40" t="n"/>
      <c r="AZ408" s="38" t="n"/>
      <c r="BA408" s="40" t="n"/>
      <c r="BB408" s="40" t="n"/>
      <c r="BC408" s="40" t="n"/>
      <c r="BD408" s="40" t="n"/>
      <c r="BE408" s="40" t="n"/>
      <c r="BF408" s="40" t="n"/>
      <c r="BG408" s="40" t="n"/>
      <c r="BH408" s="40" t="n"/>
      <c r="BI408" s="40" t="n"/>
      <c r="BJ408" s="40" t="n"/>
      <c r="BK408" s="40" t="n"/>
      <c r="BL408" s="40" t="n"/>
      <c r="BM408" s="40" t="n"/>
      <c r="BN408" s="40" t="n"/>
    </row>
    <row r="409" ht="18" customHeight="1" s="82">
      <c r="A409" s="30" t="n"/>
      <c r="B409" s="30" t="n"/>
      <c r="C409" s="30" t="n"/>
      <c r="D409" s="30" t="n"/>
      <c r="E409" s="31" t="n"/>
      <c r="F409" s="31" t="n"/>
      <c r="G409" s="31" t="n"/>
      <c r="H409" s="31" t="n"/>
      <c r="I409" s="31" t="n"/>
      <c r="J409" s="31" t="n"/>
      <c r="K409" s="31" t="n"/>
      <c r="L409" s="31" t="n"/>
      <c r="M409" s="31" t="n"/>
      <c r="N409" s="31" t="n"/>
      <c r="O409" s="31" t="n"/>
      <c r="P409" s="31" t="n"/>
      <c r="Q409" s="31" t="n"/>
      <c r="R409" s="31" t="n"/>
      <c r="S409" s="31" t="n"/>
      <c r="T409" s="31" t="n"/>
      <c r="U409" s="31" t="n"/>
      <c r="V409" s="31" t="n"/>
      <c r="W409" s="32" t="n"/>
      <c r="X409" s="31" t="n"/>
      <c r="Y409" s="31" t="n"/>
      <c r="Z409" s="31" t="n"/>
      <c r="AA409" s="31" t="n"/>
      <c r="AB409" s="31" t="n"/>
      <c r="AC409" s="31" t="n"/>
      <c r="AD409" s="32" t="n"/>
      <c r="AE409" s="31" t="n"/>
      <c r="AF409" s="33" t="n"/>
      <c r="AG409" s="66">
        <f>IF(OR(AF409="",AE409=""),"",IFERROR(AF409*INDEX(FXRates[USD per unit],MATCH(AE409,FXRates[Currency],0)),"No rate"))</f>
        <v/>
      </c>
      <c r="AH409" s="30" t="n"/>
      <c r="AI409" s="30" t="n"/>
      <c r="AJ409" s="34">
        <f>IF(A409="","",IF(COUNTIF($A$6:$A$504,A409)&gt;1,"⚠ Duplicate",""))</f>
        <v/>
      </c>
      <c r="AK409" s="33" t="n"/>
      <c r="AL409" s="41" t="n"/>
      <c r="AM409" s="41" t="n"/>
      <c r="AN409" s="41" t="n"/>
      <c r="AO409" s="41" t="n"/>
      <c r="AP409" s="41" t="n"/>
      <c r="AQ409" s="41" t="n"/>
      <c r="AR409" s="41" t="n"/>
      <c r="AS409" s="41" t="n"/>
      <c r="AT409" s="41" t="n"/>
      <c r="AU409" s="41" t="n"/>
      <c r="AV409" s="41" t="n"/>
      <c r="AW409" s="41" t="n"/>
      <c r="AX409" s="41" t="n"/>
      <c r="AY409" s="41" t="n"/>
      <c r="AZ409" s="33" t="n"/>
      <c r="BA409" s="41" t="n"/>
      <c r="BB409" s="41" t="n"/>
      <c r="BC409" s="41" t="n"/>
      <c r="BD409" s="41" t="n"/>
      <c r="BE409" s="41" t="n"/>
      <c r="BF409" s="41" t="n"/>
      <c r="BG409" s="41" t="n"/>
      <c r="BH409" s="41" t="n"/>
      <c r="BI409" s="41" t="n"/>
      <c r="BJ409" s="41" t="n"/>
      <c r="BK409" s="41" t="n"/>
      <c r="BL409" s="41" t="n"/>
      <c r="BM409" s="41" t="n"/>
      <c r="BN409" s="41" t="n"/>
    </row>
    <row r="410" ht="18" customHeight="1" s="82">
      <c r="A410" s="36" t="n"/>
      <c r="B410" s="36" t="n"/>
      <c r="C410" s="36" t="n"/>
      <c r="D410" s="36" t="n"/>
      <c r="E410" s="37" t="n"/>
      <c r="F410" s="37" t="n"/>
      <c r="G410" s="37" t="n"/>
      <c r="H410" s="37" t="n"/>
      <c r="I410" s="37" t="n"/>
      <c r="J410" s="37" t="n"/>
      <c r="K410" s="37" t="n"/>
      <c r="L410" s="37" t="n"/>
      <c r="M410" s="37" t="n"/>
      <c r="N410" s="37" t="n"/>
      <c r="O410" s="37" t="n"/>
      <c r="P410" s="37" t="n"/>
      <c r="Q410" s="37" t="n"/>
      <c r="R410" s="37" t="n"/>
      <c r="S410" s="37" t="n"/>
      <c r="T410" s="37" t="n"/>
      <c r="U410" s="37" t="n"/>
      <c r="V410" s="37" t="n"/>
      <c r="W410" s="32" t="n"/>
      <c r="X410" s="37" t="n"/>
      <c r="Y410" s="37" t="n"/>
      <c r="Z410" s="37" t="n"/>
      <c r="AA410" s="37" t="n"/>
      <c r="AB410" s="37" t="n"/>
      <c r="AC410" s="37" t="n"/>
      <c r="AD410" s="32" t="n"/>
      <c r="AE410" s="37" t="n"/>
      <c r="AF410" s="38" t="n"/>
      <c r="AG410" s="67">
        <f>IF(OR(AF410="",AE410=""),"",IFERROR(AF410*INDEX(FXRates[USD per unit],MATCH(AE410,FXRates[Currency],0)),"No rate"))</f>
        <v/>
      </c>
      <c r="AH410" s="36" t="n"/>
      <c r="AI410" s="36" t="n"/>
      <c r="AJ410" s="39">
        <f>IF(A410="","",IF(COUNTIF($A$6:$A$504,A410)&gt;1,"⚠ Duplicate",""))</f>
        <v/>
      </c>
      <c r="AK410" s="38" t="n"/>
      <c r="AL410" s="40" t="n"/>
      <c r="AM410" s="40" t="n"/>
      <c r="AN410" s="40" t="n"/>
      <c r="AO410" s="40" t="n"/>
      <c r="AP410" s="40" t="n"/>
      <c r="AQ410" s="40" t="n"/>
      <c r="AR410" s="40" t="n"/>
      <c r="AS410" s="40" t="n"/>
      <c r="AT410" s="40" t="n"/>
      <c r="AU410" s="40" t="n"/>
      <c r="AV410" s="40" t="n"/>
      <c r="AW410" s="40" t="n"/>
      <c r="AX410" s="40" t="n"/>
      <c r="AY410" s="40" t="n"/>
      <c r="AZ410" s="38" t="n"/>
      <c r="BA410" s="40" t="n"/>
      <c r="BB410" s="40" t="n"/>
      <c r="BC410" s="40" t="n"/>
      <c r="BD410" s="40" t="n"/>
      <c r="BE410" s="40" t="n"/>
      <c r="BF410" s="40" t="n"/>
      <c r="BG410" s="40" t="n"/>
      <c r="BH410" s="40" t="n"/>
      <c r="BI410" s="40" t="n"/>
      <c r="BJ410" s="40" t="n"/>
      <c r="BK410" s="40" t="n"/>
      <c r="BL410" s="40" t="n"/>
      <c r="BM410" s="40" t="n"/>
      <c r="BN410" s="40" t="n"/>
    </row>
    <row r="411" ht="18" customHeight="1" s="82">
      <c r="A411" s="30" t="n"/>
      <c r="B411" s="30" t="n"/>
      <c r="C411" s="30" t="n"/>
      <c r="D411" s="30" t="n"/>
      <c r="E411" s="31" t="n"/>
      <c r="F411" s="31" t="n"/>
      <c r="G411" s="31" t="n"/>
      <c r="H411" s="31" t="n"/>
      <c r="I411" s="31" t="n"/>
      <c r="J411" s="31" t="n"/>
      <c r="K411" s="31" t="n"/>
      <c r="L411" s="31" t="n"/>
      <c r="M411" s="31" t="n"/>
      <c r="N411" s="31" t="n"/>
      <c r="O411" s="31" t="n"/>
      <c r="P411" s="31" t="n"/>
      <c r="Q411" s="31" t="n"/>
      <c r="R411" s="31" t="n"/>
      <c r="S411" s="31" t="n"/>
      <c r="T411" s="31" t="n"/>
      <c r="U411" s="31" t="n"/>
      <c r="V411" s="31" t="n"/>
      <c r="W411" s="32" t="n"/>
      <c r="X411" s="31" t="n"/>
      <c r="Y411" s="31" t="n"/>
      <c r="Z411" s="31" t="n"/>
      <c r="AA411" s="31" t="n"/>
      <c r="AB411" s="31" t="n"/>
      <c r="AC411" s="31" t="n"/>
      <c r="AD411" s="32" t="n"/>
      <c r="AE411" s="31" t="n"/>
      <c r="AF411" s="33" t="n"/>
      <c r="AG411" s="66">
        <f>IF(OR(AF411="",AE411=""),"",IFERROR(AF411*INDEX(FXRates[USD per unit],MATCH(AE411,FXRates[Currency],0)),"No rate"))</f>
        <v/>
      </c>
      <c r="AH411" s="30" t="n"/>
      <c r="AI411" s="30" t="n"/>
      <c r="AJ411" s="34">
        <f>IF(A411="","",IF(COUNTIF($A$6:$A$504,A411)&gt;1,"⚠ Duplicate",""))</f>
        <v/>
      </c>
      <c r="AK411" s="33" t="n"/>
      <c r="AL411" s="41" t="n"/>
      <c r="AM411" s="41" t="n"/>
      <c r="AN411" s="41" t="n"/>
      <c r="AO411" s="41" t="n"/>
      <c r="AP411" s="41" t="n"/>
      <c r="AQ411" s="41" t="n"/>
      <c r="AR411" s="41" t="n"/>
      <c r="AS411" s="41" t="n"/>
      <c r="AT411" s="41" t="n"/>
      <c r="AU411" s="41" t="n"/>
      <c r="AV411" s="41" t="n"/>
      <c r="AW411" s="41" t="n"/>
      <c r="AX411" s="41" t="n"/>
      <c r="AY411" s="41" t="n"/>
      <c r="AZ411" s="33" t="n"/>
      <c r="BA411" s="41" t="n"/>
      <c r="BB411" s="41" t="n"/>
      <c r="BC411" s="41" t="n"/>
      <c r="BD411" s="41" t="n"/>
      <c r="BE411" s="41" t="n"/>
      <c r="BF411" s="41" t="n"/>
      <c r="BG411" s="41" t="n"/>
      <c r="BH411" s="41" t="n"/>
      <c r="BI411" s="41" t="n"/>
      <c r="BJ411" s="41" t="n"/>
      <c r="BK411" s="41" t="n"/>
      <c r="BL411" s="41" t="n"/>
      <c r="BM411" s="41" t="n"/>
      <c r="BN411" s="41" t="n"/>
    </row>
    <row r="412" ht="18" customHeight="1" s="82">
      <c r="A412" s="36" t="n"/>
      <c r="B412" s="36" t="n"/>
      <c r="C412" s="36" t="n"/>
      <c r="D412" s="36" t="n"/>
      <c r="E412" s="37" t="n"/>
      <c r="F412" s="37" t="n"/>
      <c r="G412" s="37" t="n"/>
      <c r="H412" s="37" t="n"/>
      <c r="I412" s="37" t="n"/>
      <c r="J412" s="37" t="n"/>
      <c r="K412" s="37" t="n"/>
      <c r="L412" s="37" t="n"/>
      <c r="M412" s="37" t="n"/>
      <c r="N412" s="37" t="n"/>
      <c r="O412" s="37" t="n"/>
      <c r="P412" s="37" t="n"/>
      <c r="Q412" s="37" t="n"/>
      <c r="R412" s="37" t="n"/>
      <c r="S412" s="37" t="n"/>
      <c r="T412" s="37" t="n"/>
      <c r="U412" s="37" t="n"/>
      <c r="V412" s="37" t="n"/>
      <c r="W412" s="32" t="n"/>
      <c r="X412" s="37" t="n"/>
      <c r="Y412" s="37" t="n"/>
      <c r="Z412" s="37" t="n"/>
      <c r="AA412" s="37" t="n"/>
      <c r="AB412" s="37" t="n"/>
      <c r="AC412" s="37" t="n"/>
      <c r="AD412" s="32" t="n"/>
      <c r="AE412" s="37" t="n"/>
      <c r="AF412" s="38" t="n"/>
      <c r="AG412" s="67">
        <f>IF(OR(AF412="",AE412=""),"",IFERROR(AF412*INDEX(FXRates[USD per unit],MATCH(AE412,FXRates[Currency],0)),"No rate"))</f>
        <v/>
      </c>
      <c r="AH412" s="36" t="n"/>
      <c r="AI412" s="36" t="n"/>
      <c r="AJ412" s="39">
        <f>IF(A412="","",IF(COUNTIF($A$6:$A$504,A412)&gt;1,"⚠ Duplicate",""))</f>
        <v/>
      </c>
      <c r="AK412" s="38" t="n"/>
      <c r="AL412" s="40" t="n"/>
      <c r="AM412" s="40" t="n"/>
      <c r="AN412" s="40" t="n"/>
      <c r="AO412" s="40" t="n"/>
      <c r="AP412" s="40" t="n"/>
      <c r="AQ412" s="40" t="n"/>
      <c r="AR412" s="40" t="n"/>
      <c r="AS412" s="40" t="n"/>
      <c r="AT412" s="40" t="n"/>
      <c r="AU412" s="40" t="n"/>
      <c r="AV412" s="40" t="n"/>
      <c r="AW412" s="40" t="n"/>
      <c r="AX412" s="40" t="n"/>
      <c r="AY412" s="40" t="n"/>
      <c r="AZ412" s="38" t="n"/>
      <c r="BA412" s="40" t="n"/>
      <c r="BB412" s="40" t="n"/>
      <c r="BC412" s="40" t="n"/>
      <c r="BD412" s="40" t="n"/>
      <c r="BE412" s="40" t="n"/>
      <c r="BF412" s="40" t="n"/>
      <c r="BG412" s="40" t="n"/>
      <c r="BH412" s="40" t="n"/>
      <c r="BI412" s="40" t="n"/>
      <c r="BJ412" s="40" t="n"/>
      <c r="BK412" s="40" t="n"/>
      <c r="BL412" s="40" t="n"/>
      <c r="BM412" s="40" t="n"/>
      <c r="BN412" s="40" t="n"/>
    </row>
    <row r="413" ht="18" customHeight="1" s="82">
      <c r="A413" s="30" t="n"/>
      <c r="B413" s="30" t="n"/>
      <c r="C413" s="30" t="n"/>
      <c r="D413" s="30" t="n"/>
      <c r="E413" s="31" t="n"/>
      <c r="F413" s="31" t="n"/>
      <c r="G413" s="31" t="n"/>
      <c r="H413" s="31" t="n"/>
      <c r="I413" s="31" t="n"/>
      <c r="J413" s="31" t="n"/>
      <c r="K413" s="31" t="n"/>
      <c r="L413" s="31" t="n"/>
      <c r="M413" s="31" t="n"/>
      <c r="N413" s="31" t="n"/>
      <c r="O413" s="31" t="n"/>
      <c r="P413" s="31" t="n"/>
      <c r="Q413" s="31" t="n"/>
      <c r="R413" s="31" t="n"/>
      <c r="S413" s="31" t="n"/>
      <c r="T413" s="31" t="n"/>
      <c r="U413" s="31" t="n"/>
      <c r="V413" s="31" t="n"/>
      <c r="W413" s="32" t="n"/>
      <c r="X413" s="31" t="n"/>
      <c r="Y413" s="31" t="n"/>
      <c r="Z413" s="31" t="n"/>
      <c r="AA413" s="31" t="n"/>
      <c r="AB413" s="31" t="n"/>
      <c r="AC413" s="31" t="n"/>
      <c r="AD413" s="32" t="n"/>
      <c r="AE413" s="31" t="n"/>
      <c r="AF413" s="33" t="n"/>
      <c r="AG413" s="66">
        <f>IF(OR(AF413="",AE413=""),"",IFERROR(AF413*INDEX(FXRates[USD per unit],MATCH(AE413,FXRates[Currency],0)),"No rate"))</f>
        <v/>
      </c>
      <c r="AH413" s="30" t="n"/>
      <c r="AI413" s="30" t="n"/>
      <c r="AJ413" s="34">
        <f>IF(A413="","",IF(COUNTIF($A$6:$A$504,A413)&gt;1,"⚠ Duplicate",""))</f>
        <v/>
      </c>
      <c r="AK413" s="33" t="n"/>
      <c r="AL413" s="41" t="n"/>
      <c r="AM413" s="41" t="n"/>
      <c r="AN413" s="41" t="n"/>
      <c r="AO413" s="41" t="n"/>
      <c r="AP413" s="41" t="n"/>
      <c r="AQ413" s="41" t="n"/>
      <c r="AR413" s="41" t="n"/>
      <c r="AS413" s="41" t="n"/>
      <c r="AT413" s="41" t="n"/>
      <c r="AU413" s="41" t="n"/>
      <c r="AV413" s="41" t="n"/>
      <c r="AW413" s="41" t="n"/>
      <c r="AX413" s="41" t="n"/>
      <c r="AY413" s="41" t="n"/>
      <c r="AZ413" s="33" t="n"/>
      <c r="BA413" s="41" t="n"/>
      <c r="BB413" s="41" t="n"/>
      <c r="BC413" s="41" t="n"/>
      <c r="BD413" s="41" t="n"/>
      <c r="BE413" s="41" t="n"/>
      <c r="BF413" s="41" t="n"/>
      <c r="BG413" s="41" t="n"/>
      <c r="BH413" s="41" t="n"/>
      <c r="BI413" s="41" t="n"/>
      <c r="BJ413" s="41" t="n"/>
      <c r="BK413" s="41" t="n"/>
      <c r="BL413" s="41" t="n"/>
      <c r="BM413" s="41" t="n"/>
      <c r="BN413" s="41" t="n"/>
    </row>
    <row r="414" ht="18" customHeight="1" s="82">
      <c r="A414" s="36" t="n"/>
      <c r="B414" s="36" t="n"/>
      <c r="C414" s="36" t="n"/>
      <c r="D414" s="36" t="n"/>
      <c r="E414" s="37" t="n"/>
      <c r="F414" s="37" t="n"/>
      <c r="G414" s="37" t="n"/>
      <c r="H414" s="37" t="n"/>
      <c r="I414" s="37" t="n"/>
      <c r="J414" s="37" t="n"/>
      <c r="K414" s="37" t="n"/>
      <c r="L414" s="37" t="n"/>
      <c r="M414" s="37" t="n"/>
      <c r="N414" s="37" t="n"/>
      <c r="O414" s="37" t="n"/>
      <c r="P414" s="37" t="n"/>
      <c r="Q414" s="37" t="n"/>
      <c r="R414" s="37" t="n"/>
      <c r="S414" s="37" t="n"/>
      <c r="T414" s="37" t="n"/>
      <c r="U414" s="37" t="n"/>
      <c r="V414" s="37" t="n"/>
      <c r="W414" s="32" t="n"/>
      <c r="X414" s="37" t="n"/>
      <c r="Y414" s="37" t="n"/>
      <c r="Z414" s="37" t="n"/>
      <c r="AA414" s="37" t="n"/>
      <c r="AB414" s="37" t="n"/>
      <c r="AC414" s="37" t="n"/>
      <c r="AD414" s="32" t="n"/>
      <c r="AE414" s="37" t="n"/>
      <c r="AF414" s="38" t="n"/>
      <c r="AG414" s="67">
        <f>IF(OR(AF414="",AE414=""),"",IFERROR(AF414*INDEX(FXRates[USD per unit],MATCH(AE414,FXRates[Currency],0)),"No rate"))</f>
        <v/>
      </c>
      <c r="AH414" s="36" t="n"/>
      <c r="AI414" s="36" t="n"/>
      <c r="AJ414" s="39">
        <f>IF(A414="","",IF(COUNTIF($A$6:$A$504,A414)&gt;1,"⚠ Duplicate",""))</f>
        <v/>
      </c>
      <c r="AK414" s="38" t="n"/>
      <c r="AL414" s="40" t="n"/>
      <c r="AM414" s="40" t="n"/>
      <c r="AN414" s="40" t="n"/>
      <c r="AO414" s="40" t="n"/>
      <c r="AP414" s="40" t="n"/>
      <c r="AQ414" s="40" t="n"/>
      <c r="AR414" s="40" t="n"/>
      <c r="AS414" s="40" t="n"/>
      <c r="AT414" s="40" t="n"/>
      <c r="AU414" s="40" t="n"/>
      <c r="AV414" s="40" t="n"/>
      <c r="AW414" s="40" t="n"/>
      <c r="AX414" s="40" t="n"/>
      <c r="AY414" s="40" t="n"/>
      <c r="AZ414" s="38" t="n"/>
      <c r="BA414" s="40" t="n"/>
      <c r="BB414" s="40" t="n"/>
      <c r="BC414" s="40" t="n"/>
      <c r="BD414" s="40" t="n"/>
      <c r="BE414" s="40" t="n"/>
      <c r="BF414" s="40" t="n"/>
      <c r="BG414" s="40" t="n"/>
      <c r="BH414" s="40" t="n"/>
      <c r="BI414" s="40" t="n"/>
      <c r="BJ414" s="40" t="n"/>
      <c r="BK414" s="40" t="n"/>
      <c r="BL414" s="40" t="n"/>
      <c r="BM414" s="40" t="n"/>
      <c r="BN414" s="40" t="n"/>
    </row>
    <row r="415" ht="18" customHeight="1" s="82">
      <c r="A415" s="30" t="n"/>
      <c r="B415" s="30" t="n"/>
      <c r="C415" s="30" t="n"/>
      <c r="D415" s="30" t="n"/>
      <c r="E415" s="31" t="n"/>
      <c r="F415" s="31" t="n"/>
      <c r="G415" s="31" t="n"/>
      <c r="H415" s="31" t="n"/>
      <c r="I415" s="31" t="n"/>
      <c r="J415" s="31" t="n"/>
      <c r="K415" s="31" t="n"/>
      <c r="L415" s="31" t="n"/>
      <c r="M415" s="31" t="n"/>
      <c r="N415" s="31" t="n"/>
      <c r="O415" s="31" t="n"/>
      <c r="P415" s="31" t="n"/>
      <c r="Q415" s="31" t="n"/>
      <c r="R415" s="31" t="n"/>
      <c r="S415" s="31" t="n"/>
      <c r="T415" s="31" t="n"/>
      <c r="U415" s="31" t="n"/>
      <c r="V415" s="31" t="n"/>
      <c r="W415" s="32" t="n"/>
      <c r="X415" s="31" t="n"/>
      <c r="Y415" s="31" t="n"/>
      <c r="Z415" s="31" t="n"/>
      <c r="AA415" s="31" t="n"/>
      <c r="AB415" s="31" t="n"/>
      <c r="AC415" s="31" t="n"/>
      <c r="AD415" s="32" t="n"/>
      <c r="AE415" s="31" t="n"/>
      <c r="AF415" s="33" t="n"/>
      <c r="AG415" s="66">
        <f>IF(OR(AF415="",AE415=""),"",IFERROR(AF415*INDEX(FXRates[USD per unit],MATCH(AE415,FXRates[Currency],0)),"No rate"))</f>
        <v/>
      </c>
      <c r="AH415" s="30" t="n"/>
      <c r="AI415" s="30" t="n"/>
      <c r="AJ415" s="34">
        <f>IF(A415="","",IF(COUNTIF($A$6:$A$504,A415)&gt;1,"⚠ Duplicate",""))</f>
        <v/>
      </c>
      <c r="AK415" s="33" t="n"/>
      <c r="AL415" s="41" t="n"/>
      <c r="AM415" s="41" t="n"/>
      <c r="AN415" s="41" t="n"/>
      <c r="AO415" s="41" t="n"/>
      <c r="AP415" s="41" t="n"/>
      <c r="AQ415" s="41" t="n"/>
      <c r="AR415" s="41" t="n"/>
      <c r="AS415" s="41" t="n"/>
      <c r="AT415" s="41" t="n"/>
      <c r="AU415" s="41" t="n"/>
      <c r="AV415" s="41" t="n"/>
      <c r="AW415" s="41" t="n"/>
      <c r="AX415" s="41" t="n"/>
      <c r="AY415" s="41" t="n"/>
      <c r="AZ415" s="33" t="n"/>
      <c r="BA415" s="41" t="n"/>
      <c r="BB415" s="41" t="n"/>
      <c r="BC415" s="41" t="n"/>
      <c r="BD415" s="41" t="n"/>
      <c r="BE415" s="41" t="n"/>
      <c r="BF415" s="41" t="n"/>
      <c r="BG415" s="41" t="n"/>
      <c r="BH415" s="41" t="n"/>
      <c r="BI415" s="41" t="n"/>
      <c r="BJ415" s="41" t="n"/>
      <c r="BK415" s="41" t="n"/>
      <c r="BL415" s="41" t="n"/>
      <c r="BM415" s="41" t="n"/>
      <c r="BN415" s="41" t="n"/>
    </row>
    <row r="416" ht="18" customHeight="1" s="82">
      <c r="A416" s="36" t="n"/>
      <c r="B416" s="36" t="n"/>
      <c r="C416" s="36" t="n"/>
      <c r="D416" s="36" t="n"/>
      <c r="E416" s="37" t="n"/>
      <c r="F416" s="37" t="n"/>
      <c r="G416" s="37" t="n"/>
      <c r="H416" s="37" t="n"/>
      <c r="I416" s="37" t="n"/>
      <c r="J416" s="37" t="n"/>
      <c r="K416" s="37" t="n"/>
      <c r="L416" s="37" t="n"/>
      <c r="M416" s="37" t="n"/>
      <c r="N416" s="37" t="n"/>
      <c r="O416" s="37" t="n"/>
      <c r="P416" s="37" t="n"/>
      <c r="Q416" s="37" t="n"/>
      <c r="R416" s="37" t="n"/>
      <c r="S416" s="37" t="n"/>
      <c r="T416" s="37" t="n"/>
      <c r="U416" s="37" t="n"/>
      <c r="V416" s="37" t="n"/>
      <c r="W416" s="32" t="n"/>
      <c r="X416" s="37" t="n"/>
      <c r="Y416" s="37" t="n"/>
      <c r="Z416" s="37" t="n"/>
      <c r="AA416" s="37" t="n"/>
      <c r="AB416" s="37" t="n"/>
      <c r="AC416" s="37" t="n"/>
      <c r="AD416" s="32" t="n"/>
      <c r="AE416" s="37" t="n"/>
      <c r="AF416" s="38" t="n"/>
      <c r="AG416" s="67">
        <f>IF(OR(AF416="",AE416=""),"",IFERROR(AF416*INDEX(FXRates[USD per unit],MATCH(AE416,FXRates[Currency],0)),"No rate"))</f>
        <v/>
      </c>
      <c r="AH416" s="36" t="n"/>
      <c r="AI416" s="36" t="n"/>
      <c r="AJ416" s="39">
        <f>IF(A416="","",IF(COUNTIF($A$6:$A$504,A416)&gt;1,"⚠ Duplicate",""))</f>
        <v/>
      </c>
      <c r="AK416" s="38" t="n"/>
      <c r="AL416" s="40" t="n"/>
      <c r="AM416" s="40" t="n"/>
      <c r="AN416" s="40" t="n"/>
      <c r="AO416" s="40" t="n"/>
      <c r="AP416" s="40" t="n"/>
      <c r="AQ416" s="40" t="n"/>
      <c r="AR416" s="40" t="n"/>
      <c r="AS416" s="40" t="n"/>
      <c r="AT416" s="40" t="n"/>
      <c r="AU416" s="40" t="n"/>
      <c r="AV416" s="40" t="n"/>
      <c r="AW416" s="40" t="n"/>
      <c r="AX416" s="40" t="n"/>
      <c r="AY416" s="40" t="n"/>
      <c r="AZ416" s="38" t="n"/>
      <c r="BA416" s="40" t="n"/>
      <c r="BB416" s="40" t="n"/>
      <c r="BC416" s="40" t="n"/>
      <c r="BD416" s="40" t="n"/>
      <c r="BE416" s="40" t="n"/>
      <c r="BF416" s="40" t="n"/>
      <c r="BG416" s="40" t="n"/>
      <c r="BH416" s="40" t="n"/>
      <c r="BI416" s="40" t="n"/>
      <c r="BJ416" s="40" t="n"/>
      <c r="BK416" s="40" t="n"/>
      <c r="BL416" s="40" t="n"/>
      <c r="BM416" s="40" t="n"/>
      <c r="BN416" s="40" t="n"/>
    </row>
    <row r="417" ht="18" customHeight="1" s="82">
      <c r="A417" s="30" t="n"/>
      <c r="B417" s="30" t="n"/>
      <c r="C417" s="30" t="n"/>
      <c r="D417" s="30" t="n"/>
      <c r="E417" s="31" t="n"/>
      <c r="F417" s="31" t="n"/>
      <c r="G417" s="31" t="n"/>
      <c r="H417" s="31" t="n"/>
      <c r="I417" s="31" t="n"/>
      <c r="J417" s="31" t="n"/>
      <c r="K417" s="31" t="n"/>
      <c r="L417" s="31" t="n"/>
      <c r="M417" s="31" t="n"/>
      <c r="N417" s="31" t="n"/>
      <c r="O417" s="31" t="n"/>
      <c r="P417" s="31" t="n"/>
      <c r="Q417" s="31" t="n"/>
      <c r="R417" s="31" t="n"/>
      <c r="S417" s="31" t="n"/>
      <c r="T417" s="31" t="n"/>
      <c r="U417" s="31" t="n"/>
      <c r="V417" s="31" t="n"/>
      <c r="W417" s="32" t="n"/>
      <c r="X417" s="31" t="n"/>
      <c r="Y417" s="31" t="n"/>
      <c r="Z417" s="31" t="n"/>
      <c r="AA417" s="31" t="n"/>
      <c r="AB417" s="31" t="n"/>
      <c r="AC417" s="31" t="n"/>
      <c r="AD417" s="32" t="n"/>
      <c r="AE417" s="31" t="n"/>
      <c r="AF417" s="33" t="n"/>
      <c r="AG417" s="66">
        <f>IF(OR(AF417="",AE417=""),"",IFERROR(AF417*INDEX(FXRates[USD per unit],MATCH(AE417,FXRates[Currency],0)),"No rate"))</f>
        <v/>
      </c>
      <c r="AH417" s="30" t="n"/>
      <c r="AI417" s="30" t="n"/>
      <c r="AJ417" s="34">
        <f>IF(A417="","",IF(COUNTIF($A$6:$A$504,A417)&gt;1,"⚠ Duplicate",""))</f>
        <v/>
      </c>
      <c r="AK417" s="33" t="n"/>
      <c r="AL417" s="41" t="n"/>
      <c r="AM417" s="41" t="n"/>
      <c r="AN417" s="41" t="n"/>
      <c r="AO417" s="41" t="n"/>
      <c r="AP417" s="41" t="n"/>
      <c r="AQ417" s="41" t="n"/>
      <c r="AR417" s="41" t="n"/>
      <c r="AS417" s="41" t="n"/>
      <c r="AT417" s="41" t="n"/>
      <c r="AU417" s="41" t="n"/>
      <c r="AV417" s="41" t="n"/>
      <c r="AW417" s="41" t="n"/>
      <c r="AX417" s="41" t="n"/>
      <c r="AY417" s="41" t="n"/>
      <c r="AZ417" s="33" t="n"/>
      <c r="BA417" s="41" t="n"/>
      <c r="BB417" s="41" t="n"/>
      <c r="BC417" s="41" t="n"/>
      <c r="BD417" s="41" t="n"/>
      <c r="BE417" s="41" t="n"/>
      <c r="BF417" s="41" t="n"/>
      <c r="BG417" s="41" t="n"/>
      <c r="BH417" s="41" t="n"/>
      <c r="BI417" s="41" t="n"/>
      <c r="BJ417" s="41" t="n"/>
      <c r="BK417" s="41" t="n"/>
      <c r="BL417" s="41" t="n"/>
      <c r="BM417" s="41" t="n"/>
      <c r="BN417" s="41" t="n"/>
    </row>
    <row r="418" ht="18" customHeight="1" s="82">
      <c r="A418" s="36" t="n"/>
      <c r="B418" s="36" t="n"/>
      <c r="C418" s="36" t="n"/>
      <c r="D418" s="36" t="n"/>
      <c r="E418" s="37" t="n"/>
      <c r="F418" s="37" t="n"/>
      <c r="G418" s="37" t="n"/>
      <c r="H418" s="37" t="n"/>
      <c r="I418" s="37" t="n"/>
      <c r="J418" s="37" t="n"/>
      <c r="K418" s="37" t="n"/>
      <c r="L418" s="37" t="n"/>
      <c r="M418" s="37" t="n"/>
      <c r="N418" s="37" t="n"/>
      <c r="O418" s="37" t="n"/>
      <c r="P418" s="37" t="n"/>
      <c r="Q418" s="37" t="n"/>
      <c r="R418" s="37" t="n"/>
      <c r="S418" s="37" t="n"/>
      <c r="T418" s="37" t="n"/>
      <c r="U418" s="37" t="n"/>
      <c r="V418" s="37" t="n"/>
      <c r="W418" s="32" t="n"/>
      <c r="X418" s="37" t="n"/>
      <c r="Y418" s="37" t="n"/>
      <c r="Z418" s="37" t="n"/>
      <c r="AA418" s="37" t="n"/>
      <c r="AB418" s="37" t="n"/>
      <c r="AC418" s="37" t="n"/>
      <c r="AD418" s="32" t="n"/>
      <c r="AE418" s="37" t="n"/>
      <c r="AF418" s="38" t="n"/>
      <c r="AG418" s="67">
        <f>IF(OR(AF418="",AE418=""),"",IFERROR(AF418*INDEX(FXRates[USD per unit],MATCH(AE418,FXRates[Currency],0)),"No rate"))</f>
        <v/>
      </c>
      <c r="AH418" s="36" t="n"/>
      <c r="AI418" s="36" t="n"/>
      <c r="AJ418" s="39">
        <f>IF(A418="","",IF(COUNTIF($A$6:$A$504,A418)&gt;1,"⚠ Duplicate",""))</f>
        <v/>
      </c>
      <c r="AK418" s="38" t="n"/>
      <c r="AL418" s="40" t="n"/>
      <c r="AM418" s="40" t="n"/>
      <c r="AN418" s="40" t="n"/>
      <c r="AO418" s="40" t="n"/>
      <c r="AP418" s="40" t="n"/>
      <c r="AQ418" s="40" t="n"/>
      <c r="AR418" s="40" t="n"/>
      <c r="AS418" s="40" t="n"/>
      <c r="AT418" s="40" t="n"/>
      <c r="AU418" s="40" t="n"/>
      <c r="AV418" s="40" t="n"/>
      <c r="AW418" s="40" t="n"/>
      <c r="AX418" s="40" t="n"/>
      <c r="AY418" s="40" t="n"/>
      <c r="AZ418" s="38" t="n"/>
      <c r="BA418" s="40" t="n"/>
      <c r="BB418" s="40" t="n"/>
      <c r="BC418" s="40" t="n"/>
      <c r="BD418" s="40" t="n"/>
      <c r="BE418" s="40" t="n"/>
      <c r="BF418" s="40" t="n"/>
      <c r="BG418" s="40" t="n"/>
      <c r="BH418" s="40" t="n"/>
      <c r="BI418" s="40" t="n"/>
      <c r="BJ418" s="40" t="n"/>
      <c r="BK418" s="40" t="n"/>
      <c r="BL418" s="40" t="n"/>
      <c r="BM418" s="40" t="n"/>
      <c r="BN418" s="40" t="n"/>
    </row>
    <row r="419" ht="18" customHeight="1" s="82">
      <c r="A419" s="30" t="n"/>
      <c r="B419" s="30" t="n"/>
      <c r="C419" s="30" t="n"/>
      <c r="D419" s="30" t="n"/>
      <c r="E419" s="31" t="n"/>
      <c r="F419" s="31" t="n"/>
      <c r="G419" s="31" t="n"/>
      <c r="H419" s="31" t="n"/>
      <c r="I419" s="31" t="n"/>
      <c r="J419" s="31" t="n"/>
      <c r="K419" s="31" t="n"/>
      <c r="L419" s="31" t="n"/>
      <c r="M419" s="31" t="n"/>
      <c r="N419" s="31" t="n"/>
      <c r="O419" s="31" t="n"/>
      <c r="P419" s="31" t="n"/>
      <c r="Q419" s="31" t="n"/>
      <c r="R419" s="31" t="n"/>
      <c r="S419" s="31" t="n"/>
      <c r="T419" s="31" t="n"/>
      <c r="U419" s="31" t="n"/>
      <c r="V419" s="31" t="n"/>
      <c r="W419" s="32" t="n"/>
      <c r="X419" s="31" t="n"/>
      <c r="Y419" s="31" t="n"/>
      <c r="Z419" s="31" t="n"/>
      <c r="AA419" s="31" t="n"/>
      <c r="AB419" s="31" t="n"/>
      <c r="AC419" s="31" t="n"/>
      <c r="AD419" s="32" t="n"/>
      <c r="AE419" s="31" t="n"/>
      <c r="AF419" s="33" t="n"/>
      <c r="AG419" s="66">
        <f>IF(OR(AF419="",AE419=""),"",IFERROR(AF419*INDEX(FXRates[USD per unit],MATCH(AE419,FXRates[Currency],0)),"No rate"))</f>
        <v/>
      </c>
      <c r="AH419" s="30" t="n"/>
      <c r="AI419" s="30" t="n"/>
      <c r="AJ419" s="34">
        <f>IF(A419="","",IF(COUNTIF($A$6:$A$504,A419)&gt;1,"⚠ Duplicate",""))</f>
        <v/>
      </c>
      <c r="AK419" s="33" t="n"/>
      <c r="AL419" s="41" t="n"/>
      <c r="AM419" s="41" t="n"/>
      <c r="AN419" s="41" t="n"/>
      <c r="AO419" s="41" t="n"/>
      <c r="AP419" s="41" t="n"/>
      <c r="AQ419" s="41" t="n"/>
      <c r="AR419" s="41" t="n"/>
      <c r="AS419" s="41" t="n"/>
      <c r="AT419" s="41" t="n"/>
      <c r="AU419" s="41" t="n"/>
      <c r="AV419" s="41" t="n"/>
      <c r="AW419" s="41" t="n"/>
      <c r="AX419" s="41" t="n"/>
      <c r="AY419" s="41" t="n"/>
      <c r="AZ419" s="33" t="n"/>
      <c r="BA419" s="41" t="n"/>
      <c r="BB419" s="41" t="n"/>
      <c r="BC419" s="41" t="n"/>
      <c r="BD419" s="41" t="n"/>
      <c r="BE419" s="41" t="n"/>
      <c r="BF419" s="41" t="n"/>
      <c r="BG419" s="41" t="n"/>
      <c r="BH419" s="41" t="n"/>
      <c r="BI419" s="41" t="n"/>
      <c r="BJ419" s="41" t="n"/>
      <c r="BK419" s="41" t="n"/>
      <c r="BL419" s="41" t="n"/>
      <c r="BM419" s="41" t="n"/>
      <c r="BN419" s="41" t="n"/>
    </row>
    <row r="420" ht="18" customHeight="1" s="82">
      <c r="A420" s="36" t="n"/>
      <c r="B420" s="36" t="n"/>
      <c r="C420" s="36" t="n"/>
      <c r="D420" s="36" t="n"/>
      <c r="E420" s="37" t="n"/>
      <c r="F420" s="37" t="n"/>
      <c r="G420" s="37" t="n"/>
      <c r="H420" s="37" t="n"/>
      <c r="I420" s="37" t="n"/>
      <c r="J420" s="37" t="n"/>
      <c r="K420" s="37" t="n"/>
      <c r="L420" s="37" t="n"/>
      <c r="M420" s="37" t="n"/>
      <c r="N420" s="37" t="n"/>
      <c r="O420" s="37" t="n"/>
      <c r="P420" s="37" t="n"/>
      <c r="Q420" s="37" t="n"/>
      <c r="R420" s="37" t="n"/>
      <c r="S420" s="37" t="n"/>
      <c r="T420" s="37" t="n"/>
      <c r="U420" s="37" t="n"/>
      <c r="V420" s="37" t="n"/>
      <c r="W420" s="32" t="n"/>
      <c r="X420" s="37" t="n"/>
      <c r="Y420" s="37" t="n"/>
      <c r="Z420" s="37" t="n"/>
      <c r="AA420" s="37" t="n"/>
      <c r="AB420" s="37" t="n"/>
      <c r="AC420" s="37" t="n"/>
      <c r="AD420" s="32" t="n"/>
      <c r="AE420" s="37" t="n"/>
      <c r="AF420" s="38" t="n"/>
      <c r="AG420" s="67">
        <f>IF(OR(AF420="",AE420=""),"",IFERROR(AF420*INDEX(FXRates[USD per unit],MATCH(AE420,FXRates[Currency],0)),"No rate"))</f>
        <v/>
      </c>
      <c r="AH420" s="36" t="n"/>
      <c r="AI420" s="36" t="n"/>
      <c r="AJ420" s="39">
        <f>IF(A420="","",IF(COUNTIF($A$6:$A$504,A420)&gt;1,"⚠ Duplicate",""))</f>
        <v/>
      </c>
      <c r="AK420" s="38" t="n"/>
      <c r="AL420" s="40" t="n"/>
      <c r="AM420" s="40" t="n"/>
      <c r="AN420" s="40" t="n"/>
      <c r="AO420" s="40" t="n"/>
      <c r="AP420" s="40" t="n"/>
      <c r="AQ420" s="40" t="n"/>
      <c r="AR420" s="40" t="n"/>
      <c r="AS420" s="40" t="n"/>
      <c r="AT420" s="40" t="n"/>
      <c r="AU420" s="40" t="n"/>
      <c r="AV420" s="40" t="n"/>
      <c r="AW420" s="40" t="n"/>
      <c r="AX420" s="40" t="n"/>
      <c r="AY420" s="40" t="n"/>
      <c r="AZ420" s="38" t="n"/>
      <c r="BA420" s="40" t="n"/>
      <c r="BB420" s="40" t="n"/>
      <c r="BC420" s="40" t="n"/>
      <c r="BD420" s="40" t="n"/>
      <c r="BE420" s="40" t="n"/>
      <c r="BF420" s="40" t="n"/>
      <c r="BG420" s="40" t="n"/>
      <c r="BH420" s="40" t="n"/>
      <c r="BI420" s="40" t="n"/>
      <c r="BJ420" s="40" t="n"/>
      <c r="BK420" s="40" t="n"/>
      <c r="BL420" s="40" t="n"/>
      <c r="BM420" s="40" t="n"/>
      <c r="BN420" s="40" t="n"/>
    </row>
    <row r="421" ht="18" customHeight="1" s="82">
      <c r="A421" s="30" t="n"/>
      <c r="B421" s="30" t="n"/>
      <c r="C421" s="30" t="n"/>
      <c r="D421" s="30" t="n"/>
      <c r="E421" s="31" t="n"/>
      <c r="F421" s="31" t="n"/>
      <c r="G421" s="31" t="n"/>
      <c r="H421" s="31" t="n"/>
      <c r="I421" s="31" t="n"/>
      <c r="J421" s="31" t="n"/>
      <c r="K421" s="31" t="n"/>
      <c r="L421" s="31" t="n"/>
      <c r="M421" s="31" t="n"/>
      <c r="N421" s="31" t="n"/>
      <c r="O421" s="31" t="n"/>
      <c r="P421" s="31" t="n"/>
      <c r="Q421" s="31" t="n"/>
      <c r="R421" s="31" t="n"/>
      <c r="S421" s="31" t="n"/>
      <c r="T421" s="31" t="n"/>
      <c r="U421" s="31" t="n"/>
      <c r="V421" s="31" t="n"/>
      <c r="W421" s="32" t="n"/>
      <c r="X421" s="31" t="n"/>
      <c r="Y421" s="31" t="n"/>
      <c r="Z421" s="31" t="n"/>
      <c r="AA421" s="31" t="n"/>
      <c r="AB421" s="31" t="n"/>
      <c r="AC421" s="31" t="n"/>
      <c r="AD421" s="32" t="n"/>
      <c r="AE421" s="31" t="n"/>
      <c r="AF421" s="33" t="n"/>
      <c r="AG421" s="66">
        <f>IF(OR(AF421="",AE421=""),"",IFERROR(AF421*INDEX(FXRates[USD per unit],MATCH(AE421,FXRates[Currency],0)),"No rate"))</f>
        <v/>
      </c>
      <c r="AH421" s="30" t="n"/>
      <c r="AI421" s="30" t="n"/>
      <c r="AJ421" s="34">
        <f>IF(A421="","",IF(COUNTIF($A$6:$A$504,A421)&gt;1,"⚠ Duplicate",""))</f>
        <v/>
      </c>
      <c r="AK421" s="33" t="n"/>
      <c r="AL421" s="41" t="n"/>
      <c r="AM421" s="41" t="n"/>
      <c r="AN421" s="41" t="n"/>
      <c r="AO421" s="41" t="n"/>
      <c r="AP421" s="41" t="n"/>
      <c r="AQ421" s="41" t="n"/>
      <c r="AR421" s="41" t="n"/>
      <c r="AS421" s="41" t="n"/>
      <c r="AT421" s="41" t="n"/>
      <c r="AU421" s="41" t="n"/>
      <c r="AV421" s="41" t="n"/>
      <c r="AW421" s="41" t="n"/>
      <c r="AX421" s="41" t="n"/>
      <c r="AY421" s="41" t="n"/>
      <c r="AZ421" s="33" t="n"/>
      <c r="BA421" s="41" t="n"/>
      <c r="BB421" s="41" t="n"/>
      <c r="BC421" s="41" t="n"/>
      <c r="BD421" s="41" t="n"/>
      <c r="BE421" s="41" t="n"/>
      <c r="BF421" s="41" t="n"/>
      <c r="BG421" s="41" t="n"/>
      <c r="BH421" s="41" t="n"/>
      <c r="BI421" s="41" t="n"/>
      <c r="BJ421" s="41" t="n"/>
      <c r="BK421" s="41" t="n"/>
      <c r="BL421" s="41" t="n"/>
      <c r="BM421" s="41" t="n"/>
      <c r="BN421" s="41" t="n"/>
    </row>
    <row r="422" ht="18" customHeight="1" s="82">
      <c r="A422" s="36" t="n"/>
      <c r="B422" s="36" t="n"/>
      <c r="C422" s="36" t="n"/>
      <c r="D422" s="36" t="n"/>
      <c r="E422" s="37" t="n"/>
      <c r="F422" s="37" t="n"/>
      <c r="G422" s="37" t="n"/>
      <c r="H422" s="37" t="n"/>
      <c r="I422" s="37" t="n"/>
      <c r="J422" s="37" t="n"/>
      <c r="K422" s="37" t="n"/>
      <c r="L422" s="37" t="n"/>
      <c r="M422" s="37" t="n"/>
      <c r="N422" s="37" t="n"/>
      <c r="O422" s="37" t="n"/>
      <c r="P422" s="37" t="n"/>
      <c r="Q422" s="37" t="n"/>
      <c r="R422" s="37" t="n"/>
      <c r="S422" s="37" t="n"/>
      <c r="T422" s="37" t="n"/>
      <c r="U422" s="37" t="n"/>
      <c r="V422" s="37" t="n"/>
      <c r="W422" s="32" t="n"/>
      <c r="X422" s="37" t="n"/>
      <c r="Y422" s="37" t="n"/>
      <c r="Z422" s="37" t="n"/>
      <c r="AA422" s="37" t="n"/>
      <c r="AB422" s="37" t="n"/>
      <c r="AC422" s="37" t="n"/>
      <c r="AD422" s="32" t="n"/>
      <c r="AE422" s="37" t="n"/>
      <c r="AF422" s="38" t="n"/>
      <c r="AG422" s="67">
        <f>IF(OR(AF422="",AE422=""),"",IFERROR(AF422*INDEX(FXRates[USD per unit],MATCH(AE422,FXRates[Currency],0)),"No rate"))</f>
        <v/>
      </c>
      <c r="AH422" s="36" t="n"/>
      <c r="AI422" s="36" t="n"/>
      <c r="AJ422" s="39">
        <f>IF(A422="","",IF(COUNTIF($A$6:$A$504,A422)&gt;1,"⚠ Duplicate",""))</f>
        <v/>
      </c>
      <c r="AK422" s="38" t="n"/>
      <c r="AL422" s="40" t="n"/>
      <c r="AM422" s="40" t="n"/>
      <c r="AN422" s="40" t="n"/>
      <c r="AO422" s="40" t="n"/>
      <c r="AP422" s="40" t="n"/>
      <c r="AQ422" s="40" t="n"/>
      <c r="AR422" s="40" t="n"/>
      <c r="AS422" s="40" t="n"/>
      <c r="AT422" s="40" t="n"/>
      <c r="AU422" s="40" t="n"/>
      <c r="AV422" s="40" t="n"/>
      <c r="AW422" s="40" t="n"/>
      <c r="AX422" s="40" t="n"/>
      <c r="AY422" s="40" t="n"/>
      <c r="AZ422" s="38" t="n"/>
      <c r="BA422" s="40" t="n"/>
      <c r="BB422" s="40" t="n"/>
      <c r="BC422" s="40" t="n"/>
      <c r="BD422" s="40" t="n"/>
      <c r="BE422" s="40" t="n"/>
      <c r="BF422" s="40" t="n"/>
      <c r="BG422" s="40" t="n"/>
      <c r="BH422" s="40" t="n"/>
      <c r="BI422" s="40" t="n"/>
      <c r="BJ422" s="40" t="n"/>
      <c r="BK422" s="40" t="n"/>
      <c r="BL422" s="40" t="n"/>
      <c r="BM422" s="40" t="n"/>
      <c r="BN422" s="40" t="n"/>
    </row>
    <row r="423" ht="18" customHeight="1" s="82">
      <c r="A423" s="30" t="n"/>
      <c r="B423" s="30" t="n"/>
      <c r="C423" s="30" t="n"/>
      <c r="D423" s="30" t="n"/>
      <c r="E423" s="31" t="n"/>
      <c r="F423" s="31" t="n"/>
      <c r="G423" s="31" t="n"/>
      <c r="H423" s="31" t="n"/>
      <c r="I423" s="31" t="n"/>
      <c r="J423" s="31" t="n"/>
      <c r="K423" s="31" t="n"/>
      <c r="L423" s="31" t="n"/>
      <c r="M423" s="31" t="n"/>
      <c r="N423" s="31" t="n"/>
      <c r="O423" s="31" t="n"/>
      <c r="P423" s="31" t="n"/>
      <c r="Q423" s="31" t="n"/>
      <c r="R423" s="31" t="n"/>
      <c r="S423" s="31" t="n"/>
      <c r="T423" s="31" t="n"/>
      <c r="U423" s="31" t="n"/>
      <c r="V423" s="31" t="n"/>
      <c r="W423" s="32" t="n"/>
      <c r="X423" s="31" t="n"/>
      <c r="Y423" s="31" t="n"/>
      <c r="Z423" s="31" t="n"/>
      <c r="AA423" s="31" t="n"/>
      <c r="AB423" s="31" t="n"/>
      <c r="AC423" s="31" t="n"/>
      <c r="AD423" s="32" t="n"/>
      <c r="AE423" s="31" t="n"/>
      <c r="AF423" s="33" t="n"/>
      <c r="AG423" s="66">
        <f>IF(OR(AF423="",AE423=""),"",IFERROR(AF423*INDEX(FXRates[USD per unit],MATCH(AE423,FXRates[Currency],0)),"No rate"))</f>
        <v/>
      </c>
      <c r="AH423" s="30" t="n"/>
      <c r="AI423" s="30" t="n"/>
      <c r="AJ423" s="34">
        <f>IF(A423="","",IF(COUNTIF($A$6:$A$504,A423)&gt;1,"⚠ Duplicate",""))</f>
        <v/>
      </c>
      <c r="AK423" s="33" t="n"/>
      <c r="AL423" s="41" t="n"/>
      <c r="AM423" s="41" t="n"/>
      <c r="AN423" s="41" t="n"/>
      <c r="AO423" s="41" t="n"/>
      <c r="AP423" s="41" t="n"/>
      <c r="AQ423" s="41" t="n"/>
      <c r="AR423" s="41" t="n"/>
      <c r="AS423" s="41" t="n"/>
      <c r="AT423" s="41" t="n"/>
      <c r="AU423" s="41" t="n"/>
      <c r="AV423" s="41" t="n"/>
      <c r="AW423" s="41" t="n"/>
      <c r="AX423" s="41" t="n"/>
      <c r="AY423" s="41" t="n"/>
      <c r="AZ423" s="33" t="n"/>
      <c r="BA423" s="41" t="n"/>
      <c r="BB423" s="41" t="n"/>
      <c r="BC423" s="41" t="n"/>
      <c r="BD423" s="41" t="n"/>
      <c r="BE423" s="41" t="n"/>
      <c r="BF423" s="41" t="n"/>
      <c r="BG423" s="41" t="n"/>
      <c r="BH423" s="41" t="n"/>
      <c r="BI423" s="41" t="n"/>
      <c r="BJ423" s="41" t="n"/>
      <c r="BK423" s="41" t="n"/>
      <c r="BL423" s="41" t="n"/>
      <c r="BM423" s="41" t="n"/>
      <c r="BN423" s="41" t="n"/>
    </row>
    <row r="424" ht="18" customHeight="1" s="82">
      <c r="A424" s="36" t="n"/>
      <c r="B424" s="36" t="n"/>
      <c r="C424" s="36" t="n"/>
      <c r="D424" s="36" t="n"/>
      <c r="E424" s="37" t="n"/>
      <c r="F424" s="37" t="n"/>
      <c r="G424" s="37" t="n"/>
      <c r="H424" s="37" t="n"/>
      <c r="I424" s="37" t="n"/>
      <c r="J424" s="37" t="n"/>
      <c r="K424" s="37" t="n"/>
      <c r="L424" s="37" t="n"/>
      <c r="M424" s="37" t="n"/>
      <c r="N424" s="37" t="n"/>
      <c r="O424" s="37" t="n"/>
      <c r="P424" s="37" t="n"/>
      <c r="Q424" s="37" t="n"/>
      <c r="R424" s="37" t="n"/>
      <c r="S424" s="37" t="n"/>
      <c r="T424" s="37" t="n"/>
      <c r="U424" s="37" t="n"/>
      <c r="V424" s="37" t="n"/>
      <c r="W424" s="32" t="n"/>
      <c r="X424" s="37" t="n"/>
      <c r="Y424" s="37" t="n"/>
      <c r="Z424" s="37" t="n"/>
      <c r="AA424" s="37" t="n"/>
      <c r="AB424" s="37" t="n"/>
      <c r="AC424" s="37" t="n"/>
      <c r="AD424" s="32" t="n"/>
      <c r="AE424" s="37" t="n"/>
      <c r="AF424" s="38" t="n"/>
      <c r="AG424" s="67">
        <f>IF(OR(AF424="",AE424=""),"",IFERROR(AF424*INDEX(FXRates[USD per unit],MATCH(AE424,FXRates[Currency],0)),"No rate"))</f>
        <v/>
      </c>
      <c r="AH424" s="36" t="n"/>
      <c r="AI424" s="36" t="n"/>
      <c r="AJ424" s="39">
        <f>IF(A424="","",IF(COUNTIF($A$6:$A$504,A424)&gt;1,"⚠ Duplicate",""))</f>
        <v/>
      </c>
      <c r="AK424" s="38" t="n"/>
      <c r="AL424" s="40" t="n"/>
      <c r="AM424" s="40" t="n"/>
      <c r="AN424" s="40" t="n"/>
      <c r="AO424" s="40" t="n"/>
      <c r="AP424" s="40" t="n"/>
      <c r="AQ424" s="40" t="n"/>
      <c r="AR424" s="40" t="n"/>
      <c r="AS424" s="40" t="n"/>
      <c r="AT424" s="40" t="n"/>
      <c r="AU424" s="40" t="n"/>
      <c r="AV424" s="40" t="n"/>
      <c r="AW424" s="40" t="n"/>
      <c r="AX424" s="40" t="n"/>
      <c r="AY424" s="40" t="n"/>
      <c r="AZ424" s="38" t="n"/>
      <c r="BA424" s="40" t="n"/>
      <c r="BB424" s="40" t="n"/>
      <c r="BC424" s="40" t="n"/>
      <c r="BD424" s="40" t="n"/>
      <c r="BE424" s="40" t="n"/>
      <c r="BF424" s="40" t="n"/>
      <c r="BG424" s="40" t="n"/>
      <c r="BH424" s="40" t="n"/>
      <c r="BI424" s="40" t="n"/>
      <c r="BJ424" s="40" t="n"/>
      <c r="BK424" s="40" t="n"/>
      <c r="BL424" s="40" t="n"/>
      <c r="BM424" s="40" t="n"/>
      <c r="BN424" s="40" t="n"/>
    </row>
    <row r="425" ht="18" customHeight="1" s="82">
      <c r="A425" s="30" t="n"/>
      <c r="B425" s="30" t="n"/>
      <c r="C425" s="30" t="n"/>
      <c r="D425" s="30" t="n"/>
      <c r="E425" s="31" t="n"/>
      <c r="F425" s="31" t="n"/>
      <c r="G425" s="31" t="n"/>
      <c r="H425" s="31" t="n"/>
      <c r="I425" s="31" t="n"/>
      <c r="J425" s="31" t="n"/>
      <c r="K425" s="31" t="n"/>
      <c r="L425" s="31" t="n"/>
      <c r="M425" s="31" t="n"/>
      <c r="N425" s="31" t="n"/>
      <c r="O425" s="31" t="n"/>
      <c r="P425" s="31" t="n"/>
      <c r="Q425" s="31" t="n"/>
      <c r="R425" s="31" t="n"/>
      <c r="S425" s="31" t="n"/>
      <c r="T425" s="31" t="n"/>
      <c r="U425" s="31" t="n"/>
      <c r="V425" s="31" t="n"/>
      <c r="W425" s="32" t="n"/>
      <c r="X425" s="31" t="n"/>
      <c r="Y425" s="31" t="n"/>
      <c r="Z425" s="31" t="n"/>
      <c r="AA425" s="31" t="n"/>
      <c r="AB425" s="31" t="n"/>
      <c r="AC425" s="31" t="n"/>
      <c r="AD425" s="32" t="n"/>
      <c r="AE425" s="31" t="n"/>
      <c r="AF425" s="33" t="n"/>
      <c r="AG425" s="66">
        <f>IF(OR(AF425="",AE425=""),"",IFERROR(AF425*INDEX(FXRates[USD per unit],MATCH(AE425,FXRates[Currency],0)),"No rate"))</f>
        <v/>
      </c>
      <c r="AH425" s="30" t="n"/>
      <c r="AI425" s="30" t="n"/>
      <c r="AJ425" s="34">
        <f>IF(A425="","",IF(COUNTIF($A$6:$A$504,A425)&gt;1,"⚠ Duplicate",""))</f>
        <v/>
      </c>
      <c r="AK425" s="33" t="n"/>
      <c r="AL425" s="41" t="n"/>
      <c r="AM425" s="41" t="n"/>
      <c r="AN425" s="41" t="n"/>
      <c r="AO425" s="41" t="n"/>
      <c r="AP425" s="41" t="n"/>
      <c r="AQ425" s="41" t="n"/>
      <c r="AR425" s="41" t="n"/>
      <c r="AS425" s="41" t="n"/>
      <c r="AT425" s="41" t="n"/>
      <c r="AU425" s="41" t="n"/>
      <c r="AV425" s="41" t="n"/>
      <c r="AW425" s="41" t="n"/>
      <c r="AX425" s="41" t="n"/>
      <c r="AY425" s="41" t="n"/>
      <c r="AZ425" s="33" t="n"/>
      <c r="BA425" s="41" t="n"/>
      <c r="BB425" s="41" t="n"/>
      <c r="BC425" s="41" t="n"/>
      <c r="BD425" s="41" t="n"/>
      <c r="BE425" s="41" t="n"/>
      <c r="BF425" s="41" t="n"/>
      <c r="BG425" s="41" t="n"/>
      <c r="BH425" s="41" t="n"/>
      <c r="BI425" s="41" t="n"/>
      <c r="BJ425" s="41" t="n"/>
      <c r="BK425" s="41" t="n"/>
      <c r="BL425" s="41" t="n"/>
      <c r="BM425" s="41" t="n"/>
      <c r="BN425" s="41" t="n"/>
    </row>
    <row r="426" ht="18" customHeight="1" s="82">
      <c r="A426" s="36" t="n"/>
      <c r="B426" s="36" t="n"/>
      <c r="C426" s="36" t="n"/>
      <c r="D426" s="36" t="n"/>
      <c r="E426" s="37" t="n"/>
      <c r="F426" s="37" t="n"/>
      <c r="G426" s="37" t="n"/>
      <c r="H426" s="37" t="n"/>
      <c r="I426" s="37" t="n"/>
      <c r="J426" s="37" t="n"/>
      <c r="K426" s="37" t="n"/>
      <c r="L426" s="37" t="n"/>
      <c r="M426" s="37" t="n"/>
      <c r="N426" s="37" t="n"/>
      <c r="O426" s="37" t="n"/>
      <c r="P426" s="37" t="n"/>
      <c r="Q426" s="37" t="n"/>
      <c r="R426" s="37" t="n"/>
      <c r="S426" s="37" t="n"/>
      <c r="T426" s="37" t="n"/>
      <c r="U426" s="37" t="n"/>
      <c r="V426" s="37" t="n"/>
      <c r="W426" s="32" t="n"/>
      <c r="X426" s="37" t="n"/>
      <c r="Y426" s="37" t="n"/>
      <c r="Z426" s="37" t="n"/>
      <c r="AA426" s="37" t="n"/>
      <c r="AB426" s="37" t="n"/>
      <c r="AC426" s="37" t="n"/>
      <c r="AD426" s="32" t="n"/>
      <c r="AE426" s="37" t="n"/>
      <c r="AF426" s="38" t="n"/>
      <c r="AG426" s="67">
        <f>IF(OR(AF426="",AE426=""),"",IFERROR(AF426*INDEX(FXRates[USD per unit],MATCH(AE426,FXRates[Currency],0)),"No rate"))</f>
        <v/>
      </c>
      <c r="AH426" s="36" t="n"/>
      <c r="AI426" s="36" t="n"/>
      <c r="AJ426" s="39">
        <f>IF(A426="","",IF(COUNTIF($A$6:$A$504,A426)&gt;1,"⚠ Duplicate",""))</f>
        <v/>
      </c>
      <c r="AK426" s="38" t="n"/>
      <c r="AL426" s="40" t="n"/>
      <c r="AM426" s="40" t="n"/>
      <c r="AN426" s="40" t="n"/>
      <c r="AO426" s="40" t="n"/>
      <c r="AP426" s="40" t="n"/>
      <c r="AQ426" s="40" t="n"/>
      <c r="AR426" s="40" t="n"/>
      <c r="AS426" s="40" t="n"/>
      <c r="AT426" s="40" t="n"/>
      <c r="AU426" s="40" t="n"/>
      <c r="AV426" s="40" t="n"/>
      <c r="AW426" s="40" t="n"/>
      <c r="AX426" s="40" t="n"/>
      <c r="AY426" s="40" t="n"/>
      <c r="AZ426" s="38" t="n"/>
      <c r="BA426" s="40" t="n"/>
      <c r="BB426" s="40" t="n"/>
      <c r="BC426" s="40" t="n"/>
      <c r="BD426" s="40" t="n"/>
      <c r="BE426" s="40" t="n"/>
      <c r="BF426" s="40" t="n"/>
      <c r="BG426" s="40" t="n"/>
      <c r="BH426" s="40" t="n"/>
      <c r="BI426" s="40" t="n"/>
      <c r="BJ426" s="40" t="n"/>
      <c r="BK426" s="40" t="n"/>
      <c r="BL426" s="40" t="n"/>
      <c r="BM426" s="40" t="n"/>
      <c r="BN426" s="40" t="n"/>
    </row>
    <row r="427" ht="18" customHeight="1" s="82">
      <c r="A427" s="30" t="n"/>
      <c r="B427" s="30" t="n"/>
      <c r="C427" s="30" t="n"/>
      <c r="D427" s="30" t="n"/>
      <c r="E427" s="31" t="n"/>
      <c r="F427" s="31" t="n"/>
      <c r="G427" s="31" t="n"/>
      <c r="H427" s="31" t="n"/>
      <c r="I427" s="31" t="n"/>
      <c r="J427" s="31" t="n"/>
      <c r="K427" s="31" t="n"/>
      <c r="L427" s="31" t="n"/>
      <c r="M427" s="31" t="n"/>
      <c r="N427" s="31" t="n"/>
      <c r="O427" s="31" t="n"/>
      <c r="P427" s="31" t="n"/>
      <c r="Q427" s="31" t="n"/>
      <c r="R427" s="31" t="n"/>
      <c r="S427" s="31" t="n"/>
      <c r="T427" s="31" t="n"/>
      <c r="U427" s="31" t="n"/>
      <c r="V427" s="31" t="n"/>
      <c r="W427" s="32" t="n"/>
      <c r="X427" s="31" t="n"/>
      <c r="Y427" s="31" t="n"/>
      <c r="Z427" s="31" t="n"/>
      <c r="AA427" s="31" t="n"/>
      <c r="AB427" s="31" t="n"/>
      <c r="AC427" s="31" t="n"/>
      <c r="AD427" s="32" t="n"/>
      <c r="AE427" s="31" t="n"/>
      <c r="AF427" s="33" t="n"/>
      <c r="AG427" s="66">
        <f>IF(OR(AF427="",AE427=""),"",IFERROR(AF427*INDEX(FXRates[USD per unit],MATCH(AE427,FXRates[Currency],0)),"No rate"))</f>
        <v/>
      </c>
      <c r="AH427" s="30" t="n"/>
      <c r="AI427" s="30" t="n"/>
      <c r="AJ427" s="34">
        <f>IF(A427="","",IF(COUNTIF($A$6:$A$504,A427)&gt;1,"⚠ Duplicate",""))</f>
        <v/>
      </c>
      <c r="AK427" s="33" t="n"/>
      <c r="AL427" s="41" t="n"/>
      <c r="AM427" s="41" t="n"/>
      <c r="AN427" s="41" t="n"/>
      <c r="AO427" s="41" t="n"/>
      <c r="AP427" s="41" t="n"/>
      <c r="AQ427" s="41" t="n"/>
      <c r="AR427" s="41" t="n"/>
      <c r="AS427" s="41" t="n"/>
      <c r="AT427" s="41" t="n"/>
      <c r="AU427" s="41" t="n"/>
      <c r="AV427" s="41" t="n"/>
      <c r="AW427" s="41" t="n"/>
      <c r="AX427" s="41" t="n"/>
      <c r="AY427" s="41" t="n"/>
      <c r="AZ427" s="33" t="n"/>
      <c r="BA427" s="41" t="n"/>
      <c r="BB427" s="41" t="n"/>
      <c r="BC427" s="41" t="n"/>
      <c r="BD427" s="41" t="n"/>
      <c r="BE427" s="41" t="n"/>
      <c r="BF427" s="41" t="n"/>
      <c r="BG427" s="41" t="n"/>
      <c r="BH427" s="41" t="n"/>
      <c r="BI427" s="41" t="n"/>
      <c r="BJ427" s="41" t="n"/>
      <c r="BK427" s="41" t="n"/>
      <c r="BL427" s="41" t="n"/>
      <c r="BM427" s="41" t="n"/>
      <c r="BN427" s="41" t="n"/>
    </row>
    <row r="428" ht="18" customHeight="1" s="82">
      <c r="A428" s="36" t="n"/>
      <c r="B428" s="36" t="n"/>
      <c r="C428" s="36" t="n"/>
      <c r="D428" s="36" t="n"/>
      <c r="E428" s="37" t="n"/>
      <c r="F428" s="37" t="n"/>
      <c r="G428" s="37" t="n"/>
      <c r="H428" s="37" t="n"/>
      <c r="I428" s="37" t="n"/>
      <c r="J428" s="37" t="n"/>
      <c r="K428" s="37" t="n"/>
      <c r="L428" s="37" t="n"/>
      <c r="M428" s="37" t="n"/>
      <c r="N428" s="37" t="n"/>
      <c r="O428" s="37" t="n"/>
      <c r="P428" s="37" t="n"/>
      <c r="Q428" s="37" t="n"/>
      <c r="R428" s="37" t="n"/>
      <c r="S428" s="37" t="n"/>
      <c r="T428" s="37" t="n"/>
      <c r="U428" s="37" t="n"/>
      <c r="V428" s="37" t="n"/>
      <c r="W428" s="32" t="n"/>
      <c r="X428" s="37" t="n"/>
      <c r="Y428" s="37" t="n"/>
      <c r="Z428" s="37" t="n"/>
      <c r="AA428" s="37" t="n"/>
      <c r="AB428" s="37" t="n"/>
      <c r="AC428" s="37" t="n"/>
      <c r="AD428" s="32" t="n"/>
      <c r="AE428" s="37" t="n"/>
      <c r="AF428" s="38" t="n"/>
      <c r="AG428" s="67">
        <f>IF(OR(AF428="",AE428=""),"",IFERROR(AF428*INDEX(FXRates[USD per unit],MATCH(AE428,FXRates[Currency],0)),"No rate"))</f>
        <v/>
      </c>
      <c r="AH428" s="36" t="n"/>
      <c r="AI428" s="36" t="n"/>
      <c r="AJ428" s="39">
        <f>IF(A428="","",IF(COUNTIF($A$6:$A$504,A428)&gt;1,"⚠ Duplicate",""))</f>
        <v/>
      </c>
      <c r="AK428" s="38" t="n"/>
      <c r="AL428" s="40" t="n"/>
      <c r="AM428" s="40" t="n"/>
      <c r="AN428" s="40" t="n"/>
      <c r="AO428" s="40" t="n"/>
      <c r="AP428" s="40" t="n"/>
      <c r="AQ428" s="40" t="n"/>
      <c r="AR428" s="40" t="n"/>
      <c r="AS428" s="40" t="n"/>
      <c r="AT428" s="40" t="n"/>
      <c r="AU428" s="40" t="n"/>
      <c r="AV428" s="40" t="n"/>
      <c r="AW428" s="40" t="n"/>
      <c r="AX428" s="40" t="n"/>
      <c r="AY428" s="40" t="n"/>
      <c r="AZ428" s="38" t="n"/>
      <c r="BA428" s="40" t="n"/>
      <c r="BB428" s="40" t="n"/>
      <c r="BC428" s="40" t="n"/>
      <c r="BD428" s="40" t="n"/>
      <c r="BE428" s="40" t="n"/>
      <c r="BF428" s="40" t="n"/>
      <c r="BG428" s="40" t="n"/>
      <c r="BH428" s="40" t="n"/>
      <c r="BI428" s="40" t="n"/>
      <c r="BJ428" s="40" t="n"/>
      <c r="BK428" s="40" t="n"/>
      <c r="BL428" s="40" t="n"/>
      <c r="BM428" s="40" t="n"/>
      <c r="BN428" s="40" t="n"/>
    </row>
    <row r="429" ht="18" customHeight="1" s="82">
      <c r="A429" s="30" t="n"/>
      <c r="B429" s="30" t="n"/>
      <c r="C429" s="30" t="n"/>
      <c r="D429" s="30" t="n"/>
      <c r="E429" s="31" t="n"/>
      <c r="F429" s="31" t="n"/>
      <c r="G429" s="31" t="n"/>
      <c r="H429" s="31" t="n"/>
      <c r="I429" s="31" t="n"/>
      <c r="J429" s="31" t="n"/>
      <c r="K429" s="31" t="n"/>
      <c r="L429" s="31" t="n"/>
      <c r="M429" s="31" t="n"/>
      <c r="N429" s="31" t="n"/>
      <c r="O429" s="31" t="n"/>
      <c r="P429" s="31" t="n"/>
      <c r="Q429" s="31" t="n"/>
      <c r="R429" s="31" t="n"/>
      <c r="S429" s="31" t="n"/>
      <c r="T429" s="31" t="n"/>
      <c r="U429" s="31" t="n"/>
      <c r="V429" s="31" t="n"/>
      <c r="W429" s="32" t="n"/>
      <c r="X429" s="31" t="n"/>
      <c r="Y429" s="31" t="n"/>
      <c r="Z429" s="31" t="n"/>
      <c r="AA429" s="31" t="n"/>
      <c r="AB429" s="31" t="n"/>
      <c r="AC429" s="31" t="n"/>
      <c r="AD429" s="32" t="n"/>
      <c r="AE429" s="31" t="n"/>
      <c r="AF429" s="33" t="n"/>
      <c r="AG429" s="66">
        <f>IF(OR(AF429="",AE429=""),"",IFERROR(AF429*INDEX(FXRates[USD per unit],MATCH(AE429,FXRates[Currency],0)),"No rate"))</f>
        <v/>
      </c>
      <c r="AH429" s="30" t="n"/>
      <c r="AI429" s="30" t="n"/>
      <c r="AJ429" s="34">
        <f>IF(A429="","",IF(COUNTIF($A$6:$A$504,A429)&gt;1,"⚠ Duplicate",""))</f>
        <v/>
      </c>
      <c r="AK429" s="33" t="n"/>
      <c r="AL429" s="41" t="n"/>
      <c r="AM429" s="41" t="n"/>
      <c r="AN429" s="41" t="n"/>
      <c r="AO429" s="41" t="n"/>
      <c r="AP429" s="41" t="n"/>
      <c r="AQ429" s="41" t="n"/>
      <c r="AR429" s="41" t="n"/>
      <c r="AS429" s="41" t="n"/>
      <c r="AT429" s="41" t="n"/>
      <c r="AU429" s="41" t="n"/>
      <c r="AV429" s="41" t="n"/>
      <c r="AW429" s="41" t="n"/>
      <c r="AX429" s="41" t="n"/>
      <c r="AY429" s="41" t="n"/>
      <c r="AZ429" s="33" t="n"/>
      <c r="BA429" s="41" t="n"/>
      <c r="BB429" s="41" t="n"/>
      <c r="BC429" s="41" t="n"/>
      <c r="BD429" s="41" t="n"/>
      <c r="BE429" s="41" t="n"/>
      <c r="BF429" s="41" t="n"/>
      <c r="BG429" s="41" t="n"/>
      <c r="BH429" s="41" t="n"/>
      <c r="BI429" s="41" t="n"/>
      <c r="BJ429" s="41" t="n"/>
      <c r="BK429" s="41" t="n"/>
      <c r="BL429" s="41" t="n"/>
      <c r="BM429" s="41" t="n"/>
      <c r="BN429" s="41" t="n"/>
    </row>
    <row r="430" ht="18" customHeight="1" s="82">
      <c r="A430" s="36" t="n"/>
      <c r="B430" s="36" t="n"/>
      <c r="C430" s="36" t="n"/>
      <c r="D430" s="36" t="n"/>
      <c r="E430" s="37" t="n"/>
      <c r="F430" s="37" t="n"/>
      <c r="G430" s="37" t="n"/>
      <c r="H430" s="37" t="n"/>
      <c r="I430" s="37" t="n"/>
      <c r="J430" s="37" t="n"/>
      <c r="K430" s="37" t="n"/>
      <c r="L430" s="37" t="n"/>
      <c r="M430" s="37" t="n"/>
      <c r="N430" s="37" t="n"/>
      <c r="O430" s="37" t="n"/>
      <c r="P430" s="37" t="n"/>
      <c r="Q430" s="37" t="n"/>
      <c r="R430" s="37" t="n"/>
      <c r="S430" s="37" t="n"/>
      <c r="T430" s="37" t="n"/>
      <c r="U430" s="37" t="n"/>
      <c r="V430" s="37" t="n"/>
      <c r="W430" s="32" t="n"/>
      <c r="X430" s="37" t="n"/>
      <c r="Y430" s="37" t="n"/>
      <c r="Z430" s="37" t="n"/>
      <c r="AA430" s="37" t="n"/>
      <c r="AB430" s="37" t="n"/>
      <c r="AC430" s="37" t="n"/>
      <c r="AD430" s="32" t="n"/>
      <c r="AE430" s="37" t="n"/>
      <c r="AF430" s="38" t="n"/>
      <c r="AG430" s="67">
        <f>IF(OR(AF430="",AE430=""),"",IFERROR(AF430*INDEX(FXRates[USD per unit],MATCH(AE430,FXRates[Currency],0)),"No rate"))</f>
        <v/>
      </c>
      <c r="AH430" s="36" t="n"/>
      <c r="AI430" s="36" t="n"/>
      <c r="AJ430" s="39">
        <f>IF(A430="","",IF(COUNTIF($A$6:$A$504,A430)&gt;1,"⚠ Duplicate",""))</f>
        <v/>
      </c>
      <c r="AK430" s="38" t="n"/>
      <c r="AL430" s="40" t="n"/>
      <c r="AM430" s="40" t="n"/>
      <c r="AN430" s="40" t="n"/>
      <c r="AO430" s="40" t="n"/>
      <c r="AP430" s="40" t="n"/>
      <c r="AQ430" s="40" t="n"/>
      <c r="AR430" s="40" t="n"/>
      <c r="AS430" s="40" t="n"/>
      <c r="AT430" s="40" t="n"/>
      <c r="AU430" s="40" t="n"/>
      <c r="AV430" s="40" t="n"/>
      <c r="AW430" s="40" t="n"/>
      <c r="AX430" s="40" t="n"/>
      <c r="AY430" s="40" t="n"/>
      <c r="AZ430" s="38" t="n"/>
      <c r="BA430" s="40" t="n"/>
      <c r="BB430" s="40" t="n"/>
      <c r="BC430" s="40" t="n"/>
      <c r="BD430" s="40" t="n"/>
      <c r="BE430" s="40" t="n"/>
      <c r="BF430" s="40" t="n"/>
      <c r="BG430" s="40" t="n"/>
      <c r="BH430" s="40" t="n"/>
      <c r="BI430" s="40" t="n"/>
      <c r="BJ430" s="40" t="n"/>
      <c r="BK430" s="40" t="n"/>
      <c r="BL430" s="40" t="n"/>
      <c r="BM430" s="40" t="n"/>
      <c r="BN430" s="40" t="n"/>
    </row>
    <row r="431" ht="18" customHeight="1" s="82">
      <c r="A431" s="30" t="n"/>
      <c r="B431" s="30" t="n"/>
      <c r="C431" s="30" t="n"/>
      <c r="D431" s="30" t="n"/>
      <c r="E431" s="31" t="n"/>
      <c r="F431" s="31" t="n"/>
      <c r="G431" s="31" t="n"/>
      <c r="H431" s="31" t="n"/>
      <c r="I431" s="31" t="n"/>
      <c r="J431" s="31" t="n"/>
      <c r="K431" s="31" t="n"/>
      <c r="L431" s="31" t="n"/>
      <c r="M431" s="31" t="n"/>
      <c r="N431" s="31" t="n"/>
      <c r="O431" s="31" t="n"/>
      <c r="P431" s="31" t="n"/>
      <c r="Q431" s="31" t="n"/>
      <c r="R431" s="31" t="n"/>
      <c r="S431" s="31" t="n"/>
      <c r="T431" s="31" t="n"/>
      <c r="U431" s="31" t="n"/>
      <c r="V431" s="31" t="n"/>
      <c r="W431" s="32" t="n"/>
      <c r="X431" s="31" t="n"/>
      <c r="Y431" s="31" t="n"/>
      <c r="Z431" s="31" t="n"/>
      <c r="AA431" s="31" t="n"/>
      <c r="AB431" s="31" t="n"/>
      <c r="AC431" s="31" t="n"/>
      <c r="AD431" s="32" t="n"/>
      <c r="AE431" s="31" t="n"/>
      <c r="AF431" s="33" t="n"/>
      <c r="AG431" s="66">
        <f>IF(OR(AF431="",AE431=""),"",IFERROR(AF431*INDEX(FXRates[USD per unit],MATCH(AE431,FXRates[Currency],0)),"No rate"))</f>
        <v/>
      </c>
      <c r="AH431" s="30" t="n"/>
      <c r="AI431" s="30" t="n"/>
      <c r="AJ431" s="34">
        <f>IF(A431="","",IF(COUNTIF($A$6:$A$504,A431)&gt;1,"⚠ Duplicate",""))</f>
        <v/>
      </c>
      <c r="AK431" s="33" t="n"/>
      <c r="AL431" s="41" t="n"/>
      <c r="AM431" s="41" t="n"/>
      <c r="AN431" s="41" t="n"/>
      <c r="AO431" s="41" t="n"/>
      <c r="AP431" s="41" t="n"/>
      <c r="AQ431" s="41" t="n"/>
      <c r="AR431" s="41" t="n"/>
      <c r="AS431" s="41" t="n"/>
      <c r="AT431" s="41" t="n"/>
      <c r="AU431" s="41" t="n"/>
      <c r="AV431" s="41" t="n"/>
      <c r="AW431" s="41" t="n"/>
      <c r="AX431" s="41" t="n"/>
      <c r="AY431" s="41" t="n"/>
      <c r="AZ431" s="33" t="n"/>
      <c r="BA431" s="41" t="n"/>
      <c r="BB431" s="41" t="n"/>
      <c r="BC431" s="41" t="n"/>
      <c r="BD431" s="41" t="n"/>
      <c r="BE431" s="41" t="n"/>
      <c r="BF431" s="41" t="n"/>
      <c r="BG431" s="41" t="n"/>
      <c r="BH431" s="41" t="n"/>
      <c r="BI431" s="41" t="n"/>
      <c r="BJ431" s="41" t="n"/>
      <c r="BK431" s="41" t="n"/>
      <c r="BL431" s="41" t="n"/>
      <c r="BM431" s="41" t="n"/>
      <c r="BN431" s="41" t="n"/>
    </row>
    <row r="432" ht="18" customHeight="1" s="82">
      <c r="A432" s="36" t="n"/>
      <c r="B432" s="36" t="n"/>
      <c r="C432" s="36" t="n"/>
      <c r="D432" s="36" t="n"/>
      <c r="E432" s="37" t="n"/>
      <c r="F432" s="37" t="n"/>
      <c r="G432" s="37" t="n"/>
      <c r="H432" s="37" t="n"/>
      <c r="I432" s="37" t="n"/>
      <c r="J432" s="37" t="n"/>
      <c r="K432" s="37" t="n"/>
      <c r="L432" s="37" t="n"/>
      <c r="M432" s="37" t="n"/>
      <c r="N432" s="37" t="n"/>
      <c r="O432" s="37" t="n"/>
      <c r="P432" s="37" t="n"/>
      <c r="Q432" s="37" t="n"/>
      <c r="R432" s="37" t="n"/>
      <c r="S432" s="37" t="n"/>
      <c r="T432" s="37" t="n"/>
      <c r="U432" s="37" t="n"/>
      <c r="V432" s="37" t="n"/>
      <c r="W432" s="32" t="n"/>
      <c r="X432" s="37" t="n"/>
      <c r="Y432" s="37" t="n"/>
      <c r="Z432" s="37" t="n"/>
      <c r="AA432" s="37" t="n"/>
      <c r="AB432" s="37" t="n"/>
      <c r="AC432" s="37" t="n"/>
      <c r="AD432" s="32" t="n"/>
      <c r="AE432" s="37" t="n"/>
      <c r="AF432" s="38" t="n"/>
      <c r="AG432" s="67">
        <f>IF(OR(AF432="",AE432=""),"",IFERROR(AF432*INDEX(FXRates[USD per unit],MATCH(AE432,FXRates[Currency],0)),"No rate"))</f>
        <v/>
      </c>
      <c r="AH432" s="36" t="n"/>
      <c r="AI432" s="36" t="n"/>
      <c r="AJ432" s="39">
        <f>IF(A432="","",IF(COUNTIF($A$6:$A$504,A432)&gt;1,"⚠ Duplicate",""))</f>
        <v/>
      </c>
      <c r="AK432" s="38" t="n"/>
      <c r="AL432" s="40" t="n"/>
      <c r="AM432" s="40" t="n"/>
      <c r="AN432" s="40" t="n"/>
      <c r="AO432" s="40" t="n"/>
      <c r="AP432" s="40" t="n"/>
      <c r="AQ432" s="40" t="n"/>
      <c r="AR432" s="40" t="n"/>
      <c r="AS432" s="40" t="n"/>
      <c r="AT432" s="40" t="n"/>
      <c r="AU432" s="40" t="n"/>
      <c r="AV432" s="40" t="n"/>
      <c r="AW432" s="40" t="n"/>
      <c r="AX432" s="40" t="n"/>
      <c r="AY432" s="40" t="n"/>
      <c r="AZ432" s="38" t="n"/>
      <c r="BA432" s="40" t="n"/>
      <c r="BB432" s="40" t="n"/>
      <c r="BC432" s="40" t="n"/>
      <c r="BD432" s="40" t="n"/>
      <c r="BE432" s="40" t="n"/>
      <c r="BF432" s="40" t="n"/>
      <c r="BG432" s="40" t="n"/>
      <c r="BH432" s="40" t="n"/>
      <c r="BI432" s="40" t="n"/>
      <c r="BJ432" s="40" t="n"/>
      <c r="BK432" s="40" t="n"/>
      <c r="BL432" s="40" t="n"/>
      <c r="BM432" s="40" t="n"/>
      <c r="BN432" s="40" t="n"/>
    </row>
    <row r="433" ht="18" customHeight="1" s="82">
      <c r="A433" s="30" t="n"/>
      <c r="B433" s="30" t="n"/>
      <c r="C433" s="30" t="n"/>
      <c r="D433" s="30" t="n"/>
      <c r="E433" s="31" t="n"/>
      <c r="F433" s="31" t="n"/>
      <c r="G433" s="31" t="n"/>
      <c r="H433" s="31" t="n"/>
      <c r="I433" s="31" t="n"/>
      <c r="J433" s="31" t="n"/>
      <c r="K433" s="31" t="n"/>
      <c r="L433" s="31" t="n"/>
      <c r="M433" s="31" t="n"/>
      <c r="N433" s="31" t="n"/>
      <c r="O433" s="31" t="n"/>
      <c r="P433" s="31" t="n"/>
      <c r="Q433" s="31" t="n"/>
      <c r="R433" s="31" t="n"/>
      <c r="S433" s="31" t="n"/>
      <c r="T433" s="31" t="n"/>
      <c r="U433" s="31" t="n"/>
      <c r="V433" s="31" t="n"/>
      <c r="W433" s="32" t="n"/>
      <c r="X433" s="31" t="n"/>
      <c r="Y433" s="31" t="n"/>
      <c r="Z433" s="31" t="n"/>
      <c r="AA433" s="31" t="n"/>
      <c r="AB433" s="31" t="n"/>
      <c r="AC433" s="31" t="n"/>
      <c r="AD433" s="32" t="n"/>
      <c r="AE433" s="31" t="n"/>
      <c r="AF433" s="33" t="n"/>
      <c r="AG433" s="66">
        <f>IF(OR(AF433="",AE433=""),"",IFERROR(AF433*INDEX(FXRates[USD per unit],MATCH(AE433,FXRates[Currency],0)),"No rate"))</f>
        <v/>
      </c>
      <c r="AH433" s="30" t="n"/>
      <c r="AI433" s="30" t="n"/>
      <c r="AJ433" s="34">
        <f>IF(A433="","",IF(COUNTIF($A$6:$A$504,A433)&gt;1,"⚠ Duplicate",""))</f>
        <v/>
      </c>
      <c r="AK433" s="33" t="n"/>
      <c r="AL433" s="41" t="n"/>
      <c r="AM433" s="41" t="n"/>
      <c r="AN433" s="41" t="n"/>
      <c r="AO433" s="41" t="n"/>
      <c r="AP433" s="41" t="n"/>
      <c r="AQ433" s="41" t="n"/>
      <c r="AR433" s="41" t="n"/>
      <c r="AS433" s="41" t="n"/>
      <c r="AT433" s="41" t="n"/>
      <c r="AU433" s="41" t="n"/>
      <c r="AV433" s="41" t="n"/>
      <c r="AW433" s="41" t="n"/>
      <c r="AX433" s="41" t="n"/>
      <c r="AY433" s="41" t="n"/>
      <c r="AZ433" s="33" t="n"/>
      <c r="BA433" s="41" t="n"/>
      <c r="BB433" s="41" t="n"/>
      <c r="BC433" s="41" t="n"/>
      <c r="BD433" s="41" t="n"/>
      <c r="BE433" s="41" t="n"/>
      <c r="BF433" s="41" t="n"/>
      <c r="BG433" s="41" t="n"/>
      <c r="BH433" s="41" t="n"/>
      <c r="BI433" s="41" t="n"/>
      <c r="BJ433" s="41" t="n"/>
      <c r="BK433" s="41" t="n"/>
      <c r="BL433" s="41" t="n"/>
      <c r="BM433" s="41" t="n"/>
      <c r="BN433" s="41" t="n"/>
    </row>
    <row r="434" ht="18" customHeight="1" s="82">
      <c r="A434" s="36" t="n"/>
      <c r="B434" s="36" t="n"/>
      <c r="C434" s="36" t="n"/>
      <c r="D434" s="36" t="n"/>
      <c r="E434" s="37" t="n"/>
      <c r="F434" s="37" t="n"/>
      <c r="G434" s="37" t="n"/>
      <c r="H434" s="37" t="n"/>
      <c r="I434" s="37" t="n"/>
      <c r="J434" s="37" t="n"/>
      <c r="K434" s="37" t="n"/>
      <c r="L434" s="37" t="n"/>
      <c r="M434" s="37" t="n"/>
      <c r="N434" s="37" t="n"/>
      <c r="O434" s="37" t="n"/>
      <c r="P434" s="37" t="n"/>
      <c r="Q434" s="37" t="n"/>
      <c r="R434" s="37" t="n"/>
      <c r="S434" s="37" t="n"/>
      <c r="T434" s="37" t="n"/>
      <c r="U434" s="37" t="n"/>
      <c r="V434" s="37" t="n"/>
      <c r="W434" s="32" t="n"/>
      <c r="X434" s="37" t="n"/>
      <c r="Y434" s="37" t="n"/>
      <c r="Z434" s="37" t="n"/>
      <c r="AA434" s="37" t="n"/>
      <c r="AB434" s="37" t="n"/>
      <c r="AC434" s="37" t="n"/>
      <c r="AD434" s="32" t="n"/>
      <c r="AE434" s="37" t="n"/>
      <c r="AF434" s="38" t="n"/>
      <c r="AG434" s="67">
        <f>IF(OR(AF434="",AE434=""),"",IFERROR(AF434*INDEX(FXRates[USD per unit],MATCH(AE434,FXRates[Currency],0)),"No rate"))</f>
        <v/>
      </c>
      <c r="AH434" s="36" t="n"/>
      <c r="AI434" s="36" t="n"/>
      <c r="AJ434" s="39">
        <f>IF(A434="","",IF(COUNTIF($A$6:$A$504,A434)&gt;1,"⚠ Duplicate",""))</f>
        <v/>
      </c>
      <c r="AK434" s="38" t="n"/>
      <c r="AL434" s="40" t="n"/>
      <c r="AM434" s="40" t="n"/>
      <c r="AN434" s="40" t="n"/>
      <c r="AO434" s="40" t="n"/>
      <c r="AP434" s="40" t="n"/>
      <c r="AQ434" s="40" t="n"/>
      <c r="AR434" s="40" t="n"/>
      <c r="AS434" s="40" t="n"/>
      <c r="AT434" s="40" t="n"/>
      <c r="AU434" s="40" t="n"/>
      <c r="AV434" s="40" t="n"/>
      <c r="AW434" s="40" t="n"/>
      <c r="AX434" s="40" t="n"/>
      <c r="AY434" s="40" t="n"/>
      <c r="AZ434" s="38" t="n"/>
      <c r="BA434" s="40" t="n"/>
      <c r="BB434" s="40" t="n"/>
      <c r="BC434" s="40" t="n"/>
      <c r="BD434" s="40" t="n"/>
      <c r="BE434" s="40" t="n"/>
      <c r="BF434" s="40" t="n"/>
      <c r="BG434" s="40" t="n"/>
      <c r="BH434" s="40" t="n"/>
      <c r="BI434" s="40" t="n"/>
      <c r="BJ434" s="40" t="n"/>
      <c r="BK434" s="40" t="n"/>
      <c r="BL434" s="40" t="n"/>
      <c r="BM434" s="40" t="n"/>
      <c r="BN434" s="40" t="n"/>
    </row>
    <row r="435" ht="18" customHeight="1" s="82">
      <c r="A435" s="30" t="n"/>
      <c r="B435" s="30" t="n"/>
      <c r="C435" s="30" t="n"/>
      <c r="D435" s="30" t="n"/>
      <c r="E435" s="31" t="n"/>
      <c r="F435" s="31" t="n"/>
      <c r="G435" s="31" t="n"/>
      <c r="H435" s="31" t="n"/>
      <c r="I435" s="31" t="n"/>
      <c r="J435" s="31" t="n"/>
      <c r="K435" s="31" t="n"/>
      <c r="L435" s="31" t="n"/>
      <c r="M435" s="31" t="n"/>
      <c r="N435" s="31" t="n"/>
      <c r="O435" s="31" t="n"/>
      <c r="P435" s="31" t="n"/>
      <c r="Q435" s="31" t="n"/>
      <c r="R435" s="31" t="n"/>
      <c r="S435" s="31" t="n"/>
      <c r="T435" s="31" t="n"/>
      <c r="U435" s="31" t="n"/>
      <c r="V435" s="31" t="n"/>
      <c r="W435" s="32" t="n"/>
      <c r="X435" s="31" t="n"/>
      <c r="Y435" s="31" t="n"/>
      <c r="Z435" s="31" t="n"/>
      <c r="AA435" s="31" t="n"/>
      <c r="AB435" s="31" t="n"/>
      <c r="AC435" s="31" t="n"/>
      <c r="AD435" s="32" t="n"/>
      <c r="AE435" s="31" t="n"/>
      <c r="AF435" s="33" t="n"/>
      <c r="AG435" s="66">
        <f>IF(OR(AF435="",AE435=""),"",IFERROR(AF435*INDEX(FXRates[USD per unit],MATCH(AE435,FXRates[Currency],0)),"No rate"))</f>
        <v/>
      </c>
      <c r="AH435" s="30" t="n"/>
      <c r="AI435" s="30" t="n"/>
      <c r="AJ435" s="34">
        <f>IF(A435="","",IF(COUNTIF($A$6:$A$504,A435)&gt;1,"⚠ Duplicate",""))</f>
        <v/>
      </c>
      <c r="AK435" s="33" t="n"/>
      <c r="AL435" s="41" t="n"/>
      <c r="AM435" s="41" t="n"/>
      <c r="AN435" s="41" t="n"/>
      <c r="AO435" s="41" t="n"/>
      <c r="AP435" s="41" t="n"/>
      <c r="AQ435" s="41" t="n"/>
      <c r="AR435" s="41" t="n"/>
      <c r="AS435" s="41" t="n"/>
      <c r="AT435" s="41" t="n"/>
      <c r="AU435" s="41" t="n"/>
      <c r="AV435" s="41" t="n"/>
      <c r="AW435" s="41" t="n"/>
      <c r="AX435" s="41" t="n"/>
      <c r="AY435" s="41" t="n"/>
      <c r="AZ435" s="33" t="n"/>
      <c r="BA435" s="41" t="n"/>
      <c r="BB435" s="41" t="n"/>
      <c r="BC435" s="41" t="n"/>
      <c r="BD435" s="41" t="n"/>
      <c r="BE435" s="41" t="n"/>
      <c r="BF435" s="41" t="n"/>
      <c r="BG435" s="41" t="n"/>
      <c r="BH435" s="41" t="n"/>
      <c r="BI435" s="41" t="n"/>
      <c r="BJ435" s="41" t="n"/>
      <c r="BK435" s="41" t="n"/>
      <c r="BL435" s="41" t="n"/>
      <c r="BM435" s="41" t="n"/>
      <c r="BN435" s="41" t="n"/>
    </row>
    <row r="436" ht="18" customHeight="1" s="82">
      <c r="A436" s="36" t="n"/>
      <c r="B436" s="36" t="n"/>
      <c r="C436" s="36" t="n"/>
      <c r="D436" s="36" t="n"/>
      <c r="E436" s="37" t="n"/>
      <c r="F436" s="37" t="n"/>
      <c r="G436" s="37" t="n"/>
      <c r="H436" s="37" t="n"/>
      <c r="I436" s="37" t="n"/>
      <c r="J436" s="37" t="n"/>
      <c r="K436" s="37" t="n"/>
      <c r="L436" s="37" t="n"/>
      <c r="M436" s="37" t="n"/>
      <c r="N436" s="37" t="n"/>
      <c r="O436" s="37" t="n"/>
      <c r="P436" s="37" t="n"/>
      <c r="Q436" s="37" t="n"/>
      <c r="R436" s="37" t="n"/>
      <c r="S436" s="37" t="n"/>
      <c r="T436" s="37" t="n"/>
      <c r="U436" s="37" t="n"/>
      <c r="V436" s="37" t="n"/>
      <c r="W436" s="32" t="n"/>
      <c r="X436" s="37" t="n"/>
      <c r="Y436" s="37" t="n"/>
      <c r="Z436" s="37" t="n"/>
      <c r="AA436" s="37" t="n"/>
      <c r="AB436" s="37" t="n"/>
      <c r="AC436" s="37" t="n"/>
      <c r="AD436" s="32" t="n"/>
      <c r="AE436" s="37" t="n"/>
      <c r="AF436" s="38" t="n"/>
      <c r="AG436" s="67">
        <f>IF(OR(AF436="",AE436=""),"",IFERROR(AF436*INDEX(FXRates[USD per unit],MATCH(AE436,FXRates[Currency],0)),"No rate"))</f>
        <v/>
      </c>
      <c r="AH436" s="36" t="n"/>
      <c r="AI436" s="36" t="n"/>
      <c r="AJ436" s="39">
        <f>IF(A436="","",IF(COUNTIF($A$6:$A$504,A436)&gt;1,"⚠ Duplicate",""))</f>
        <v/>
      </c>
      <c r="AK436" s="38" t="n"/>
      <c r="AL436" s="40" t="n"/>
      <c r="AM436" s="40" t="n"/>
      <c r="AN436" s="40" t="n"/>
      <c r="AO436" s="40" t="n"/>
      <c r="AP436" s="40" t="n"/>
      <c r="AQ436" s="40" t="n"/>
      <c r="AR436" s="40" t="n"/>
      <c r="AS436" s="40" t="n"/>
      <c r="AT436" s="40" t="n"/>
      <c r="AU436" s="40" t="n"/>
      <c r="AV436" s="40" t="n"/>
      <c r="AW436" s="40" t="n"/>
      <c r="AX436" s="40" t="n"/>
      <c r="AY436" s="40" t="n"/>
      <c r="AZ436" s="38" t="n"/>
      <c r="BA436" s="40" t="n"/>
      <c r="BB436" s="40" t="n"/>
      <c r="BC436" s="40" t="n"/>
      <c r="BD436" s="40" t="n"/>
      <c r="BE436" s="40" t="n"/>
      <c r="BF436" s="40" t="n"/>
      <c r="BG436" s="40" t="n"/>
      <c r="BH436" s="40" t="n"/>
      <c r="BI436" s="40" t="n"/>
      <c r="BJ436" s="40" t="n"/>
      <c r="BK436" s="40" t="n"/>
      <c r="BL436" s="40" t="n"/>
      <c r="BM436" s="40" t="n"/>
      <c r="BN436" s="40" t="n"/>
    </row>
    <row r="437" ht="18" customHeight="1" s="82">
      <c r="A437" s="30" t="n"/>
      <c r="B437" s="30" t="n"/>
      <c r="C437" s="30" t="n"/>
      <c r="D437" s="30" t="n"/>
      <c r="E437" s="31" t="n"/>
      <c r="F437" s="31" t="n"/>
      <c r="G437" s="31" t="n"/>
      <c r="H437" s="31" t="n"/>
      <c r="I437" s="31" t="n"/>
      <c r="J437" s="31" t="n"/>
      <c r="K437" s="31" t="n"/>
      <c r="L437" s="31" t="n"/>
      <c r="M437" s="31" t="n"/>
      <c r="N437" s="31" t="n"/>
      <c r="O437" s="31" t="n"/>
      <c r="P437" s="31" t="n"/>
      <c r="Q437" s="31" t="n"/>
      <c r="R437" s="31" t="n"/>
      <c r="S437" s="31" t="n"/>
      <c r="T437" s="31" t="n"/>
      <c r="U437" s="31" t="n"/>
      <c r="V437" s="31" t="n"/>
      <c r="W437" s="32" t="n"/>
      <c r="X437" s="31" t="n"/>
      <c r="Y437" s="31" t="n"/>
      <c r="Z437" s="31" t="n"/>
      <c r="AA437" s="31" t="n"/>
      <c r="AB437" s="31" t="n"/>
      <c r="AC437" s="31" t="n"/>
      <c r="AD437" s="32" t="n"/>
      <c r="AE437" s="31" t="n"/>
      <c r="AF437" s="33" t="n"/>
      <c r="AG437" s="66">
        <f>IF(OR(AF437="",AE437=""),"",IFERROR(AF437*INDEX(FXRates[USD per unit],MATCH(AE437,FXRates[Currency],0)),"No rate"))</f>
        <v/>
      </c>
      <c r="AH437" s="30" t="n"/>
      <c r="AI437" s="30" t="n"/>
      <c r="AJ437" s="34">
        <f>IF(A437="","",IF(COUNTIF($A$6:$A$504,A437)&gt;1,"⚠ Duplicate",""))</f>
        <v/>
      </c>
      <c r="AK437" s="33" t="n"/>
      <c r="AL437" s="41" t="n"/>
      <c r="AM437" s="41" t="n"/>
      <c r="AN437" s="41" t="n"/>
      <c r="AO437" s="41" t="n"/>
      <c r="AP437" s="41" t="n"/>
      <c r="AQ437" s="41" t="n"/>
      <c r="AR437" s="41" t="n"/>
      <c r="AS437" s="41" t="n"/>
      <c r="AT437" s="41" t="n"/>
      <c r="AU437" s="41" t="n"/>
      <c r="AV437" s="41" t="n"/>
      <c r="AW437" s="41" t="n"/>
      <c r="AX437" s="41" t="n"/>
      <c r="AY437" s="41" t="n"/>
      <c r="AZ437" s="33" t="n"/>
      <c r="BA437" s="41" t="n"/>
      <c r="BB437" s="41" t="n"/>
      <c r="BC437" s="41" t="n"/>
      <c r="BD437" s="41" t="n"/>
      <c r="BE437" s="41" t="n"/>
      <c r="BF437" s="41" t="n"/>
      <c r="BG437" s="41" t="n"/>
      <c r="BH437" s="41" t="n"/>
      <c r="BI437" s="41" t="n"/>
      <c r="BJ437" s="41" t="n"/>
      <c r="BK437" s="41" t="n"/>
      <c r="BL437" s="41" t="n"/>
      <c r="BM437" s="41" t="n"/>
      <c r="BN437" s="41" t="n"/>
    </row>
    <row r="438" ht="18" customHeight="1" s="82">
      <c r="A438" s="36" t="n"/>
      <c r="B438" s="36" t="n"/>
      <c r="C438" s="36" t="n"/>
      <c r="D438" s="36" t="n"/>
      <c r="E438" s="37" t="n"/>
      <c r="F438" s="37" t="n"/>
      <c r="G438" s="37" t="n"/>
      <c r="H438" s="37" t="n"/>
      <c r="I438" s="37" t="n"/>
      <c r="J438" s="37" t="n"/>
      <c r="K438" s="37" t="n"/>
      <c r="L438" s="37" t="n"/>
      <c r="M438" s="37" t="n"/>
      <c r="N438" s="37" t="n"/>
      <c r="O438" s="37" t="n"/>
      <c r="P438" s="37" t="n"/>
      <c r="Q438" s="37" t="n"/>
      <c r="R438" s="37" t="n"/>
      <c r="S438" s="37" t="n"/>
      <c r="T438" s="37" t="n"/>
      <c r="U438" s="37" t="n"/>
      <c r="V438" s="37" t="n"/>
      <c r="W438" s="32" t="n"/>
      <c r="X438" s="37" t="n"/>
      <c r="Y438" s="37" t="n"/>
      <c r="Z438" s="37" t="n"/>
      <c r="AA438" s="37" t="n"/>
      <c r="AB438" s="37" t="n"/>
      <c r="AC438" s="37" t="n"/>
      <c r="AD438" s="32" t="n"/>
      <c r="AE438" s="37" t="n"/>
      <c r="AF438" s="38" t="n"/>
      <c r="AG438" s="67">
        <f>IF(OR(AF438="",AE438=""),"",IFERROR(AF438*INDEX(FXRates[USD per unit],MATCH(AE438,FXRates[Currency],0)),"No rate"))</f>
        <v/>
      </c>
      <c r="AH438" s="36" t="n"/>
      <c r="AI438" s="36" t="n"/>
      <c r="AJ438" s="39">
        <f>IF(A438="","",IF(COUNTIF($A$6:$A$504,A438)&gt;1,"⚠ Duplicate",""))</f>
        <v/>
      </c>
      <c r="AK438" s="38" t="n"/>
      <c r="AL438" s="40" t="n"/>
      <c r="AM438" s="40" t="n"/>
      <c r="AN438" s="40" t="n"/>
      <c r="AO438" s="40" t="n"/>
      <c r="AP438" s="40" t="n"/>
      <c r="AQ438" s="40" t="n"/>
      <c r="AR438" s="40" t="n"/>
      <c r="AS438" s="40" t="n"/>
      <c r="AT438" s="40" t="n"/>
      <c r="AU438" s="40" t="n"/>
      <c r="AV438" s="40" t="n"/>
      <c r="AW438" s="40" t="n"/>
      <c r="AX438" s="40" t="n"/>
      <c r="AY438" s="40" t="n"/>
      <c r="AZ438" s="38" t="n"/>
      <c r="BA438" s="40" t="n"/>
      <c r="BB438" s="40" t="n"/>
      <c r="BC438" s="40" t="n"/>
      <c r="BD438" s="40" t="n"/>
      <c r="BE438" s="40" t="n"/>
      <c r="BF438" s="40" t="n"/>
      <c r="BG438" s="40" t="n"/>
      <c r="BH438" s="40" t="n"/>
      <c r="BI438" s="40" t="n"/>
      <c r="BJ438" s="40" t="n"/>
      <c r="BK438" s="40" t="n"/>
      <c r="BL438" s="40" t="n"/>
      <c r="BM438" s="40" t="n"/>
      <c r="BN438" s="40" t="n"/>
    </row>
    <row r="439" ht="18" customHeight="1" s="82">
      <c r="A439" s="30" t="n"/>
      <c r="B439" s="30" t="n"/>
      <c r="C439" s="30" t="n"/>
      <c r="D439" s="30" t="n"/>
      <c r="E439" s="31" t="n"/>
      <c r="F439" s="31" t="n"/>
      <c r="G439" s="31" t="n"/>
      <c r="H439" s="31" t="n"/>
      <c r="I439" s="31" t="n"/>
      <c r="J439" s="31" t="n"/>
      <c r="K439" s="31" t="n"/>
      <c r="L439" s="31" t="n"/>
      <c r="M439" s="31" t="n"/>
      <c r="N439" s="31" t="n"/>
      <c r="O439" s="31" t="n"/>
      <c r="P439" s="31" t="n"/>
      <c r="Q439" s="31" t="n"/>
      <c r="R439" s="31" t="n"/>
      <c r="S439" s="31" t="n"/>
      <c r="T439" s="31" t="n"/>
      <c r="U439" s="31" t="n"/>
      <c r="V439" s="31" t="n"/>
      <c r="W439" s="32" t="n"/>
      <c r="X439" s="31" t="n"/>
      <c r="Y439" s="31" t="n"/>
      <c r="Z439" s="31" t="n"/>
      <c r="AA439" s="31" t="n"/>
      <c r="AB439" s="31" t="n"/>
      <c r="AC439" s="31" t="n"/>
      <c r="AD439" s="32" t="n"/>
      <c r="AE439" s="31" t="n"/>
      <c r="AF439" s="33" t="n"/>
      <c r="AG439" s="66">
        <f>IF(OR(AF439="",AE439=""),"",IFERROR(AF439*INDEX(FXRates[USD per unit],MATCH(AE439,FXRates[Currency],0)),"No rate"))</f>
        <v/>
      </c>
      <c r="AH439" s="30" t="n"/>
      <c r="AI439" s="30" t="n"/>
      <c r="AJ439" s="34">
        <f>IF(A439="","",IF(COUNTIF($A$6:$A$504,A439)&gt;1,"⚠ Duplicate",""))</f>
        <v/>
      </c>
      <c r="AK439" s="33" t="n"/>
      <c r="AL439" s="41" t="n"/>
      <c r="AM439" s="41" t="n"/>
      <c r="AN439" s="41" t="n"/>
      <c r="AO439" s="41" t="n"/>
      <c r="AP439" s="41" t="n"/>
      <c r="AQ439" s="41" t="n"/>
      <c r="AR439" s="41" t="n"/>
      <c r="AS439" s="41" t="n"/>
      <c r="AT439" s="41" t="n"/>
      <c r="AU439" s="41" t="n"/>
      <c r="AV439" s="41" t="n"/>
      <c r="AW439" s="41" t="n"/>
      <c r="AX439" s="41" t="n"/>
      <c r="AY439" s="41" t="n"/>
      <c r="AZ439" s="33" t="n"/>
      <c r="BA439" s="41" t="n"/>
      <c r="BB439" s="41" t="n"/>
      <c r="BC439" s="41" t="n"/>
      <c r="BD439" s="41" t="n"/>
      <c r="BE439" s="41" t="n"/>
      <c r="BF439" s="41" t="n"/>
      <c r="BG439" s="41" t="n"/>
      <c r="BH439" s="41" t="n"/>
      <c r="BI439" s="41" t="n"/>
      <c r="BJ439" s="41" t="n"/>
      <c r="BK439" s="41" t="n"/>
      <c r="BL439" s="41" t="n"/>
      <c r="BM439" s="41" t="n"/>
      <c r="BN439" s="41" t="n"/>
    </row>
    <row r="440" ht="18" customHeight="1" s="82">
      <c r="A440" s="36" t="n"/>
      <c r="B440" s="36" t="n"/>
      <c r="C440" s="36" t="n"/>
      <c r="D440" s="36" t="n"/>
      <c r="E440" s="37" t="n"/>
      <c r="F440" s="37" t="n"/>
      <c r="G440" s="37" t="n"/>
      <c r="H440" s="37" t="n"/>
      <c r="I440" s="37" t="n"/>
      <c r="J440" s="37" t="n"/>
      <c r="K440" s="37" t="n"/>
      <c r="L440" s="37" t="n"/>
      <c r="M440" s="37" t="n"/>
      <c r="N440" s="37" t="n"/>
      <c r="O440" s="37" t="n"/>
      <c r="P440" s="37" t="n"/>
      <c r="Q440" s="37" t="n"/>
      <c r="R440" s="37" t="n"/>
      <c r="S440" s="37" t="n"/>
      <c r="T440" s="37" t="n"/>
      <c r="U440" s="37" t="n"/>
      <c r="V440" s="37" t="n"/>
      <c r="W440" s="32" t="n"/>
      <c r="X440" s="37" t="n"/>
      <c r="Y440" s="37" t="n"/>
      <c r="Z440" s="37" t="n"/>
      <c r="AA440" s="37" t="n"/>
      <c r="AB440" s="37" t="n"/>
      <c r="AC440" s="37" t="n"/>
      <c r="AD440" s="32" t="n"/>
      <c r="AE440" s="37" t="n"/>
      <c r="AF440" s="38" t="n"/>
      <c r="AG440" s="67">
        <f>IF(OR(AF440="",AE440=""),"",IFERROR(AF440*INDEX(FXRates[USD per unit],MATCH(AE440,FXRates[Currency],0)),"No rate"))</f>
        <v/>
      </c>
      <c r="AH440" s="36" t="n"/>
      <c r="AI440" s="36" t="n"/>
      <c r="AJ440" s="39">
        <f>IF(A440="","",IF(COUNTIF($A$6:$A$504,A440)&gt;1,"⚠ Duplicate",""))</f>
        <v/>
      </c>
      <c r="AK440" s="38" t="n"/>
      <c r="AL440" s="40" t="n"/>
      <c r="AM440" s="40" t="n"/>
      <c r="AN440" s="40" t="n"/>
      <c r="AO440" s="40" t="n"/>
      <c r="AP440" s="40" t="n"/>
      <c r="AQ440" s="40" t="n"/>
      <c r="AR440" s="40" t="n"/>
      <c r="AS440" s="40" t="n"/>
      <c r="AT440" s="40" t="n"/>
      <c r="AU440" s="40" t="n"/>
      <c r="AV440" s="40" t="n"/>
      <c r="AW440" s="40" t="n"/>
      <c r="AX440" s="40" t="n"/>
      <c r="AY440" s="40" t="n"/>
      <c r="AZ440" s="38" t="n"/>
      <c r="BA440" s="40" t="n"/>
      <c r="BB440" s="40" t="n"/>
      <c r="BC440" s="40" t="n"/>
      <c r="BD440" s="40" t="n"/>
      <c r="BE440" s="40" t="n"/>
      <c r="BF440" s="40" t="n"/>
      <c r="BG440" s="40" t="n"/>
      <c r="BH440" s="40" t="n"/>
      <c r="BI440" s="40" t="n"/>
      <c r="BJ440" s="40" t="n"/>
      <c r="BK440" s="40" t="n"/>
      <c r="BL440" s="40" t="n"/>
      <c r="BM440" s="40" t="n"/>
      <c r="BN440" s="40" t="n"/>
    </row>
    <row r="441" ht="18" customHeight="1" s="82">
      <c r="A441" s="30" t="n"/>
      <c r="B441" s="30" t="n"/>
      <c r="C441" s="30" t="n"/>
      <c r="D441" s="30" t="n"/>
      <c r="E441" s="31" t="n"/>
      <c r="F441" s="31" t="n"/>
      <c r="G441" s="31" t="n"/>
      <c r="H441" s="31" t="n"/>
      <c r="I441" s="31" t="n"/>
      <c r="J441" s="31" t="n"/>
      <c r="K441" s="31" t="n"/>
      <c r="L441" s="31" t="n"/>
      <c r="M441" s="31" t="n"/>
      <c r="N441" s="31" t="n"/>
      <c r="O441" s="31" t="n"/>
      <c r="P441" s="31" t="n"/>
      <c r="Q441" s="31" t="n"/>
      <c r="R441" s="31" t="n"/>
      <c r="S441" s="31" t="n"/>
      <c r="T441" s="31" t="n"/>
      <c r="U441" s="31" t="n"/>
      <c r="V441" s="31" t="n"/>
      <c r="W441" s="32" t="n"/>
      <c r="X441" s="31" t="n"/>
      <c r="Y441" s="31" t="n"/>
      <c r="Z441" s="31" t="n"/>
      <c r="AA441" s="31" t="n"/>
      <c r="AB441" s="31" t="n"/>
      <c r="AC441" s="31" t="n"/>
      <c r="AD441" s="32" t="n"/>
      <c r="AE441" s="31" t="n"/>
      <c r="AF441" s="33" t="n"/>
      <c r="AG441" s="66">
        <f>IF(OR(AF441="",AE441=""),"",IFERROR(AF441*INDEX(FXRates[USD per unit],MATCH(AE441,FXRates[Currency],0)),"No rate"))</f>
        <v/>
      </c>
      <c r="AH441" s="30" t="n"/>
      <c r="AI441" s="30" t="n"/>
      <c r="AJ441" s="34">
        <f>IF(A441="","",IF(COUNTIF($A$6:$A$504,A441)&gt;1,"⚠ Duplicate",""))</f>
        <v/>
      </c>
      <c r="AK441" s="33" t="n"/>
      <c r="AL441" s="41" t="n"/>
      <c r="AM441" s="41" t="n"/>
      <c r="AN441" s="41" t="n"/>
      <c r="AO441" s="41" t="n"/>
      <c r="AP441" s="41" t="n"/>
      <c r="AQ441" s="41" t="n"/>
      <c r="AR441" s="41" t="n"/>
      <c r="AS441" s="41" t="n"/>
      <c r="AT441" s="41" t="n"/>
      <c r="AU441" s="41" t="n"/>
      <c r="AV441" s="41" t="n"/>
      <c r="AW441" s="41" t="n"/>
      <c r="AX441" s="41" t="n"/>
      <c r="AY441" s="41" t="n"/>
      <c r="AZ441" s="33" t="n"/>
      <c r="BA441" s="41" t="n"/>
      <c r="BB441" s="41" t="n"/>
      <c r="BC441" s="41" t="n"/>
      <c r="BD441" s="41" t="n"/>
      <c r="BE441" s="41" t="n"/>
      <c r="BF441" s="41" t="n"/>
      <c r="BG441" s="41" t="n"/>
      <c r="BH441" s="41" t="n"/>
      <c r="BI441" s="41" t="n"/>
      <c r="BJ441" s="41" t="n"/>
      <c r="BK441" s="41" t="n"/>
      <c r="BL441" s="41" t="n"/>
      <c r="BM441" s="41" t="n"/>
      <c r="BN441" s="41" t="n"/>
    </row>
    <row r="442" ht="18" customHeight="1" s="82">
      <c r="A442" s="36" t="n"/>
      <c r="B442" s="36" t="n"/>
      <c r="C442" s="36" t="n"/>
      <c r="D442" s="36" t="n"/>
      <c r="E442" s="37" t="n"/>
      <c r="F442" s="37" t="n"/>
      <c r="G442" s="37" t="n"/>
      <c r="H442" s="37" t="n"/>
      <c r="I442" s="37" t="n"/>
      <c r="J442" s="37" t="n"/>
      <c r="K442" s="37" t="n"/>
      <c r="L442" s="37" t="n"/>
      <c r="M442" s="37" t="n"/>
      <c r="N442" s="37" t="n"/>
      <c r="O442" s="37" t="n"/>
      <c r="P442" s="37" t="n"/>
      <c r="Q442" s="37" t="n"/>
      <c r="R442" s="37" t="n"/>
      <c r="S442" s="37" t="n"/>
      <c r="T442" s="37" t="n"/>
      <c r="U442" s="37" t="n"/>
      <c r="V442" s="37" t="n"/>
      <c r="W442" s="32" t="n"/>
      <c r="X442" s="37" t="n"/>
      <c r="Y442" s="37" t="n"/>
      <c r="Z442" s="37" t="n"/>
      <c r="AA442" s="37" t="n"/>
      <c r="AB442" s="37" t="n"/>
      <c r="AC442" s="37" t="n"/>
      <c r="AD442" s="32" t="n"/>
      <c r="AE442" s="37" t="n"/>
      <c r="AF442" s="38" t="n"/>
      <c r="AG442" s="67">
        <f>IF(OR(AF442="",AE442=""),"",IFERROR(AF442*INDEX(FXRates[USD per unit],MATCH(AE442,FXRates[Currency],0)),"No rate"))</f>
        <v/>
      </c>
      <c r="AH442" s="36" t="n"/>
      <c r="AI442" s="36" t="n"/>
      <c r="AJ442" s="39">
        <f>IF(A442="","",IF(COUNTIF($A$6:$A$504,A442)&gt;1,"⚠ Duplicate",""))</f>
        <v/>
      </c>
      <c r="AK442" s="38" t="n"/>
      <c r="AL442" s="40" t="n"/>
      <c r="AM442" s="40" t="n"/>
      <c r="AN442" s="40" t="n"/>
      <c r="AO442" s="40" t="n"/>
      <c r="AP442" s="40" t="n"/>
      <c r="AQ442" s="40" t="n"/>
      <c r="AR442" s="40" t="n"/>
      <c r="AS442" s="40" t="n"/>
      <c r="AT442" s="40" t="n"/>
      <c r="AU442" s="40" t="n"/>
      <c r="AV442" s="40" t="n"/>
      <c r="AW442" s="40" t="n"/>
      <c r="AX442" s="40" t="n"/>
      <c r="AY442" s="40" t="n"/>
      <c r="AZ442" s="38" t="n"/>
      <c r="BA442" s="40" t="n"/>
      <c r="BB442" s="40" t="n"/>
      <c r="BC442" s="40" t="n"/>
      <c r="BD442" s="40" t="n"/>
      <c r="BE442" s="40" t="n"/>
      <c r="BF442" s="40" t="n"/>
      <c r="BG442" s="40" t="n"/>
      <c r="BH442" s="40" t="n"/>
      <c r="BI442" s="40" t="n"/>
      <c r="BJ442" s="40" t="n"/>
      <c r="BK442" s="40" t="n"/>
      <c r="BL442" s="40" t="n"/>
      <c r="BM442" s="40" t="n"/>
      <c r="BN442" s="40" t="n"/>
    </row>
    <row r="443" ht="18" customHeight="1" s="82">
      <c r="A443" s="30" t="n"/>
      <c r="B443" s="30" t="n"/>
      <c r="C443" s="30" t="n"/>
      <c r="D443" s="30" t="n"/>
      <c r="E443" s="31" t="n"/>
      <c r="F443" s="31" t="n"/>
      <c r="G443" s="31" t="n"/>
      <c r="H443" s="31" t="n"/>
      <c r="I443" s="31" t="n"/>
      <c r="J443" s="31" t="n"/>
      <c r="K443" s="31" t="n"/>
      <c r="L443" s="31" t="n"/>
      <c r="M443" s="31" t="n"/>
      <c r="N443" s="31" t="n"/>
      <c r="O443" s="31" t="n"/>
      <c r="P443" s="31" t="n"/>
      <c r="Q443" s="31" t="n"/>
      <c r="R443" s="31" t="n"/>
      <c r="S443" s="31" t="n"/>
      <c r="T443" s="31" t="n"/>
      <c r="U443" s="31" t="n"/>
      <c r="V443" s="31" t="n"/>
      <c r="W443" s="32" t="n"/>
      <c r="X443" s="31" t="n"/>
      <c r="Y443" s="31" t="n"/>
      <c r="Z443" s="31" t="n"/>
      <c r="AA443" s="31" t="n"/>
      <c r="AB443" s="31" t="n"/>
      <c r="AC443" s="31" t="n"/>
      <c r="AD443" s="32" t="n"/>
      <c r="AE443" s="31" t="n"/>
      <c r="AF443" s="33" t="n"/>
      <c r="AG443" s="66">
        <f>IF(OR(AF443="",AE443=""),"",IFERROR(AF443*INDEX(FXRates[USD per unit],MATCH(AE443,FXRates[Currency],0)),"No rate"))</f>
        <v/>
      </c>
      <c r="AH443" s="30" t="n"/>
      <c r="AI443" s="30" t="n"/>
      <c r="AJ443" s="34">
        <f>IF(A443="","",IF(COUNTIF($A$6:$A$504,A443)&gt;1,"⚠ Duplicate",""))</f>
        <v/>
      </c>
      <c r="AK443" s="33" t="n"/>
      <c r="AL443" s="41" t="n"/>
      <c r="AM443" s="41" t="n"/>
      <c r="AN443" s="41" t="n"/>
      <c r="AO443" s="41" t="n"/>
      <c r="AP443" s="41" t="n"/>
      <c r="AQ443" s="41" t="n"/>
      <c r="AR443" s="41" t="n"/>
      <c r="AS443" s="41" t="n"/>
      <c r="AT443" s="41" t="n"/>
      <c r="AU443" s="41" t="n"/>
      <c r="AV443" s="41" t="n"/>
      <c r="AW443" s="41" t="n"/>
      <c r="AX443" s="41" t="n"/>
      <c r="AY443" s="41" t="n"/>
      <c r="AZ443" s="33" t="n"/>
      <c r="BA443" s="41" t="n"/>
      <c r="BB443" s="41" t="n"/>
      <c r="BC443" s="41" t="n"/>
      <c r="BD443" s="41" t="n"/>
      <c r="BE443" s="41" t="n"/>
      <c r="BF443" s="41" t="n"/>
      <c r="BG443" s="41" t="n"/>
      <c r="BH443" s="41" t="n"/>
      <c r="BI443" s="41" t="n"/>
      <c r="BJ443" s="41" t="n"/>
      <c r="BK443" s="41" t="n"/>
      <c r="BL443" s="41" t="n"/>
      <c r="BM443" s="41" t="n"/>
      <c r="BN443" s="41" t="n"/>
    </row>
    <row r="444" ht="18" customHeight="1" s="82">
      <c r="A444" s="36" t="n"/>
      <c r="B444" s="36" t="n"/>
      <c r="C444" s="36" t="n"/>
      <c r="D444" s="36" t="n"/>
      <c r="E444" s="37" t="n"/>
      <c r="F444" s="37" t="n"/>
      <c r="G444" s="37" t="n"/>
      <c r="H444" s="37" t="n"/>
      <c r="I444" s="37" t="n"/>
      <c r="J444" s="37" t="n"/>
      <c r="K444" s="37" t="n"/>
      <c r="L444" s="37" t="n"/>
      <c r="M444" s="37" t="n"/>
      <c r="N444" s="37" t="n"/>
      <c r="O444" s="37" t="n"/>
      <c r="P444" s="37" t="n"/>
      <c r="Q444" s="37" t="n"/>
      <c r="R444" s="37" t="n"/>
      <c r="S444" s="37" t="n"/>
      <c r="T444" s="37" t="n"/>
      <c r="U444" s="37" t="n"/>
      <c r="V444" s="37" t="n"/>
      <c r="W444" s="32" t="n"/>
      <c r="X444" s="37" t="n"/>
      <c r="Y444" s="37" t="n"/>
      <c r="Z444" s="37" t="n"/>
      <c r="AA444" s="37" t="n"/>
      <c r="AB444" s="37" t="n"/>
      <c r="AC444" s="37" t="n"/>
      <c r="AD444" s="32" t="n"/>
      <c r="AE444" s="37" t="n"/>
      <c r="AF444" s="38" t="n"/>
      <c r="AG444" s="67">
        <f>IF(OR(AF444="",AE444=""),"",IFERROR(AF444*INDEX(FXRates[USD per unit],MATCH(AE444,FXRates[Currency],0)),"No rate"))</f>
        <v/>
      </c>
      <c r="AH444" s="36" t="n"/>
      <c r="AI444" s="36" t="n"/>
      <c r="AJ444" s="39">
        <f>IF(A444="","",IF(COUNTIF($A$6:$A$504,A444)&gt;1,"⚠ Duplicate",""))</f>
        <v/>
      </c>
      <c r="AK444" s="38" t="n"/>
      <c r="AL444" s="40" t="n"/>
      <c r="AM444" s="40" t="n"/>
      <c r="AN444" s="40" t="n"/>
      <c r="AO444" s="40" t="n"/>
      <c r="AP444" s="40" t="n"/>
      <c r="AQ444" s="40" t="n"/>
      <c r="AR444" s="40" t="n"/>
      <c r="AS444" s="40" t="n"/>
      <c r="AT444" s="40" t="n"/>
      <c r="AU444" s="40" t="n"/>
      <c r="AV444" s="40" t="n"/>
      <c r="AW444" s="40" t="n"/>
      <c r="AX444" s="40" t="n"/>
      <c r="AY444" s="40" t="n"/>
      <c r="AZ444" s="38" t="n"/>
      <c r="BA444" s="40" t="n"/>
      <c r="BB444" s="40" t="n"/>
      <c r="BC444" s="40" t="n"/>
      <c r="BD444" s="40" t="n"/>
      <c r="BE444" s="40" t="n"/>
      <c r="BF444" s="40" t="n"/>
      <c r="BG444" s="40" t="n"/>
      <c r="BH444" s="40" t="n"/>
      <c r="BI444" s="40" t="n"/>
      <c r="BJ444" s="40" t="n"/>
      <c r="BK444" s="40" t="n"/>
      <c r="BL444" s="40" t="n"/>
      <c r="BM444" s="40" t="n"/>
      <c r="BN444" s="40" t="n"/>
    </row>
    <row r="445" ht="18" customHeight="1" s="82">
      <c r="A445" s="30" t="n"/>
      <c r="B445" s="30" t="n"/>
      <c r="C445" s="30" t="n"/>
      <c r="D445" s="30" t="n"/>
      <c r="E445" s="31" t="n"/>
      <c r="F445" s="31" t="n"/>
      <c r="G445" s="31" t="n"/>
      <c r="H445" s="31" t="n"/>
      <c r="I445" s="31" t="n"/>
      <c r="J445" s="31" t="n"/>
      <c r="K445" s="31" t="n"/>
      <c r="L445" s="31" t="n"/>
      <c r="M445" s="31" t="n"/>
      <c r="N445" s="31" t="n"/>
      <c r="O445" s="31" t="n"/>
      <c r="P445" s="31" t="n"/>
      <c r="Q445" s="31" t="n"/>
      <c r="R445" s="31" t="n"/>
      <c r="S445" s="31" t="n"/>
      <c r="T445" s="31" t="n"/>
      <c r="U445" s="31" t="n"/>
      <c r="V445" s="31" t="n"/>
      <c r="W445" s="32" t="n"/>
      <c r="X445" s="31" t="n"/>
      <c r="Y445" s="31" t="n"/>
      <c r="Z445" s="31" t="n"/>
      <c r="AA445" s="31" t="n"/>
      <c r="AB445" s="31" t="n"/>
      <c r="AC445" s="31" t="n"/>
      <c r="AD445" s="32" t="n"/>
      <c r="AE445" s="31" t="n"/>
      <c r="AF445" s="33" t="n"/>
      <c r="AG445" s="66">
        <f>IF(OR(AF445="",AE445=""),"",IFERROR(AF445*INDEX(FXRates[USD per unit],MATCH(AE445,FXRates[Currency],0)),"No rate"))</f>
        <v/>
      </c>
      <c r="AH445" s="30" t="n"/>
      <c r="AI445" s="30" t="n"/>
      <c r="AJ445" s="34">
        <f>IF(A445="","",IF(COUNTIF($A$6:$A$504,A445)&gt;1,"⚠ Duplicate",""))</f>
        <v/>
      </c>
      <c r="AK445" s="33" t="n"/>
      <c r="AL445" s="41" t="n"/>
      <c r="AM445" s="41" t="n"/>
      <c r="AN445" s="41" t="n"/>
      <c r="AO445" s="41" t="n"/>
      <c r="AP445" s="41" t="n"/>
      <c r="AQ445" s="41" t="n"/>
      <c r="AR445" s="41" t="n"/>
      <c r="AS445" s="41" t="n"/>
      <c r="AT445" s="41" t="n"/>
      <c r="AU445" s="41" t="n"/>
      <c r="AV445" s="41" t="n"/>
      <c r="AW445" s="41" t="n"/>
      <c r="AX445" s="41" t="n"/>
      <c r="AY445" s="41" t="n"/>
      <c r="AZ445" s="33" t="n"/>
      <c r="BA445" s="41" t="n"/>
      <c r="BB445" s="41" t="n"/>
      <c r="BC445" s="41" t="n"/>
      <c r="BD445" s="41" t="n"/>
      <c r="BE445" s="41" t="n"/>
      <c r="BF445" s="41" t="n"/>
      <c r="BG445" s="41" t="n"/>
      <c r="BH445" s="41" t="n"/>
      <c r="BI445" s="41" t="n"/>
      <c r="BJ445" s="41" t="n"/>
      <c r="BK445" s="41" t="n"/>
      <c r="BL445" s="41" t="n"/>
      <c r="BM445" s="41" t="n"/>
      <c r="BN445" s="41" t="n"/>
    </row>
    <row r="446" ht="18" customHeight="1" s="82">
      <c r="A446" s="36" t="n"/>
      <c r="B446" s="36" t="n"/>
      <c r="C446" s="36" t="n"/>
      <c r="D446" s="36" t="n"/>
      <c r="E446" s="37" t="n"/>
      <c r="F446" s="37" t="n"/>
      <c r="G446" s="37" t="n"/>
      <c r="H446" s="37" t="n"/>
      <c r="I446" s="37" t="n"/>
      <c r="J446" s="37" t="n"/>
      <c r="K446" s="37" t="n"/>
      <c r="L446" s="37" t="n"/>
      <c r="M446" s="37" t="n"/>
      <c r="N446" s="37" t="n"/>
      <c r="O446" s="37" t="n"/>
      <c r="P446" s="37" t="n"/>
      <c r="Q446" s="37" t="n"/>
      <c r="R446" s="37" t="n"/>
      <c r="S446" s="37" t="n"/>
      <c r="T446" s="37" t="n"/>
      <c r="U446" s="37" t="n"/>
      <c r="V446" s="37" t="n"/>
      <c r="W446" s="32" t="n"/>
      <c r="X446" s="37" t="n"/>
      <c r="Y446" s="37" t="n"/>
      <c r="Z446" s="37" t="n"/>
      <c r="AA446" s="37" t="n"/>
      <c r="AB446" s="37" t="n"/>
      <c r="AC446" s="37" t="n"/>
      <c r="AD446" s="32" t="n"/>
      <c r="AE446" s="37" t="n"/>
      <c r="AF446" s="38" t="n"/>
      <c r="AG446" s="67">
        <f>IF(OR(AF446="",AE446=""),"",IFERROR(AF446*INDEX(FXRates[USD per unit],MATCH(AE446,FXRates[Currency],0)),"No rate"))</f>
        <v/>
      </c>
      <c r="AH446" s="36" t="n"/>
      <c r="AI446" s="36" t="n"/>
      <c r="AJ446" s="39">
        <f>IF(A446="","",IF(COUNTIF($A$6:$A$504,A446)&gt;1,"⚠ Duplicate",""))</f>
        <v/>
      </c>
      <c r="AK446" s="38" t="n"/>
      <c r="AL446" s="40" t="n"/>
      <c r="AM446" s="40" t="n"/>
      <c r="AN446" s="40" t="n"/>
      <c r="AO446" s="40" t="n"/>
      <c r="AP446" s="40" t="n"/>
      <c r="AQ446" s="40" t="n"/>
      <c r="AR446" s="40" t="n"/>
      <c r="AS446" s="40" t="n"/>
      <c r="AT446" s="40" t="n"/>
      <c r="AU446" s="40" t="n"/>
      <c r="AV446" s="40" t="n"/>
      <c r="AW446" s="40" t="n"/>
      <c r="AX446" s="40" t="n"/>
      <c r="AY446" s="40" t="n"/>
      <c r="AZ446" s="38" t="n"/>
      <c r="BA446" s="40" t="n"/>
      <c r="BB446" s="40" t="n"/>
      <c r="BC446" s="40" t="n"/>
      <c r="BD446" s="40" t="n"/>
      <c r="BE446" s="40" t="n"/>
      <c r="BF446" s="40" t="n"/>
      <c r="BG446" s="40" t="n"/>
      <c r="BH446" s="40" t="n"/>
      <c r="BI446" s="40" t="n"/>
      <c r="BJ446" s="40" t="n"/>
      <c r="BK446" s="40" t="n"/>
      <c r="BL446" s="40" t="n"/>
      <c r="BM446" s="40" t="n"/>
      <c r="BN446" s="40" t="n"/>
    </row>
    <row r="447" ht="18" customHeight="1" s="82">
      <c r="A447" s="30" t="n"/>
      <c r="B447" s="30" t="n"/>
      <c r="C447" s="30" t="n"/>
      <c r="D447" s="30" t="n"/>
      <c r="E447" s="31" t="n"/>
      <c r="F447" s="31" t="n"/>
      <c r="G447" s="31" t="n"/>
      <c r="H447" s="31" t="n"/>
      <c r="I447" s="31" t="n"/>
      <c r="J447" s="31" t="n"/>
      <c r="K447" s="31" t="n"/>
      <c r="L447" s="31" t="n"/>
      <c r="M447" s="31" t="n"/>
      <c r="N447" s="31" t="n"/>
      <c r="O447" s="31" t="n"/>
      <c r="P447" s="31" t="n"/>
      <c r="Q447" s="31" t="n"/>
      <c r="R447" s="31" t="n"/>
      <c r="S447" s="31" t="n"/>
      <c r="T447" s="31" t="n"/>
      <c r="U447" s="31" t="n"/>
      <c r="V447" s="31" t="n"/>
      <c r="W447" s="32" t="n"/>
      <c r="X447" s="31" t="n"/>
      <c r="Y447" s="31" t="n"/>
      <c r="Z447" s="31" t="n"/>
      <c r="AA447" s="31" t="n"/>
      <c r="AB447" s="31" t="n"/>
      <c r="AC447" s="31" t="n"/>
      <c r="AD447" s="32" t="n"/>
      <c r="AE447" s="31" t="n"/>
      <c r="AF447" s="33" t="n"/>
      <c r="AG447" s="66">
        <f>IF(OR(AF447="",AE447=""),"",IFERROR(AF447*INDEX(FXRates[USD per unit],MATCH(AE447,FXRates[Currency],0)),"No rate"))</f>
        <v/>
      </c>
      <c r="AH447" s="30" t="n"/>
      <c r="AI447" s="30" t="n"/>
      <c r="AJ447" s="34">
        <f>IF(A447="","",IF(COUNTIF($A$6:$A$504,A447)&gt;1,"⚠ Duplicate",""))</f>
        <v/>
      </c>
      <c r="AK447" s="33" t="n"/>
      <c r="AL447" s="41" t="n"/>
      <c r="AM447" s="41" t="n"/>
      <c r="AN447" s="41" t="n"/>
      <c r="AO447" s="41" t="n"/>
      <c r="AP447" s="41" t="n"/>
      <c r="AQ447" s="41" t="n"/>
      <c r="AR447" s="41" t="n"/>
      <c r="AS447" s="41" t="n"/>
      <c r="AT447" s="41" t="n"/>
      <c r="AU447" s="41" t="n"/>
      <c r="AV447" s="41" t="n"/>
      <c r="AW447" s="41" t="n"/>
      <c r="AX447" s="41" t="n"/>
      <c r="AY447" s="41" t="n"/>
      <c r="AZ447" s="33" t="n"/>
      <c r="BA447" s="41" t="n"/>
      <c r="BB447" s="41" t="n"/>
      <c r="BC447" s="41" t="n"/>
      <c r="BD447" s="41" t="n"/>
      <c r="BE447" s="41" t="n"/>
      <c r="BF447" s="41" t="n"/>
      <c r="BG447" s="41" t="n"/>
      <c r="BH447" s="41" t="n"/>
      <c r="BI447" s="41" t="n"/>
      <c r="BJ447" s="41" t="n"/>
      <c r="BK447" s="41" t="n"/>
      <c r="BL447" s="41" t="n"/>
      <c r="BM447" s="41" t="n"/>
      <c r="BN447" s="41" t="n"/>
    </row>
    <row r="448" ht="18" customHeight="1" s="82">
      <c r="A448" s="36" t="n"/>
      <c r="B448" s="36" t="n"/>
      <c r="C448" s="36" t="n"/>
      <c r="D448" s="36" t="n"/>
      <c r="E448" s="37" t="n"/>
      <c r="F448" s="37" t="n"/>
      <c r="G448" s="37" t="n"/>
      <c r="H448" s="37" t="n"/>
      <c r="I448" s="37" t="n"/>
      <c r="J448" s="37" t="n"/>
      <c r="K448" s="37" t="n"/>
      <c r="L448" s="37" t="n"/>
      <c r="M448" s="37" t="n"/>
      <c r="N448" s="37" t="n"/>
      <c r="O448" s="37" t="n"/>
      <c r="P448" s="37" t="n"/>
      <c r="Q448" s="37" t="n"/>
      <c r="R448" s="37" t="n"/>
      <c r="S448" s="37" t="n"/>
      <c r="T448" s="37" t="n"/>
      <c r="U448" s="37" t="n"/>
      <c r="V448" s="37" t="n"/>
      <c r="W448" s="32" t="n"/>
      <c r="X448" s="37" t="n"/>
      <c r="Y448" s="37" t="n"/>
      <c r="Z448" s="37" t="n"/>
      <c r="AA448" s="37" t="n"/>
      <c r="AB448" s="37" t="n"/>
      <c r="AC448" s="37" t="n"/>
      <c r="AD448" s="32" t="n"/>
      <c r="AE448" s="37" t="n"/>
      <c r="AF448" s="38" t="n"/>
      <c r="AG448" s="67">
        <f>IF(OR(AF448="",AE448=""),"",IFERROR(AF448*INDEX(FXRates[USD per unit],MATCH(AE448,FXRates[Currency],0)),"No rate"))</f>
        <v/>
      </c>
      <c r="AH448" s="36" t="n"/>
      <c r="AI448" s="36" t="n"/>
      <c r="AJ448" s="39">
        <f>IF(A448="","",IF(COUNTIF($A$6:$A$504,A448)&gt;1,"⚠ Duplicate",""))</f>
        <v/>
      </c>
      <c r="AK448" s="38" t="n"/>
      <c r="AL448" s="40" t="n"/>
      <c r="AM448" s="40" t="n"/>
      <c r="AN448" s="40" t="n"/>
      <c r="AO448" s="40" t="n"/>
      <c r="AP448" s="40" t="n"/>
      <c r="AQ448" s="40" t="n"/>
      <c r="AR448" s="40" t="n"/>
      <c r="AS448" s="40" t="n"/>
      <c r="AT448" s="40" t="n"/>
      <c r="AU448" s="40" t="n"/>
      <c r="AV448" s="40" t="n"/>
      <c r="AW448" s="40" t="n"/>
      <c r="AX448" s="40" t="n"/>
      <c r="AY448" s="40" t="n"/>
      <c r="AZ448" s="38" t="n"/>
      <c r="BA448" s="40" t="n"/>
      <c r="BB448" s="40" t="n"/>
      <c r="BC448" s="40" t="n"/>
      <c r="BD448" s="40" t="n"/>
      <c r="BE448" s="40" t="n"/>
      <c r="BF448" s="40" t="n"/>
      <c r="BG448" s="40" t="n"/>
      <c r="BH448" s="40" t="n"/>
      <c r="BI448" s="40" t="n"/>
      <c r="BJ448" s="40" t="n"/>
      <c r="BK448" s="40" t="n"/>
      <c r="BL448" s="40" t="n"/>
      <c r="BM448" s="40" t="n"/>
      <c r="BN448" s="40" t="n"/>
    </row>
    <row r="449" ht="18" customHeight="1" s="82">
      <c r="A449" s="30" t="n"/>
      <c r="B449" s="30" t="n"/>
      <c r="C449" s="30" t="n"/>
      <c r="D449" s="30" t="n"/>
      <c r="E449" s="31" t="n"/>
      <c r="F449" s="31" t="n"/>
      <c r="G449" s="31" t="n"/>
      <c r="H449" s="31" t="n"/>
      <c r="I449" s="31" t="n"/>
      <c r="J449" s="31" t="n"/>
      <c r="K449" s="31" t="n"/>
      <c r="L449" s="31" t="n"/>
      <c r="M449" s="31" t="n"/>
      <c r="N449" s="31" t="n"/>
      <c r="O449" s="31" t="n"/>
      <c r="P449" s="31" t="n"/>
      <c r="Q449" s="31" t="n"/>
      <c r="R449" s="31" t="n"/>
      <c r="S449" s="31" t="n"/>
      <c r="T449" s="31" t="n"/>
      <c r="U449" s="31" t="n"/>
      <c r="V449" s="31" t="n"/>
      <c r="W449" s="32" t="n"/>
      <c r="X449" s="31" t="n"/>
      <c r="Y449" s="31" t="n"/>
      <c r="Z449" s="31" t="n"/>
      <c r="AA449" s="31" t="n"/>
      <c r="AB449" s="31" t="n"/>
      <c r="AC449" s="31" t="n"/>
      <c r="AD449" s="32" t="n"/>
      <c r="AE449" s="31" t="n"/>
      <c r="AF449" s="33" t="n"/>
      <c r="AG449" s="66">
        <f>IF(OR(AF449="",AE449=""),"",IFERROR(AF449*INDEX(FXRates[USD per unit],MATCH(AE449,FXRates[Currency],0)),"No rate"))</f>
        <v/>
      </c>
      <c r="AH449" s="30" t="n"/>
      <c r="AI449" s="30" t="n"/>
      <c r="AJ449" s="34">
        <f>IF(A449="","",IF(COUNTIF($A$6:$A$504,A449)&gt;1,"⚠ Duplicate",""))</f>
        <v/>
      </c>
      <c r="AK449" s="33" t="n"/>
      <c r="AL449" s="41" t="n"/>
      <c r="AM449" s="41" t="n"/>
      <c r="AN449" s="41" t="n"/>
      <c r="AO449" s="41" t="n"/>
      <c r="AP449" s="41" t="n"/>
      <c r="AQ449" s="41" t="n"/>
      <c r="AR449" s="41" t="n"/>
      <c r="AS449" s="41" t="n"/>
      <c r="AT449" s="41" t="n"/>
      <c r="AU449" s="41" t="n"/>
      <c r="AV449" s="41" t="n"/>
      <c r="AW449" s="41" t="n"/>
      <c r="AX449" s="41" t="n"/>
      <c r="AY449" s="41" t="n"/>
      <c r="AZ449" s="33" t="n"/>
      <c r="BA449" s="41" t="n"/>
      <c r="BB449" s="41" t="n"/>
      <c r="BC449" s="41" t="n"/>
      <c r="BD449" s="41" t="n"/>
      <c r="BE449" s="41" t="n"/>
      <c r="BF449" s="41" t="n"/>
      <c r="BG449" s="41" t="n"/>
      <c r="BH449" s="41" t="n"/>
      <c r="BI449" s="41" t="n"/>
      <c r="BJ449" s="41" t="n"/>
      <c r="BK449" s="41" t="n"/>
      <c r="BL449" s="41" t="n"/>
      <c r="BM449" s="41" t="n"/>
      <c r="BN449" s="41" t="n"/>
    </row>
    <row r="450" ht="18" customHeight="1" s="82">
      <c r="A450" s="36" t="n"/>
      <c r="B450" s="36" t="n"/>
      <c r="C450" s="36" t="n"/>
      <c r="D450" s="36" t="n"/>
      <c r="E450" s="37" t="n"/>
      <c r="F450" s="37" t="n"/>
      <c r="G450" s="37" t="n"/>
      <c r="H450" s="37" t="n"/>
      <c r="I450" s="37" t="n"/>
      <c r="J450" s="37" t="n"/>
      <c r="K450" s="37" t="n"/>
      <c r="L450" s="37" t="n"/>
      <c r="M450" s="37" t="n"/>
      <c r="N450" s="37" t="n"/>
      <c r="O450" s="37" t="n"/>
      <c r="P450" s="37" t="n"/>
      <c r="Q450" s="37" t="n"/>
      <c r="R450" s="37" t="n"/>
      <c r="S450" s="37" t="n"/>
      <c r="T450" s="37" t="n"/>
      <c r="U450" s="37" t="n"/>
      <c r="V450" s="37" t="n"/>
      <c r="W450" s="32" t="n"/>
      <c r="X450" s="37" t="n"/>
      <c r="Y450" s="37" t="n"/>
      <c r="Z450" s="37" t="n"/>
      <c r="AA450" s="37" t="n"/>
      <c r="AB450" s="37" t="n"/>
      <c r="AC450" s="37" t="n"/>
      <c r="AD450" s="32" t="n"/>
      <c r="AE450" s="37" t="n"/>
      <c r="AF450" s="38" t="n"/>
      <c r="AG450" s="67">
        <f>IF(OR(AF450="",AE450=""),"",IFERROR(AF450*INDEX(FXRates[USD per unit],MATCH(AE450,FXRates[Currency],0)),"No rate"))</f>
        <v/>
      </c>
      <c r="AH450" s="36" t="n"/>
      <c r="AI450" s="36" t="n"/>
      <c r="AJ450" s="39">
        <f>IF(A450="","",IF(COUNTIF($A$6:$A$504,A450)&gt;1,"⚠ Duplicate",""))</f>
        <v/>
      </c>
      <c r="AK450" s="38" t="n"/>
      <c r="AL450" s="40" t="n"/>
      <c r="AM450" s="40" t="n"/>
      <c r="AN450" s="40" t="n"/>
      <c r="AO450" s="40" t="n"/>
      <c r="AP450" s="40" t="n"/>
      <c r="AQ450" s="40" t="n"/>
      <c r="AR450" s="40" t="n"/>
      <c r="AS450" s="40" t="n"/>
      <c r="AT450" s="40" t="n"/>
      <c r="AU450" s="40" t="n"/>
      <c r="AV450" s="40" t="n"/>
      <c r="AW450" s="40" t="n"/>
      <c r="AX450" s="40" t="n"/>
      <c r="AY450" s="40" t="n"/>
      <c r="AZ450" s="38" t="n"/>
      <c r="BA450" s="40" t="n"/>
      <c r="BB450" s="40" t="n"/>
      <c r="BC450" s="40" t="n"/>
      <c r="BD450" s="40" t="n"/>
      <c r="BE450" s="40" t="n"/>
      <c r="BF450" s="40" t="n"/>
      <c r="BG450" s="40" t="n"/>
      <c r="BH450" s="40" t="n"/>
      <c r="BI450" s="40" t="n"/>
      <c r="BJ450" s="40" t="n"/>
      <c r="BK450" s="40" t="n"/>
      <c r="BL450" s="40" t="n"/>
      <c r="BM450" s="40" t="n"/>
      <c r="BN450" s="40" t="n"/>
    </row>
    <row r="451" ht="18" customHeight="1" s="82">
      <c r="A451" s="30" t="n"/>
      <c r="B451" s="30" t="n"/>
      <c r="C451" s="30" t="n"/>
      <c r="D451" s="30" t="n"/>
      <c r="E451" s="31" t="n"/>
      <c r="F451" s="31" t="n"/>
      <c r="G451" s="31" t="n"/>
      <c r="H451" s="31" t="n"/>
      <c r="I451" s="31" t="n"/>
      <c r="J451" s="31" t="n"/>
      <c r="K451" s="31" t="n"/>
      <c r="L451" s="31" t="n"/>
      <c r="M451" s="31" t="n"/>
      <c r="N451" s="31" t="n"/>
      <c r="O451" s="31" t="n"/>
      <c r="P451" s="31" t="n"/>
      <c r="Q451" s="31" t="n"/>
      <c r="R451" s="31" t="n"/>
      <c r="S451" s="31" t="n"/>
      <c r="T451" s="31" t="n"/>
      <c r="U451" s="31" t="n"/>
      <c r="V451" s="31" t="n"/>
      <c r="W451" s="32" t="n"/>
      <c r="X451" s="31" t="n"/>
      <c r="Y451" s="31" t="n"/>
      <c r="Z451" s="31" t="n"/>
      <c r="AA451" s="31" t="n"/>
      <c r="AB451" s="31" t="n"/>
      <c r="AC451" s="31" t="n"/>
      <c r="AD451" s="32" t="n"/>
      <c r="AE451" s="31" t="n"/>
      <c r="AF451" s="33" t="n"/>
      <c r="AG451" s="66">
        <f>IF(OR(AF451="",AE451=""),"",IFERROR(AF451*INDEX(FXRates[USD per unit],MATCH(AE451,FXRates[Currency],0)),"No rate"))</f>
        <v/>
      </c>
      <c r="AH451" s="30" t="n"/>
      <c r="AI451" s="30" t="n"/>
      <c r="AJ451" s="34">
        <f>IF(A451="","",IF(COUNTIF($A$6:$A$504,A451)&gt;1,"⚠ Duplicate",""))</f>
        <v/>
      </c>
      <c r="AK451" s="33" t="n"/>
      <c r="AL451" s="41" t="n"/>
      <c r="AM451" s="41" t="n"/>
      <c r="AN451" s="41" t="n"/>
      <c r="AO451" s="41" t="n"/>
      <c r="AP451" s="41" t="n"/>
      <c r="AQ451" s="41" t="n"/>
      <c r="AR451" s="41" t="n"/>
      <c r="AS451" s="41" t="n"/>
      <c r="AT451" s="41" t="n"/>
      <c r="AU451" s="41" t="n"/>
      <c r="AV451" s="41" t="n"/>
      <c r="AW451" s="41" t="n"/>
      <c r="AX451" s="41" t="n"/>
      <c r="AY451" s="41" t="n"/>
      <c r="AZ451" s="33" t="n"/>
      <c r="BA451" s="41" t="n"/>
      <c r="BB451" s="41" t="n"/>
      <c r="BC451" s="41" t="n"/>
      <c r="BD451" s="41" t="n"/>
      <c r="BE451" s="41" t="n"/>
      <c r="BF451" s="41" t="n"/>
      <c r="BG451" s="41" t="n"/>
      <c r="BH451" s="41" t="n"/>
      <c r="BI451" s="41" t="n"/>
      <c r="BJ451" s="41" t="n"/>
      <c r="BK451" s="41" t="n"/>
      <c r="BL451" s="41" t="n"/>
      <c r="BM451" s="41" t="n"/>
      <c r="BN451" s="41" t="n"/>
    </row>
    <row r="452" ht="18" customHeight="1" s="82">
      <c r="A452" s="36" t="n"/>
      <c r="B452" s="36" t="n"/>
      <c r="C452" s="36" t="n"/>
      <c r="D452" s="36" t="n"/>
      <c r="E452" s="37" t="n"/>
      <c r="F452" s="37" t="n"/>
      <c r="G452" s="37" t="n"/>
      <c r="H452" s="37" t="n"/>
      <c r="I452" s="37" t="n"/>
      <c r="J452" s="37" t="n"/>
      <c r="K452" s="37" t="n"/>
      <c r="L452" s="37" t="n"/>
      <c r="M452" s="37" t="n"/>
      <c r="N452" s="37" t="n"/>
      <c r="O452" s="37" t="n"/>
      <c r="P452" s="37" t="n"/>
      <c r="Q452" s="37" t="n"/>
      <c r="R452" s="37" t="n"/>
      <c r="S452" s="37" t="n"/>
      <c r="T452" s="37" t="n"/>
      <c r="U452" s="37" t="n"/>
      <c r="V452" s="37" t="n"/>
      <c r="W452" s="32" t="n"/>
      <c r="X452" s="37" t="n"/>
      <c r="Y452" s="37" t="n"/>
      <c r="Z452" s="37" t="n"/>
      <c r="AA452" s="37" t="n"/>
      <c r="AB452" s="37" t="n"/>
      <c r="AC452" s="37" t="n"/>
      <c r="AD452" s="32" t="n"/>
      <c r="AE452" s="37" t="n"/>
      <c r="AF452" s="38" t="n"/>
      <c r="AG452" s="67">
        <f>IF(OR(AF452="",AE452=""),"",IFERROR(AF452*INDEX(FXRates[USD per unit],MATCH(AE452,FXRates[Currency],0)),"No rate"))</f>
        <v/>
      </c>
      <c r="AH452" s="36" t="n"/>
      <c r="AI452" s="36" t="n"/>
      <c r="AJ452" s="39">
        <f>IF(A452="","",IF(COUNTIF($A$6:$A$504,A452)&gt;1,"⚠ Duplicate",""))</f>
        <v/>
      </c>
      <c r="AK452" s="38" t="n"/>
      <c r="AL452" s="40" t="n"/>
      <c r="AM452" s="40" t="n"/>
      <c r="AN452" s="40" t="n"/>
      <c r="AO452" s="40" t="n"/>
      <c r="AP452" s="40" t="n"/>
      <c r="AQ452" s="40" t="n"/>
      <c r="AR452" s="40" t="n"/>
      <c r="AS452" s="40" t="n"/>
      <c r="AT452" s="40" t="n"/>
      <c r="AU452" s="40" t="n"/>
      <c r="AV452" s="40" t="n"/>
      <c r="AW452" s="40" t="n"/>
      <c r="AX452" s="40" t="n"/>
      <c r="AY452" s="40" t="n"/>
      <c r="AZ452" s="38" t="n"/>
      <c r="BA452" s="40" t="n"/>
      <c r="BB452" s="40" t="n"/>
      <c r="BC452" s="40" t="n"/>
      <c r="BD452" s="40" t="n"/>
      <c r="BE452" s="40" t="n"/>
      <c r="BF452" s="40" t="n"/>
      <c r="BG452" s="40" t="n"/>
      <c r="BH452" s="40" t="n"/>
      <c r="BI452" s="40" t="n"/>
      <c r="BJ452" s="40" t="n"/>
      <c r="BK452" s="40" t="n"/>
      <c r="BL452" s="40" t="n"/>
      <c r="BM452" s="40" t="n"/>
      <c r="BN452" s="40" t="n"/>
    </row>
    <row r="453" ht="18" customHeight="1" s="82">
      <c r="A453" s="30" t="n"/>
      <c r="B453" s="30" t="n"/>
      <c r="C453" s="30" t="n"/>
      <c r="D453" s="30" t="n"/>
      <c r="E453" s="31" t="n"/>
      <c r="F453" s="31" t="n"/>
      <c r="G453" s="31" t="n"/>
      <c r="H453" s="31" t="n"/>
      <c r="I453" s="31" t="n"/>
      <c r="J453" s="31" t="n"/>
      <c r="K453" s="31" t="n"/>
      <c r="L453" s="31" t="n"/>
      <c r="M453" s="31" t="n"/>
      <c r="N453" s="31" t="n"/>
      <c r="O453" s="31" t="n"/>
      <c r="P453" s="31" t="n"/>
      <c r="Q453" s="31" t="n"/>
      <c r="R453" s="31" t="n"/>
      <c r="S453" s="31" t="n"/>
      <c r="T453" s="31" t="n"/>
      <c r="U453" s="31" t="n"/>
      <c r="V453" s="31" t="n"/>
      <c r="W453" s="32" t="n"/>
      <c r="X453" s="31" t="n"/>
      <c r="Y453" s="31" t="n"/>
      <c r="Z453" s="31" t="n"/>
      <c r="AA453" s="31" t="n"/>
      <c r="AB453" s="31" t="n"/>
      <c r="AC453" s="31" t="n"/>
      <c r="AD453" s="32" t="n"/>
      <c r="AE453" s="31" t="n"/>
      <c r="AF453" s="33" t="n"/>
      <c r="AG453" s="66">
        <f>IF(OR(AF453="",AE453=""),"",IFERROR(AF453*INDEX(FXRates[USD per unit],MATCH(AE453,FXRates[Currency],0)),"No rate"))</f>
        <v/>
      </c>
      <c r="AH453" s="30" t="n"/>
      <c r="AI453" s="30" t="n"/>
      <c r="AJ453" s="34">
        <f>IF(A453="","",IF(COUNTIF($A$6:$A$504,A453)&gt;1,"⚠ Duplicate",""))</f>
        <v/>
      </c>
      <c r="AK453" s="33" t="n"/>
      <c r="AL453" s="41" t="n"/>
      <c r="AM453" s="41" t="n"/>
      <c r="AN453" s="41" t="n"/>
      <c r="AO453" s="41" t="n"/>
      <c r="AP453" s="41" t="n"/>
      <c r="AQ453" s="41" t="n"/>
      <c r="AR453" s="41" t="n"/>
      <c r="AS453" s="41" t="n"/>
      <c r="AT453" s="41" t="n"/>
      <c r="AU453" s="41" t="n"/>
      <c r="AV453" s="41" t="n"/>
      <c r="AW453" s="41" t="n"/>
      <c r="AX453" s="41" t="n"/>
      <c r="AY453" s="41" t="n"/>
      <c r="AZ453" s="33" t="n"/>
      <c r="BA453" s="41" t="n"/>
      <c r="BB453" s="41" t="n"/>
      <c r="BC453" s="41" t="n"/>
      <c r="BD453" s="41" t="n"/>
      <c r="BE453" s="41" t="n"/>
      <c r="BF453" s="41" t="n"/>
      <c r="BG453" s="41" t="n"/>
      <c r="BH453" s="41" t="n"/>
      <c r="BI453" s="41" t="n"/>
      <c r="BJ453" s="41" t="n"/>
      <c r="BK453" s="41" t="n"/>
      <c r="BL453" s="41" t="n"/>
      <c r="BM453" s="41" t="n"/>
      <c r="BN453" s="41" t="n"/>
    </row>
    <row r="454" ht="18" customHeight="1" s="82">
      <c r="A454" s="36" t="n"/>
      <c r="B454" s="36" t="n"/>
      <c r="C454" s="36" t="n"/>
      <c r="D454" s="36" t="n"/>
      <c r="E454" s="37" t="n"/>
      <c r="F454" s="37" t="n"/>
      <c r="G454" s="37" t="n"/>
      <c r="H454" s="37" t="n"/>
      <c r="I454" s="37" t="n"/>
      <c r="J454" s="37" t="n"/>
      <c r="K454" s="37" t="n"/>
      <c r="L454" s="37" t="n"/>
      <c r="M454" s="37" t="n"/>
      <c r="N454" s="37" t="n"/>
      <c r="O454" s="37" t="n"/>
      <c r="P454" s="37" t="n"/>
      <c r="Q454" s="37" t="n"/>
      <c r="R454" s="37" t="n"/>
      <c r="S454" s="37" t="n"/>
      <c r="T454" s="37" t="n"/>
      <c r="U454" s="37" t="n"/>
      <c r="V454" s="37" t="n"/>
      <c r="W454" s="32" t="n"/>
      <c r="X454" s="37" t="n"/>
      <c r="Y454" s="37" t="n"/>
      <c r="Z454" s="37" t="n"/>
      <c r="AA454" s="37" t="n"/>
      <c r="AB454" s="37" t="n"/>
      <c r="AC454" s="37" t="n"/>
      <c r="AD454" s="32" t="n"/>
      <c r="AE454" s="37" t="n"/>
      <c r="AF454" s="38" t="n"/>
      <c r="AG454" s="67">
        <f>IF(OR(AF454="",AE454=""),"",IFERROR(AF454*INDEX(FXRates[USD per unit],MATCH(AE454,FXRates[Currency],0)),"No rate"))</f>
        <v/>
      </c>
      <c r="AH454" s="36" t="n"/>
      <c r="AI454" s="36" t="n"/>
      <c r="AJ454" s="39">
        <f>IF(A454="","",IF(COUNTIF($A$6:$A$504,A454)&gt;1,"⚠ Duplicate",""))</f>
        <v/>
      </c>
      <c r="AK454" s="38" t="n"/>
      <c r="AL454" s="40" t="n"/>
      <c r="AM454" s="40" t="n"/>
      <c r="AN454" s="40" t="n"/>
      <c r="AO454" s="40" t="n"/>
      <c r="AP454" s="40" t="n"/>
      <c r="AQ454" s="40" t="n"/>
      <c r="AR454" s="40" t="n"/>
      <c r="AS454" s="40" t="n"/>
      <c r="AT454" s="40" t="n"/>
      <c r="AU454" s="40" t="n"/>
      <c r="AV454" s="40" t="n"/>
      <c r="AW454" s="40" t="n"/>
      <c r="AX454" s="40" t="n"/>
      <c r="AY454" s="40" t="n"/>
      <c r="AZ454" s="38" t="n"/>
      <c r="BA454" s="40" t="n"/>
      <c r="BB454" s="40" t="n"/>
      <c r="BC454" s="40" t="n"/>
      <c r="BD454" s="40" t="n"/>
      <c r="BE454" s="40" t="n"/>
      <c r="BF454" s="40" t="n"/>
      <c r="BG454" s="40" t="n"/>
      <c r="BH454" s="40" t="n"/>
      <c r="BI454" s="40" t="n"/>
      <c r="BJ454" s="40" t="n"/>
      <c r="BK454" s="40" t="n"/>
      <c r="BL454" s="40" t="n"/>
      <c r="BM454" s="40" t="n"/>
      <c r="BN454" s="40" t="n"/>
    </row>
    <row r="455" ht="18" customHeight="1" s="82">
      <c r="A455" s="30" t="n"/>
      <c r="B455" s="30" t="n"/>
      <c r="C455" s="30" t="n"/>
      <c r="D455" s="30" t="n"/>
      <c r="E455" s="31" t="n"/>
      <c r="F455" s="31" t="n"/>
      <c r="G455" s="31" t="n"/>
      <c r="H455" s="31" t="n"/>
      <c r="I455" s="31" t="n"/>
      <c r="J455" s="31" t="n"/>
      <c r="K455" s="31" t="n"/>
      <c r="L455" s="31" t="n"/>
      <c r="M455" s="31" t="n"/>
      <c r="N455" s="31" t="n"/>
      <c r="O455" s="31" t="n"/>
      <c r="P455" s="31" t="n"/>
      <c r="Q455" s="31" t="n"/>
      <c r="R455" s="31" t="n"/>
      <c r="S455" s="31" t="n"/>
      <c r="T455" s="31" t="n"/>
      <c r="U455" s="31" t="n"/>
      <c r="V455" s="31" t="n"/>
      <c r="W455" s="32" t="n"/>
      <c r="X455" s="31" t="n"/>
      <c r="Y455" s="31" t="n"/>
      <c r="Z455" s="31" t="n"/>
      <c r="AA455" s="31" t="n"/>
      <c r="AB455" s="31" t="n"/>
      <c r="AC455" s="31" t="n"/>
      <c r="AD455" s="32" t="n"/>
      <c r="AE455" s="31" t="n"/>
      <c r="AF455" s="33" t="n"/>
      <c r="AG455" s="66">
        <f>IF(OR(AF455="",AE455=""),"",IFERROR(AF455*INDEX(FXRates[USD per unit],MATCH(AE455,FXRates[Currency],0)),"No rate"))</f>
        <v/>
      </c>
      <c r="AH455" s="30" t="n"/>
      <c r="AI455" s="30" t="n"/>
      <c r="AJ455" s="34">
        <f>IF(A455="","",IF(COUNTIF($A$6:$A$504,A455)&gt;1,"⚠ Duplicate",""))</f>
        <v/>
      </c>
      <c r="AK455" s="33" t="n"/>
      <c r="AL455" s="41" t="n"/>
      <c r="AM455" s="41" t="n"/>
      <c r="AN455" s="41" t="n"/>
      <c r="AO455" s="41" t="n"/>
      <c r="AP455" s="41" t="n"/>
      <c r="AQ455" s="41" t="n"/>
      <c r="AR455" s="41" t="n"/>
      <c r="AS455" s="41" t="n"/>
      <c r="AT455" s="41" t="n"/>
      <c r="AU455" s="41" t="n"/>
      <c r="AV455" s="41" t="n"/>
      <c r="AW455" s="41" t="n"/>
      <c r="AX455" s="41" t="n"/>
      <c r="AY455" s="41" t="n"/>
      <c r="AZ455" s="33" t="n"/>
      <c r="BA455" s="41" t="n"/>
      <c r="BB455" s="41" t="n"/>
      <c r="BC455" s="41" t="n"/>
      <c r="BD455" s="41" t="n"/>
      <c r="BE455" s="41" t="n"/>
      <c r="BF455" s="41" t="n"/>
      <c r="BG455" s="41" t="n"/>
      <c r="BH455" s="41" t="n"/>
      <c r="BI455" s="41" t="n"/>
      <c r="BJ455" s="41" t="n"/>
      <c r="BK455" s="41" t="n"/>
      <c r="BL455" s="41" t="n"/>
      <c r="BM455" s="41" t="n"/>
      <c r="BN455" s="41" t="n"/>
    </row>
    <row r="456" ht="18" customHeight="1" s="82">
      <c r="A456" s="36" t="n"/>
      <c r="B456" s="36" t="n"/>
      <c r="C456" s="36" t="n"/>
      <c r="D456" s="36" t="n"/>
      <c r="E456" s="37" t="n"/>
      <c r="F456" s="37" t="n"/>
      <c r="G456" s="37" t="n"/>
      <c r="H456" s="37" t="n"/>
      <c r="I456" s="37" t="n"/>
      <c r="J456" s="37" t="n"/>
      <c r="K456" s="37" t="n"/>
      <c r="L456" s="37" t="n"/>
      <c r="M456" s="37" t="n"/>
      <c r="N456" s="37" t="n"/>
      <c r="O456" s="37" t="n"/>
      <c r="P456" s="37" t="n"/>
      <c r="Q456" s="37" t="n"/>
      <c r="R456" s="37" t="n"/>
      <c r="S456" s="37" t="n"/>
      <c r="T456" s="37" t="n"/>
      <c r="U456" s="37" t="n"/>
      <c r="V456" s="37" t="n"/>
      <c r="W456" s="32" t="n"/>
      <c r="X456" s="37" t="n"/>
      <c r="Y456" s="37" t="n"/>
      <c r="Z456" s="37" t="n"/>
      <c r="AA456" s="37" t="n"/>
      <c r="AB456" s="37" t="n"/>
      <c r="AC456" s="37" t="n"/>
      <c r="AD456" s="32" t="n"/>
      <c r="AE456" s="37" t="n"/>
      <c r="AF456" s="38" t="n"/>
      <c r="AG456" s="67">
        <f>IF(OR(AF456="",AE456=""),"",IFERROR(AF456*INDEX(FXRates[USD per unit],MATCH(AE456,FXRates[Currency],0)),"No rate"))</f>
        <v/>
      </c>
      <c r="AH456" s="36" t="n"/>
      <c r="AI456" s="36" t="n"/>
      <c r="AJ456" s="39">
        <f>IF(A456="","",IF(COUNTIF($A$6:$A$504,A456)&gt;1,"⚠ Duplicate",""))</f>
        <v/>
      </c>
      <c r="AK456" s="38" t="n"/>
      <c r="AL456" s="40" t="n"/>
      <c r="AM456" s="40" t="n"/>
      <c r="AN456" s="40" t="n"/>
      <c r="AO456" s="40" t="n"/>
      <c r="AP456" s="40" t="n"/>
      <c r="AQ456" s="40" t="n"/>
      <c r="AR456" s="40" t="n"/>
      <c r="AS456" s="40" t="n"/>
      <c r="AT456" s="40" t="n"/>
      <c r="AU456" s="40" t="n"/>
      <c r="AV456" s="40" t="n"/>
      <c r="AW456" s="40" t="n"/>
      <c r="AX456" s="40" t="n"/>
      <c r="AY456" s="40" t="n"/>
      <c r="AZ456" s="38" t="n"/>
      <c r="BA456" s="40" t="n"/>
      <c r="BB456" s="40" t="n"/>
      <c r="BC456" s="40" t="n"/>
      <c r="BD456" s="40" t="n"/>
      <c r="BE456" s="40" t="n"/>
      <c r="BF456" s="40" t="n"/>
      <c r="BG456" s="40" t="n"/>
      <c r="BH456" s="40" t="n"/>
      <c r="BI456" s="40" t="n"/>
      <c r="BJ456" s="40" t="n"/>
      <c r="BK456" s="40" t="n"/>
      <c r="BL456" s="40" t="n"/>
      <c r="BM456" s="40" t="n"/>
      <c r="BN456" s="40" t="n"/>
    </row>
    <row r="457" ht="18" customHeight="1" s="82">
      <c r="A457" s="30" t="n"/>
      <c r="B457" s="30" t="n"/>
      <c r="C457" s="30" t="n"/>
      <c r="D457" s="30" t="n"/>
      <c r="E457" s="31" t="n"/>
      <c r="F457" s="31" t="n"/>
      <c r="G457" s="31" t="n"/>
      <c r="H457" s="31" t="n"/>
      <c r="I457" s="31" t="n"/>
      <c r="J457" s="31" t="n"/>
      <c r="K457" s="31" t="n"/>
      <c r="L457" s="31" t="n"/>
      <c r="M457" s="31" t="n"/>
      <c r="N457" s="31" t="n"/>
      <c r="O457" s="31" t="n"/>
      <c r="P457" s="31" t="n"/>
      <c r="Q457" s="31" t="n"/>
      <c r="R457" s="31" t="n"/>
      <c r="S457" s="31" t="n"/>
      <c r="T457" s="31" t="n"/>
      <c r="U457" s="31" t="n"/>
      <c r="V457" s="31" t="n"/>
      <c r="W457" s="32" t="n"/>
      <c r="X457" s="31" t="n"/>
      <c r="Y457" s="31" t="n"/>
      <c r="Z457" s="31" t="n"/>
      <c r="AA457" s="31" t="n"/>
      <c r="AB457" s="31" t="n"/>
      <c r="AC457" s="31" t="n"/>
      <c r="AD457" s="32" t="n"/>
      <c r="AE457" s="31" t="n"/>
      <c r="AF457" s="33" t="n"/>
      <c r="AG457" s="66">
        <f>IF(OR(AF457="",AE457=""),"",IFERROR(AF457*INDEX(FXRates[USD per unit],MATCH(AE457,FXRates[Currency],0)),"No rate"))</f>
        <v/>
      </c>
      <c r="AH457" s="30" t="n"/>
      <c r="AI457" s="30" t="n"/>
      <c r="AJ457" s="34">
        <f>IF(A457="","",IF(COUNTIF($A$6:$A$504,A457)&gt;1,"⚠ Duplicate",""))</f>
        <v/>
      </c>
      <c r="AK457" s="33" t="n"/>
      <c r="AL457" s="41" t="n"/>
      <c r="AM457" s="41" t="n"/>
      <c r="AN457" s="41" t="n"/>
      <c r="AO457" s="41" t="n"/>
      <c r="AP457" s="41" t="n"/>
      <c r="AQ457" s="41" t="n"/>
      <c r="AR457" s="41" t="n"/>
      <c r="AS457" s="41" t="n"/>
      <c r="AT457" s="41" t="n"/>
      <c r="AU457" s="41" t="n"/>
      <c r="AV457" s="41" t="n"/>
      <c r="AW457" s="41" t="n"/>
      <c r="AX457" s="41" t="n"/>
      <c r="AY457" s="41" t="n"/>
      <c r="AZ457" s="33" t="n"/>
      <c r="BA457" s="41" t="n"/>
      <c r="BB457" s="41" t="n"/>
      <c r="BC457" s="41" t="n"/>
      <c r="BD457" s="41" t="n"/>
      <c r="BE457" s="41" t="n"/>
      <c r="BF457" s="41" t="n"/>
      <c r="BG457" s="41" t="n"/>
      <c r="BH457" s="41" t="n"/>
      <c r="BI457" s="41" t="n"/>
      <c r="BJ457" s="41" t="n"/>
      <c r="BK457" s="41" t="n"/>
      <c r="BL457" s="41" t="n"/>
      <c r="BM457" s="41" t="n"/>
      <c r="BN457" s="41" t="n"/>
    </row>
    <row r="458" ht="18" customHeight="1" s="82">
      <c r="A458" s="36" t="n"/>
      <c r="B458" s="36" t="n"/>
      <c r="C458" s="36" t="n"/>
      <c r="D458" s="36" t="n"/>
      <c r="E458" s="37" t="n"/>
      <c r="F458" s="37" t="n"/>
      <c r="G458" s="37" t="n"/>
      <c r="H458" s="37" t="n"/>
      <c r="I458" s="37" t="n"/>
      <c r="J458" s="37" t="n"/>
      <c r="K458" s="37" t="n"/>
      <c r="L458" s="37" t="n"/>
      <c r="M458" s="37" t="n"/>
      <c r="N458" s="37" t="n"/>
      <c r="O458" s="37" t="n"/>
      <c r="P458" s="37" t="n"/>
      <c r="Q458" s="37" t="n"/>
      <c r="R458" s="37" t="n"/>
      <c r="S458" s="37" t="n"/>
      <c r="T458" s="37" t="n"/>
      <c r="U458" s="37" t="n"/>
      <c r="V458" s="37" t="n"/>
      <c r="W458" s="32" t="n"/>
      <c r="X458" s="37" t="n"/>
      <c r="Y458" s="37" t="n"/>
      <c r="Z458" s="37" t="n"/>
      <c r="AA458" s="37" t="n"/>
      <c r="AB458" s="37" t="n"/>
      <c r="AC458" s="37" t="n"/>
      <c r="AD458" s="32" t="n"/>
      <c r="AE458" s="37" t="n"/>
      <c r="AF458" s="38" t="n"/>
      <c r="AG458" s="67">
        <f>IF(OR(AF458="",AE458=""),"",IFERROR(AF458*INDEX(FXRates[USD per unit],MATCH(AE458,FXRates[Currency],0)),"No rate"))</f>
        <v/>
      </c>
      <c r="AH458" s="36" t="n"/>
      <c r="AI458" s="36" t="n"/>
      <c r="AJ458" s="39">
        <f>IF(A458="","",IF(COUNTIF($A$6:$A$504,A458)&gt;1,"⚠ Duplicate",""))</f>
        <v/>
      </c>
      <c r="AK458" s="38" t="n"/>
      <c r="AL458" s="40" t="n"/>
      <c r="AM458" s="40" t="n"/>
      <c r="AN458" s="40" t="n"/>
      <c r="AO458" s="40" t="n"/>
      <c r="AP458" s="40" t="n"/>
      <c r="AQ458" s="40" t="n"/>
      <c r="AR458" s="40" t="n"/>
      <c r="AS458" s="40" t="n"/>
      <c r="AT458" s="40" t="n"/>
      <c r="AU458" s="40" t="n"/>
      <c r="AV458" s="40" t="n"/>
      <c r="AW458" s="40" t="n"/>
      <c r="AX458" s="40" t="n"/>
      <c r="AY458" s="40" t="n"/>
      <c r="AZ458" s="38" t="n"/>
      <c r="BA458" s="40" t="n"/>
      <c r="BB458" s="40" t="n"/>
      <c r="BC458" s="40" t="n"/>
      <c r="BD458" s="40" t="n"/>
      <c r="BE458" s="40" t="n"/>
      <c r="BF458" s="40" t="n"/>
      <c r="BG458" s="40" t="n"/>
      <c r="BH458" s="40" t="n"/>
      <c r="BI458" s="40" t="n"/>
      <c r="BJ458" s="40" t="n"/>
      <c r="BK458" s="40" t="n"/>
      <c r="BL458" s="40" t="n"/>
      <c r="BM458" s="40" t="n"/>
      <c r="BN458" s="40" t="n"/>
    </row>
    <row r="459" ht="18" customHeight="1" s="82">
      <c r="A459" s="30" t="n"/>
      <c r="B459" s="30" t="n"/>
      <c r="C459" s="30" t="n"/>
      <c r="D459" s="30" t="n"/>
      <c r="E459" s="31" t="n"/>
      <c r="F459" s="31" t="n"/>
      <c r="G459" s="31" t="n"/>
      <c r="H459" s="31" t="n"/>
      <c r="I459" s="31" t="n"/>
      <c r="J459" s="31" t="n"/>
      <c r="K459" s="31" t="n"/>
      <c r="L459" s="31" t="n"/>
      <c r="M459" s="31" t="n"/>
      <c r="N459" s="31" t="n"/>
      <c r="O459" s="31" t="n"/>
      <c r="P459" s="31" t="n"/>
      <c r="Q459" s="31" t="n"/>
      <c r="R459" s="31" t="n"/>
      <c r="S459" s="31" t="n"/>
      <c r="T459" s="31" t="n"/>
      <c r="U459" s="31" t="n"/>
      <c r="V459" s="31" t="n"/>
      <c r="W459" s="32" t="n"/>
      <c r="X459" s="31" t="n"/>
      <c r="Y459" s="31" t="n"/>
      <c r="Z459" s="31" t="n"/>
      <c r="AA459" s="31" t="n"/>
      <c r="AB459" s="31" t="n"/>
      <c r="AC459" s="31" t="n"/>
      <c r="AD459" s="32" t="n"/>
      <c r="AE459" s="31" t="n"/>
      <c r="AF459" s="33" t="n"/>
      <c r="AG459" s="66">
        <f>IF(OR(AF459="",AE459=""),"",IFERROR(AF459*INDEX(FXRates[USD per unit],MATCH(AE459,FXRates[Currency],0)),"No rate"))</f>
        <v/>
      </c>
      <c r="AH459" s="30" t="n"/>
      <c r="AI459" s="30" t="n"/>
      <c r="AJ459" s="34">
        <f>IF(A459="","",IF(COUNTIF($A$6:$A$504,A459)&gt;1,"⚠ Duplicate",""))</f>
        <v/>
      </c>
      <c r="AK459" s="33" t="n"/>
      <c r="AL459" s="41" t="n"/>
      <c r="AM459" s="41" t="n"/>
      <c r="AN459" s="41" t="n"/>
      <c r="AO459" s="41" t="n"/>
      <c r="AP459" s="41" t="n"/>
      <c r="AQ459" s="41" t="n"/>
      <c r="AR459" s="41" t="n"/>
      <c r="AS459" s="41" t="n"/>
      <c r="AT459" s="41" t="n"/>
      <c r="AU459" s="41" t="n"/>
      <c r="AV459" s="41" t="n"/>
      <c r="AW459" s="41" t="n"/>
      <c r="AX459" s="41" t="n"/>
      <c r="AY459" s="41" t="n"/>
      <c r="AZ459" s="33" t="n"/>
      <c r="BA459" s="41" t="n"/>
      <c r="BB459" s="41" t="n"/>
      <c r="BC459" s="41" t="n"/>
      <c r="BD459" s="41" t="n"/>
      <c r="BE459" s="41" t="n"/>
      <c r="BF459" s="41" t="n"/>
      <c r="BG459" s="41" t="n"/>
      <c r="BH459" s="41" t="n"/>
      <c r="BI459" s="41" t="n"/>
      <c r="BJ459" s="41" t="n"/>
      <c r="BK459" s="41" t="n"/>
      <c r="BL459" s="41" t="n"/>
      <c r="BM459" s="41" t="n"/>
      <c r="BN459" s="41" t="n"/>
    </row>
    <row r="460" ht="18" customHeight="1" s="82">
      <c r="A460" s="36" t="n"/>
      <c r="B460" s="36" t="n"/>
      <c r="C460" s="36" t="n"/>
      <c r="D460" s="36" t="n"/>
      <c r="E460" s="37" t="n"/>
      <c r="F460" s="37" t="n"/>
      <c r="G460" s="37" t="n"/>
      <c r="H460" s="37" t="n"/>
      <c r="I460" s="37" t="n"/>
      <c r="J460" s="37" t="n"/>
      <c r="K460" s="37" t="n"/>
      <c r="L460" s="37" t="n"/>
      <c r="M460" s="37" t="n"/>
      <c r="N460" s="37" t="n"/>
      <c r="O460" s="37" t="n"/>
      <c r="P460" s="37" t="n"/>
      <c r="Q460" s="37" t="n"/>
      <c r="R460" s="37" t="n"/>
      <c r="S460" s="37" t="n"/>
      <c r="T460" s="37" t="n"/>
      <c r="U460" s="37" t="n"/>
      <c r="V460" s="37" t="n"/>
      <c r="W460" s="32" t="n"/>
      <c r="X460" s="37" t="n"/>
      <c r="Y460" s="37" t="n"/>
      <c r="Z460" s="37" t="n"/>
      <c r="AA460" s="37" t="n"/>
      <c r="AB460" s="37" t="n"/>
      <c r="AC460" s="37" t="n"/>
      <c r="AD460" s="32" t="n"/>
      <c r="AE460" s="37" t="n"/>
      <c r="AF460" s="38" t="n"/>
      <c r="AG460" s="67">
        <f>IF(OR(AF460="",AE460=""),"",IFERROR(AF460*INDEX(FXRates[USD per unit],MATCH(AE460,FXRates[Currency],0)),"No rate"))</f>
        <v/>
      </c>
      <c r="AH460" s="36" t="n"/>
      <c r="AI460" s="36" t="n"/>
      <c r="AJ460" s="39">
        <f>IF(A460="","",IF(COUNTIF($A$6:$A$504,A460)&gt;1,"⚠ Duplicate",""))</f>
        <v/>
      </c>
      <c r="AK460" s="38" t="n"/>
      <c r="AL460" s="40" t="n"/>
      <c r="AM460" s="40" t="n"/>
      <c r="AN460" s="40" t="n"/>
      <c r="AO460" s="40" t="n"/>
      <c r="AP460" s="40" t="n"/>
      <c r="AQ460" s="40" t="n"/>
      <c r="AR460" s="40" t="n"/>
      <c r="AS460" s="40" t="n"/>
      <c r="AT460" s="40" t="n"/>
      <c r="AU460" s="40" t="n"/>
      <c r="AV460" s="40" t="n"/>
      <c r="AW460" s="40" t="n"/>
      <c r="AX460" s="40" t="n"/>
      <c r="AY460" s="40" t="n"/>
      <c r="AZ460" s="38" t="n"/>
      <c r="BA460" s="40" t="n"/>
      <c r="BB460" s="40" t="n"/>
      <c r="BC460" s="40" t="n"/>
      <c r="BD460" s="40" t="n"/>
      <c r="BE460" s="40" t="n"/>
      <c r="BF460" s="40" t="n"/>
      <c r="BG460" s="40" t="n"/>
      <c r="BH460" s="40" t="n"/>
      <c r="BI460" s="40" t="n"/>
      <c r="BJ460" s="40" t="n"/>
      <c r="BK460" s="40" t="n"/>
      <c r="BL460" s="40" t="n"/>
      <c r="BM460" s="40" t="n"/>
      <c r="BN460" s="40" t="n"/>
    </row>
    <row r="461" ht="18" customHeight="1" s="82">
      <c r="A461" s="30" t="n"/>
      <c r="B461" s="30" t="n"/>
      <c r="C461" s="30" t="n"/>
      <c r="D461" s="30" t="n"/>
      <c r="E461" s="31" t="n"/>
      <c r="F461" s="31" t="n"/>
      <c r="G461" s="31" t="n"/>
      <c r="H461" s="31" t="n"/>
      <c r="I461" s="31" t="n"/>
      <c r="J461" s="31" t="n"/>
      <c r="K461" s="31" t="n"/>
      <c r="L461" s="31" t="n"/>
      <c r="M461" s="31" t="n"/>
      <c r="N461" s="31" t="n"/>
      <c r="O461" s="31" t="n"/>
      <c r="P461" s="31" t="n"/>
      <c r="Q461" s="31" t="n"/>
      <c r="R461" s="31" t="n"/>
      <c r="S461" s="31" t="n"/>
      <c r="T461" s="31" t="n"/>
      <c r="U461" s="31" t="n"/>
      <c r="V461" s="31" t="n"/>
      <c r="W461" s="32" t="n"/>
      <c r="X461" s="31" t="n"/>
      <c r="Y461" s="31" t="n"/>
      <c r="Z461" s="31" t="n"/>
      <c r="AA461" s="31" t="n"/>
      <c r="AB461" s="31" t="n"/>
      <c r="AC461" s="31" t="n"/>
      <c r="AD461" s="32" t="n"/>
      <c r="AE461" s="31" t="n"/>
      <c r="AF461" s="33" t="n"/>
      <c r="AG461" s="66">
        <f>IF(OR(AF461="",AE461=""),"",IFERROR(AF461*INDEX(FXRates[USD per unit],MATCH(AE461,FXRates[Currency],0)),"No rate"))</f>
        <v/>
      </c>
      <c r="AH461" s="30" t="n"/>
      <c r="AI461" s="30" t="n"/>
      <c r="AJ461" s="34">
        <f>IF(A461="","",IF(COUNTIF($A$6:$A$504,A461)&gt;1,"⚠ Duplicate",""))</f>
        <v/>
      </c>
      <c r="AK461" s="33" t="n"/>
      <c r="AL461" s="41" t="n"/>
      <c r="AM461" s="41" t="n"/>
      <c r="AN461" s="41" t="n"/>
      <c r="AO461" s="41" t="n"/>
      <c r="AP461" s="41" t="n"/>
      <c r="AQ461" s="41" t="n"/>
      <c r="AR461" s="41" t="n"/>
      <c r="AS461" s="41" t="n"/>
      <c r="AT461" s="41" t="n"/>
      <c r="AU461" s="41" t="n"/>
      <c r="AV461" s="41" t="n"/>
      <c r="AW461" s="41" t="n"/>
      <c r="AX461" s="41" t="n"/>
      <c r="AY461" s="41" t="n"/>
      <c r="AZ461" s="33" t="n"/>
      <c r="BA461" s="41" t="n"/>
      <c r="BB461" s="41" t="n"/>
      <c r="BC461" s="41" t="n"/>
      <c r="BD461" s="41" t="n"/>
      <c r="BE461" s="41" t="n"/>
      <c r="BF461" s="41" t="n"/>
      <c r="BG461" s="41" t="n"/>
      <c r="BH461" s="41" t="n"/>
      <c r="BI461" s="41" t="n"/>
      <c r="BJ461" s="41" t="n"/>
      <c r="BK461" s="41" t="n"/>
      <c r="BL461" s="41" t="n"/>
      <c r="BM461" s="41" t="n"/>
      <c r="BN461" s="41" t="n"/>
    </row>
    <row r="462" ht="18" customHeight="1" s="82">
      <c r="A462" s="36" t="n"/>
      <c r="B462" s="36" t="n"/>
      <c r="C462" s="36" t="n"/>
      <c r="D462" s="36" t="n"/>
      <c r="E462" s="37" t="n"/>
      <c r="F462" s="37" t="n"/>
      <c r="G462" s="37" t="n"/>
      <c r="H462" s="37" t="n"/>
      <c r="I462" s="37" t="n"/>
      <c r="J462" s="37" t="n"/>
      <c r="K462" s="37" t="n"/>
      <c r="L462" s="37" t="n"/>
      <c r="M462" s="37" t="n"/>
      <c r="N462" s="37" t="n"/>
      <c r="O462" s="37" t="n"/>
      <c r="P462" s="37" t="n"/>
      <c r="Q462" s="37" t="n"/>
      <c r="R462" s="37" t="n"/>
      <c r="S462" s="37" t="n"/>
      <c r="T462" s="37" t="n"/>
      <c r="U462" s="37" t="n"/>
      <c r="V462" s="37" t="n"/>
      <c r="W462" s="32" t="n"/>
      <c r="X462" s="37" t="n"/>
      <c r="Y462" s="37" t="n"/>
      <c r="Z462" s="37" t="n"/>
      <c r="AA462" s="37" t="n"/>
      <c r="AB462" s="37" t="n"/>
      <c r="AC462" s="37" t="n"/>
      <c r="AD462" s="32" t="n"/>
      <c r="AE462" s="37" t="n"/>
      <c r="AF462" s="38" t="n"/>
      <c r="AG462" s="67">
        <f>IF(OR(AF462="",AE462=""),"",IFERROR(AF462*INDEX(FXRates[USD per unit],MATCH(AE462,FXRates[Currency],0)),"No rate"))</f>
        <v/>
      </c>
      <c r="AH462" s="36" t="n"/>
      <c r="AI462" s="36" t="n"/>
      <c r="AJ462" s="39">
        <f>IF(A462="","",IF(COUNTIF($A$6:$A$504,A462)&gt;1,"⚠ Duplicate",""))</f>
        <v/>
      </c>
      <c r="AK462" s="38" t="n"/>
      <c r="AL462" s="40" t="n"/>
      <c r="AM462" s="40" t="n"/>
      <c r="AN462" s="40" t="n"/>
      <c r="AO462" s="40" t="n"/>
      <c r="AP462" s="40" t="n"/>
      <c r="AQ462" s="40" t="n"/>
      <c r="AR462" s="40" t="n"/>
      <c r="AS462" s="40" t="n"/>
      <c r="AT462" s="40" t="n"/>
      <c r="AU462" s="40" t="n"/>
      <c r="AV462" s="40" t="n"/>
      <c r="AW462" s="40" t="n"/>
      <c r="AX462" s="40" t="n"/>
      <c r="AY462" s="40" t="n"/>
      <c r="AZ462" s="38" t="n"/>
      <c r="BA462" s="40" t="n"/>
      <c r="BB462" s="40" t="n"/>
      <c r="BC462" s="40" t="n"/>
      <c r="BD462" s="40" t="n"/>
      <c r="BE462" s="40" t="n"/>
      <c r="BF462" s="40" t="n"/>
      <c r="BG462" s="40" t="n"/>
      <c r="BH462" s="40" t="n"/>
      <c r="BI462" s="40" t="n"/>
      <c r="BJ462" s="40" t="n"/>
      <c r="BK462" s="40" t="n"/>
      <c r="BL462" s="40" t="n"/>
      <c r="BM462" s="40" t="n"/>
      <c r="BN462" s="40" t="n"/>
    </row>
    <row r="463" ht="18" customHeight="1" s="82">
      <c r="A463" s="30" t="n"/>
      <c r="B463" s="30" t="n"/>
      <c r="C463" s="30" t="n"/>
      <c r="D463" s="30" t="n"/>
      <c r="E463" s="31" t="n"/>
      <c r="F463" s="31" t="n"/>
      <c r="G463" s="31" t="n"/>
      <c r="H463" s="31" t="n"/>
      <c r="I463" s="31" t="n"/>
      <c r="J463" s="31" t="n"/>
      <c r="K463" s="31" t="n"/>
      <c r="L463" s="31" t="n"/>
      <c r="M463" s="31" t="n"/>
      <c r="N463" s="31" t="n"/>
      <c r="O463" s="31" t="n"/>
      <c r="P463" s="31" t="n"/>
      <c r="Q463" s="31" t="n"/>
      <c r="R463" s="31" t="n"/>
      <c r="S463" s="31" t="n"/>
      <c r="T463" s="31" t="n"/>
      <c r="U463" s="31" t="n"/>
      <c r="V463" s="31" t="n"/>
      <c r="W463" s="32" t="n"/>
      <c r="X463" s="31" t="n"/>
      <c r="Y463" s="31" t="n"/>
      <c r="Z463" s="31" t="n"/>
      <c r="AA463" s="31" t="n"/>
      <c r="AB463" s="31" t="n"/>
      <c r="AC463" s="31" t="n"/>
      <c r="AD463" s="32" t="n"/>
      <c r="AE463" s="31" t="n"/>
      <c r="AF463" s="33" t="n"/>
      <c r="AG463" s="66">
        <f>IF(OR(AF463="",AE463=""),"",IFERROR(AF463*INDEX(FXRates[USD per unit],MATCH(AE463,FXRates[Currency],0)),"No rate"))</f>
        <v/>
      </c>
      <c r="AH463" s="30" t="n"/>
      <c r="AI463" s="30" t="n"/>
      <c r="AJ463" s="34">
        <f>IF(A463="","",IF(COUNTIF($A$6:$A$504,A463)&gt;1,"⚠ Duplicate",""))</f>
        <v/>
      </c>
      <c r="AK463" s="33" t="n"/>
      <c r="AL463" s="41" t="n"/>
      <c r="AM463" s="41" t="n"/>
      <c r="AN463" s="41" t="n"/>
      <c r="AO463" s="41" t="n"/>
      <c r="AP463" s="41" t="n"/>
      <c r="AQ463" s="41" t="n"/>
      <c r="AR463" s="41" t="n"/>
      <c r="AS463" s="41" t="n"/>
      <c r="AT463" s="41" t="n"/>
      <c r="AU463" s="41" t="n"/>
      <c r="AV463" s="41" t="n"/>
      <c r="AW463" s="41" t="n"/>
      <c r="AX463" s="41" t="n"/>
      <c r="AY463" s="41" t="n"/>
      <c r="AZ463" s="33" t="n"/>
      <c r="BA463" s="41" t="n"/>
      <c r="BB463" s="41" t="n"/>
      <c r="BC463" s="41" t="n"/>
      <c r="BD463" s="41" t="n"/>
      <c r="BE463" s="41" t="n"/>
      <c r="BF463" s="41" t="n"/>
      <c r="BG463" s="41" t="n"/>
      <c r="BH463" s="41" t="n"/>
      <c r="BI463" s="41" t="n"/>
      <c r="BJ463" s="41" t="n"/>
      <c r="BK463" s="41" t="n"/>
      <c r="BL463" s="41" t="n"/>
      <c r="BM463" s="41" t="n"/>
      <c r="BN463" s="41" t="n"/>
    </row>
    <row r="464" ht="18" customHeight="1" s="82">
      <c r="A464" s="36" t="n"/>
      <c r="B464" s="36" t="n"/>
      <c r="C464" s="36" t="n"/>
      <c r="D464" s="36" t="n"/>
      <c r="E464" s="37" t="n"/>
      <c r="F464" s="37" t="n"/>
      <c r="G464" s="37" t="n"/>
      <c r="H464" s="37" t="n"/>
      <c r="I464" s="37" t="n"/>
      <c r="J464" s="37" t="n"/>
      <c r="K464" s="37" t="n"/>
      <c r="L464" s="37" t="n"/>
      <c r="M464" s="37" t="n"/>
      <c r="N464" s="37" t="n"/>
      <c r="O464" s="37" t="n"/>
      <c r="P464" s="37" t="n"/>
      <c r="Q464" s="37" t="n"/>
      <c r="R464" s="37" t="n"/>
      <c r="S464" s="37" t="n"/>
      <c r="T464" s="37" t="n"/>
      <c r="U464" s="37" t="n"/>
      <c r="V464" s="37" t="n"/>
      <c r="W464" s="32" t="n"/>
      <c r="X464" s="37" t="n"/>
      <c r="Y464" s="37" t="n"/>
      <c r="Z464" s="37" t="n"/>
      <c r="AA464" s="37" t="n"/>
      <c r="AB464" s="37" t="n"/>
      <c r="AC464" s="37" t="n"/>
      <c r="AD464" s="32" t="n"/>
      <c r="AE464" s="37" t="n"/>
      <c r="AF464" s="38" t="n"/>
      <c r="AG464" s="67">
        <f>IF(OR(AF464="",AE464=""),"",IFERROR(AF464*INDEX(FXRates[USD per unit],MATCH(AE464,FXRates[Currency],0)),"No rate"))</f>
        <v/>
      </c>
      <c r="AH464" s="36" t="n"/>
      <c r="AI464" s="36" t="n"/>
      <c r="AJ464" s="39">
        <f>IF(A464="","",IF(COUNTIF($A$6:$A$504,A464)&gt;1,"⚠ Duplicate",""))</f>
        <v/>
      </c>
      <c r="AK464" s="38" t="n"/>
      <c r="AL464" s="40" t="n"/>
      <c r="AM464" s="40" t="n"/>
      <c r="AN464" s="40" t="n"/>
      <c r="AO464" s="40" t="n"/>
      <c r="AP464" s="40" t="n"/>
      <c r="AQ464" s="40" t="n"/>
      <c r="AR464" s="40" t="n"/>
      <c r="AS464" s="40" t="n"/>
      <c r="AT464" s="40" t="n"/>
      <c r="AU464" s="40" t="n"/>
      <c r="AV464" s="40" t="n"/>
      <c r="AW464" s="40" t="n"/>
      <c r="AX464" s="40" t="n"/>
      <c r="AY464" s="40" t="n"/>
      <c r="AZ464" s="38" t="n"/>
      <c r="BA464" s="40" t="n"/>
      <c r="BB464" s="40" t="n"/>
      <c r="BC464" s="40" t="n"/>
      <c r="BD464" s="40" t="n"/>
      <c r="BE464" s="40" t="n"/>
      <c r="BF464" s="40" t="n"/>
      <c r="BG464" s="40" t="n"/>
      <c r="BH464" s="40" t="n"/>
      <c r="BI464" s="40" t="n"/>
      <c r="BJ464" s="40" t="n"/>
      <c r="BK464" s="40" t="n"/>
      <c r="BL464" s="40" t="n"/>
      <c r="BM464" s="40" t="n"/>
      <c r="BN464" s="40" t="n"/>
    </row>
    <row r="465" ht="18" customHeight="1" s="82">
      <c r="A465" s="30" t="n"/>
      <c r="B465" s="30" t="n"/>
      <c r="C465" s="30" t="n"/>
      <c r="D465" s="30" t="n"/>
      <c r="E465" s="31" t="n"/>
      <c r="F465" s="31" t="n"/>
      <c r="G465" s="31" t="n"/>
      <c r="H465" s="31" t="n"/>
      <c r="I465" s="31" t="n"/>
      <c r="J465" s="31" t="n"/>
      <c r="K465" s="31" t="n"/>
      <c r="L465" s="31" t="n"/>
      <c r="M465" s="31" t="n"/>
      <c r="N465" s="31" t="n"/>
      <c r="O465" s="31" t="n"/>
      <c r="P465" s="31" t="n"/>
      <c r="Q465" s="31" t="n"/>
      <c r="R465" s="31" t="n"/>
      <c r="S465" s="31" t="n"/>
      <c r="T465" s="31" t="n"/>
      <c r="U465" s="31" t="n"/>
      <c r="V465" s="31" t="n"/>
      <c r="W465" s="32" t="n"/>
      <c r="X465" s="31" t="n"/>
      <c r="Y465" s="31" t="n"/>
      <c r="Z465" s="31" t="n"/>
      <c r="AA465" s="31" t="n"/>
      <c r="AB465" s="31" t="n"/>
      <c r="AC465" s="31" t="n"/>
      <c r="AD465" s="32" t="n"/>
      <c r="AE465" s="31" t="n"/>
      <c r="AF465" s="33" t="n"/>
      <c r="AG465" s="66">
        <f>IF(OR(AF465="",AE465=""),"",IFERROR(AF465*INDEX(FXRates[USD per unit],MATCH(AE465,FXRates[Currency],0)),"No rate"))</f>
        <v/>
      </c>
      <c r="AH465" s="30" t="n"/>
      <c r="AI465" s="30" t="n"/>
      <c r="AJ465" s="34">
        <f>IF(A465="","",IF(COUNTIF($A$6:$A$504,A465)&gt;1,"⚠ Duplicate",""))</f>
        <v/>
      </c>
      <c r="AK465" s="33" t="n"/>
      <c r="AL465" s="41" t="n"/>
      <c r="AM465" s="41" t="n"/>
      <c r="AN465" s="41" t="n"/>
      <c r="AO465" s="41" t="n"/>
      <c r="AP465" s="41" t="n"/>
      <c r="AQ465" s="41" t="n"/>
      <c r="AR465" s="41" t="n"/>
      <c r="AS465" s="41" t="n"/>
      <c r="AT465" s="41" t="n"/>
      <c r="AU465" s="41" t="n"/>
      <c r="AV465" s="41" t="n"/>
      <c r="AW465" s="41" t="n"/>
      <c r="AX465" s="41" t="n"/>
      <c r="AY465" s="41" t="n"/>
      <c r="AZ465" s="33" t="n"/>
      <c r="BA465" s="41" t="n"/>
      <c r="BB465" s="41" t="n"/>
      <c r="BC465" s="41" t="n"/>
      <c r="BD465" s="41" t="n"/>
      <c r="BE465" s="41" t="n"/>
      <c r="BF465" s="41" t="n"/>
      <c r="BG465" s="41" t="n"/>
      <c r="BH465" s="41" t="n"/>
      <c r="BI465" s="41" t="n"/>
      <c r="BJ465" s="41" t="n"/>
      <c r="BK465" s="41" t="n"/>
      <c r="BL465" s="41" t="n"/>
      <c r="BM465" s="41" t="n"/>
      <c r="BN465" s="41" t="n"/>
    </row>
    <row r="466" ht="18" customHeight="1" s="82">
      <c r="A466" s="36" t="n"/>
      <c r="B466" s="36" t="n"/>
      <c r="C466" s="36" t="n"/>
      <c r="D466" s="36" t="n"/>
      <c r="E466" s="37" t="n"/>
      <c r="F466" s="37" t="n"/>
      <c r="G466" s="37" t="n"/>
      <c r="H466" s="37" t="n"/>
      <c r="I466" s="37" t="n"/>
      <c r="J466" s="37" t="n"/>
      <c r="K466" s="37" t="n"/>
      <c r="L466" s="37" t="n"/>
      <c r="M466" s="37" t="n"/>
      <c r="N466" s="37" t="n"/>
      <c r="O466" s="37" t="n"/>
      <c r="P466" s="37" t="n"/>
      <c r="Q466" s="37" t="n"/>
      <c r="R466" s="37" t="n"/>
      <c r="S466" s="37" t="n"/>
      <c r="T466" s="37" t="n"/>
      <c r="U466" s="37" t="n"/>
      <c r="V466" s="37" t="n"/>
      <c r="W466" s="32" t="n"/>
      <c r="X466" s="37" t="n"/>
      <c r="Y466" s="37" t="n"/>
      <c r="Z466" s="37" t="n"/>
      <c r="AA466" s="37" t="n"/>
      <c r="AB466" s="37" t="n"/>
      <c r="AC466" s="37" t="n"/>
      <c r="AD466" s="32" t="n"/>
      <c r="AE466" s="37" t="n"/>
      <c r="AF466" s="38" t="n"/>
      <c r="AG466" s="67">
        <f>IF(OR(AF466="",AE466=""),"",IFERROR(AF466*INDEX(FXRates[USD per unit],MATCH(AE466,FXRates[Currency],0)),"No rate"))</f>
        <v/>
      </c>
      <c r="AH466" s="36" t="n"/>
      <c r="AI466" s="36" t="n"/>
      <c r="AJ466" s="39">
        <f>IF(A466="","",IF(COUNTIF($A$6:$A$504,A466)&gt;1,"⚠ Duplicate",""))</f>
        <v/>
      </c>
      <c r="AK466" s="38" t="n"/>
      <c r="AL466" s="40" t="n"/>
      <c r="AM466" s="40" t="n"/>
      <c r="AN466" s="40" t="n"/>
      <c r="AO466" s="40" t="n"/>
      <c r="AP466" s="40" t="n"/>
      <c r="AQ466" s="40" t="n"/>
      <c r="AR466" s="40" t="n"/>
      <c r="AS466" s="40" t="n"/>
      <c r="AT466" s="40" t="n"/>
      <c r="AU466" s="40" t="n"/>
      <c r="AV466" s="40" t="n"/>
      <c r="AW466" s="40" t="n"/>
      <c r="AX466" s="40" t="n"/>
      <c r="AY466" s="40" t="n"/>
      <c r="AZ466" s="38" t="n"/>
      <c r="BA466" s="40" t="n"/>
      <c r="BB466" s="40" t="n"/>
      <c r="BC466" s="40" t="n"/>
      <c r="BD466" s="40" t="n"/>
      <c r="BE466" s="40" t="n"/>
      <c r="BF466" s="40" t="n"/>
      <c r="BG466" s="40" t="n"/>
      <c r="BH466" s="40" t="n"/>
      <c r="BI466" s="40" t="n"/>
      <c r="BJ466" s="40" t="n"/>
      <c r="BK466" s="40" t="n"/>
      <c r="BL466" s="40" t="n"/>
      <c r="BM466" s="40" t="n"/>
      <c r="BN466" s="40" t="n"/>
    </row>
    <row r="467" ht="18" customHeight="1" s="82">
      <c r="A467" s="30" t="n"/>
      <c r="B467" s="30" t="n"/>
      <c r="C467" s="30" t="n"/>
      <c r="D467" s="30" t="n"/>
      <c r="E467" s="31" t="n"/>
      <c r="F467" s="31" t="n"/>
      <c r="G467" s="31" t="n"/>
      <c r="H467" s="31" t="n"/>
      <c r="I467" s="31" t="n"/>
      <c r="J467" s="31" t="n"/>
      <c r="K467" s="31" t="n"/>
      <c r="L467" s="31" t="n"/>
      <c r="M467" s="31" t="n"/>
      <c r="N467" s="31" t="n"/>
      <c r="O467" s="31" t="n"/>
      <c r="P467" s="31" t="n"/>
      <c r="Q467" s="31" t="n"/>
      <c r="R467" s="31" t="n"/>
      <c r="S467" s="31" t="n"/>
      <c r="T467" s="31" t="n"/>
      <c r="U467" s="31" t="n"/>
      <c r="V467" s="31" t="n"/>
      <c r="W467" s="32" t="n"/>
      <c r="X467" s="31" t="n"/>
      <c r="Y467" s="31" t="n"/>
      <c r="Z467" s="31" t="n"/>
      <c r="AA467" s="31" t="n"/>
      <c r="AB467" s="31" t="n"/>
      <c r="AC467" s="31" t="n"/>
      <c r="AD467" s="32" t="n"/>
      <c r="AE467" s="31" t="n"/>
      <c r="AF467" s="33" t="n"/>
      <c r="AG467" s="66">
        <f>IF(OR(AF467="",AE467=""),"",IFERROR(AF467*INDEX(FXRates[USD per unit],MATCH(AE467,FXRates[Currency],0)),"No rate"))</f>
        <v/>
      </c>
      <c r="AH467" s="30" t="n"/>
      <c r="AI467" s="30" t="n"/>
      <c r="AJ467" s="34">
        <f>IF(A467="","",IF(COUNTIF($A$6:$A$504,A467)&gt;1,"⚠ Duplicate",""))</f>
        <v/>
      </c>
      <c r="AK467" s="33" t="n"/>
      <c r="AL467" s="41" t="n"/>
      <c r="AM467" s="41" t="n"/>
      <c r="AN467" s="41" t="n"/>
      <c r="AO467" s="41" t="n"/>
      <c r="AP467" s="41" t="n"/>
      <c r="AQ467" s="41" t="n"/>
      <c r="AR467" s="41" t="n"/>
      <c r="AS467" s="41" t="n"/>
      <c r="AT467" s="41" t="n"/>
      <c r="AU467" s="41" t="n"/>
      <c r="AV467" s="41" t="n"/>
      <c r="AW467" s="41" t="n"/>
      <c r="AX467" s="41" t="n"/>
      <c r="AY467" s="41" t="n"/>
      <c r="AZ467" s="33" t="n"/>
      <c r="BA467" s="41" t="n"/>
      <c r="BB467" s="41" t="n"/>
      <c r="BC467" s="41" t="n"/>
      <c r="BD467" s="41" t="n"/>
      <c r="BE467" s="41" t="n"/>
      <c r="BF467" s="41" t="n"/>
      <c r="BG467" s="41" t="n"/>
      <c r="BH467" s="41" t="n"/>
      <c r="BI467" s="41" t="n"/>
      <c r="BJ467" s="41" t="n"/>
      <c r="BK467" s="41" t="n"/>
      <c r="BL467" s="41" t="n"/>
      <c r="BM467" s="41" t="n"/>
      <c r="BN467" s="41" t="n"/>
    </row>
    <row r="468" ht="18" customHeight="1" s="82">
      <c r="A468" s="36" t="n"/>
      <c r="B468" s="36" t="n"/>
      <c r="C468" s="36" t="n"/>
      <c r="D468" s="36" t="n"/>
      <c r="E468" s="37" t="n"/>
      <c r="F468" s="37" t="n"/>
      <c r="G468" s="37" t="n"/>
      <c r="H468" s="37" t="n"/>
      <c r="I468" s="37" t="n"/>
      <c r="J468" s="37" t="n"/>
      <c r="K468" s="37" t="n"/>
      <c r="L468" s="37" t="n"/>
      <c r="M468" s="37" t="n"/>
      <c r="N468" s="37" t="n"/>
      <c r="O468" s="37" t="n"/>
      <c r="P468" s="37" t="n"/>
      <c r="Q468" s="37" t="n"/>
      <c r="R468" s="37" t="n"/>
      <c r="S468" s="37" t="n"/>
      <c r="T468" s="37" t="n"/>
      <c r="U468" s="37" t="n"/>
      <c r="V468" s="37" t="n"/>
      <c r="W468" s="32" t="n"/>
      <c r="X468" s="37" t="n"/>
      <c r="Y468" s="37" t="n"/>
      <c r="Z468" s="37" t="n"/>
      <c r="AA468" s="37" t="n"/>
      <c r="AB468" s="37" t="n"/>
      <c r="AC468" s="37" t="n"/>
      <c r="AD468" s="32" t="n"/>
      <c r="AE468" s="37" t="n"/>
      <c r="AF468" s="38" t="n"/>
      <c r="AG468" s="67">
        <f>IF(OR(AF468="",AE468=""),"",IFERROR(AF468*INDEX(FXRates[USD per unit],MATCH(AE468,FXRates[Currency],0)),"No rate"))</f>
        <v/>
      </c>
      <c r="AH468" s="36" t="n"/>
      <c r="AI468" s="36" t="n"/>
      <c r="AJ468" s="39">
        <f>IF(A468="","",IF(COUNTIF($A$6:$A$504,A468)&gt;1,"⚠ Duplicate",""))</f>
        <v/>
      </c>
      <c r="AK468" s="38" t="n"/>
      <c r="AL468" s="40" t="n"/>
      <c r="AM468" s="40" t="n"/>
      <c r="AN468" s="40" t="n"/>
      <c r="AO468" s="40" t="n"/>
      <c r="AP468" s="40" t="n"/>
      <c r="AQ468" s="40" t="n"/>
      <c r="AR468" s="40" t="n"/>
      <c r="AS468" s="40" t="n"/>
      <c r="AT468" s="40" t="n"/>
      <c r="AU468" s="40" t="n"/>
      <c r="AV468" s="40" t="n"/>
      <c r="AW468" s="40" t="n"/>
      <c r="AX468" s="40" t="n"/>
      <c r="AY468" s="40" t="n"/>
      <c r="AZ468" s="38" t="n"/>
      <c r="BA468" s="40" t="n"/>
      <c r="BB468" s="40" t="n"/>
      <c r="BC468" s="40" t="n"/>
      <c r="BD468" s="40" t="n"/>
      <c r="BE468" s="40" t="n"/>
      <c r="BF468" s="40" t="n"/>
      <c r="BG468" s="40" t="n"/>
      <c r="BH468" s="40" t="n"/>
      <c r="BI468" s="40" t="n"/>
      <c r="BJ468" s="40" t="n"/>
      <c r="BK468" s="40" t="n"/>
      <c r="BL468" s="40" t="n"/>
      <c r="BM468" s="40" t="n"/>
      <c r="BN468" s="40" t="n"/>
    </row>
    <row r="469" ht="18" customHeight="1" s="82">
      <c r="A469" s="30" t="n"/>
      <c r="B469" s="30" t="n"/>
      <c r="C469" s="30" t="n"/>
      <c r="D469" s="30" t="n"/>
      <c r="E469" s="31" t="n"/>
      <c r="F469" s="31" t="n"/>
      <c r="G469" s="31" t="n"/>
      <c r="H469" s="31" t="n"/>
      <c r="I469" s="31" t="n"/>
      <c r="J469" s="31" t="n"/>
      <c r="K469" s="31" t="n"/>
      <c r="L469" s="31" t="n"/>
      <c r="M469" s="31" t="n"/>
      <c r="N469" s="31" t="n"/>
      <c r="O469" s="31" t="n"/>
      <c r="P469" s="31" t="n"/>
      <c r="Q469" s="31" t="n"/>
      <c r="R469" s="31" t="n"/>
      <c r="S469" s="31" t="n"/>
      <c r="T469" s="31" t="n"/>
      <c r="U469" s="31" t="n"/>
      <c r="V469" s="31" t="n"/>
      <c r="W469" s="32" t="n"/>
      <c r="X469" s="31" t="n"/>
      <c r="Y469" s="31" t="n"/>
      <c r="Z469" s="31" t="n"/>
      <c r="AA469" s="31" t="n"/>
      <c r="AB469" s="31" t="n"/>
      <c r="AC469" s="31" t="n"/>
      <c r="AD469" s="32" t="n"/>
      <c r="AE469" s="31" t="n"/>
      <c r="AF469" s="33" t="n"/>
      <c r="AG469" s="66">
        <f>IF(OR(AF469="",AE469=""),"",IFERROR(AF469*INDEX(FXRates[USD per unit],MATCH(AE469,FXRates[Currency],0)),"No rate"))</f>
        <v/>
      </c>
      <c r="AH469" s="30" t="n"/>
      <c r="AI469" s="30" t="n"/>
      <c r="AJ469" s="34">
        <f>IF(A469="","",IF(COUNTIF($A$6:$A$504,A469)&gt;1,"⚠ Duplicate",""))</f>
        <v/>
      </c>
      <c r="AK469" s="33" t="n"/>
      <c r="AL469" s="41" t="n"/>
      <c r="AM469" s="41" t="n"/>
      <c r="AN469" s="41" t="n"/>
      <c r="AO469" s="41" t="n"/>
      <c r="AP469" s="41" t="n"/>
      <c r="AQ469" s="41" t="n"/>
      <c r="AR469" s="41" t="n"/>
      <c r="AS469" s="41" t="n"/>
      <c r="AT469" s="41" t="n"/>
      <c r="AU469" s="41" t="n"/>
      <c r="AV469" s="41" t="n"/>
      <c r="AW469" s="41" t="n"/>
      <c r="AX469" s="41" t="n"/>
      <c r="AY469" s="41" t="n"/>
      <c r="AZ469" s="33" t="n"/>
      <c r="BA469" s="41" t="n"/>
      <c r="BB469" s="41" t="n"/>
      <c r="BC469" s="41" t="n"/>
      <c r="BD469" s="41" t="n"/>
      <c r="BE469" s="41" t="n"/>
      <c r="BF469" s="41" t="n"/>
      <c r="BG469" s="41" t="n"/>
      <c r="BH469" s="41" t="n"/>
      <c r="BI469" s="41" t="n"/>
      <c r="BJ469" s="41" t="n"/>
      <c r="BK469" s="41" t="n"/>
      <c r="BL469" s="41" t="n"/>
      <c r="BM469" s="41" t="n"/>
      <c r="BN469" s="41" t="n"/>
    </row>
    <row r="470" ht="18" customHeight="1" s="82">
      <c r="A470" s="36" t="n"/>
      <c r="B470" s="36" t="n"/>
      <c r="C470" s="36" t="n"/>
      <c r="D470" s="36" t="n"/>
      <c r="E470" s="37" t="n"/>
      <c r="F470" s="37" t="n"/>
      <c r="G470" s="37" t="n"/>
      <c r="H470" s="37" t="n"/>
      <c r="I470" s="37" t="n"/>
      <c r="J470" s="37" t="n"/>
      <c r="K470" s="37" t="n"/>
      <c r="L470" s="37" t="n"/>
      <c r="M470" s="37" t="n"/>
      <c r="N470" s="37" t="n"/>
      <c r="O470" s="37" t="n"/>
      <c r="P470" s="37" t="n"/>
      <c r="Q470" s="37" t="n"/>
      <c r="R470" s="37" t="n"/>
      <c r="S470" s="37" t="n"/>
      <c r="T470" s="37" t="n"/>
      <c r="U470" s="37" t="n"/>
      <c r="V470" s="37" t="n"/>
      <c r="W470" s="32" t="n"/>
      <c r="X470" s="37" t="n"/>
      <c r="Y470" s="37" t="n"/>
      <c r="Z470" s="37" t="n"/>
      <c r="AA470" s="37" t="n"/>
      <c r="AB470" s="37" t="n"/>
      <c r="AC470" s="37" t="n"/>
      <c r="AD470" s="32" t="n"/>
      <c r="AE470" s="37" t="n"/>
      <c r="AF470" s="38" t="n"/>
      <c r="AG470" s="67">
        <f>IF(OR(AF470="",AE470=""),"",IFERROR(AF470*INDEX(FXRates[USD per unit],MATCH(AE470,FXRates[Currency],0)),"No rate"))</f>
        <v/>
      </c>
      <c r="AH470" s="36" t="n"/>
      <c r="AI470" s="36" t="n"/>
      <c r="AJ470" s="39">
        <f>IF(A470="","",IF(COUNTIF($A$6:$A$504,A470)&gt;1,"⚠ Duplicate",""))</f>
        <v/>
      </c>
      <c r="AK470" s="38" t="n"/>
      <c r="AL470" s="40" t="n"/>
      <c r="AM470" s="40" t="n"/>
      <c r="AN470" s="40" t="n"/>
      <c r="AO470" s="40" t="n"/>
      <c r="AP470" s="40" t="n"/>
      <c r="AQ470" s="40" t="n"/>
      <c r="AR470" s="40" t="n"/>
      <c r="AS470" s="40" t="n"/>
      <c r="AT470" s="40" t="n"/>
      <c r="AU470" s="40" t="n"/>
      <c r="AV470" s="40" t="n"/>
      <c r="AW470" s="40" t="n"/>
      <c r="AX470" s="40" t="n"/>
      <c r="AY470" s="40" t="n"/>
      <c r="AZ470" s="38" t="n"/>
      <c r="BA470" s="40" t="n"/>
      <c r="BB470" s="40" t="n"/>
      <c r="BC470" s="40" t="n"/>
      <c r="BD470" s="40" t="n"/>
      <c r="BE470" s="40" t="n"/>
      <c r="BF470" s="40" t="n"/>
      <c r="BG470" s="40" t="n"/>
      <c r="BH470" s="40" t="n"/>
      <c r="BI470" s="40" t="n"/>
      <c r="BJ470" s="40" t="n"/>
      <c r="BK470" s="40" t="n"/>
      <c r="BL470" s="40" t="n"/>
      <c r="BM470" s="40" t="n"/>
      <c r="BN470" s="40" t="n"/>
    </row>
    <row r="471" ht="18" customHeight="1" s="82">
      <c r="A471" s="30" t="n"/>
      <c r="B471" s="30" t="n"/>
      <c r="C471" s="30" t="n"/>
      <c r="D471" s="30" t="n"/>
      <c r="E471" s="31" t="n"/>
      <c r="F471" s="31" t="n"/>
      <c r="G471" s="31" t="n"/>
      <c r="H471" s="31" t="n"/>
      <c r="I471" s="31" t="n"/>
      <c r="J471" s="31" t="n"/>
      <c r="K471" s="31" t="n"/>
      <c r="L471" s="31" t="n"/>
      <c r="M471" s="31" t="n"/>
      <c r="N471" s="31" t="n"/>
      <c r="O471" s="31" t="n"/>
      <c r="P471" s="31" t="n"/>
      <c r="Q471" s="31" t="n"/>
      <c r="R471" s="31" t="n"/>
      <c r="S471" s="31" t="n"/>
      <c r="T471" s="31" t="n"/>
      <c r="U471" s="31" t="n"/>
      <c r="V471" s="31" t="n"/>
      <c r="W471" s="32" t="n"/>
      <c r="X471" s="31" t="n"/>
      <c r="Y471" s="31" t="n"/>
      <c r="Z471" s="31" t="n"/>
      <c r="AA471" s="31" t="n"/>
      <c r="AB471" s="31" t="n"/>
      <c r="AC471" s="31" t="n"/>
      <c r="AD471" s="32" t="n"/>
      <c r="AE471" s="31" t="n"/>
      <c r="AF471" s="33" t="n"/>
      <c r="AG471" s="66">
        <f>IF(OR(AF471="",AE471=""),"",IFERROR(AF471*INDEX(FXRates[USD per unit],MATCH(AE471,FXRates[Currency],0)),"No rate"))</f>
        <v/>
      </c>
      <c r="AH471" s="30" t="n"/>
      <c r="AI471" s="30" t="n"/>
      <c r="AJ471" s="34">
        <f>IF(A471="","",IF(COUNTIF($A$6:$A$504,A471)&gt;1,"⚠ Duplicate",""))</f>
        <v/>
      </c>
      <c r="AK471" s="33" t="n"/>
      <c r="AL471" s="41" t="n"/>
      <c r="AM471" s="41" t="n"/>
      <c r="AN471" s="41" t="n"/>
      <c r="AO471" s="41" t="n"/>
      <c r="AP471" s="41" t="n"/>
      <c r="AQ471" s="41" t="n"/>
      <c r="AR471" s="41" t="n"/>
      <c r="AS471" s="41" t="n"/>
      <c r="AT471" s="41" t="n"/>
      <c r="AU471" s="41" t="n"/>
      <c r="AV471" s="41" t="n"/>
      <c r="AW471" s="41" t="n"/>
      <c r="AX471" s="41" t="n"/>
      <c r="AY471" s="41" t="n"/>
      <c r="AZ471" s="33" t="n"/>
      <c r="BA471" s="41" t="n"/>
      <c r="BB471" s="41" t="n"/>
      <c r="BC471" s="41" t="n"/>
      <c r="BD471" s="41" t="n"/>
      <c r="BE471" s="41" t="n"/>
      <c r="BF471" s="41" t="n"/>
      <c r="BG471" s="41" t="n"/>
      <c r="BH471" s="41" t="n"/>
      <c r="BI471" s="41" t="n"/>
      <c r="BJ471" s="41" t="n"/>
      <c r="BK471" s="41" t="n"/>
      <c r="BL471" s="41" t="n"/>
      <c r="BM471" s="41" t="n"/>
      <c r="BN471" s="41" t="n"/>
    </row>
    <row r="472" ht="18" customHeight="1" s="82">
      <c r="A472" s="36" t="n"/>
      <c r="B472" s="36" t="n"/>
      <c r="C472" s="36" t="n"/>
      <c r="D472" s="36" t="n"/>
      <c r="E472" s="37" t="n"/>
      <c r="F472" s="37" t="n"/>
      <c r="G472" s="37" t="n"/>
      <c r="H472" s="37" t="n"/>
      <c r="I472" s="37" t="n"/>
      <c r="J472" s="37" t="n"/>
      <c r="K472" s="37" t="n"/>
      <c r="L472" s="37" t="n"/>
      <c r="M472" s="37" t="n"/>
      <c r="N472" s="37" t="n"/>
      <c r="O472" s="37" t="n"/>
      <c r="P472" s="37" t="n"/>
      <c r="Q472" s="37" t="n"/>
      <c r="R472" s="37" t="n"/>
      <c r="S472" s="37" t="n"/>
      <c r="T472" s="37" t="n"/>
      <c r="U472" s="37" t="n"/>
      <c r="V472" s="37" t="n"/>
      <c r="W472" s="32" t="n"/>
      <c r="X472" s="37" t="n"/>
      <c r="Y472" s="37" t="n"/>
      <c r="Z472" s="37" t="n"/>
      <c r="AA472" s="37" t="n"/>
      <c r="AB472" s="37" t="n"/>
      <c r="AC472" s="37" t="n"/>
      <c r="AD472" s="32" t="n"/>
      <c r="AE472" s="37" t="n"/>
      <c r="AF472" s="38" t="n"/>
      <c r="AG472" s="67">
        <f>IF(OR(AF472="",AE472=""),"",IFERROR(AF472*INDEX(FXRates[USD per unit],MATCH(AE472,FXRates[Currency],0)),"No rate"))</f>
        <v/>
      </c>
      <c r="AH472" s="36" t="n"/>
      <c r="AI472" s="36" t="n"/>
      <c r="AJ472" s="39">
        <f>IF(A472="","",IF(COUNTIF($A$6:$A$504,A472)&gt;1,"⚠ Duplicate",""))</f>
        <v/>
      </c>
      <c r="AK472" s="38" t="n"/>
      <c r="AL472" s="40" t="n"/>
      <c r="AM472" s="40" t="n"/>
      <c r="AN472" s="40" t="n"/>
      <c r="AO472" s="40" t="n"/>
      <c r="AP472" s="40" t="n"/>
      <c r="AQ472" s="40" t="n"/>
      <c r="AR472" s="40" t="n"/>
      <c r="AS472" s="40" t="n"/>
      <c r="AT472" s="40" t="n"/>
      <c r="AU472" s="40" t="n"/>
      <c r="AV472" s="40" t="n"/>
      <c r="AW472" s="40" t="n"/>
      <c r="AX472" s="40" t="n"/>
      <c r="AY472" s="40" t="n"/>
      <c r="AZ472" s="38" t="n"/>
      <c r="BA472" s="40" t="n"/>
      <c r="BB472" s="40" t="n"/>
      <c r="BC472" s="40" t="n"/>
      <c r="BD472" s="40" t="n"/>
      <c r="BE472" s="40" t="n"/>
      <c r="BF472" s="40" t="n"/>
      <c r="BG472" s="40" t="n"/>
      <c r="BH472" s="40" t="n"/>
      <c r="BI472" s="40" t="n"/>
      <c r="BJ472" s="40" t="n"/>
      <c r="BK472" s="40" t="n"/>
      <c r="BL472" s="40" t="n"/>
      <c r="BM472" s="40" t="n"/>
      <c r="BN472" s="40" t="n"/>
    </row>
    <row r="473" ht="18" customHeight="1" s="82">
      <c r="A473" s="30" t="n"/>
      <c r="B473" s="30" t="n"/>
      <c r="C473" s="30" t="n"/>
      <c r="D473" s="30" t="n"/>
      <c r="E473" s="31" t="n"/>
      <c r="F473" s="31" t="n"/>
      <c r="G473" s="31" t="n"/>
      <c r="H473" s="31" t="n"/>
      <c r="I473" s="31" t="n"/>
      <c r="J473" s="31" t="n"/>
      <c r="K473" s="31" t="n"/>
      <c r="L473" s="31" t="n"/>
      <c r="M473" s="31" t="n"/>
      <c r="N473" s="31" t="n"/>
      <c r="O473" s="31" t="n"/>
      <c r="P473" s="31" t="n"/>
      <c r="Q473" s="31" t="n"/>
      <c r="R473" s="31" t="n"/>
      <c r="S473" s="31" t="n"/>
      <c r="T473" s="31" t="n"/>
      <c r="U473" s="31" t="n"/>
      <c r="V473" s="31" t="n"/>
      <c r="W473" s="32" t="n"/>
      <c r="X473" s="31" t="n"/>
      <c r="Y473" s="31" t="n"/>
      <c r="Z473" s="31" t="n"/>
      <c r="AA473" s="31" t="n"/>
      <c r="AB473" s="31" t="n"/>
      <c r="AC473" s="31" t="n"/>
      <c r="AD473" s="32" t="n"/>
      <c r="AE473" s="31" t="n"/>
      <c r="AF473" s="33" t="n"/>
      <c r="AG473" s="66">
        <f>IF(OR(AF473="",AE473=""),"",IFERROR(AF473*INDEX(FXRates[USD per unit],MATCH(AE473,FXRates[Currency],0)),"No rate"))</f>
        <v/>
      </c>
      <c r="AH473" s="30" t="n"/>
      <c r="AI473" s="30" t="n"/>
      <c r="AJ473" s="34">
        <f>IF(A473="","",IF(COUNTIF($A$6:$A$504,A473)&gt;1,"⚠ Duplicate",""))</f>
        <v/>
      </c>
      <c r="AK473" s="33" t="n"/>
      <c r="AL473" s="41" t="n"/>
      <c r="AM473" s="41" t="n"/>
      <c r="AN473" s="41" t="n"/>
      <c r="AO473" s="41" t="n"/>
      <c r="AP473" s="41" t="n"/>
      <c r="AQ473" s="41" t="n"/>
      <c r="AR473" s="41" t="n"/>
      <c r="AS473" s="41" t="n"/>
      <c r="AT473" s="41" t="n"/>
      <c r="AU473" s="41" t="n"/>
      <c r="AV473" s="41" t="n"/>
      <c r="AW473" s="41" t="n"/>
      <c r="AX473" s="41" t="n"/>
      <c r="AY473" s="41" t="n"/>
      <c r="AZ473" s="33" t="n"/>
      <c r="BA473" s="41" t="n"/>
      <c r="BB473" s="41" t="n"/>
      <c r="BC473" s="41" t="n"/>
      <c r="BD473" s="41" t="n"/>
      <c r="BE473" s="41" t="n"/>
      <c r="BF473" s="41" t="n"/>
      <c r="BG473" s="41" t="n"/>
      <c r="BH473" s="41" t="n"/>
      <c r="BI473" s="41" t="n"/>
      <c r="BJ473" s="41" t="n"/>
      <c r="BK473" s="41" t="n"/>
      <c r="BL473" s="41" t="n"/>
      <c r="BM473" s="41" t="n"/>
      <c r="BN473" s="41" t="n"/>
    </row>
    <row r="474" ht="18" customHeight="1" s="82">
      <c r="A474" s="36" t="n"/>
      <c r="B474" s="36" t="n"/>
      <c r="C474" s="36" t="n"/>
      <c r="D474" s="36" t="n"/>
      <c r="E474" s="37" t="n"/>
      <c r="F474" s="37" t="n"/>
      <c r="G474" s="37" t="n"/>
      <c r="H474" s="37" t="n"/>
      <c r="I474" s="37" t="n"/>
      <c r="J474" s="37" t="n"/>
      <c r="K474" s="37" t="n"/>
      <c r="L474" s="37" t="n"/>
      <c r="M474" s="37" t="n"/>
      <c r="N474" s="37" t="n"/>
      <c r="O474" s="37" t="n"/>
      <c r="P474" s="37" t="n"/>
      <c r="Q474" s="37" t="n"/>
      <c r="R474" s="37" t="n"/>
      <c r="S474" s="37" t="n"/>
      <c r="T474" s="37" t="n"/>
      <c r="U474" s="37" t="n"/>
      <c r="V474" s="37" t="n"/>
      <c r="W474" s="32" t="n"/>
      <c r="X474" s="37" t="n"/>
      <c r="Y474" s="37" t="n"/>
      <c r="Z474" s="37" t="n"/>
      <c r="AA474" s="37" t="n"/>
      <c r="AB474" s="37" t="n"/>
      <c r="AC474" s="37" t="n"/>
      <c r="AD474" s="32" t="n"/>
      <c r="AE474" s="37" t="n"/>
      <c r="AF474" s="38" t="n"/>
      <c r="AG474" s="67">
        <f>IF(OR(AF474="",AE474=""),"",IFERROR(AF474*INDEX(FXRates[USD per unit],MATCH(AE474,FXRates[Currency],0)),"No rate"))</f>
        <v/>
      </c>
      <c r="AH474" s="36" t="n"/>
      <c r="AI474" s="36" t="n"/>
      <c r="AJ474" s="39">
        <f>IF(A474="","",IF(COUNTIF($A$6:$A$504,A474)&gt;1,"⚠ Duplicate",""))</f>
        <v/>
      </c>
      <c r="AK474" s="38" t="n"/>
      <c r="AL474" s="40" t="n"/>
      <c r="AM474" s="40" t="n"/>
      <c r="AN474" s="40" t="n"/>
      <c r="AO474" s="40" t="n"/>
      <c r="AP474" s="40" t="n"/>
      <c r="AQ474" s="40" t="n"/>
      <c r="AR474" s="40" t="n"/>
      <c r="AS474" s="40" t="n"/>
      <c r="AT474" s="40" t="n"/>
      <c r="AU474" s="40" t="n"/>
      <c r="AV474" s="40" t="n"/>
      <c r="AW474" s="40" t="n"/>
      <c r="AX474" s="40" t="n"/>
      <c r="AY474" s="40" t="n"/>
      <c r="AZ474" s="38" t="n"/>
      <c r="BA474" s="40" t="n"/>
      <c r="BB474" s="40" t="n"/>
      <c r="BC474" s="40" t="n"/>
      <c r="BD474" s="40" t="n"/>
      <c r="BE474" s="40" t="n"/>
      <c r="BF474" s="40" t="n"/>
      <c r="BG474" s="40" t="n"/>
      <c r="BH474" s="40" t="n"/>
      <c r="BI474" s="40" t="n"/>
      <c r="BJ474" s="40" t="n"/>
      <c r="BK474" s="40" t="n"/>
      <c r="BL474" s="40" t="n"/>
      <c r="BM474" s="40" t="n"/>
      <c r="BN474" s="40" t="n"/>
    </row>
    <row r="475" ht="18" customHeight="1" s="82">
      <c r="A475" s="30" t="n"/>
      <c r="B475" s="30" t="n"/>
      <c r="C475" s="30" t="n"/>
      <c r="D475" s="30" t="n"/>
      <c r="E475" s="31" t="n"/>
      <c r="F475" s="31" t="n"/>
      <c r="G475" s="31" t="n"/>
      <c r="H475" s="31" t="n"/>
      <c r="I475" s="31" t="n"/>
      <c r="J475" s="31" t="n"/>
      <c r="K475" s="31" t="n"/>
      <c r="L475" s="31" t="n"/>
      <c r="M475" s="31" t="n"/>
      <c r="N475" s="31" t="n"/>
      <c r="O475" s="31" t="n"/>
      <c r="P475" s="31" t="n"/>
      <c r="Q475" s="31" t="n"/>
      <c r="R475" s="31" t="n"/>
      <c r="S475" s="31" t="n"/>
      <c r="T475" s="31" t="n"/>
      <c r="U475" s="31" t="n"/>
      <c r="V475" s="31" t="n"/>
      <c r="W475" s="32" t="n"/>
      <c r="X475" s="31" t="n"/>
      <c r="Y475" s="31" t="n"/>
      <c r="Z475" s="31" t="n"/>
      <c r="AA475" s="31" t="n"/>
      <c r="AB475" s="31" t="n"/>
      <c r="AC475" s="31" t="n"/>
      <c r="AD475" s="32" t="n"/>
      <c r="AE475" s="31" t="n"/>
      <c r="AF475" s="33" t="n"/>
      <c r="AG475" s="66">
        <f>IF(OR(AF475="",AE475=""),"",IFERROR(AF475*INDEX(FXRates[USD per unit],MATCH(AE475,FXRates[Currency],0)),"No rate"))</f>
        <v/>
      </c>
      <c r="AH475" s="30" t="n"/>
      <c r="AI475" s="30" t="n"/>
      <c r="AJ475" s="34">
        <f>IF(A475="","",IF(COUNTIF($A$6:$A$504,A475)&gt;1,"⚠ Duplicate",""))</f>
        <v/>
      </c>
      <c r="AK475" s="33" t="n"/>
      <c r="AL475" s="41" t="n"/>
      <c r="AM475" s="41" t="n"/>
      <c r="AN475" s="41" t="n"/>
      <c r="AO475" s="41" t="n"/>
      <c r="AP475" s="41" t="n"/>
      <c r="AQ475" s="41" t="n"/>
      <c r="AR475" s="41" t="n"/>
      <c r="AS475" s="41" t="n"/>
      <c r="AT475" s="41" t="n"/>
      <c r="AU475" s="41" t="n"/>
      <c r="AV475" s="41" t="n"/>
      <c r="AW475" s="41" t="n"/>
      <c r="AX475" s="41" t="n"/>
      <c r="AY475" s="41" t="n"/>
      <c r="AZ475" s="33" t="n"/>
      <c r="BA475" s="41" t="n"/>
      <c r="BB475" s="41" t="n"/>
      <c r="BC475" s="41" t="n"/>
      <c r="BD475" s="41" t="n"/>
      <c r="BE475" s="41" t="n"/>
      <c r="BF475" s="41" t="n"/>
      <c r="BG475" s="41" t="n"/>
      <c r="BH475" s="41" t="n"/>
      <c r="BI475" s="41" t="n"/>
      <c r="BJ475" s="41" t="n"/>
      <c r="BK475" s="41" t="n"/>
      <c r="BL475" s="41" t="n"/>
      <c r="BM475" s="41" t="n"/>
      <c r="BN475" s="41" t="n"/>
    </row>
    <row r="476" ht="18" customHeight="1" s="82">
      <c r="A476" s="36" t="n"/>
      <c r="B476" s="36" t="n"/>
      <c r="C476" s="36" t="n"/>
      <c r="D476" s="36" t="n"/>
      <c r="E476" s="37" t="n"/>
      <c r="F476" s="37" t="n"/>
      <c r="G476" s="37" t="n"/>
      <c r="H476" s="37" t="n"/>
      <c r="I476" s="37" t="n"/>
      <c r="J476" s="37" t="n"/>
      <c r="K476" s="37" t="n"/>
      <c r="L476" s="37" t="n"/>
      <c r="M476" s="37" t="n"/>
      <c r="N476" s="37" t="n"/>
      <c r="O476" s="37" t="n"/>
      <c r="P476" s="37" t="n"/>
      <c r="Q476" s="37" t="n"/>
      <c r="R476" s="37" t="n"/>
      <c r="S476" s="37" t="n"/>
      <c r="T476" s="37" t="n"/>
      <c r="U476" s="37" t="n"/>
      <c r="V476" s="37" t="n"/>
      <c r="W476" s="32" t="n"/>
      <c r="X476" s="37" t="n"/>
      <c r="Y476" s="37" t="n"/>
      <c r="Z476" s="37" t="n"/>
      <c r="AA476" s="37" t="n"/>
      <c r="AB476" s="37" t="n"/>
      <c r="AC476" s="37" t="n"/>
      <c r="AD476" s="32" t="n"/>
      <c r="AE476" s="37" t="n"/>
      <c r="AF476" s="38" t="n"/>
      <c r="AG476" s="67">
        <f>IF(OR(AF476="",AE476=""),"",IFERROR(AF476*INDEX(FXRates[USD per unit],MATCH(AE476,FXRates[Currency],0)),"No rate"))</f>
        <v/>
      </c>
      <c r="AH476" s="36" t="n"/>
      <c r="AI476" s="36" t="n"/>
      <c r="AJ476" s="39">
        <f>IF(A476="","",IF(COUNTIF($A$6:$A$504,A476)&gt;1,"⚠ Duplicate",""))</f>
        <v/>
      </c>
      <c r="AK476" s="38" t="n"/>
      <c r="AL476" s="40" t="n"/>
      <c r="AM476" s="40" t="n"/>
      <c r="AN476" s="40" t="n"/>
      <c r="AO476" s="40" t="n"/>
      <c r="AP476" s="40" t="n"/>
      <c r="AQ476" s="40" t="n"/>
      <c r="AR476" s="40" t="n"/>
      <c r="AS476" s="40" t="n"/>
      <c r="AT476" s="40" t="n"/>
      <c r="AU476" s="40" t="n"/>
      <c r="AV476" s="40" t="n"/>
      <c r="AW476" s="40" t="n"/>
      <c r="AX476" s="40" t="n"/>
      <c r="AY476" s="40" t="n"/>
      <c r="AZ476" s="38" t="n"/>
      <c r="BA476" s="40" t="n"/>
      <c r="BB476" s="40" t="n"/>
      <c r="BC476" s="40" t="n"/>
      <c r="BD476" s="40" t="n"/>
      <c r="BE476" s="40" t="n"/>
      <c r="BF476" s="40" t="n"/>
      <c r="BG476" s="40" t="n"/>
      <c r="BH476" s="40" t="n"/>
      <c r="BI476" s="40" t="n"/>
      <c r="BJ476" s="40" t="n"/>
      <c r="BK476" s="40" t="n"/>
      <c r="BL476" s="40" t="n"/>
      <c r="BM476" s="40" t="n"/>
      <c r="BN476" s="40" t="n"/>
    </row>
    <row r="477" ht="18" customHeight="1" s="82">
      <c r="A477" s="30" t="n"/>
      <c r="B477" s="30" t="n"/>
      <c r="C477" s="30" t="n"/>
      <c r="D477" s="30" t="n"/>
      <c r="E477" s="31" t="n"/>
      <c r="F477" s="31" t="n"/>
      <c r="G477" s="31" t="n"/>
      <c r="H477" s="31" t="n"/>
      <c r="I477" s="31" t="n"/>
      <c r="J477" s="31" t="n"/>
      <c r="K477" s="31" t="n"/>
      <c r="L477" s="31" t="n"/>
      <c r="M477" s="31" t="n"/>
      <c r="N477" s="31" t="n"/>
      <c r="O477" s="31" t="n"/>
      <c r="P477" s="31" t="n"/>
      <c r="Q477" s="31" t="n"/>
      <c r="R477" s="31" t="n"/>
      <c r="S477" s="31" t="n"/>
      <c r="T477" s="31" t="n"/>
      <c r="U477" s="31" t="n"/>
      <c r="V477" s="31" t="n"/>
      <c r="W477" s="32" t="n"/>
      <c r="X477" s="31" t="n"/>
      <c r="Y477" s="31" t="n"/>
      <c r="Z477" s="31" t="n"/>
      <c r="AA477" s="31" t="n"/>
      <c r="AB477" s="31" t="n"/>
      <c r="AC477" s="31" t="n"/>
      <c r="AD477" s="32" t="n"/>
      <c r="AE477" s="31" t="n"/>
      <c r="AF477" s="33" t="n"/>
      <c r="AG477" s="66">
        <f>IF(OR(AF477="",AE477=""),"",IFERROR(AF477*INDEX(FXRates[USD per unit],MATCH(AE477,FXRates[Currency],0)),"No rate"))</f>
        <v/>
      </c>
      <c r="AH477" s="30" t="n"/>
      <c r="AI477" s="30" t="n"/>
      <c r="AJ477" s="34">
        <f>IF(A477="","",IF(COUNTIF($A$6:$A$504,A477)&gt;1,"⚠ Duplicate",""))</f>
        <v/>
      </c>
      <c r="AK477" s="33" t="n"/>
      <c r="AL477" s="41" t="n"/>
      <c r="AM477" s="41" t="n"/>
      <c r="AN477" s="41" t="n"/>
      <c r="AO477" s="41" t="n"/>
      <c r="AP477" s="41" t="n"/>
      <c r="AQ477" s="41" t="n"/>
      <c r="AR477" s="41" t="n"/>
      <c r="AS477" s="41" t="n"/>
      <c r="AT477" s="41" t="n"/>
      <c r="AU477" s="41" t="n"/>
      <c r="AV477" s="41" t="n"/>
      <c r="AW477" s="41" t="n"/>
      <c r="AX477" s="41" t="n"/>
      <c r="AY477" s="41" t="n"/>
      <c r="AZ477" s="33" t="n"/>
      <c r="BA477" s="41" t="n"/>
      <c r="BB477" s="41" t="n"/>
      <c r="BC477" s="41" t="n"/>
      <c r="BD477" s="41" t="n"/>
      <c r="BE477" s="41" t="n"/>
      <c r="BF477" s="41" t="n"/>
      <c r="BG477" s="41" t="n"/>
      <c r="BH477" s="41" t="n"/>
      <c r="BI477" s="41" t="n"/>
      <c r="BJ477" s="41" t="n"/>
      <c r="BK477" s="41" t="n"/>
      <c r="BL477" s="41" t="n"/>
      <c r="BM477" s="41" t="n"/>
      <c r="BN477" s="41" t="n"/>
    </row>
    <row r="478" ht="18" customHeight="1" s="82">
      <c r="A478" s="36" t="n"/>
      <c r="B478" s="36" t="n"/>
      <c r="C478" s="36" t="n"/>
      <c r="D478" s="36" t="n"/>
      <c r="E478" s="37" t="n"/>
      <c r="F478" s="37" t="n"/>
      <c r="G478" s="37" t="n"/>
      <c r="H478" s="37" t="n"/>
      <c r="I478" s="37" t="n"/>
      <c r="J478" s="37" t="n"/>
      <c r="K478" s="37" t="n"/>
      <c r="L478" s="37" t="n"/>
      <c r="M478" s="37" t="n"/>
      <c r="N478" s="37" t="n"/>
      <c r="O478" s="37" t="n"/>
      <c r="P478" s="37" t="n"/>
      <c r="Q478" s="37" t="n"/>
      <c r="R478" s="37" t="n"/>
      <c r="S478" s="37" t="n"/>
      <c r="T478" s="37" t="n"/>
      <c r="U478" s="37" t="n"/>
      <c r="V478" s="37" t="n"/>
      <c r="W478" s="32" t="n"/>
      <c r="X478" s="37" t="n"/>
      <c r="Y478" s="37" t="n"/>
      <c r="Z478" s="37" t="n"/>
      <c r="AA478" s="37" t="n"/>
      <c r="AB478" s="37" t="n"/>
      <c r="AC478" s="37" t="n"/>
      <c r="AD478" s="32" t="n"/>
      <c r="AE478" s="37" t="n"/>
      <c r="AF478" s="38" t="n"/>
      <c r="AG478" s="67">
        <f>IF(OR(AF478="",AE478=""),"",IFERROR(AF478*INDEX(FXRates[USD per unit],MATCH(AE478,FXRates[Currency],0)),"No rate"))</f>
        <v/>
      </c>
      <c r="AH478" s="36" t="n"/>
      <c r="AI478" s="36" t="n"/>
      <c r="AJ478" s="39">
        <f>IF(A478="","",IF(COUNTIF($A$6:$A$504,A478)&gt;1,"⚠ Duplicate",""))</f>
        <v/>
      </c>
      <c r="AK478" s="38" t="n"/>
      <c r="AL478" s="40" t="n"/>
      <c r="AM478" s="40" t="n"/>
      <c r="AN478" s="40" t="n"/>
      <c r="AO478" s="40" t="n"/>
      <c r="AP478" s="40" t="n"/>
      <c r="AQ478" s="40" t="n"/>
      <c r="AR478" s="40" t="n"/>
      <c r="AS478" s="40" t="n"/>
      <c r="AT478" s="40" t="n"/>
      <c r="AU478" s="40" t="n"/>
      <c r="AV478" s="40" t="n"/>
      <c r="AW478" s="40" t="n"/>
      <c r="AX478" s="40" t="n"/>
      <c r="AY478" s="40" t="n"/>
      <c r="AZ478" s="38" t="n"/>
      <c r="BA478" s="40" t="n"/>
      <c r="BB478" s="40" t="n"/>
      <c r="BC478" s="40" t="n"/>
      <c r="BD478" s="40" t="n"/>
      <c r="BE478" s="40" t="n"/>
      <c r="BF478" s="40" t="n"/>
      <c r="BG478" s="40" t="n"/>
      <c r="BH478" s="40" t="n"/>
      <c r="BI478" s="40" t="n"/>
      <c r="BJ478" s="40" t="n"/>
      <c r="BK478" s="40" t="n"/>
      <c r="BL478" s="40" t="n"/>
      <c r="BM478" s="40" t="n"/>
      <c r="BN478" s="40" t="n"/>
    </row>
    <row r="479" ht="18" customHeight="1" s="82">
      <c r="A479" s="30" t="n"/>
      <c r="B479" s="30" t="n"/>
      <c r="C479" s="30" t="n"/>
      <c r="D479" s="30" t="n"/>
      <c r="E479" s="31" t="n"/>
      <c r="F479" s="31" t="n"/>
      <c r="G479" s="31" t="n"/>
      <c r="H479" s="31" t="n"/>
      <c r="I479" s="31" t="n"/>
      <c r="J479" s="31" t="n"/>
      <c r="K479" s="31" t="n"/>
      <c r="L479" s="31" t="n"/>
      <c r="M479" s="31" t="n"/>
      <c r="N479" s="31" t="n"/>
      <c r="O479" s="31" t="n"/>
      <c r="P479" s="31" t="n"/>
      <c r="Q479" s="31" t="n"/>
      <c r="R479" s="31" t="n"/>
      <c r="S479" s="31" t="n"/>
      <c r="T479" s="31" t="n"/>
      <c r="U479" s="31" t="n"/>
      <c r="V479" s="31" t="n"/>
      <c r="W479" s="32" t="n"/>
      <c r="X479" s="31" t="n"/>
      <c r="Y479" s="31" t="n"/>
      <c r="Z479" s="31" t="n"/>
      <c r="AA479" s="31" t="n"/>
      <c r="AB479" s="31" t="n"/>
      <c r="AC479" s="31" t="n"/>
      <c r="AD479" s="32" t="n"/>
      <c r="AE479" s="31" t="n"/>
      <c r="AF479" s="33" t="n"/>
      <c r="AG479" s="66">
        <f>IF(OR(AF479="",AE479=""),"",IFERROR(AF479*INDEX(FXRates[USD per unit],MATCH(AE479,FXRates[Currency],0)),"No rate"))</f>
        <v/>
      </c>
      <c r="AH479" s="30" t="n"/>
      <c r="AI479" s="30" t="n"/>
      <c r="AJ479" s="34">
        <f>IF(A479="","",IF(COUNTIF($A$6:$A$504,A479)&gt;1,"⚠ Duplicate",""))</f>
        <v/>
      </c>
      <c r="AK479" s="33" t="n"/>
      <c r="AL479" s="41" t="n"/>
      <c r="AM479" s="41" t="n"/>
      <c r="AN479" s="41" t="n"/>
      <c r="AO479" s="41" t="n"/>
      <c r="AP479" s="41" t="n"/>
      <c r="AQ479" s="41" t="n"/>
      <c r="AR479" s="41" t="n"/>
      <c r="AS479" s="41" t="n"/>
      <c r="AT479" s="41" t="n"/>
      <c r="AU479" s="41" t="n"/>
      <c r="AV479" s="41" t="n"/>
      <c r="AW479" s="41" t="n"/>
      <c r="AX479" s="41" t="n"/>
      <c r="AY479" s="41" t="n"/>
      <c r="AZ479" s="33" t="n"/>
      <c r="BA479" s="41" t="n"/>
      <c r="BB479" s="41" t="n"/>
      <c r="BC479" s="41" t="n"/>
      <c r="BD479" s="41" t="n"/>
      <c r="BE479" s="41" t="n"/>
      <c r="BF479" s="41" t="n"/>
      <c r="BG479" s="41" t="n"/>
      <c r="BH479" s="41" t="n"/>
      <c r="BI479" s="41" t="n"/>
      <c r="BJ479" s="41" t="n"/>
      <c r="BK479" s="41" t="n"/>
      <c r="BL479" s="41" t="n"/>
      <c r="BM479" s="41" t="n"/>
      <c r="BN479" s="41" t="n"/>
    </row>
    <row r="480" ht="18" customHeight="1" s="82">
      <c r="A480" s="36" t="n"/>
      <c r="B480" s="36" t="n"/>
      <c r="C480" s="36" t="n"/>
      <c r="D480" s="36" t="n"/>
      <c r="E480" s="37" t="n"/>
      <c r="F480" s="37" t="n"/>
      <c r="G480" s="37" t="n"/>
      <c r="H480" s="37" t="n"/>
      <c r="I480" s="37" t="n"/>
      <c r="J480" s="37" t="n"/>
      <c r="K480" s="37" t="n"/>
      <c r="L480" s="37" t="n"/>
      <c r="M480" s="37" t="n"/>
      <c r="N480" s="37" t="n"/>
      <c r="O480" s="37" t="n"/>
      <c r="P480" s="37" t="n"/>
      <c r="Q480" s="37" t="n"/>
      <c r="R480" s="37" t="n"/>
      <c r="S480" s="37" t="n"/>
      <c r="T480" s="37" t="n"/>
      <c r="U480" s="37" t="n"/>
      <c r="V480" s="37" t="n"/>
      <c r="W480" s="32" t="n"/>
      <c r="X480" s="37" t="n"/>
      <c r="Y480" s="37" t="n"/>
      <c r="Z480" s="37" t="n"/>
      <c r="AA480" s="37" t="n"/>
      <c r="AB480" s="37" t="n"/>
      <c r="AC480" s="37" t="n"/>
      <c r="AD480" s="32" t="n"/>
      <c r="AE480" s="37" t="n"/>
      <c r="AF480" s="38" t="n"/>
      <c r="AG480" s="67">
        <f>IF(OR(AF480="",AE480=""),"",IFERROR(AF480*INDEX(FXRates[USD per unit],MATCH(AE480,FXRates[Currency],0)),"No rate"))</f>
        <v/>
      </c>
      <c r="AH480" s="36" t="n"/>
      <c r="AI480" s="36" t="n"/>
      <c r="AJ480" s="39">
        <f>IF(A480="","",IF(COUNTIF($A$6:$A$504,A480)&gt;1,"⚠ Duplicate",""))</f>
        <v/>
      </c>
      <c r="AK480" s="38" t="n"/>
      <c r="AL480" s="40" t="n"/>
      <c r="AM480" s="40" t="n"/>
      <c r="AN480" s="40" t="n"/>
      <c r="AO480" s="40" t="n"/>
      <c r="AP480" s="40" t="n"/>
      <c r="AQ480" s="40" t="n"/>
      <c r="AR480" s="40" t="n"/>
      <c r="AS480" s="40" t="n"/>
      <c r="AT480" s="40" t="n"/>
      <c r="AU480" s="40" t="n"/>
      <c r="AV480" s="40" t="n"/>
      <c r="AW480" s="40" t="n"/>
      <c r="AX480" s="40" t="n"/>
      <c r="AY480" s="40" t="n"/>
      <c r="AZ480" s="38" t="n"/>
      <c r="BA480" s="40" t="n"/>
      <c r="BB480" s="40" t="n"/>
      <c r="BC480" s="40" t="n"/>
      <c r="BD480" s="40" t="n"/>
      <c r="BE480" s="40" t="n"/>
      <c r="BF480" s="40" t="n"/>
      <c r="BG480" s="40" t="n"/>
      <c r="BH480" s="40" t="n"/>
      <c r="BI480" s="40" t="n"/>
      <c r="BJ480" s="40" t="n"/>
      <c r="BK480" s="40" t="n"/>
      <c r="BL480" s="40" t="n"/>
      <c r="BM480" s="40" t="n"/>
      <c r="BN480" s="40" t="n"/>
    </row>
    <row r="481" ht="18" customHeight="1" s="82">
      <c r="A481" s="30" t="n"/>
      <c r="B481" s="30" t="n"/>
      <c r="C481" s="30" t="n"/>
      <c r="D481" s="30" t="n"/>
      <c r="E481" s="31" t="n"/>
      <c r="F481" s="31" t="n"/>
      <c r="G481" s="31" t="n"/>
      <c r="H481" s="31" t="n"/>
      <c r="I481" s="31" t="n"/>
      <c r="J481" s="31" t="n"/>
      <c r="K481" s="31" t="n"/>
      <c r="L481" s="31" t="n"/>
      <c r="M481" s="31" t="n"/>
      <c r="N481" s="31" t="n"/>
      <c r="O481" s="31" t="n"/>
      <c r="P481" s="31" t="n"/>
      <c r="Q481" s="31" t="n"/>
      <c r="R481" s="31" t="n"/>
      <c r="S481" s="31" t="n"/>
      <c r="T481" s="31" t="n"/>
      <c r="U481" s="31" t="n"/>
      <c r="V481" s="31" t="n"/>
      <c r="W481" s="32" t="n"/>
      <c r="X481" s="31" t="n"/>
      <c r="Y481" s="31" t="n"/>
      <c r="Z481" s="31" t="n"/>
      <c r="AA481" s="31" t="n"/>
      <c r="AB481" s="31" t="n"/>
      <c r="AC481" s="31" t="n"/>
      <c r="AD481" s="32" t="n"/>
      <c r="AE481" s="31" t="n"/>
      <c r="AF481" s="33" t="n"/>
      <c r="AG481" s="66">
        <f>IF(OR(AF481="",AE481=""),"",IFERROR(AF481*INDEX(FXRates[USD per unit],MATCH(AE481,FXRates[Currency],0)),"No rate"))</f>
        <v/>
      </c>
      <c r="AH481" s="30" t="n"/>
      <c r="AI481" s="30" t="n"/>
      <c r="AJ481" s="34">
        <f>IF(A481="","",IF(COUNTIF($A$6:$A$504,A481)&gt;1,"⚠ Duplicate",""))</f>
        <v/>
      </c>
      <c r="AK481" s="33" t="n"/>
      <c r="AL481" s="41" t="n"/>
      <c r="AM481" s="41" t="n"/>
      <c r="AN481" s="41" t="n"/>
      <c r="AO481" s="41" t="n"/>
      <c r="AP481" s="41" t="n"/>
      <c r="AQ481" s="41" t="n"/>
      <c r="AR481" s="41" t="n"/>
      <c r="AS481" s="41" t="n"/>
      <c r="AT481" s="41" t="n"/>
      <c r="AU481" s="41" t="n"/>
      <c r="AV481" s="41" t="n"/>
      <c r="AW481" s="41" t="n"/>
      <c r="AX481" s="41" t="n"/>
      <c r="AY481" s="41" t="n"/>
      <c r="AZ481" s="33" t="n"/>
      <c r="BA481" s="41" t="n"/>
      <c r="BB481" s="41" t="n"/>
      <c r="BC481" s="41" t="n"/>
      <c r="BD481" s="41" t="n"/>
      <c r="BE481" s="41" t="n"/>
      <c r="BF481" s="41" t="n"/>
      <c r="BG481" s="41" t="n"/>
      <c r="BH481" s="41" t="n"/>
      <c r="BI481" s="41" t="n"/>
      <c r="BJ481" s="41" t="n"/>
      <c r="BK481" s="41" t="n"/>
      <c r="BL481" s="41" t="n"/>
      <c r="BM481" s="41" t="n"/>
      <c r="BN481" s="41" t="n"/>
    </row>
    <row r="482" ht="18" customHeight="1" s="82">
      <c r="A482" s="36" t="n"/>
      <c r="B482" s="36" t="n"/>
      <c r="C482" s="36" t="n"/>
      <c r="D482" s="36" t="n"/>
      <c r="E482" s="37" t="n"/>
      <c r="F482" s="37" t="n"/>
      <c r="G482" s="37" t="n"/>
      <c r="H482" s="37" t="n"/>
      <c r="I482" s="37" t="n"/>
      <c r="J482" s="37" t="n"/>
      <c r="K482" s="37" t="n"/>
      <c r="L482" s="37" t="n"/>
      <c r="M482" s="37" t="n"/>
      <c r="N482" s="37" t="n"/>
      <c r="O482" s="37" t="n"/>
      <c r="P482" s="37" t="n"/>
      <c r="Q482" s="37" t="n"/>
      <c r="R482" s="37" t="n"/>
      <c r="S482" s="37" t="n"/>
      <c r="T482" s="37" t="n"/>
      <c r="U482" s="37" t="n"/>
      <c r="V482" s="37" t="n"/>
      <c r="W482" s="32" t="n"/>
      <c r="X482" s="37" t="n"/>
      <c r="Y482" s="37" t="n"/>
      <c r="Z482" s="37" t="n"/>
      <c r="AA482" s="37" t="n"/>
      <c r="AB482" s="37" t="n"/>
      <c r="AC482" s="37" t="n"/>
      <c r="AD482" s="32" t="n"/>
      <c r="AE482" s="37" t="n"/>
      <c r="AF482" s="38" t="n"/>
      <c r="AG482" s="67">
        <f>IF(OR(AF482="",AE482=""),"",IFERROR(AF482*INDEX(FXRates[USD per unit],MATCH(AE482,FXRates[Currency],0)),"No rate"))</f>
        <v/>
      </c>
      <c r="AH482" s="36" t="n"/>
      <c r="AI482" s="36" t="n"/>
      <c r="AJ482" s="39">
        <f>IF(A482="","",IF(COUNTIF($A$6:$A$504,A482)&gt;1,"⚠ Duplicate",""))</f>
        <v/>
      </c>
      <c r="AK482" s="38" t="n"/>
      <c r="AL482" s="40" t="n"/>
      <c r="AM482" s="40" t="n"/>
      <c r="AN482" s="40" t="n"/>
      <c r="AO482" s="40" t="n"/>
      <c r="AP482" s="40" t="n"/>
      <c r="AQ482" s="40" t="n"/>
      <c r="AR482" s="40" t="n"/>
      <c r="AS482" s="40" t="n"/>
      <c r="AT482" s="40" t="n"/>
      <c r="AU482" s="40" t="n"/>
      <c r="AV482" s="40" t="n"/>
      <c r="AW482" s="40" t="n"/>
      <c r="AX482" s="40" t="n"/>
      <c r="AY482" s="40" t="n"/>
      <c r="AZ482" s="38" t="n"/>
      <c r="BA482" s="40" t="n"/>
      <c r="BB482" s="40" t="n"/>
      <c r="BC482" s="40" t="n"/>
      <c r="BD482" s="40" t="n"/>
      <c r="BE482" s="40" t="n"/>
      <c r="BF482" s="40" t="n"/>
      <c r="BG482" s="40" t="n"/>
      <c r="BH482" s="40" t="n"/>
      <c r="BI482" s="40" t="n"/>
      <c r="BJ482" s="40" t="n"/>
      <c r="BK482" s="40" t="n"/>
      <c r="BL482" s="40" t="n"/>
      <c r="BM482" s="40" t="n"/>
      <c r="BN482" s="40" t="n"/>
    </row>
    <row r="483" ht="18" customHeight="1" s="82">
      <c r="A483" s="30" t="n"/>
      <c r="B483" s="30" t="n"/>
      <c r="C483" s="30" t="n"/>
      <c r="D483" s="30" t="n"/>
      <c r="E483" s="31" t="n"/>
      <c r="F483" s="31" t="n"/>
      <c r="G483" s="31" t="n"/>
      <c r="H483" s="31" t="n"/>
      <c r="I483" s="31" t="n"/>
      <c r="J483" s="31" t="n"/>
      <c r="K483" s="31" t="n"/>
      <c r="L483" s="31" t="n"/>
      <c r="M483" s="31" t="n"/>
      <c r="N483" s="31" t="n"/>
      <c r="O483" s="31" t="n"/>
      <c r="P483" s="31" t="n"/>
      <c r="Q483" s="31" t="n"/>
      <c r="R483" s="31" t="n"/>
      <c r="S483" s="31" t="n"/>
      <c r="T483" s="31" t="n"/>
      <c r="U483" s="31" t="n"/>
      <c r="V483" s="31" t="n"/>
      <c r="W483" s="32" t="n"/>
      <c r="X483" s="31" t="n"/>
      <c r="Y483" s="31" t="n"/>
      <c r="Z483" s="31" t="n"/>
      <c r="AA483" s="31" t="n"/>
      <c r="AB483" s="31" t="n"/>
      <c r="AC483" s="31" t="n"/>
      <c r="AD483" s="32" t="n"/>
      <c r="AE483" s="31" t="n"/>
      <c r="AF483" s="33" t="n"/>
      <c r="AG483" s="66">
        <f>IF(OR(AF483="",AE483=""),"",IFERROR(AF483*INDEX(FXRates[USD per unit],MATCH(AE483,FXRates[Currency],0)),"No rate"))</f>
        <v/>
      </c>
      <c r="AH483" s="30" t="n"/>
      <c r="AI483" s="30" t="n"/>
      <c r="AJ483" s="34">
        <f>IF(A483="","",IF(COUNTIF($A$6:$A$504,A483)&gt;1,"⚠ Duplicate",""))</f>
        <v/>
      </c>
      <c r="AK483" s="33" t="n"/>
      <c r="AL483" s="41" t="n"/>
      <c r="AM483" s="41" t="n"/>
      <c r="AN483" s="41" t="n"/>
      <c r="AO483" s="41" t="n"/>
      <c r="AP483" s="41" t="n"/>
      <c r="AQ483" s="41" t="n"/>
      <c r="AR483" s="41" t="n"/>
      <c r="AS483" s="41" t="n"/>
      <c r="AT483" s="41" t="n"/>
      <c r="AU483" s="41" t="n"/>
      <c r="AV483" s="41" t="n"/>
      <c r="AW483" s="41" t="n"/>
      <c r="AX483" s="41" t="n"/>
      <c r="AY483" s="41" t="n"/>
      <c r="AZ483" s="33" t="n"/>
      <c r="BA483" s="41" t="n"/>
      <c r="BB483" s="41" t="n"/>
      <c r="BC483" s="41" t="n"/>
      <c r="BD483" s="41" t="n"/>
      <c r="BE483" s="41" t="n"/>
      <c r="BF483" s="41" t="n"/>
      <c r="BG483" s="41" t="n"/>
      <c r="BH483" s="41" t="n"/>
      <c r="BI483" s="41" t="n"/>
      <c r="BJ483" s="41" t="n"/>
      <c r="BK483" s="41" t="n"/>
      <c r="BL483" s="41" t="n"/>
      <c r="BM483" s="41" t="n"/>
      <c r="BN483" s="41" t="n"/>
    </row>
    <row r="484" ht="18" customHeight="1" s="82">
      <c r="A484" s="36" t="n"/>
      <c r="B484" s="36" t="n"/>
      <c r="C484" s="36" t="n"/>
      <c r="D484" s="36" t="n"/>
      <c r="E484" s="37" t="n"/>
      <c r="F484" s="37" t="n"/>
      <c r="G484" s="37" t="n"/>
      <c r="H484" s="37" t="n"/>
      <c r="I484" s="37" t="n"/>
      <c r="J484" s="37" t="n"/>
      <c r="K484" s="37" t="n"/>
      <c r="L484" s="37" t="n"/>
      <c r="M484" s="37" t="n"/>
      <c r="N484" s="37" t="n"/>
      <c r="O484" s="37" t="n"/>
      <c r="P484" s="37" t="n"/>
      <c r="Q484" s="37" t="n"/>
      <c r="R484" s="37" t="n"/>
      <c r="S484" s="37" t="n"/>
      <c r="T484" s="37" t="n"/>
      <c r="U484" s="37" t="n"/>
      <c r="V484" s="37" t="n"/>
      <c r="W484" s="32" t="n"/>
      <c r="X484" s="37" t="n"/>
      <c r="Y484" s="37" t="n"/>
      <c r="Z484" s="37" t="n"/>
      <c r="AA484" s="37" t="n"/>
      <c r="AB484" s="37" t="n"/>
      <c r="AC484" s="37" t="n"/>
      <c r="AD484" s="32" t="n"/>
      <c r="AE484" s="37" t="n"/>
      <c r="AF484" s="38" t="n"/>
      <c r="AG484" s="67">
        <f>IF(OR(AF484="",AE484=""),"",IFERROR(AF484*INDEX(FXRates[USD per unit],MATCH(AE484,FXRates[Currency],0)),"No rate"))</f>
        <v/>
      </c>
      <c r="AH484" s="36" t="n"/>
      <c r="AI484" s="36" t="n"/>
      <c r="AJ484" s="39">
        <f>IF(A484="","",IF(COUNTIF($A$6:$A$504,A484)&gt;1,"⚠ Duplicate",""))</f>
        <v/>
      </c>
      <c r="AK484" s="38" t="n"/>
      <c r="AL484" s="40" t="n"/>
      <c r="AM484" s="40" t="n"/>
      <c r="AN484" s="40" t="n"/>
      <c r="AO484" s="40" t="n"/>
      <c r="AP484" s="40" t="n"/>
      <c r="AQ484" s="40" t="n"/>
      <c r="AR484" s="40" t="n"/>
      <c r="AS484" s="40" t="n"/>
      <c r="AT484" s="40" t="n"/>
      <c r="AU484" s="40" t="n"/>
      <c r="AV484" s="40" t="n"/>
      <c r="AW484" s="40" t="n"/>
      <c r="AX484" s="40" t="n"/>
      <c r="AY484" s="40" t="n"/>
      <c r="AZ484" s="38" t="n"/>
      <c r="BA484" s="40" t="n"/>
      <c r="BB484" s="40" t="n"/>
      <c r="BC484" s="40" t="n"/>
      <c r="BD484" s="40" t="n"/>
      <c r="BE484" s="40" t="n"/>
      <c r="BF484" s="40" t="n"/>
      <c r="BG484" s="40" t="n"/>
      <c r="BH484" s="40" t="n"/>
      <c r="BI484" s="40" t="n"/>
      <c r="BJ484" s="40" t="n"/>
      <c r="BK484" s="40" t="n"/>
      <c r="BL484" s="40" t="n"/>
      <c r="BM484" s="40" t="n"/>
      <c r="BN484" s="40" t="n"/>
    </row>
    <row r="485" ht="18" customHeight="1" s="82">
      <c r="A485" s="30" t="n"/>
      <c r="B485" s="30" t="n"/>
      <c r="C485" s="30" t="n"/>
      <c r="D485" s="30" t="n"/>
      <c r="E485" s="31" t="n"/>
      <c r="F485" s="31" t="n"/>
      <c r="G485" s="31" t="n"/>
      <c r="H485" s="31" t="n"/>
      <c r="I485" s="31" t="n"/>
      <c r="J485" s="31" t="n"/>
      <c r="K485" s="31" t="n"/>
      <c r="L485" s="31" t="n"/>
      <c r="M485" s="31" t="n"/>
      <c r="N485" s="31" t="n"/>
      <c r="O485" s="31" t="n"/>
      <c r="P485" s="31" t="n"/>
      <c r="Q485" s="31" t="n"/>
      <c r="R485" s="31" t="n"/>
      <c r="S485" s="31" t="n"/>
      <c r="T485" s="31" t="n"/>
      <c r="U485" s="31" t="n"/>
      <c r="V485" s="31" t="n"/>
      <c r="W485" s="32" t="n"/>
      <c r="X485" s="31" t="n"/>
      <c r="Y485" s="31" t="n"/>
      <c r="Z485" s="31" t="n"/>
      <c r="AA485" s="31" t="n"/>
      <c r="AB485" s="31" t="n"/>
      <c r="AC485" s="31" t="n"/>
      <c r="AD485" s="32" t="n"/>
      <c r="AE485" s="31" t="n"/>
      <c r="AF485" s="33" t="n"/>
      <c r="AG485" s="66">
        <f>IF(OR(AF485="",AE485=""),"",IFERROR(AF485*INDEX(FXRates[USD per unit],MATCH(AE485,FXRates[Currency],0)),"No rate"))</f>
        <v/>
      </c>
      <c r="AH485" s="30" t="n"/>
      <c r="AI485" s="30" t="n"/>
      <c r="AJ485" s="34">
        <f>IF(A485="","",IF(COUNTIF($A$6:$A$504,A485)&gt;1,"⚠ Duplicate",""))</f>
        <v/>
      </c>
      <c r="AK485" s="33" t="n"/>
      <c r="AL485" s="41" t="n"/>
      <c r="AM485" s="41" t="n"/>
      <c r="AN485" s="41" t="n"/>
      <c r="AO485" s="41" t="n"/>
      <c r="AP485" s="41" t="n"/>
      <c r="AQ485" s="41" t="n"/>
      <c r="AR485" s="41" t="n"/>
      <c r="AS485" s="41" t="n"/>
      <c r="AT485" s="41" t="n"/>
      <c r="AU485" s="41" t="n"/>
      <c r="AV485" s="41" t="n"/>
      <c r="AW485" s="41" t="n"/>
      <c r="AX485" s="41" t="n"/>
      <c r="AY485" s="41" t="n"/>
      <c r="AZ485" s="33" t="n"/>
      <c r="BA485" s="41" t="n"/>
      <c r="BB485" s="41" t="n"/>
      <c r="BC485" s="41" t="n"/>
      <c r="BD485" s="41" t="n"/>
      <c r="BE485" s="41" t="n"/>
      <c r="BF485" s="41" t="n"/>
      <c r="BG485" s="41" t="n"/>
      <c r="BH485" s="41" t="n"/>
      <c r="BI485" s="41" t="n"/>
      <c r="BJ485" s="41" t="n"/>
      <c r="BK485" s="41" t="n"/>
      <c r="BL485" s="41" t="n"/>
      <c r="BM485" s="41" t="n"/>
      <c r="BN485" s="41" t="n"/>
    </row>
    <row r="486" ht="18" customHeight="1" s="82">
      <c r="A486" s="36" t="n"/>
      <c r="B486" s="36" t="n"/>
      <c r="C486" s="36" t="n"/>
      <c r="D486" s="36" t="n"/>
      <c r="E486" s="37" t="n"/>
      <c r="F486" s="37" t="n"/>
      <c r="G486" s="37" t="n"/>
      <c r="H486" s="37" t="n"/>
      <c r="I486" s="37" t="n"/>
      <c r="J486" s="37" t="n"/>
      <c r="K486" s="37" t="n"/>
      <c r="L486" s="37" t="n"/>
      <c r="M486" s="37" t="n"/>
      <c r="N486" s="37" t="n"/>
      <c r="O486" s="37" t="n"/>
      <c r="P486" s="37" t="n"/>
      <c r="Q486" s="37" t="n"/>
      <c r="R486" s="37" t="n"/>
      <c r="S486" s="37" t="n"/>
      <c r="T486" s="37" t="n"/>
      <c r="U486" s="37" t="n"/>
      <c r="V486" s="37" t="n"/>
      <c r="W486" s="32" t="n"/>
      <c r="X486" s="37" t="n"/>
      <c r="Y486" s="37" t="n"/>
      <c r="Z486" s="37" t="n"/>
      <c r="AA486" s="37" t="n"/>
      <c r="AB486" s="37" t="n"/>
      <c r="AC486" s="37" t="n"/>
      <c r="AD486" s="32" t="n"/>
      <c r="AE486" s="37" t="n"/>
      <c r="AF486" s="38" t="n"/>
      <c r="AG486" s="67">
        <f>IF(OR(AF486="",AE486=""),"",IFERROR(AF486*INDEX(FXRates[USD per unit],MATCH(AE486,FXRates[Currency],0)),"No rate"))</f>
        <v/>
      </c>
      <c r="AH486" s="36" t="n"/>
      <c r="AI486" s="36" t="n"/>
      <c r="AJ486" s="39">
        <f>IF(A486="","",IF(COUNTIF($A$6:$A$504,A486)&gt;1,"⚠ Duplicate",""))</f>
        <v/>
      </c>
      <c r="AK486" s="38" t="n"/>
      <c r="AL486" s="40" t="n"/>
      <c r="AM486" s="40" t="n"/>
      <c r="AN486" s="40" t="n"/>
      <c r="AO486" s="40" t="n"/>
      <c r="AP486" s="40" t="n"/>
      <c r="AQ486" s="40" t="n"/>
      <c r="AR486" s="40" t="n"/>
      <c r="AS486" s="40" t="n"/>
      <c r="AT486" s="40" t="n"/>
      <c r="AU486" s="40" t="n"/>
      <c r="AV486" s="40" t="n"/>
      <c r="AW486" s="40" t="n"/>
      <c r="AX486" s="40" t="n"/>
      <c r="AY486" s="40" t="n"/>
      <c r="AZ486" s="38" t="n"/>
      <c r="BA486" s="40" t="n"/>
      <c r="BB486" s="40" t="n"/>
      <c r="BC486" s="40" t="n"/>
      <c r="BD486" s="40" t="n"/>
      <c r="BE486" s="40" t="n"/>
      <c r="BF486" s="40" t="n"/>
      <c r="BG486" s="40" t="n"/>
      <c r="BH486" s="40" t="n"/>
      <c r="BI486" s="40" t="n"/>
      <c r="BJ486" s="40" t="n"/>
      <c r="BK486" s="40" t="n"/>
      <c r="BL486" s="40" t="n"/>
      <c r="BM486" s="40" t="n"/>
      <c r="BN486" s="40" t="n"/>
    </row>
    <row r="487" ht="18" customHeight="1" s="82">
      <c r="A487" s="30" t="n"/>
      <c r="B487" s="30" t="n"/>
      <c r="C487" s="30" t="n"/>
      <c r="D487" s="30" t="n"/>
      <c r="E487" s="31" t="n"/>
      <c r="F487" s="31" t="n"/>
      <c r="G487" s="31" t="n"/>
      <c r="H487" s="31" t="n"/>
      <c r="I487" s="31" t="n"/>
      <c r="J487" s="31" t="n"/>
      <c r="K487" s="31" t="n"/>
      <c r="L487" s="31" t="n"/>
      <c r="M487" s="31" t="n"/>
      <c r="N487" s="31" t="n"/>
      <c r="O487" s="31" t="n"/>
      <c r="P487" s="31" t="n"/>
      <c r="Q487" s="31" t="n"/>
      <c r="R487" s="31" t="n"/>
      <c r="S487" s="31" t="n"/>
      <c r="T487" s="31" t="n"/>
      <c r="U487" s="31" t="n"/>
      <c r="V487" s="31" t="n"/>
      <c r="W487" s="32" t="n"/>
      <c r="X487" s="31" t="n"/>
      <c r="Y487" s="31" t="n"/>
      <c r="Z487" s="31" t="n"/>
      <c r="AA487" s="31" t="n"/>
      <c r="AB487" s="31" t="n"/>
      <c r="AC487" s="31" t="n"/>
      <c r="AD487" s="32" t="n"/>
      <c r="AE487" s="31" t="n"/>
      <c r="AF487" s="33" t="n"/>
      <c r="AG487" s="66">
        <f>IF(OR(AF487="",AE487=""),"",IFERROR(AF487*INDEX(FXRates[USD per unit],MATCH(AE487,FXRates[Currency],0)),"No rate"))</f>
        <v/>
      </c>
      <c r="AH487" s="30" t="n"/>
      <c r="AI487" s="30" t="n"/>
      <c r="AJ487" s="34">
        <f>IF(A487="","",IF(COUNTIF($A$6:$A$504,A487)&gt;1,"⚠ Duplicate",""))</f>
        <v/>
      </c>
      <c r="AK487" s="33" t="n"/>
      <c r="AL487" s="41" t="n"/>
      <c r="AM487" s="41" t="n"/>
      <c r="AN487" s="41" t="n"/>
      <c r="AO487" s="41" t="n"/>
      <c r="AP487" s="41" t="n"/>
      <c r="AQ487" s="41" t="n"/>
      <c r="AR487" s="41" t="n"/>
      <c r="AS487" s="41" t="n"/>
      <c r="AT487" s="41" t="n"/>
      <c r="AU487" s="41" t="n"/>
      <c r="AV487" s="41" t="n"/>
      <c r="AW487" s="41" t="n"/>
      <c r="AX487" s="41" t="n"/>
      <c r="AY487" s="41" t="n"/>
      <c r="AZ487" s="33" t="n"/>
      <c r="BA487" s="41" t="n"/>
      <c r="BB487" s="41" t="n"/>
      <c r="BC487" s="41" t="n"/>
      <c r="BD487" s="41" t="n"/>
      <c r="BE487" s="41" t="n"/>
      <c r="BF487" s="41" t="n"/>
      <c r="BG487" s="41" t="n"/>
      <c r="BH487" s="41" t="n"/>
      <c r="BI487" s="41" t="n"/>
      <c r="BJ487" s="41" t="n"/>
      <c r="BK487" s="41" t="n"/>
      <c r="BL487" s="41" t="n"/>
      <c r="BM487" s="41" t="n"/>
      <c r="BN487" s="41" t="n"/>
    </row>
    <row r="488" ht="18" customHeight="1" s="82">
      <c r="A488" s="36" t="n"/>
      <c r="B488" s="36" t="n"/>
      <c r="C488" s="36" t="n"/>
      <c r="D488" s="36" t="n"/>
      <c r="E488" s="37" t="n"/>
      <c r="F488" s="37" t="n"/>
      <c r="G488" s="37" t="n"/>
      <c r="H488" s="37" t="n"/>
      <c r="I488" s="37" t="n"/>
      <c r="J488" s="37" t="n"/>
      <c r="K488" s="37" t="n"/>
      <c r="L488" s="37" t="n"/>
      <c r="M488" s="37" t="n"/>
      <c r="N488" s="37" t="n"/>
      <c r="O488" s="37" t="n"/>
      <c r="P488" s="37" t="n"/>
      <c r="Q488" s="37" t="n"/>
      <c r="R488" s="37" t="n"/>
      <c r="S488" s="37" t="n"/>
      <c r="T488" s="37" t="n"/>
      <c r="U488" s="37" t="n"/>
      <c r="V488" s="37" t="n"/>
      <c r="W488" s="32" t="n"/>
      <c r="X488" s="37" t="n"/>
      <c r="Y488" s="37" t="n"/>
      <c r="Z488" s="37" t="n"/>
      <c r="AA488" s="37" t="n"/>
      <c r="AB488" s="37" t="n"/>
      <c r="AC488" s="37" t="n"/>
      <c r="AD488" s="32" t="n"/>
      <c r="AE488" s="37" t="n"/>
      <c r="AF488" s="38" t="n"/>
      <c r="AG488" s="67">
        <f>IF(OR(AF488="",AE488=""),"",IFERROR(AF488*INDEX(FXRates[USD per unit],MATCH(AE488,FXRates[Currency],0)),"No rate"))</f>
        <v/>
      </c>
      <c r="AH488" s="36" t="n"/>
      <c r="AI488" s="36" t="n"/>
      <c r="AJ488" s="39">
        <f>IF(A488="","",IF(COUNTIF($A$6:$A$504,A488)&gt;1,"⚠ Duplicate",""))</f>
        <v/>
      </c>
      <c r="AK488" s="38" t="n"/>
      <c r="AL488" s="40" t="n"/>
      <c r="AM488" s="40" t="n"/>
      <c r="AN488" s="40" t="n"/>
      <c r="AO488" s="40" t="n"/>
      <c r="AP488" s="40" t="n"/>
      <c r="AQ488" s="40" t="n"/>
      <c r="AR488" s="40" t="n"/>
      <c r="AS488" s="40" t="n"/>
      <c r="AT488" s="40" t="n"/>
      <c r="AU488" s="40" t="n"/>
      <c r="AV488" s="40" t="n"/>
      <c r="AW488" s="40" t="n"/>
      <c r="AX488" s="40" t="n"/>
      <c r="AY488" s="40" t="n"/>
      <c r="AZ488" s="38" t="n"/>
      <c r="BA488" s="40" t="n"/>
      <c r="BB488" s="40" t="n"/>
      <c r="BC488" s="40" t="n"/>
      <c r="BD488" s="40" t="n"/>
      <c r="BE488" s="40" t="n"/>
      <c r="BF488" s="40" t="n"/>
      <c r="BG488" s="40" t="n"/>
      <c r="BH488" s="40" t="n"/>
      <c r="BI488" s="40" t="n"/>
      <c r="BJ488" s="40" t="n"/>
      <c r="BK488" s="40" t="n"/>
      <c r="BL488" s="40" t="n"/>
      <c r="BM488" s="40" t="n"/>
      <c r="BN488" s="40" t="n"/>
    </row>
    <row r="489" ht="18" customHeight="1" s="82">
      <c r="A489" s="30" t="n"/>
      <c r="B489" s="30" t="n"/>
      <c r="C489" s="30" t="n"/>
      <c r="D489" s="30" t="n"/>
      <c r="E489" s="31" t="n"/>
      <c r="F489" s="31" t="n"/>
      <c r="G489" s="31" t="n"/>
      <c r="H489" s="31" t="n"/>
      <c r="I489" s="31" t="n"/>
      <c r="J489" s="31" t="n"/>
      <c r="K489" s="31" t="n"/>
      <c r="L489" s="31" t="n"/>
      <c r="M489" s="31" t="n"/>
      <c r="N489" s="31" t="n"/>
      <c r="O489" s="31" t="n"/>
      <c r="P489" s="31" t="n"/>
      <c r="Q489" s="31" t="n"/>
      <c r="R489" s="31" t="n"/>
      <c r="S489" s="31" t="n"/>
      <c r="T489" s="31" t="n"/>
      <c r="U489" s="31" t="n"/>
      <c r="V489" s="31" t="n"/>
      <c r="W489" s="32" t="n"/>
      <c r="X489" s="31" t="n"/>
      <c r="Y489" s="31" t="n"/>
      <c r="Z489" s="31" t="n"/>
      <c r="AA489" s="31" t="n"/>
      <c r="AB489" s="31" t="n"/>
      <c r="AC489" s="31" t="n"/>
      <c r="AD489" s="32" t="n"/>
      <c r="AE489" s="31" t="n"/>
      <c r="AF489" s="33" t="n"/>
      <c r="AG489" s="66">
        <f>IF(OR(AF489="",AE489=""),"",IFERROR(AF489*INDEX(FXRates[USD per unit],MATCH(AE489,FXRates[Currency],0)),"No rate"))</f>
        <v/>
      </c>
      <c r="AH489" s="30" t="n"/>
      <c r="AI489" s="30" t="n"/>
      <c r="AJ489" s="34">
        <f>IF(A489="","",IF(COUNTIF($A$6:$A$504,A489)&gt;1,"⚠ Duplicate",""))</f>
        <v/>
      </c>
      <c r="AK489" s="33" t="n"/>
      <c r="AL489" s="41" t="n"/>
      <c r="AM489" s="41" t="n"/>
      <c r="AN489" s="41" t="n"/>
      <c r="AO489" s="41" t="n"/>
      <c r="AP489" s="41" t="n"/>
      <c r="AQ489" s="41" t="n"/>
      <c r="AR489" s="41" t="n"/>
      <c r="AS489" s="41" t="n"/>
      <c r="AT489" s="41" t="n"/>
      <c r="AU489" s="41" t="n"/>
      <c r="AV489" s="41" t="n"/>
      <c r="AW489" s="41" t="n"/>
      <c r="AX489" s="41" t="n"/>
      <c r="AY489" s="41" t="n"/>
      <c r="AZ489" s="33" t="n"/>
      <c r="BA489" s="41" t="n"/>
      <c r="BB489" s="41" t="n"/>
      <c r="BC489" s="41" t="n"/>
      <c r="BD489" s="41" t="n"/>
      <c r="BE489" s="41" t="n"/>
      <c r="BF489" s="41" t="n"/>
      <c r="BG489" s="41" t="n"/>
      <c r="BH489" s="41" t="n"/>
      <c r="BI489" s="41" t="n"/>
      <c r="BJ489" s="41" t="n"/>
      <c r="BK489" s="41" t="n"/>
      <c r="BL489" s="41" t="n"/>
      <c r="BM489" s="41" t="n"/>
      <c r="BN489" s="41" t="n"/>
    </row>
    <row r="490" ht="18" customHeight="1" s="82">
      <c r="A490" s="36" t="n"/>
      <c r="B490" s="36" t="n"/>
      <c r="C490" s="36" t="n"/>
      <c r="D490" s="36" t="n"/>
      <c r="E490" s="37" t="n"/>
      <c r="F490" s="37" t="n"/>
      <c r="G490" s="37" t="n"/>
      <c r="H490" s="37" t="n"/>
      <c r="I490" s="37" t="n"/>
      <c r="J490" s="37" t="n"/>
      <c r="K490" s="37" t="n"/>
      <c r="L490" s="37" t="n"/>
      <c r="M490" s="37" t="n"/>
      <c r="N490" s="37" t="n"/>
      <c r="O490" s="37" t="n"/>
      <c r="P490" s="37" t="n"/>
      <c r="Q490" s="37" t="n"/>
      <c r="R490" s="37" t="n"/>
      <c r="S490" s="37" t="n"/>
      <c r="T490" s="37" t="n"/>
      <c r="U490" s="37" t="n"/>
      <c r="V490" s="37" t="n"/>
      <c r="W490" s="32" t="n"/>
      <c r="X490" s="37" t="n"/>
      <c r="Y490" s="37" t="n"/>
      <c r="Z490" s="37" t="n"/>
      <c r="AA490" s="37" t="n"/>
      <c r="AB490" s="37" t="n"/>
      <c r="AC490" s="37" t="n"/>
      <c r="AD490" s="32" t="n"/>
      <c r="AE490" s="37" t="n"/>
      <c r="AF490" s="38" t="n"/>
      <c r="AG490" s="67">
        <f>IF(OR(AF490="",AE490=""),"",IFERROR(AF490*INDEX(FXRates[USD per unit],MATCH(AE490,FXRates[Currency],0)),"No rate"))</f>
        <v/>
      </c>
      <c r="AH490" s="36" t="n"/>
      <c r="AI490" s="36" t="n"/>
      <c r="AJ490" s="39">
        <f>IF(A490="","",IF(COUNTIF($A$6:$A$504,A490)&gt;1,"⚠ Duplicate",""))</f>
        <v/>
      </c>
      <c r="AK490" s="38" t="n"/>
      <c r="AL490" s="40" t="n"/>
      <c r="AM490" s="40" t="n"/>
      <c r="AN490" s="40" t="n"/>
      <c r="AO490" s="40" t="n"/>
      <c r="AP490" s="40" t="n"/>
      <c r="AQ490" s="40" t="n"/>
      <c r="AR490" s="40" t="n"/>
      <c r="AS490" s="40" t="n"/>
      <c r="AT490" s="40" t="n"/>
      <c r="AU490" s="40" t="n"/>
      <c r="AV490" s="40" t="n"/>
      <c r="AW490" s="40" t="n"/>
      <c r="AX490" s="40" t="n"/>
      <c r="AY490" s="40" t="n"/>
      <c r="AZ490" s="38" t="n"/>
      <c r="BA490" s="40" t="n"/>
      <c r="BB490" s="40" t="n"/>
      <c r="BC490" s="40" t="n"/>
      <c r="BD490" s="40" t="n"/>
      <c r="BE490" s="40" t="n"/>
      <c r="BF490" s="40" t="n"/>
      <c r="BG490" s="40" t="n"/>
      <c r="BH490" s="40" t="n"/>
      <c r="BI490" s="40" t="n"/>
      <c r="BJ490" s="40" t="n"/>
      <c r="BK490" s="40" t="n"/>
      <c r="BL490" s="40" t="n"/>
      <c r="BM490" s="40" t="n"/>
      <c r="BN490" s="40" t="n"/>
    </row>
    <row r="491" ht="18" customHeight="1" s="82">
      <c r="A491" s="30" t="n"/>
      <c r="B491" s="30" t="n"/>
      <c r="C491" s="30" t="n"/>
      <c r="D491" s="30" t="n"/>
      <c r="E491" s="31" t="n"/>
      <c r="F491" s="31" t="n"/>
      <c r="G491" s="31" t="n"/>
      <c r="H491" s="31" t="n"/>
      <c r="I491" s="31" t="n"/>
      <c r="J491" s="31" t="n"/>
      <c r="K491" s="31" t="n"/>
      <c r="L491" s="31" t="n"/>
      <c r="M491" s="31" t="n"/>
      <c r="N491" s="31" t="n"/>
      <c r="O491" s="31" t="n"/>
      <c r="P491" s="31" t="n"/>
      <c r="Q491" s="31" t="n"/>
      <c r="R491" s="31" t="n"/>
      <c r="S491" s="31" t="n"/>
      <c r="T491" s="31" t="n"/>
      <c r="U491" s="31" t="n"/>
      <c r="V491" s="31" t="n"/>
      <c r="W491" s="32" t="n"/>
      <c r="X491" s="31" t="n"/>
      <c r="Y491" s="31" t="n"/>
      <c r="Z491" s="31" t="n"/>
      <c r="AA491" s="31" t="n"/>
      <c r="AB491" s="31" t="n"/>
      <c r="AC491" s="31" t="n"/>
      <c r="AD491" s="32" t="n"/>
      <c r="AE491" s="31" t="n"/>
      <c r="AF491" s="33" t="n"/>
      <c r="AG491" s="66">
        <f>IF(OR(AF491="",AE491=""),"",IFERROR(AF491*INDEX(FXRates[USD per unit],MATCH(AE491,FXRates[Currency],0)),"No rate"))</f>
        <v/>
      </c>
      <c r="AH491" s="30" t="n"/>
      <c r="AI491" s="30" t="n"/>
      <c r="AJ491" s="34">
        <f>IF(A491="","",IF(COUNTIF($A$6:$A$504,A491)&gt;1,"⚠ Duplicate",""))</f>
        <v/>
      </c>
      <c r="AK491" s="33" t="n"/>
      <c r="AL491" s="41" t="n"/>
      <c r="AM491" s="41" t="n"/>
      <c r="AN491" s="41" t="n"/>
      <c r="AO491" s="41" t="n"/>
      <c r="AP491" s="41" t="n"/>
      <c r="AQ491" s="41" t="n"/>
      <c r="AR491" s="41" t="n"/>
      <c r="AS491" s="41" t="n"/>
      <c r="AT491" s="41" t="n"/>
      <c r="AU491" s="41" t="n"/>
      <c r="AV491" s="41" t="n"/>
      <c r="AW491" s="41" t="n"/>
      <c r="AX491" s="41" t="n"/>
      <c r="AY491" s="41" t="n"/>
      <c r="AZ491" s="33" t="n"/>
      <c r="BA491" s="41" t="n"/>
      <c r="BB491" s="41" t="n"/>
      <c r="BC491" s="41" t="n"/>
      <c r="BD491" s="41" t="n"/>
      <c r="BE491" s="41" t="n"/>
      <c r="BF491" s="41" t="n"/>
      <c r="BG491" s="41" t="n"/>
      <c r="BH491" s="41" t="n"/>
      <c r="BI491" s="41" t="n"/>
      <c r="BJ491" s="41" t="n"/>
      <c r="BK491" s="41" t="n"/>
      <c r="BL491" s="41" t="n"/>
      <c r="BM491" s="41" t="n"/>
      <c r="BN491" s="41" t="n"/>
    </row>
    <row r="492" ht="18" customHeight="1" s="82">
      <c r="A492" s="36" t="n"/>
      <c r="B492" s="36" t="n"/>
      <c r="C492" s="36" t="n"/>
      <c r="D492" s="36" t="n"/>
      <c r="E492" s="37" t="n"/>
      <c r="F492" s="37" t="n"/>
      <c r="G492" s="37" t="n"/>
      <c r="H492" s="37" t="n"/>
      <c r="I492" s="37" t="n"/>
      <c r="J492" s="37" t="n"/>
      <c r="K492" s="37" t="n"/>
      <c r="L492" s="37" t="n"/>
      <c r="M492" s="37" t="n"/>
      <c r="N492" s="37" t="n"/>
      <c r="O492" s="37" t="n"/>
      <c r="P492" s="37" t="n"/>
      <c r="Q492" s="37" t="n"/>
      <c r="R492" s="37" t="n"/>
      <c r="S492" s="37" t="n"/>
      <c r="T492" s="37" t="n"/>
      <c r="U492" s="37" t="n"/>
      <c r="V492" s="37" t="n"/>
      <c r="W492" s="32" t="n"/>
      <c r="X492" s="37" t="n"/>
      <c r="Y492" s="37" t="n"/>
      <c r="Z492" s="37" t="n"/>
      <c r="AA492" s="37" t="n"/>
      <c r="AB492" s="37" t="n"/>
      <c r="AC492" s="37" t="n"/>
      <c r="AD492" s="32" t="n"/>
      <c r="AE492" s="37" t="n"/>
      <c r="AF492" s="38" t="n"/>
      <c r="AG492" s="67">
        <f>IF(OR(AF492="",AE492=""),"",IFERROR(AF492*INDEX(FXRates[USD per unit],MATCH(AE492,FXRates[Currency],0)),"No rate"))</f>
        <v/>
      </c>
      <c r="AH492" s="36" t="n"/>
      <c r="AI492" s="36" t="n"/>
      <c r="AJ492" s="39">
        <f>IF(A492="","",IF(COUNTIF($A$6:$A$504,A492)&gt;1,"⚠ Duplicate",""))</f>
        <v/>
      </c>
      <c r="AK492" s="38" t="n"/>
      <c r="AL492" s="40" t="n"/>
      <c r="AM492" s="40" t="n"/>
      <c r="AN492" s="40" t="n"/>
      <c r="AO492" s="40" t="n"/>
      <c r="AP492" s="40" t="n"/>
      <c r="AQ492" s="40" t="n"/>
      <c r="AR492" s="40" t="n"/>
      <c r="AS492" s="40" t="n"/>
      <c r="AT492" s="40" t="n"/>
      <c r="AU492" s="40" t="n"/>
      <c r="AV492" s="40" t="n"/>
      <c r="AW492" s="40" t="n"/>
      <c r="AX492" s="40" t="n"/>
      <c r="AY492" s="40" t="n"/>
      <c r="AZ492" s="38" t="n"/>
      <c r="BA492" s="40" t="n"/>
      <c r="BB492" s="40" t="n"/>
      <c r="BC492" s="40" t="n"/>
      <c r="BD492" s="40" t="n"/>
      <c r="BE492" s="40" t="n"/>
      <c r="BF492" s="40" t="n"/>
      <c r="BG492" s="40" t="n"/>
      <c r="BH492" s="40" t="n"/>
      <c r="BI492" s="40" t="n"/>
      <c r="BJ492" s="40" t="n"/>
      <c r="BK492" s="40" t="n"/>
      <c r="BL492" s="40" t="n"/>
      <c r="BM492" s="40" t="n"/>
      <c r="BN492" s="40" t="n"/>
    </row>
    <row r="493" ht="18" customHeight="1" s="82">
      <c r="A493" s="30" t="n"/>
      <c r="B493" s="30" t="n"/>
      <c r="C493" s="30" t="n"/>
      <c r="D493" s="30" t="n"/>
      <c r="E493" s="31" t="n"/>
      <c r="F493" s="31" t="n"/>
      <c r="G493" s="31" t="n"/>
      <c r="H493" s="31" t="n"/>
      <c r="I493" s="31" t="n"/>
      <c r="J493" s="31" t="n"/>
      <c r="K493" s="31" t="n"/>
      <c r="L493" s="31" t="n"/>
      <c r="M493" s="31" t="n"/>
      <c r="N493" s="31" t="n"/>
      <c r="O493" s="31" t="n"/>
      <c r="P493" s="31" t="n"/>
      <c r="Q493" s="31" t="n"/>
      <c r="R493" s="31" t="n"/>
      <c r="S493" s="31" t="n"/>
      <c r="T493" s="31" t="n"/>
      <c r="U493" s="31" t="n"/>
      <c r="V493" s="31" t="n"/>
      <c r="W493" s="32" t="n"/>
      <c r="X493" s="31" t="n"/>
      <c r="Y493" s="31" t="n"/>
      <c r="Z493" s="31" t="n"/>
      <c r="AA493" s="31" t="n"/>
      <c r="AB493" s="31" t="n"/>
      <c r="AC493" s="31" t="n"/>
      <c r="AD493" s="32" t="n"/>
      <c r="AE493" s="31" t="n"/>
      <c r="AF493" s="33" t="n"/>
      <c r="AG493" s="66">
        <f>IF(OR(AF493="",AE493=""),"",IFERROR(AF493*INDEX(FXRates[USD per unit],MATCH(AE493,FXRates[Currency],0)),"No rate"))</f>
        <v/>
      </c>
      <c r="AH493" s="30" t="n"/>
      <c r="AI493" s="30" t="n"/>
      <c r="AJ493" s="34">
        <f>IF(A493="","",IF(COUNTIF($A$6:$A$504,A493)&gt;1,"⚠ Duplicate",""))</f>
        <v/>
      </c>
      <c r="AK493" s="33" t="n"/>
      <c r="AL493" s="41" t="n"/>
      <c r="AM493" s="41" t="n"/>
      <c r="AN493" s="41" t="n"/>
      <c r="AO493" s="41" t="n"/>
      <c r="AP493" s="41" t="n"/>
      <c r="AQ493" s="41" t="n"/>
      <c r="AR493" s="41" t="n"/>
      <c r="AS493" s="41" t="n"/>
      <c r="AT493" s="41" t="n"/>
      <c r="AU493" s="41" t="n"/>
      <c r="AV493" s="41" t="n"/>
      <c r="AW493" s="41" t="n"/>
      <c r="AX493" s="41" t="n"/>
      <c r="AY493" s="41" t="n"/>
      <c r="AZ493" s="33" t="n"/>
      <c r="BA493" s="41" t="n"/>
      <c r="BB493" s="41" t="n"/>
      <c r="BC493" s="41" t="n"/>
      <c r="BD493" s="41" t="n"/>
      <c r="BE493" s="41" t="n"/>
      <c r="BF493" s="41" t="n"/>
      <c r="BG493" s="41" t="n"/>
      <c r="BH493" s="41" t="n"/>
      <c r="BI493" s="41" t="n"/>
      <c r="BJ493" s="41" t="n"/>
      <c r="BK493" s="41" t="n"/>
      <c r="BL493" s="41" t="n"/>
      <c r="BM493" s="41" t="n"/>
      <c r="BN493" s="41" t="n"/>
    </row>
    <row r="494" ht="18" customHeight="1" s="82">
      <c r="A494" s="36" t="n"/>
      <c r="B494" s="36" t="n"/>
      <c r="C494" s="36" t="n"/>
      <c r="D494" s="36" t="n"/>
      <c r="E494" s="37" t="n"/>
      <c r="F494" s="37" t="n"/>
      <c r="G494" s="37" t="n"/>
      <c r="H494" s="37" t="n"/>
      <c r="I494" s="37" t="n"/>
      <c r="J494" s="37" t="n"/>
      <c r="K494" s="37" t="n"/>
      <c r="L494" s="37" t="n"/>
      <c r="M494" s="37" t="n"/>
      <c r="N494" s="37" t="n"/>
      <c r="O494" s="37" t="n"/>
      <c r="P494" s="37" t="n"/>
      <c r="Q494" s="37" t="n"/>
      <c r="R494" s="37" t="n"/>
      <c r="S494" s="37" t="n"/>
      <c r="T494" s="37" t="n"/>
      <c r="U494" s="37" t="n"/>
      <c r="V494" s="37" t="n"/>
      <c r="W494" s="32" t="n"/>
      <c r="X494" s="37" t="n"/>
      <c r="Y494" s="37" t="n"/>
      <c r="Z494" s="37" t="n"/>
      <c r="AA494" s="37" t="n"/>
      <c r="AB494" s="37" t="n"/>
      <c r="AC494" s="37" t="n"/>
      <c r="AD494" s="32" t="n"/>
      <c r="AE494" s="37" t="n"/>
      <c r="AF494" s="38" t="n"/>
      <c r="AG494" s="67">
        <f>IF(OR(AF494="",AE494=""),"",IFERROR(AF494*INDEX(FXRates[USD per unit],MATCH(AE494,FXRates[Currency],0)),"No rate"))</f>
        <v/>
      </c>
      <c r="AH494" s="36" t="n"/>
      <c r="AI494" s="36" t="n"/>
      <c r="AJ494" s="39">
        <f>IF(A494="","",IF(COUNTIF($A$6:$A$504,A494)&gt;1,"⚠ Duplicate",""))</f>
        <v/>
      </c>
      <c r="AK494" s="38" t="n"/>
      <c r="AL494" s="40" t="n"/>
      <c r="AM494" s="40" t="n"/>
      <c r="AN494" s="40" t="n"/>
      <c r="AO494" s="40" t="n"/>
      <c r="AP494" s="40" t="n"/>
      <c r="AQ494" s="40" t="n"/>
      <c r="AR494" s="40" t="n"/>
      <c r="AS494" s="40" t="n"/>
      <c r="AT494" s="40" t="n"/>
      <c r="AU494" s="40" t="n"/>
      <c r="AV494" s="40" t="n"/>
      <c r="AW494" s="40" t="n"/>
      <c r="AX494" s="40" t="n"/>
      <c r="AY494" s="40" t="n"/>
      <c r="AZ494" s="38" t="n"/>
      <c r="BA494" s="40" t="n"/>
      <c r="BB494" s="40" t="n"/>
      <c r="BC494" s="40" t="n"/>
      <c r="BD494" s="40" t="n"/>
      <c r="BE494" s="40" t="n"/>
      <c r="BF494" s="40" t="n"/>
      <c r="BG494" s="40" t="n"/>
      <c r="BH494" s="40" t="n"/>
      <c r="BI494" s="40" t="n"/>
      <c r="BJ494" s="40" t="n"/>
      <c r="BK494" s="40" t="n"/>
      <c r="BL494" s="40" t="n"/>
      <c r="BM494" s="40" t="n"/>
      <c r="BN494" s="40" t="n"/>
    </row>
    <row r="495" ht="18" customHeight="1" s="82">
      <c r="A495" s="30" t="n"/>
      <c r="B495" s="30" t="n"/>
      <c r="C495" s="30" t="n"/>
      <c r="D495" s="30" t="n"/>
      <c r="E495" s="31" t="n"/>
      <c r="F495" s="31" t="n"/>
      <c r="G495" s="31" t="n"/>
      <c r="H495" s="31" t="n"/>
      <c r="I495" s="31" t="n"/>
      <c r="J495" s="31" t="n"/>
      <c r="K495" s="31" t="n"/>
      <c r="L495" s="31" t="n"/>
      <c r="M495" s="31" t="n"/>
      <c r="N495" s="31" t="n"/>
      <c r="O495" s="31" t="n"/>
      <c r="P495" s="31" t="n"/>
      <c r="Q495" s="31" t="n"/>
      <c r="R495" s="31" t="n"/>
      <c r="S495" s="31" t="n"/>
      <c r="T495" s="31" t="n"/>
      <c r="U495" s="31" t="n"/>
      <c r="V495" s="31" t="n"/>
      <c r="W495" s="32" t="n"/>
      <c r="X495" s="31" t="n"/>
      <c r="Y495" s="31" t="n"/>
      <c r="Z495" s="31" t="n"/>
      <c r="AA495" s="31" t="n"/>
      <c r="AB495" s="31" t="n"/>
      <c r="AC495" s="31" t="n"/>
      <c r="AD495" s="32" t="n"/>
      <c r="AE495" s="31" t="n"/>
      <c r="AF495" s="33" t="n"/>
      <c r="AG495" s="66">
        <f>IF(OR(AF495="",AE495=""),"",IFERROR(AF495*INDEX(FXRates[USD per unit],MATCH(AE495,FXRates[Currency],0)),"No rate"))</f>
        <v/>
      </c>
      <c r="AH495" s="30" t="n"/>
      <c r="AI495" s="30" t="n"/>
      <c r="AJ495" s="34">
        <f>IF(A495="","",IF(COUNTIF($A$6:$A$504,A495)&gt;1,"⚠ Duplicate",""))</f>
        <v/>
      </c>
      <c r="AK495" s="33" t="n"/>
      <c r="AL495" s="41" t="n"/>
      <c r="AM495" s="41" t="n"/>
      <c r="AN495" s="41" t="n"/>
      <c r="AO495" s="41" t="n"/>
      <c r="AP495" s="41" t="n"/>
      <c r="AQ495" s="41" t="n"/>
      <c r="AR495" s="41" t="n"/>
      <c r="AS495" s="41" t="n"/>
      <c r="AT495" s="41" t="n"/>
      <c r="AU495" s="41" t="n"/>
      <c r="AV495" s="41" t="n"/>
      <c r="AW495" s="41" t="n"/>
      <c r="AX495" s="41" t="n"/>
      <c r="AY495" s="41" t="n"/>
      <c r="AZ495" s="33" t="n"/>
      <c r="BA495" s="41" t="n"/>
      <c r="BB495" s="41" t="n"/>
      <c r="BC495" s="41" t="n"/>
      <c r="BD495" s="41" t="n"/>
      <c r="BE495" s="41" t="n"/>
      <c r="BF495" s="41" t="n"/>
      <c r="BG495" s="41" t="n"/>
      <c r="BH495" s="41" t="n"/>
      <c r="BI495" s="41" t="n"/>
      <c r="BJ495" s="41" t="n"/>
      <c r="BK495" s="41" t="n"/>
      <c r="BL495" s="41" t="n"/>
      <c r="BM495" s="41" t="n"/>
      <c r="BN495" s="41" t="n"/>
    </row>
    <row r="496" ht="18" customHeight="1" s="82">
      <c r="A496" s="36" t="n"/>
      <c r="B496" s="36" t="n"/>
      <c r="C496" s="36" t="n"/>
      <c r="D496" s="36" t="n"/>
      <c r="E496" s="37" t="n"/>
      <c r="F496" s="37" t="n"/>
      <c r="G496" s="37" t="n"/>
      <c r="H496" s="37" t="n"/>
      <c r="I496" s="37" t="n"/>
      <c r="J496" s="37" t="n"/>
      <c r="K496" s="37" t="n"/>
      <c r="L496" s="37" t="n"/>
      <c r="M496" s="37" t="n"/>
      <c r="N496" s="37" t="n"/>
      <c r="O496" s="37" t="n"/>
      <c r="P496" s="37" t="n"/>
      <c r="Q496" s="37" t="n"/>
      <c r="R496" s="37" t="n"/>
      <c r="S496" s="37" t="n"/>
      <c r="T496" s="37" t="n"/>
      <c r="U496" s="37" t="n"/>
      <c r="V496" s="37" t="n"/>
      <c r="W496" s="32" t="n"/>
      <c r="X496" s="37" t="n"/>
      <c r="Y496" s="37" t="n"/>
      <c r="Z496" s="37" t="n"/>
      <c r="AA496" s="37" t="n"/>
      <c r="AB496" s="37" t="n"/>
      <c r="AC496" s="37" t="n"/>
      <c r="AD496" s="32" t="n"/>
      <c r="AE496" s="37" t="n"/>
      <c r="AF496" s="38" t="n"/>
      <c r="AG496" s="67">
        <f>IF(OR(AF496="",AE496=""),"",IFERROR(AF496*INDEX(FXRates[USD per unit],MATCH(AE496,FXRates[Currency],0)),"No rate"))</f>
        <v/>
      </c>
      <c r="AH496" s="36" t="n"/>
      <c r="AI496" s="36" t="n"/>
      <c r="AJ496" s="39">
        <f>IF(A496="","",IF(COUNTIF($A$6:$A$504,A496)&gt;1,"⚠ Duplicate",""))</f>
        <v/>
      </c>
      <c r="AK496" s="38" t="n"/>
      <c r="AL496" s="40" t="n"/>
      <c r="AM496" s="40" t="n"/>
      <c r="AN496" s="40" t="n"/>
      <c r="AO496" s="40" t="n"/>
      <c r="AP496" s="40" t="n"/>
      <c r="AQ496" s="40" t="n"/>
      <c r="AR496" s="40" t="n"/>
      <c r="AS496" s="40" t="n"/>
      <c r="AT496" s="40" t="n"/>
      <c r="AU496" s="40" t="n"/>
      <c r="AV496" s="40" t="n"/>
      <c r="AW496" s="40" t="n"/>
      <c r="AX496" s="40" t="n"/>
      <c r="AY496" s="40" t="n"/>
      <c r="AZ496" s="38" t="n"/>
      <c r="BA496" s="40" t="n"/>
      <c r="BB496" s="40" t="n"/>
      <c r="BC496" s="40" t="n"/>
      <c r="BD496" s="40" t="n"/>
      <c r="BE496" s="40" t="n"/>
      <c r="BF496" s="40" t="n"/>
      <c r="BG496" s="40" t="n"/>
      <c r="BH496" s="40" t="n"/>
      <c r="BI496" s="40" t="n"/>
      <c r="BJ496" s="40" t="n"/>
      <c r="BK496" s="40" t="n"/>
      <c r="BL496" s="40" t="n"/>
      <c r="BM496" s="40" t="n"/>
      <c r="BN496" s="40" t="n"/>
    </row>
    <row r="497" ht="18" customHeight="1" s="82">
      <c r="A497" s="30" t="n"/>
      <c r="B497" s="30" t="n"/>
      <c r="C497" s="30" t="n"/>
      <c r="D497" s="30" t="n"/>
      <c r="E497" s="31" t="n"/>
      <c r="F497" s="31" t="n"/>
      <c r="G497" s="31" t="n"/>
      <c r="H497" s="31" t="n"/>
      <c r="I497" s="31" t="n"/>
      <c r="J497" s="31" t="n"/>
      <c r="K497" s="31" t="n"/>
      <c r="L497" s="31" t="n"/>
      <c r="M497" s="31" t="n"/>
      <c r="N497" s="31" t="n"/>
      <c r="O497" s="31" t="n"/>
      <c r="P497" s="31" t="n"/>
      <c r="Q497" s="31" t="n"/>
      <c r="R497" s="31" t="n"/>
      <c r="S497" s="31" t="n"/>
      <c r="T497" s="31" t="n"/>
      <c r="U497" s="31" t="n"/>
      <c r="V497" s="31" t="n"/>
      <c r="W497" s="32" t="n"/>
      <c r="X497" s="31" t="n"/>
      <c r="Y497" s="31" t="n"/>
      <c r="Z497" s="31" t="n"/>
      <c r="AA497" s="31" t="n"/>
      <c r="AB497" s="31" t="n"/>
      <c r="AC497" s="31" t="n"/>
      <c r="AD497" s="32" t="n"/>
      <c r="AE497" s="31" t="n"/>
      <c r="AF497" s="33" t="n"/>
      <c r="AG497" s="66">
        <f>IF(OR(AF497="",AE497=""),"",IFERROR(AF497*INDEX(FXRates[USD per unit],MATCH(AE497,FXRates[Currency],0)),"No rate"))</f>
        <v/>
      </c>
      <c r="AH497" s="30" t="n"/>
      <c r="AI497" s="30" t="n"/>
      <c r="AJ497" s="34">
        <f>IF(A497="","",IF(COUNTIF($A$6:$A$504,A497)&gt;1,"⚠ Duplicate",""))</f>
        <v/>
      </c>
      <c r="AK497" s="33" t="n"/>
      <c r="AL497" s="41" t="n"/>
      <c r="AM497" s="41" t="n"/>
      <c r="AN497" s="41" t="n"/>
      <c r="AO497" s="41" t="n"/>
      <c r="AP497" s="41" t="n"/>
      <c r="AQ497" s="41" t="n"/>
      <c r="AR497" s="41" t="n"/>
      <c r="AS497" s="41" t="n"/>
      <c r="AT497" s="41" t="n"/>
      <c r="AU497" s="41" t="n"/>
      <c r="AV497" s="41" t="n"/>
      <c r="AW497" s="41" t="n"/>
      <c r="AX497" s="41" t="n"/>
      <c r="AY497" s="41" t="n"/>
      <c r="AZ497" s="33" t="n"/>
      <c r="BA497" s="41" t="n"/>
      <c r="BB497" s="41" t="n"/>
      <c r="BC497" s="41" t="n"/>
      <c r="BD497" s="41" t="n"/>
      <c r="BE497" s="41" t="n"/>
      <c r="BF497" s="41" t="n"/>
      <c r="BG497" s="41" t="n"/>
      <c r="BH497" s="41" t="n"/>
      <c r="BI497" s="41" t="n"/>
      <c r="BJ497" s="41" t="n"/>
      <c r="BK497" s="41" t="n"/>
      <c r="BL497" s="41" t="n"/>
      <c r="BM497" s="41" t="n"/>
      <c r="BN497" s="41" t="n"/>
    </row>
    <row r="498" ht="18" customHeight="1" s="82">
      <c r="A498" s="36" t="n"/>
      <c r="B498" s="36" t="n"/>
      <c r="C498" s="36" t="n"/>
      <c r="D498" s="36" t="n"/>
      <c r="E498" s="37" t="n"/>
      <c r="F498" s="37" t="n"/>
      <c r="G498" s="37" t="n"/>
      <c r="H498" s="37" t="n"/>
      <c r="I498" s="37" t="n"/>
      <c r="J498" s="37" t="n"/>
      <c r="K498" s="37" t="n"/>
      <c r="L498" s="37" t="n"/>
      <c r="M498" s="37" t="n"/>
      <c r="N498" s="37" t="n"/>
      <c r="O498" s="37" t="n"/>
      <c r="P498" s="37" t="n"/>
      <c r="Q498" s="37" t="n"/>
      <c r="R498" s="37" t="n"/>
      <c r="S498" s="37" t="n"/>
      <c r="T498" s="37" t="n"/>
      <c r="U498" s="37" t="n"/>
      <c r="V498" s="37" t="n"/>
      <c r="W498" s="32" t="n"/>
      <c r="X498" s="37" t="n"/>
      <c r="Y498" s="37" t="n"/>
      <c r="Z498" s="37" t="n"/>
      <c r="AA498" s="37" t="n"/>
      <c r="AB498" s="37" t="n"/>
      <c r="AC498" s="37" t="n"/>
      <c r="AD498" s="32" t="n"/>
      <c r="AE498" s="37" t="n"/>
      <c r="AF498" s="38" t="n"/>
      <c r="AG498" s="67">
        <f>IF(OR(AF498="",AE498=""),"",IFERROR(AF498*INDEX(FXRates[USD per unit],MATCH(AE498,FXRates[Currency],0)),"No rate"))</f>
        <v/>
      </c>
      <c r="AH498" s="36" t="n"/>
      <c r="AI498" s="36" t="n"/>
      <c r="AJ498" s="39">
        <f>IF(A498="","",IF(COUNTIF($A$6:$A$504,A498)&gt;1,"⚠ Duplicate",""))</f>
        <v/>
      </c>
      <c r="AK498" s="38" t="n"/>
      <c r="AL498" s="40" t="n"/>
      <c r="AM498" s="40" t="n"/>
      <c r="AN498" s="40" t="n"/>
      <c r="AO498" s="40" t="n"/>
      <c r="AP498" s="40" t="n"/>
      <c r="AQ498" s="40" t="n"/>
      <c r="AR498" s="40" t="n"/>
      <c r="AS498" s="40" t="n"/>
      <c r="AT498" s="40" t="n"/>
      <c r="AU498" s="40" t="n"/>
      <c r="AV498" s="40" t="n"/>
      <c r="AW498" s="40" t="n"/>
      <c r="AX498" s="40" t="n"/>
      <c r="AY498" s="40" t="n"/>
      <c r="AZ498" s="38" t="n"/>
      <c r="BA498" s="40" t="n"/>
      <c r="BB498" s="40" t="n"/>
      <c r="BC498" s="40" t="n"/>
      <c r="BD498" s="40" t="n"/>
      <c r="BE498" s="40" t="n"/>
      <c r="BF498" s="40" t="n"/>
      <c r="BG498" s="40" t="n"/>
      <c r="BH498" s="40" t="n"/>
      <c r="BI498" s="40" t="n"/>
      <c r="BJ498" s="40" t="n"/>
      <c r="BK498" s="40" t="n"/>
      <c r="BL498" s="40" t="n"/>
      <c r="BM498" s="40" t="n"/>
      <c r="BN498" s="40" t="n"/>
    </row>
    <row r="499" ht="18" customHeight="1" s="82">
      <c r="A499" s="30" t="n"/>
      <c r="B499" s="30" t="n"/>
      <c r="C499" s="30" t="n"/>
      <c r="D499" s="30" t="n"/>
      <c r="E499" s="31" t="n"/>
      <c r="F499" s="31" t="n"/>
      <c r="G499" s="31" t="n"/>
      <c r="H499" s="31" t="n"/>
      <c r="I499" s="31" t="n"/>
      <c r="J499" s="31" t="n"/>
      <c r="K499" s="31" t="n"/>
      <c r="L499" s="31" t="n"/>
      <c r="M499" s="31" t="n"/>
      <c r="N499" s="31" t="n"/>
      <c r="O499" s="31" t="n"/>
      <c r="P499" s="31" t="n"/>
      <c r="Q499" s="31" t="n"/>
      <c r="R499" s="31" t="n"/>
      <c r="S499" s="31" t="n"/>
      <c r="T499" s="31" t="n"/>
      <c r="U499" s="31" t="n"/>
      <c r="V499" s="31" t="n"/>
      <c r="W499" s="32" t="n"/>
      <c r="X499" s="31" t="n"/>
      <c r="Y499" s="31" t="n"/>
      <c r="Z499" s="31" t="n"/>
      <c r="AA499" s="31" t="n"/>
      <c r="AB499" s="31" t="n"/>
      <c r="AC499" s="31" t="n"/>
      <c r="AD499" s="32" t="n"/>
      <c r="AE499" s="31" t="n"/>
      <c r="AF499" s="33" t="n"/>
      <c r="AG499" s="66">
        <f>IF(OR(AF499="",AE499=""),"",IFERROR(AF499*INDEX(FXRates[USD per unit],MATCH(AE499,FXRates[Currency],0)),"No rate"))</f>
        <v/>
      </c>
      <c r="AH499" s="30" t="n"/>
      <c r="AI499" s="30" t="n"/>
      <c r="AJ499" s="34">
        <f>IF(A499="","",IF(COUNTIF($A$6:$A$504,A499)&gt;1,"⚠ Duplicate",""))</f>
        <v/>
      </c>
      <c r="AK499" s="33" t="n"/>
      <c r="AL499" s="41" t="n"/>
      <c r="AM499" s="41" t="n"/>
      <c r="AN499" s="41" t="n"/>
      <c r="AO499" s="41" t="n"/>
      <c r="AP499" s="41" t="n"/>
      <c r="AQ499" s="41" t="n"/>
      <c r="AR499" s="41" t="n"/>
      <c r="AS499" s="41" t="n"/>
      <c r="AT499" s="41" t="n"/>
      <c r="AU499" s="41" t="n"/>
      <c r="AV499" s="41" t="n"/>
      <c r="AW499" s="41" t="n"/>
      <c r="AX499" s="41" t="n"/>
      <c r="AY499" s="41" t="n"/>
      <c r="AZ499" s="33" t="n"/>
      <c r="BA499" s="41" t="n"/>
      <c r="BB499" s="41" t="n"/>
      <c r="BC499" s="41" t="n"/>
      <c r="BD499" s="41" t="n"/>
      <c r="BE499" s="41" t="n"/>
      <c r="BF499" s="41" t="n"/>
      <c r="BG499" s="41" t="n"/>
      <c r="BH499" s="41" t="n"/>
      <c r="BI499" s="41" t="n"/>
      <c r="BJ499" s="41" t="n"/>
      <c r="BK499" s="41" t="n"/>
      <c r="BL499" s="41" t="n"/>
      <c r="BM499" s="41" t="n"/>
      <c r="BN499" s="41" t="n"/>
    </row>
    <row r="500" ht="18" customHeight="1" s="82">
      <c r="A500" s="36" t="n"/>
      <c r="B500" s="36" t="n"/>
      <c r="C500" s="36" t="n"/>
      <c r="D500" s="36" t="n"/>
      <c r="E500" s="37" t="n"/>
      <c r="F500" s="37" t="n"/>
      <c r="G500" s="37" t="n"/>
      <c r="H500" s="37" t="n"/>
      <c r="I500" s="37" t="n"/>
      <c r="J500" s="37" t="n"/>
      <c r="K500" s="37" t="n"/>
      <c r="L500" s="37" t="n"/>
      <c r="M500" s="37" t="n"/>
      <c r="N500" s="37" t="n"/>
      <c r="O500" s="37" t="n"/>
      <c r="P500" s="37" t="n"/>
      <c r="Q500" s="37" t="n"/>
      <c r="R500" s="37" t="n"/>
      <c r="S500" s="37" t="n"/>
      <c r="T500" s="37" t="n"/>
      <c r="U500" s="37" t="n"/>
      <c r="V500" s="37" t="n"/>
      <c r="W500" s="32" t="n"/>
      <c r="X500" s="37" t="n"/>
      <c r="Y500" s="37" t="n"/>
      <c r="Z500" s="37" t="n"/>
      <c r="AA500" s="37" t="n"/>
      <c r="AB500" s="37" t="n"/>
      <c r="AC500" s="37" t="n"/>
      <c r="AD500" s="32" t="n"/>
      <c r="AE500" s="37" t="n"/>
      <c r="AF500" s="38" t="n"/>
      <c r="AG500" s="67">
        <f>IF(OR(AF500="",AE500=""),"",IFERROR(AF500*INDEX(FXRates[USD per unit],MATCH(AE500,FXRates[Currency],0)),"No rate"))</f>
        <v/>
      </c>
      <c r="AH500" s="36" t="n"/>
      <c r="AI500" s="36" t="n"/>
      <c r="AJ500" s="39">
        <f>IF(A500="","",IF(COUNTIF($A$6:$A$504,A500)&gt;1,"⚠ Duplicate",""))</f>
        <v/>
      </c>
      <c r="AK500" s="38" t="n"/>
      <c r="AL500" s="40" t="n"/>
      <c r="AM500" s="40" t="n"/>
      <c r="AN500" s="40" t="n"/>
      <c r="AO500" s="40" t="n"/>
      <c r="AP500" s="40" t="n"/>
      <c r="AQ500" s="40" t="n"/>
      <c r="AR500" s="40" t="n"/>
      <c r="AS500" s="40" t="n"/>
      <c r="AT500" s="40" t="n"/>
      <c r="AU500" s="40" t="n"/>
      <c r="AV500" s="40" t="n"/>
      <c r="AW500" s="40" t="n"/>
      <c r="AX500" s="40" t="n"/>
      <c r="AY500" s="40" t="n"/>
      <c r="AZ500" s="38" t="n"/>
      <c r="BA500" s="40" t="n"/>
      <c r="BB500" s="40" t="n"/>
      <c r="BC500" s="40" t="n"/>
      <c r="BD500" s="40" t="n"/>
      <c r="BE500" s="40" t="n"/>
      <c r="BF500" s="40" t="n"/>
      <c r="BG500" s="40" t="n"/>
      <c r="BH500" s="40" t="n"/>
      <c r="BI500" s="40" t="n"/>
      <c r="BJ500" s="40" t="n"/>
      <c r="BK500" s="40" t="n"/>
      <c r="BL500" s="40" t="n"/>
      <c r="BM500" s="40" t="n"/>
      <c r="BN500" s="40" t="n"/>
    </row>
    <row r="501" ht="18" customHeight="1" s="82">
      <c r="A501" s="30" t="n"/>
      <c r="B501" s="30" t="n"/>
      <c r="C501" s="30" t="n"/>
      <c r="D501" s="30" t="n"/>
      <c r="E501" s="31" t="n"/>
      <c r="F501" s="31" t="n"/>
      <c r="G501" s="31" t="n"/>
      <c r="H501" s="31" t="n"/>
      <c r="I501" s="31" t="n"/>
      <c r="J501" s="31" t="n"/>
      <c r="K501" s="31" t="n"/>
      <c r="L501" s="31" t="n"/>
      <c r="M501" s="31" t="n"/>
      <c r="N501" s="31" t="n"/>
      <c r="O501" s="31" t="n"/>
      <c r="P501" s="31" t="n"/>
      <c r="Q501" s="31" t="n"/>
      <c r="R501" s="31" t="n"/>
      <c r="S501" s="31" t="n"/>
      <c r="T501" s="31" t="n"/>
      <c r="U501" s="31" t="n"/>
      <c r="V501" s="31" t="n"/>
      <c r="W501" s="32" t="n"/>
      <c r="X501" s="31" t="n"/>
      <c r="Y501" s="31" t="n"/>
      <c r="Z501" s="31" t="n"/>
      <c r="AA501" s="31" t="n"/>
      <c r="AB501" s="31" t="n"/>
      <c r="AC501" s="31" t="n"/>
      <c r="AD501" s="32" t="n"/>
      <c r="AE501" s="31" t="n"/>
      <c r="AF501" s="33" t="n"/>
      <c r="AG501" s="66">
        <f>IF(OR(AF501="",AE501=""),"",IFERROR(AF501*INDEX(FXRates[USD per unit],MATCH(AE501,FXRates[Currency],0)),"No rate"))</f>
        <v/>
      </c>
      <c r="AH501" s="30" t="n"/>
      <c r="AI501" s="30" t="n"/>
      <c r="AJ501" s="34">
        <f>IF(A501="","",IF(COUNTIF($A$6:$A$504,A501)&gt;1,"⚠ Duplicate",""))</f>
        <v/>
      </c>
      <c r="AK501" s="33" t="n"/>
      <c r="AL501" s="41" t="n"/>
      <c r="AM501" s="41" t="n"/>
      <c r="AN501" s="41" t="n"/>
      <c r="AO501" s="41" t="n"/>
      <c r="AP501" s="41" t="n"/>
      <c r="AQ501" s="41" t="n"/>
      <c r="AR501" s="41" t="n"/>
      <c r="AS501" s="41" t="n"/>
      <c r="AT501" s="41" t="n"/>
      <c r="AU501" s="41" t="n"/>
      <c r="AV501" s="41" t="n"/>
      <c r="AW501" s="41" t="n"/>
      <c r="AX501" s="41" t="n"/>
      <c r="AY501" s="41" t="n"/>
      <c r="AZ501" s="33" t="n"/>
      <c r="BA501" s="41" t="n"/>
      <c r="BB501" s="41" t="n"/>
      <c r="BC501" s="41" t="n"/>
      <c r="BD501" s="41" t="n"/>
      <c r="BE501" s="41" t="n"/>
      <c r="BF501" s="41" t="n"/>
      <c r="BG501" s="41" t="n"/>
      <c r="BH501" s="41" t="n"/>
      <c r="BI501" s="41" t="n"/>
      <c r="BJ501" s="41" t="n"/>
      <c r="BK501" s="41" t="n"/>
      <c r="BL501" s="41" t="n"/>
      <c r="BM501" s="41" t="n"/>
      <c r="BN501" s="41" t="n"/>
    </row>
    <row r="502" ht="18" customHeight="1" s="82">
      <c r="A502" s="36" t="n"/>
      <c r="B502" s="36" t="n"/>
      <c r="C502" s="36" t="n"/>
      <c r="D502" s="36" t="n"/>
      <c r="E502" s="37" t="n"/>
      <c r="F502" s="37" t="n"/>
      <c r="G502" s="37" t="n"/>
      <c r="H502" s="37" t="n"/>
      <c r="I502" s="37" t="n"/>
      <c r="J502" s="37" t="n"/>
      <c r="K502" s="37" t="n"/>
      <c r="L502" s="37" t="n"/>
      <c r="M502" s="37" t="n"/>
      <c r="N502" s="37" t="n"/>
      <c r="O502" s="37" t="n"/>
      <c r="P502" s="37" t="n"/>
      <c r="Q502" s="37" t="n"/>
      <c r="R502" s="37" t="n"/>
      <c r="S502" s="37" t="n"/>
      <c r="T502" s="37" t="n"/>
      <c r="U502" s="37" t="n"/>
      <c r="V502" s="37" t="n"/>
      <c r="W502" s="32" t="n"/>
      <c r="X502" s="37" t="n"/>
      <c r="Y502" s="37" t="n"/>
      <c r="Z502" s="37" t="n"/>
      <c r="AA502" s="37" t="n"/>
      <c r="AB502" s="37" t="n"/>
      <c r="AC502" s="37" t="n"/>
      <c r="AD502" s="32" t="n"/>
      <c r="AE502" s="37" t="n"/>
      <c r="AF502" s="38" t="n"/>
      <c r="AG502" s="67">
        <f>IF(OR(AF502="",AE502=""),"",IFERROR(AF502*INDEX(FXRates[USD per unit],MATCH(AE502,FXRates[Currency],0)),"No rate"))</f>
        <v/>
      </c>
      <c r="AH502" s="36" t="n"/>
      <c r="AI502" s="36" t="n"/>
      <c r="AJ502" s="39">
        <f>IF(A502="","",IF(COUNTIF($A$6:$A$504,A502)&gt;1,"⚠ Duplicate",""))</f>
        <v/>
      </c>
      <c r="AK502" s="38" t="n"/>
      <c r="AL502" s="40" t="n"/>
      <c r="AM502" s="40" t="n"/>
      <c r="AN502" s="40" t="n"/>
      <c r="AO502" s="40" t="n"/>
      <c r="AP502" s="40" t="n"/>
      <c r="AQ502" s="40" t="n"/>
      <c r="AR502" s="40" t="n"/>
      <c r="AS502" s="40" t="n"/>
      <c r="AT502" s="40" t="n"/>
      <c r="AU502" s="40" t="n"/>
      <c r="AV502" s="40" t="n"/>
      <c r="AW502" s="40" t="n"/>
      <c r="AX502" s="40" t="n"/>
      <c r="AY502" s="40" t="n"/>
      <c r="AZ502" s="38" t="n"/>
      <c r="BA502" s="40" t="n"/>
      <c r="BB502" s="40" t="n"/>
      <c r="BC502" s="40" t="n"/>
      <c r="BD502" s="40" t="n"/>
      <c r="BE502" s="40" t="n"/>
      <c r="BF502" s="40" t="n"/>
      <c r="BG502" s="40" t="n"/>
      <c r="BH502" s="40" t="n"/>
      <c r="BI502" s="40" t="n"/>
      <c r="BJ502" s="40" t="n"/>
      <c r="BK502" s="40" t="n"/>
      <c r="BL502" s="40" t="n"/>
      <c r="BM502" s="40" t="n"/>
      <c r="BN502" s="40" t="n"/>
    </row>
    <row r="503" ht="18" customHeight="1" s="82">
      <c r="A503" s="30" t="n"/>
      <c r="B503" s="30" t="n"/>
      <c r="C503" s="30" t="n"/>
      <c r="D503" s="30" t="n"/>
      <c r="E503" s="31" t="n"/>
      <c r="F503" s="31" t="n"/>
      <c r="G503" s="31" t="n"/>
      <c r="H503" s="31" t="n"/>
      <c r="I503" s="31" t="n"/>
      <c r="J503" s="31" t="n"/>
      <c r="K503" s="31" t="n"/>
      <c r="L503" s="31" t="n"/>
      <c r="M503" s="31" t="n"/>
      <c r="N503" s="31" t="n"/>
      <c r="O503" s="31" t="n"/>
      <c r="P503" s="31" t="n"/>
      <c r="Q503" s="31" t="n"/>
      <c r="R503" s="31" t="n"/>
      <c r="S503" s="31" t="n"/>
      <c r="T503" s="31" t="n"/>
      <c r="U503" s="31" t="n"/>
      <c r="V503" s="31" t="n"/>
      <c r="W503" s="32" t="n"/>
      <c r="X503" s="31" t="n"/>
      <c r="Y503" s="31" t="n"/>
      <c r="Z503" s="31" t="n"/>
      <c r="AA503" s="31" t="n"/>
      <c r="AB503" s="31" t="n"/>
      <c r="AC503" s="31" t="n"/>
      <c r="AD503" s="32" t="n"/>
      <c r="AE503" s="31" t="n"/>
      <c r="AF503" s="33" t="n"/>
      <c r="AG503" s="66">
        <f>IF(OR(AF503="",AE503=""),"",IFERROR(AF503*INDEX(FXRates[USD per unit],MATCH(AE503,FXRates[Currency],0)),"No rate"))</f>
        <v/>
      </c>
      <c r="AH503" s="30" t="n"/>
      <c r="AI503" s="30" t="n"/>
      <c r="AJ503" s="34">
        <f>IF(A503="","",IF(COUNTIF($A$6:$A$504,A503)&gt;1,"⚠ Duplicate",""))</f>
        <v/>
      </c>
      <c r="AK503" s="33" t="n"/>
      <c r="AL503" s="41" t="n"/>
      <c r="AM503" s="41" t="n"/>
      <c r="AN503" s="41" t="n"/>
      <c r="AO503" s="41" t="n"/>
      <c r="AP503" s="41" t="n"/>
      <c r="AQ503" s="41" t="n"/>
      <c r="AR503" s="41" t="n"/>
      <c r="AS503" s="41" t="n"/>
      <c r="AT503" s="41" t="n"/>
      <c r="AU503" s="41" t="n"/>
      <c r="AV503" s="41" t="n"/>
      <c r="AW503" s="41" t="n"/>
      <c r="AX503" s="41" t="n"/>
      <c r="AY503" s="41" t="n"/>
      <c r="AZ503" s="33" t="n"/>
      <c r="BA503" s="41" t="n"/>
      <c r="BB503" s="41" t="n"/>
      <c r="BC503" s="41" t="n"/>
      <c r="BD503" s="41" t="n"/>
      <c r="BE503" s="41" t="n"/>
      <c r="BF503" s="41" t="n"/>
      <c r="BG503" s="41" t="n"/>
      <c r="BH503" s="41" t="n"/>
      <c r="BI503" s="41" t="n"/>
      <c r="BJ503" s="41" t="n"/>
      <c r="BK503" s="41" t="n"/>
      <c r="BL503" s="41" t="n"/>
      <c r="BM503" s="41" t="n"/>
      <c r="BN503" s="41" t="n"/>
    </row>
    <row r="504" ht="18" customHeight="1" s="82">
      <c r="A504" s="36" t="n"/>
      <c r="B504" s="36" t="n"/>
      <c r="C504" s="36" t="n"/>
      <c r="D504" s="36" t="n"/>
      <c r="E504" s="37" t="n"/>
      <c r="F504" s="37" t="n"/>
      <c r="G504" s="37" t="n"/>
      <c r="H504" s="37" t="n"/>
      <c r="I504" s="37" t="n"/>
      <c r="J504" s="37" t="n"/>
      <c r="K504" s="37" t="n"/>
      <c r="L504" s="37" t="n"/>
      <c r="M504" s="37" t="n"/>
      <c r="N504" s="37" t="n"/>
      <c r="O504" s="37" t="n"/>
      <c r="P504" s="37" t="n"/>
      <c r="Q504" s="37" t="n"/>
      <c r="R504" s="37" t="n"/>
      <c r="S504" s="37" t="n"/>
      <c r="T504" s="37" t="n"/>
      <c r="U504" s="37" t="n"/>
      <c r="V504" s="37" t="n"/>
      <c r="W504" s="32" t="n"/>
      <c r="X504" s="37" t="n"/>
      <c r="Y504" s="37" t="n"/>
      <c r="Z504" s="37" t="n"/>
      <c r="AA504" s="37" t="n"/>
      <c r="AB504" s="37" t="n"/>
      <c r="AC504" s="37" t="n"/>
      <c r="AD504" s="32" t="n"/>
      <c r="AE504" s="37" t="n"/>
      <c r="AF504" s="38" t="n"/>
      <c r="AG504" s="67">
        <f>IF(OR(AF504="",AE504=""),"",IFERROR(AF504*INDEX(FXRates[USD per unit],MATCH(AE504,FXRates[Currency],0)),"No rate"))</f>
        <v/>
      </c>
      <c r="AH504" s="36" t="n"/>
      <c r="AI504" s="36" t="n"/>
      <c r="AJ504" s="39">
        <f>IF(A504="","",IF(COUNTIF($A$6:$A$504,A504)&gt;1,"⚠ Duplicate",""))</f>
        <v/>
      </c>
      <c r="AK504" s="38" t="n"/>
      <c r="AL504" s="40" t="n"/>
      <c r="AM504" s="40" t="n"/>
      <c r="AN504" s="40" t="n"/>
      <c r="AO504" s="40" t="n"/>
      <c r="AP504" s="40" t="n"/>
      <c r="AQ504" s="40" t="n"/>
      <c r="AR504" s="40" t="n"/>
      <c r="AS504" s="40" t="n"/>
      <c r="AT504" s="40" t="n"/>
      <c r="AU504" s="40" t="n"/>
      <c r="AV504" s="40" t="n"/>
      <c r="AW504" s="40" t="n"/>
      <c r="AX504" s="40" t="n"/>
      <c r="AY504" s="40" t="n"/>
      <c r="AZ504" s="38" t="n"/>
      <c r="BA504" s="40" t="n"/>
      <c r="BB504" s="40" t="n"/>
      <c r="BC504" s="40" t="n"/>
      <c r="BD504" s="40" t="n"/>
      <c r="BE504" s="40" t="n"/>
      <c r="BF504" s="40" t="n"/>
      <c r="BG504" s="40" t="n"/>
      <c r="BH504" s="40" t="n"/>
      <c r="BI504" s="40" t="n"/>
      <c r="BJ504" s="40" t="n"/>
      <c r="BK504" s="40" t="n"/>
      <c r="BL504" s="40" t="n"/>
      <c r="BM504" s="40" t="n"/>
      <c r="BN504" s="40" t="n"/>
    </row>
  </sheetData>
  <mergeCells count="20">
    <mergeCell ref="O3:P3"/>
    <mergeCell ref="A2:AH2"/>
    <mergeCell ref="X4:AA4"/>
    <mergeCell ref="A3:F3"/>
    <mergeCell ref="AB4:AC4"/>
    <mergeCell ref="AK1:AY3"/>
    <mergeCell ref="AD4"/>
    <mergeCell ref="W4"/>
    <mergeCell ref="Q3:W3"/>
    <mergeCell ref="G3:H3"/>
    <mergeCell ref="I3:J3"/>
    <mergeCell ref="M3:N3"/>
    <mergeCell ref="AH3:AJ3"/>
    <mergeCell ref="AZ1:BN3"/>
    <mergeCell ref="Q4:T4"/>
    <mergeCell ref="X3:AD3"/>
    <mergeCell ref="AI2:AJ2"/>
    <mergeCell ref="AE3:AG3"/>
    <mergeCell ref="K3:L3"/>
    <mergeCell ref="U4:V4"/>
  </mergeCells>
  <conditionalFormatting sqref="A6:BN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BA36:BN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:BN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:BN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:BN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:BN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0">
    <dataValidation sqref="AE6:AE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AD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AF6:AF504" showDropDown="0" showInputMessage="0" showErrorMessage="1" allowBlank="1" errorTitle="Invalid sold value" error="Enter a number only, in millions. Type 22.9 — not 22.9M." promptTitle="Sold value (M)" prompt="Numeric value in millions. Do not type the M suffix." type="decimal" operator="greaterThanOrEqual">
      <formula1>0</formula1>
      <formula2>0</formula2>
    </dataValidation>
    <dataValidation sqref="AL6:AY504 BA6:BN504" showDropDown="0" showInputMessage="0" showErrorMessage="1" allowBlank="1" errorTitle="Invalid manhour %" error="Enter a percentage between 0% and 100%. Type 5% (or 0.05), not 5." promptTitle="Manhour cost" prompt="Share of project cost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AK6:AK504" showDropDown="0" showInputMessage="0" showErrorMessage="1" allowBlank="1" errorTitle="Invalid project cost" error="Enter the cost in millions, in the project currency. Type 12.5, not 12.5M." promptTitle="Project cost (M)" prompt="The presales estimated project cost, in millions of the project currency." type="decimal" operator="greaterThanOrEqual">
      <formula1>0</formula1>
    </dataValidation>
    <dataValidation sqref="AZ6:AZ504" showDropDown="0" showInputMessage="0" showErrorMessage="1" allowBlank="1" errorTitle="Invalid project cost" error="Enter the cost in millions, in the project currency. Type 12.5, not 12.5M." promptTitle="Project cost (M)" prompt="The final actual project cost, in millions of the project currency." type="decimal" operator="greaterThanOrEqual">
      <formula1>0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4"/>
  <sheetViews>
    <sheetView showGridLines="0" tabSelected="1" topLeftCell="A26" zoomScale="70" zoomScaleNormal="70" workbookViewId="0">
      <selection activeCell="AB51" sqref="AB51"/>
    </sheetView>
  </sheetViews>
  <sheetFormatPr baseColWidth="8" defaultColWidth="8.6640625" defaultRowHeight="14.4"/>
  <cols>
    <col width="5" customWidth="1" style="82" min="1" max="1"/>
    <col width="13" customWidth="1" style="82" min="2" max="2"/>
    <col width="19.88671875" customWidth="1" style="82" min="3" max="3"/>
    <col width="15.33203125" customWidth="1" style="82" min="4" max="4"/>
    <col width="9.44140625" customWidth="1" style="82" min="5" max="5"/>
    <col width="17.33203125" customWidth="1" style="82" min="6" max="6"/>
    <col width="9.44140625" customWidth="1" style="82" min="7" max="7"/>
    <col width="7.44140625" customWidth="1" style="82" min="8" max="8"/>
    <col width="8" customWidth="1" style="82" min="9" max="9"/>
    <col width="6.6640625" customWidth="1" style="82" min="10" max="10"/>
    <col width="9.44140625" customWidth="1" style="82" min="11" max="11"/>
    <col width="7.88671875" customWidth="1" style="82" min="12" max="13"/>
    <col width="5.6640625" customWidth="1" style="82" min="14" max="14"/>
    <col width="5.44140625" customWidth="1" style="82" min="15" max="18"/>
    <col width="5.6640625" customWidth="1" style="82" min="19" max="19"/>
    <col width="6.109375" customWidth="1" style="82" min="20" max="20"/>
    <col width="5.44140625" customWidth="1" style="82" min="21" max="21"/>
    <col width="15" customWidth="1" style="82" min="22" max="22"/>
    <col width="1.6640625" customWidth="1" style="82" min="23" max="23"/>
  </cols>
  <sheetData>
    <row r="1" ht="36" customHeight="1" s="82">
      <c r="A1" s="124" t="inlineStr">
        <is>
          <t>DEMATIC  | Project Search &amp; Schedule Estimator</t>
        </is>
      </c>
      <c r="I1" s="179" t="inlineStr">
        <is>
          <t>Version v43  ·  2026-09-30  ·  see Change Log</t>
        </is>
      </c>
    </row>
    <row r="2" ht="15.75" customHeight="1" s="82">
      <c r="A2" s="93" t="inlineStr">
        <is>
          <t>Intralogistics Systems  |  Supply Chain Automation  |  Warehouse Management Solutions</t>
        </is>
      </c>
    </row>
    <row r="3" ht="24" customHeight="1" s="82">
      <c r="A3" s="127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77" t="n"/>
      <c r="C3" s="77" t="n"/>
      <c r="D3" s="77" t="n"/>
      <c r="E3" s="77" t="n"/>
      <c r="F3" s="77" t="n"/>
      <c r="G3" s="77" t="n"/>
    </row>
    <row r="4" ht="24" customHeight="1" s="82">
      <c r="A4" s="42" t="n"/>
      <c r="B4" s="26" t="inlineStr">
        <is>
          <t>System</t>
        </is>
      </c>
      <c r="C4" s="26" t="inlineStr">
        <is>
          <t>Include?</t>
        </is>
      </c>
      <c r="D4" s="26" t="inlineStr">
        <is>
          <t>Parameter 1</t>
        </is>
      </c>
      <c r="E4" s="26" t="inlineStr">
        <is>
          <t>Your Value</t>
        </is>
      </c>
      <c r="F4" s="26" t="inlineStr">
        <is>
          <t>Parameter 2</t>
        </is>
      </c>
      <c r="G4" s="26" t="inlineStr">
        <is>
          <t>Your Value</t>
        </is>
      </c>
      <c r="I4" s="147" t="inlineStr">
        <is>
          <t>OPTIONAL FILTERS</t>
        </is>
      </c>
    </row>
    <row r="5" ht="25.5" customHeight="1" s="82">
      <c r="A5" s="14" t="n"/>
      <c r="B5" s="43" t="inlineStr">
        <is>
          <t>Multishuttle</t>
        </is>
      </c>
      <c r="C5" s="44" t="inlineStr">
        <is>
          <t>NO</t>
        </is>
      </c>
      <c r="D5" s="45" t="inlineStr">
        <is>
          <t>No. of Shuttles</t>
        </is>
      </c>
      <c r="E5" s="46" t="n"/>
      <c r="F5" s="45" t="inlineStr">
        <is>
          <t>No. of Tote Locations</t>
        </is>
      </c>
      <c r="G5" s="47" t="n"/>
      <c r="H5" s="2" t="n"/>
      <c r="I5" s="109" t="inlineStr">
        <is>
          <t>Solution Type</t>
        </is>
      </c>
      <c r="L5" s="102" t="inlineStr">
        <is>
          <t>All</t>
        </is>
      </c>
      <c r="M5" s="103" t="n"/>
      <c r="N5" s="103" t="n"/>
      <c r="O5" s="103" t="n"/>
      <c r="P5" s="103" t="n"/>
      <c r="Q5" s="104" t="n"/>
    </row>
    <row r="6" ht="25.5" customHeight="1" s="82">
      <c r="A6" s="15" t="n"/>
      <c r="B6" s="48" t="inlineStr">
        <is>
          <t>AutoStore</t>
        </is>
      </c>
      <c r="C6" s="44" t="inlineStr">
        <is>
          <t>YES</t>
        </is>
      </c>
      <c r="D6" s="45" t="inlineStr">
        <is>
          <t>No. of Robots</t>
        </is>
      </c>
      <c r="E6" s="46" t="n">
        <v>20</v>
      </c>
      <c r="F6" s="45" t="inlineStr">
        <is>
          <t>No. of Tote Locations</t>
        </is>
      </c>
      <c r="G6" s="47" t="n">
        <v>10000</v>
      </c>
      <c r="H6" s="2" t="n"/>
      <c r="I6" s="109" t="inlineStr">
        <is>
          <t>Region contains</t>
        </is>
      </c>
      <c r="L6" s="102" t="n"/>
      <c r="M6" s="103" t="n"/>
      <c r="N6" s="103" t="n"/>
      <c r="O6" s="103" t="n"/>
      <c r="P6" s="103" t="n"/>
      <c r="Q6" s="104" t="n"/>
    </row>
    <row r="7" ht="25.5" customHeight="1" s="82">
      <c r="A7" s="16" t="n"/>
      <c r="B7" s="49" t="inlineStr">
        <is>
          <t>Pallet Shuttle</t>
        </is>
      </c>
      <c r="C7" s="44" t="inlineStr">
        <is>
          <t>NO</t>
        </is>
      </c>
      <c r="D7" s="45" t="inlineStr">
        <is>
          <t>No. of Shuttles</t>
        </is>
      </c>
      <c r="E7" s="46" t="n"/>
      <c r="F7" s="45" t="inlineStr">
        <is>
          <t>No. of Pallet Locations</t>
        </is>
      </c>
      <c r="G7" s="47" t="n"/>
      <c r="H7" s="2" t="n"/>
      <c r="I7" s="109" t="inlineStr">
        <is>
          <t>Year (exact)</t>
        </is>
      </c>
      <c r="L7" s="137" t="n"/>
      <c r="M7" s="103" t="n"/>
      <c r="N7" s="103" t="n"/>
      <c r="O7" s="103" t="n"/>
      <c r="P7" s="103" t="n"/>
      <c r="Q7" s="104" t="n"/>
    </row>
    <row r="8" ht="25.5" customHeight="1" s="82">
      <c r="A8" s="17" t="n"/>
      <c r="B8" s="50" t="inlineStr">
        <is>
          <t>SRM Crane</t>
        </is>
      </c>
      <c r="C8" s="44" t="inlineStr">
        <is>
          <t>NO</t>
        </is>
      </c>
      <c r="D8" s="45" t="inlineStr">
        <is>
          <t>No. of Cranes</t>
        </is>
      </c>
      <c r="E8" s="46" t="n"/>
      <c r="F8" s="45" t="inlineStr">
        <is>
          <t>No. of Pallet Locations</t>
        </is>
      </c>
      <c r="G8" s="47" t="n"/>
      <c r="H8" s="2" t="n"/>
      <c r="I8" s="109" t="inlineStr">
        <is>
          <t>Won status</t>
        </is>
      </c>
      <c r="L8" s="102" t="inlineStr">
        <is>
          <t>All</t>
        </is>
      </c>
      <c r="M8" s="103" t="n"/>
      <c r="N8" s="103" t="n"/>
      <c r="O8" s="103" t="n"/>
      <c r="P8" s="103" t="n"/>
      <c r="Q8" s="104" t="n"/>
    </row>
    <row r="9" ht="25.5" customHeight="1" s="82">
      <c r="A9" s="18" t="n"/>
      <c r="B9" s="51" t="inlineStr">
        <is>
          <t>Conveyors</t>
        </is>
      </c>
      <c r="C9" s="44" t="inlineStr">
        <is>
          <t>NO</t>
        </is>
      </c>
      <c r="D9" s="45" t="inlineStr">
        <is>
          <t>Case Conveyor (metres)</t>
        </is>
      </c>
      <c r="E9" s="52" t="n"/>
      <c r="F9" s="53" t="inlineStr">
        <is>
          <t>Pallet Conveyor (metres)</t>
        </is>
      </c>
      <c r="G9" s="52" t="n"/>
      <c r="H9" s="2" t="n"/>
      <c r="I9" s="100" t="inlineStr">
        <is>
          <t>Blank or All = no filter. Filters combine.</t>
        </is>
      </c>
    </row>
    <row r="10" ht="25.5" customHeight="1" s="82">
      <c r="A10" s="54" t="n"/>
      <c r="B10" s="55" t="inlineStr">
        <is>
          <t>Keywords</t>
        </is>
      </c>
      <c r="C10" s="44" t="inlineStr">
        <is>
          <t>NO</t>
        </is>
      </c>
      <c r="D10" s="56" t="inlineStr">
        <is>
          <t>Search keywords (space-separated)</t>
        </is>
      </c>
      <c r="E10" s="131" t="n"/>
      <c r="F10" s="132" t="n"/>
      <c r="G10" s="133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82">
      <c r="A11" s="113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82">
      <c r="A12" s="129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42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82">
      <c r="B13" s="57">
        <f>IF(C5="YES",1,0)</f>
        <v/>
      </c>
      <c r="C13" s="57">
        <f>IF(C6="YES",1,0)</f>
        <v/>
      </c>
      <c r="D13" s="57">
        <f>IF(C7="YES",1,0)</f>
        <v/>
      </c>
      <c r="E13" s="57">
        <f>IF(C8="YES",1,0)</f>
        <v/>
      </c>
      <c r="F13" s="57">
        <f>IF(C9="YES",1,0)</f>
        <v/>
      </c>
      <c r="G13" s="57">
        <f>IF(C10="YES",1,0)</f>
        <v/>
      </c>
      <c r="H13" s="57">
        <f>SUM(B13:F13)*2+G13</f>
        <v/>
      </c>
      <c r="I13" s="57">
        <f>IFERROR(TRIM(MID(SUBSTITUTE(TRIM('Smart Search'!E10)," ",REPT(" ",100)),1,100)),"")</f>
        <v/>
      </c>
      <c r="J13" s="57">
        <f>IFERROR(TRIM(MID(SUBSTITUTE(TRIM('Smart Search'!E10)," ",REPT(" ",100)),101,100)),"")</f>
        <v/>
      </c>
      <c r="K13" s="57">
        <f>IFERROR(TRIM(MID(SUBSTITUTE(TRIM('Smart Search'!E10)," ",REPT(" ",100)),201,100)),"")</f>
        <v/>
      </c>
      <c r="L13" s="57">
        <f>IFERROR(TRIM(MID(SUBSTITUTE(TRIM('Smart Search'!E10)," ",REPT(" ",100)),301,100)),"")</f>
        <v/>
      </c>
      <c r="M13" s="57">
        <f>IFERROR(TRIM(MID(SUBSTITUTE(TRIM('Smart Search'!E10)," ",REPT(" ",100)),401,100)),"")</f>
        <v/>
      </c>
      <c r="N13" s="57">
        <f>IFERROR(TRIM(MID(SUBSTITUTE(TRIM('Smart Search'!E10)," ",REPT(" ",100)),501,100)),"")</f>
        <v/>
      </c>
      <c r="O13" s="57">
        <f>IFERROR(TRIM(MID(SUBSTITUTE(TRIM('Smart Search'!E10)," ",REPT(" ",100)),601,100)),"")</f>
        <v/>
      </c>
      <c r="P13" s="57">
        <f>IFERROR(TRIM(MID(SUBSTITUTE(TRIM('Smart Search'!E10)," ",REPT(" ",100)),701,100)),"")</f>
        <v/>
      </c>
      <c r="Q13" s="57">
        <f>IFERROR(TRIM(MID(SUBSTITUTE(TRIM('Smart Search'!E10)," ",REPT(" ",100)),801,100)),"")</f>
        <v/>
      </c>
      <c r="R13" s="57">
        <f>IFERROR(TRIM(MID(SUBSTITUTE(TRIM('Smart Search'!E10)," ",REPT(" ",100)),901,100)),"")</f>
        <v/>
      </c>
      <c r="S13" s="57">
        <f>IFERROR(TRIM(MID(SUBSTITUTE(TRIM('Smart Search'!E10)," ",REPT(" ",100)),1001,100)),"")</f>
        <v/>
      </c>
      <c r="T13" s="57">
        <f>IFERROR(TRIM(MID(SUBSTITUTE(TRIM('Smart Search'!E10)," ",REPT(" ",100)),1101,100)),"")</f>
        <v/>
      </c>
      <c r="U13" s="57">
        <f>IFERROR(TRIM(MID(SUBSTITUTE(TRIM('Smart Search'!E10)," ",REPT(" ",100)),1201,100)),"")</f>
        <v/>
      </c>
      <c r="V13" s="57">
        <f>IFERROR(TRIM(MID(SUBSTITUTE(TRIM('Smart Search'!E10)," ",REPT(" ",100)),1301,100)),"")</f>
        <v/>
      </c>
      <c r="W13" s="57">
        <f>IF(TRIM('Smart Search'!E10)="",0,LEN(TRIM('Smart Search'!E10))-LEN(SUBSTITUTE(TRIM('Smart Search'!E10)," ",""))+1)</f>
        <v/>
      </c>
    </row>
    <row r="14" ht="30" customHeight="1" s="82">
      <c r="A14" s="101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82" thickBot="1">
      <c r="A15" s="114" t="inlineStr">
        <is>
          <t xml:space="preserve">  📊  TOP 5 CLOSEST MATCHES</t>
        </is>
      </c>
    </row>
    <row r="16" ht="36" customHeight="1" s="82">
      <c r="A16" s="26" t="inlineStr">
        <is>
          <t>Rank</t>
        </is>
      </c>
      <c r="B16" s="26" t="inlineStr">
        <is>
          <t>Project ID</t>
        </is>
      </c>
      <c r="C16" s="26" t="inlineStr">
        <is>
          <t>Project Name</t>
        </is>
      </c>
      <c r="D16" s="26" t="inlineStr">
        <is>
          <t>MS
Shuttles</t>
        </is>
      </c>
      <c r="E16" s="26" t="inlineStr">
        <is>
          <t>MS Tote
Locs</t>
        </is>
      </c>
      <c r="F16" s="26" t="inlineStr">
        <is>
          <t>AS
Robots</t>
        </is>
      </c>
      <c r="G16" s="26" t="inlineStr">
        <is>
          <t>AS Tote
Locs</t>
        </is>
      </c>
      <c r="H16" s="26" t="inlineStr">
        <is>
          <t>PS
Shuttles</t>
        </is>
      </c>
      <c r="I16" s="26" t="inlineStr">
        <is>
          <t>PS Pallet
Locs</t>
        </is>
      </c>
      <c r="J16" s="26" t="inlineStr">
        <is>
          <t>SRM
Cranes</t>
        </is>
      </c>
      <c r="K16" s="26" t="inlineStr">
        <is>
          <t>SRM Pallet
Locs</t>
        </is>
      </c>
      <c r="L16" s="26" t="inlineStr">
        <is>
          <t>Case
Conv (m)</t>
        </is>
      </c>
      <c r="M16" s="26" t="inlineStr">
        <is>
          <t>Pallet
Conv (m)</t>
        </is>
      </c>
      <c r="N16" s="26" t="inlineStr">
        <is>
          <t>Match
Score</t>
        </is>
      </c>
      <c r="O16" s="26" t="inlineStr">
        <is>
          <t>Mech
(wks)</t>
        </is>
      </c>
      <c r="P16" s="26" t="inlineStr">
        <is>
          <t>Ctrl
(wks)</t>
        </is>
      </c>
      <c r="Q16" s="26" t="inlineStr">
        <is>
          <t>Sys
(wks)</t>
        </is>
      </c>
      <c r="R16" s="26" t="inlineStr">
        <is>
          <t>SW
(wks)</t>
        </is>
      </c>
      <c r="S16" s="26" t="inlineStr">
        <is>
          <t>Install
(wks)</t>
        </is>
      </c>
      <c r="T16" s="26" t="inlineStr">
        <is>
          <t>Comm
(wks)</t>
        </is>
      </c>
      <c r="U16" s="26" t="inlineStr">
        <is>
          <t>Total
(wks)</t>
        </is>
      </c>
      <c r="V16" s="26" t="inlineStr">
        <is>
          <t>Solution
Type</t>
        </is>
      </c>
    </row>
    <row r="17" ht="18.75" customHeight="1" s="82">
      <c r="A17" s="58" t="n">
        <v>1</v>
      </c>
      <c r="B17" s="32">
        <f>IFERROR(INDEX(_Helper!A2:A501,MATCH(LARGE(_Helper!BH2:BH501,1),_Helper!BH2:BH501,0)),"-")</f>
        <v/>
      </c>
      <c r="C17" s="59">
        <f>IFERROR(INDEX(_Helper!B2:B501,MATCH(LARGE(_Helper!BH2:BH501,1),_Helper!BH2:BH501,0)),"-")</f>
        <v/>
      </c>
      <c r="D17" s="32">
        <f>IFERROR(INDEX(_Helper!C2:C501,MATCH(LARGE(_Helper!BH2:BH501,1),_Helper!BH2:BH501,0)),"-")</f>
        <v/>
      </c>
      <c r="E17" s="32">
        <f>IFERROR(INDEX(_Helper!D2:D501,MATCH(LARGE(_Helper!BH2:BH501,1),_Helper!BH2:BH501,0)),"-")</f>
        <v/>
      </c>
      <c r="F17" s="32">
        <f>IFERROR(INDEX(_Helper!E2:E501,MATCH(LARGE(_Helper!BH2:BH501,1),_Helper!BH2:BH501,0)),"-")</f>
        <v/>
      </c>
      <c r="G17" s="32">
        <f>IFERROR(INDEX(_Helper!F2:F501,MATCH(LARGE(_Helper!BH2:BH501,1),_Helper!BH2:BH501,0)),"-")</f>
        <v/>
      </c>
      <c r="H17" s="32">
        <f>IFERROR(INDEX(_Helper!G2:G501,MATCH(LARGE(_Helper!BH2:BH501,1),_Helper!BH2:BH501,0)),"-")</f>
        <v/>
      </c>
      <c r="I17" s="32">
        <f>IFERROR(INDEX(_Helper!H2:H501,MATCH(LARGE(_Helper!BH2:BH501,1),_Helper!BH2:BH501,0)),"-")</f>
        <v/>
      </c>
      <c r="J17" s="32">
        <f>IFERROR(INDEX(_Helper!I2:I501,MATCH(LARGE(_Helper!BH2:BH501,1),_Helper!BH2:BH501,0)),"-")</f>
        <v/>
      </c>
      <c r="K17" s="32">
        <f>IFERROR(INDEX(_Helper!J2:J501,MATCH(LARGE(_Helper!BH2:BH501,1),_Helper!BH2:BH501,0)),"-")</f>
        <v/>
      </c>
      <c r="L17" s="32">
        <f>IFERROR(INDEX(_Helper!K2:K501,MATCH(LARGE(_Helper!BH2:BH501,1),_Helper!BH2:BH501,0)),"-")</f>
        <v/>
      </c>
      <c r="M17" s="32">
        <f>IFERROR(INDEX(_Helper!L2:L501,MATCH(LARGE(_Helper!BH2:BH501,1),_Helper!BH2:BH501,0)),"-")</f>
        <v/>
      </c>
      <c r="N17" s="60">
        <f>IFERROR(INDEX(_Helper!BH2:BH501,MATCH(LARGE(_Helper!BH2:BH501,1),_Helper!BH2:BH501,0)),"-")</f>
        <v/>
      </c>
      <c r="O17" s="32">
        <f>IFERROR(INDEX(_Helper!M2:M501,MATCH(LARGE(_Helper!BH2:BH501,1),_Helper!BH2:BH501,0)),"-")</f>
        <v/>
      </c>
      <c r="P17" s="32">
        <f>IFERROR(INDEX(_Helper!N2:N501,MATCH(LARGE(_Helper!BH2:BH501,1),_Helper!BH2:BH501,0)),"-")</f>
        <v/>
      </c>
      <c r="Q17" s="32">
        <f>IFERROR(INDEX(_Helper!O2:O501,MATCH(LARGE(_Helper!BH2:BH501,1),_Helper!BH2:BH501,0)),"-")</f>
        <v/>
      </c>
      <c r="R17" s="32">
        <f>IFERROR(INDEX(_Helper!P2:P501,MATCH(LARGE(_Helper!BH2:BH501,1),_Helper!BH2:BH501,0)),"-")</f>
        <v/>
      </c>
      <c r="S17" s="32">
        <f>IFERROR(INDEX(_Helper!Q2:Q501,MATCH(LARGE(_Helper!BH2:BH501,1),_Helper!BH2:BH501,0)),"-")</f>
        <v/>
      </c>
      <c r="T17" s="32">
        <f>IFERROR(INDEX(_Helper!R2:R501,MATCH(LARGE(_Helper!BH2:BH501,1),_Helper!BH2:BH501,0)),"-")</f>
        <v/>
      </c>
      <c r="U17" s="32">
        <f>IFERROR(INDEX(_Helper!S2:S501,MATCH(LARGE(_Helper!BH2:BH501,1),_Helper!BH2:BH501,0)),"-")</f>
        <v/>
      </c>
      <c r="V17" s="59">
        <f>IFERROR(IF(INDEX(_Helper!BZ2:BZ501,MATCH(LARGE(_Helper!BH2:BH501,1),_Helper!BH2:BH501,0))="","(not set)",INDEX(_Helper!BZ2:BZ501,MATCH(LARGE(_Helper!BH2:BH501,1),_Helper!BH2:BH501,0))),"-")</f>
        <v/>
      </c>
    </row>
    <row r="18" ht="19.5" customHeight="1" s="82">
      <c r="A18" s="61" t="n">
        <v>2</v>
      </c>
      <c r="B18" s="31">
        <f>IFERROR(INDEX(_Helper!A2:A501,MATCH(LARGE(_Helper!BH2:BH501,2),_Helper!BH2:BH501,0)),"-")</f>
        <v/>
      </c>
      <c r="C18" s="30">
        <f>IFERROR(INDEX(_Helper!B2:B501,MATCH(LARGE(_Helper!BH2:BH501,2),_Helper!BH2:BH501,0)),"-")</f>
        <v/>
      </c>
      <c r="D18" s="31">
        <f>IFERROR(INDEX(_Helper!C2:C501,MATCH(LARGE(_Helper!BH2:BH501,2),_Helper!BH2:BH501,0)),"-")</f>
        <v/>
      </c>
      <c r="E18" s="31">
        <f>IFERROR(INDEX(_Helper!D2:D501,MATCH(LARGE(_Helper!BH2:BH501,2),_Helper!BH2:BH501,0)),"-")</f>
        <v/>
      </c>
      <c r="F18" s="31">
        <f>IFERROR(INDEX(_Helper!E2:E501,MATCH(LARGE(_Helper!BH2:BH501,2),_Helper!BH2:BH501,0)),"-")</f>
        <v/>
      </c>
      <c r="G18" s="31">
        <f>IFERROR(INDEX(_Helper!F2:F501,MATCH(LARGE(_Helper!BH2:BH501,2),_Helper!BH2:BH501,0)),"-")</f>
        <v/>
      </c>
      <c r="H18" s="31">
        <f>IFERROR(INDEX(_Helper!G2:G501,MATCH(LARGE(_Helper!BH2:BH501,2),_Helper!BH2:BH501,0)),"-")</f>
        <v/>
      </c>
      <c r="I18" s="31">
        <f>IFERROR(INDEX(_Helper!H2:H501,MATCH(LARGE(_Helper!BH2:BH501,2),_Helper!BH2:BH501,0)),"-")</f>
        <v/>
      </c>
      <c r="J18" s="31">
        <f>IFERROR(INDEX(_Helper!I2:I501,MATCH(LARGE(_Helper!BH2:BH501,2),_Helper!BH2:BH501,0)),"-")</f>
        <v/>
      </c>
      <c r="K18" s="31">
        <f>IFERROR(INDEX(_Helper!J2:J501,MATCH(LARGE(_Helper!BH2:BH501,2),_Helper!BH2:BH501,0)),"-")</f>
        <v/>
      </c>
      <c r="L18" s="31">
        <f>IFERROR(INDEX(_Helper!K2:K501,MATCH(LARGE(_Helper!BH2:BH501,2),_Helper!BH2:BH501,0)),"-")</f>
        <v/>
      </c>
      <c r="M18" s="31">
        <f>IFERROR(INDEX(_Helper!L2:L501,MATCH(LARGE(_Helper!BH2:BH501,2),_Helper!BH2:BH501,0)),"-")</f>
        <v/>
      </c>
      <c r="N18" s="62">
        <f>IFERROR(INDEX(_Helper!BH2:BH501,MATCH(LARGE(_Helper!BH2:BH501,2),_Helper!BH2:BH501,0)),"-")</f>
        <v/>
      </c>
      <c r="O18" s="31">
        <f>IFERROR(INDEX(_Helper!M2:M501,MATCH(LARGE(_Helper!BH2:BH501,2),_Helper!BH2:BH501,0)),"-")</f>
        <v/>
      </c>
      <c r="P18" s="31">
        <f>IFERROR(INDEX(_Helper!N2:N501,MATCH(LARGE(_Helper!BH2:BH501,2),_Helper!BH2:BH501,0)),"-")</f>
        <v/>
      </c>
      <c r="Q18" s="31">
        <f>IFERROR(INDEX(_Helper!O2:O501,MATCH(LARGE(_Helper!BH2:BH501,2),_Helper!BH2:BH501,0)),"-")</f>
        <v/>
      </c>
      <c r="R18" s="31">
        <f>IFERROR(INDEX(_Helper!P2:P501,MATCH(LARGE(_Helper!BH2:BH501,2),_Helper!BH2:BH501,0)),"-")</f>
        <v/>
      </c>
      <c r="S18" s="31">
        <f>IFERROR(INDEX(_Helper!Q2:Q501,MATCH(LARGE(_Helper!BH2:BH501,2),_Helper!BH2:BH501,0)),"-")</f>
        <v/>
      </c>
      <c r="T18" s="31">
        <f>IFERROR(INDEX(_Helper!R2:R501,MATCH(LARGE(_Helper!BH2:BH501,2),_Helper!BH2:BH501,0)),"-")</f>
        <v/>
      </c>
      <c r="U18" s="31">
        <f>IFERROR(INDEX(_Helper!S2:S501,MATCH(LARGE(_Helper!BH2:BH501,2),_Helper!BH2:BH501,0)),"-")</f>
        <v/>
      </c>
      <c r="V18" s="30">
        <f>IFERROR(IF(INDEX(_Helper!BZ2:BZ501,MATCH(LARGE(_Helper!BH2:BH501,2),_Helper!BH2:BH501,0))="","(not set)",INDEX(_Helper!BZ2:BZ501,MATCH(LARGE(_Helper!BH2:BH501,2),_Helper!BH2:BH501,0))),"-")</f>
        <v/>
      </c>
    </row>
    <row r="19" ht="19.5" customHeight="1" s="82">
      <c r="A19" s="61" t="n">
        <v>3</v>
      </c>
      <c r="B19" s="37">
        <f>IFERROR(INDEX(_Helper!A2:A501,MATCH(LARGE(_Helper!BH2:BH501,3),_Helper!BH2:BH501,0)),"-")</f>
        <v/>
      </c>
      <c r="C19" s="36">
        <f>IFERROR(INDEX(_Helper!B2:B501,MATCH(LARGE(_Helper!BH2:BH501,3),_Helper!BH2:BH501,0)),"-")</f>
        <v/>
      </c>
      <c r="D19" s="37">
        <f>IFERROR(INDEX(_Helper!C2:C501,MATCH(LARGE(_Helper!BH2:BH501,3),_Helper!BH2:BH501,0)),"-")</f>
        <v/>
      </c>
      <c r="E19" s="37">
        <f>IFERROR(INDEX(_Helper!D2:D501,MATCH(LARGE(_Helper!BH2:BH501,3),_Helper!BH2:BH501,0)),"-")</f>
        <v/>
      </c>
      <c r="F19" s="37">
        <f>IFERROR(INDEX(_Helper!E2:E501,MATCH(LARGE(_Helper!BH2:BH501,3),_Helper!BH2:BH501,0)),"-")</f>
        <v/>
      </c>
      <c r="G19" s="37">
        <f>IFERROR(INDEX(_Helper!F2:F501,MATCH(LARGE(_Helper!BH2:BH501,3),_Helper!BH2:BH501,0)),"-")</f>
        <v/>
      </c>
      <c r="H19" s="37">
        <f>IFERROR(INDEX(_Helper!G2:G501,MATCH(LARGE(_Helper!BH2:BH501,3),_Helper!BH2:BH501,0)),"-")</f>
        <v/>
      </c>
      <c r="I19" s="37">
        <f>IFERROR(INDEX(_Helper!H2:H501,MATCH(LARGE(_Helper!BH2:BH501,3),_Helper!BH2:BH501,0)),"-")</f>
        <v/>
      </c>
      <c r="J19" s="37">
        <f>IFERROR(INDEX(_Helper!I2:I501,MATCH(LARGE(_Helper!BH2:BH501,3),_Helper!BH2:BH501,0)),"-")</f>
        <v/>
      </c>
      <c r="K19" s="37">
        <f>IFERROR(INDEX(_Helper!J2:J501,MATCH(LARGE(_Helper!BH2:BH501,3),_Helper!BH2:BH501,0)),"-")</f>
        <v/>
      </c>
      <c r="L19" s="37">
        <f>IFERROR(INDEX(_Helper!K2:K501,MATCH(LARGE(_Helper!BH2:BH501,3),_Helper!BH2:BH501,0)),"-")</f>
        <v/>
      </c>
      <c r="M19" s="37">
        <f>IFERROR(INDEX(_Helper!L2:L501,MATCH(LARGE(_Helper!BH2:BH501,3),_Helper!BH2:BH501,0)),"-")</f>
        <v/>
      </c>
      <c r="N19" s="63">
        <f>IFERROR(INDEX(_Helper!BH2:BH501,MATCH(LARGE(_Helper!BH2:BH501,3),_Helper!BH2:BH501,0)),"-")</f>
        <v/>
      </c>
      <c r="O19" s="37">
        <f>IFERROR(INDEX(_Helper!M2:M501,MATCH(LARGE(_Helper!BH2:BH501,3),_Helper!BH2:BH501,0)),"-")</f>
        <v/>
      </c>
      <c r="P19" s="37">
        <f>IFERROR(INDEX(_Helper!N2:N501,MATCH(LARGE(_Helper!BH2:BH501,3),_Helper!BH2:BH501,0)),"-")</f>
        <v/>
      </c>
      <c r="Q19" s="37">
        <f>IFERROR(INDEX(_Helper!O2:O501,MATCH(LARGE(_Helper!BH2:BH501,3),_Helper!BH2:BH501,0)),"-")</f>
        <v/>
      </c>
      <c r="R19" s="37">
        <f>IFERROR(INDEX(_Helper!P2:P501,MATCH(LARGE(_Helper!BH2:BH501,3),_Helper!BH2:BH501,0)),"-")</f>
        <v/>
      </c>
      <c r="S19" s="37">
        <f>IFERROR(INDEX(_Helper!Q2:Q501,MATCH(LARGE(_Helper!BH2:BH501,3),_Helper!BH2:BH501,0)),"-")</f>
        <v/>
      </c>
      <c r="T19" s="37">
        <f>IFERROR(INDEX(_Helper!R2:R501,MATCH(LARGE(_Helper!BH2:BH501,3),_Helper!BH2:BH501,0)),"-")</f>
        <v/>
      </c>
      <c r="U19" s="37">
        <f>IFERROR(INDEX(_Helper!S2:S501,MATCH(LARGE(_Helper!BH2:BH501,3),_Helper!BH2:BH501,0)),"-")</f>
        <v/>
      </c>
      <c r="V19" s="36">
        <f>IFERROR(IF(INDEX(_Helper!BZ2:BZ501,MATCH(LARGE(_Helper!BH2:BH501,3),_Helper!BH2:BH501,0))="","(not set)",INDEX(_Helper!BZ2:BZ501,MATCH(LARGE(_Helper!BH2:BH501,3),_Helper!BH2:BH501,0))),"-")</f>
        <v/>
      </c>
    </row>
    <row r="20" ht="19.5" customHeight="1" s="82">
      <c r="A20" s="61" t="n">
        <v>4</v>
      </c>
      <c r="B20" s="31">
        <f>IFERROR(INDEX(_Helper!A2:A501,MATCH(LARGE(_Helper!BH2:BH501,4),_Helper!BH2:BH501,0)),"-")</f>
        <v/>
      </c>
      <c r="C20" s="30">
        <f>IFERROR(INDEX(_Helper!B2:B501,MATCH(LARGE(_Helper!BH2:BH501,4),_Helper!BH2:BH501,0)),"-")</f>
        <v/>
      </c>
      <c r="D20" s="31">
        <f>IFERROR(INDEX(_Helper!C2:C501,MATCH(LARGE(_Helper!BH2:BH501,4),_Helper!BH2:BH501,0)),"-")</f>
        <v/>
      </c>
      <c r="E20" s="31">
        <f>IFERROR(INDEX(_Helper!D2:D501,MATCH(LARGE(_Helper!BH2:BH501,4),_Helper!BH2:BH501,0)),"-")</f>
        <v/>
      </c>
      <c r="F20" s="31">
        <f>IFERROR(INDEX(_Helper!E2:E501,MATCH(LARGE(_Helper!BH2:BH501,4),_Helper!BH2:BH501,0)),"-")</f>
        <v/>
      </c>
      <c r="G20" s="31">
        <f>IFERROR(INDEX(_Helper!F2:F501,MATCH(LARGE(_Helper!BH2:BH501,4),_Helper!BH2:BH501,0)),"-")</f>
        <v/>
      </c>
      <c r="H20" s="31">
        <f>IFERROR(INDEX(_Helper!G2:G501,MATCH(LARGE(_Helper!BH2:BH501,4),_Helper!BH2:BH501,0)),"-")</f>
        <v/>
      </c>
      <c r="I20" s="31">
        <f>IFERROR(INDEX(_Helper!H2:H501,MATCH(LARGE(_Helper!BH2:BH501,4),_Helper!BH2:BH501,0)),"-")</f>
        <v/>
      </c>
      <c r="J20" s="31">
        <f>IFERROR(INDEX(_Helper!I2:I501,MATCH(LARGE(_Helper!BH2:BH501,4),_Helper!BH2:BH501,0)),"-")</f>
        <v/>
      </c>
      <c r="K20" s="31">
        <f>IFERROR(INDEX(_Helper!J2:J501,MATCH(LARGE(_Helper!BH2:BH501,4),_Helper!BH2:BH501,0)),"-")</f>
        <v/>
      </c>
      <c r="L20" s="31">
        <f>IFERROR(INDEX(_Helper!K2:K501,MATCH(LARGE(_Helper!BH2:BH501,4),_Helper!BH2:BH501,0)),"-")</f>
        <v/>
      </c>
      <c r="M20" s="31">
        <f>IFERROR(INDEX(_Helper!L2:L501,MATCH(LARGE(_Helper!BH2:BH501,4),_Helper!BH2:BH501,0)),"-")</f>
        <v/>
      </c>
      <c r="N20" s="62">
        <f>IFERROR(INDEX(_Helper!BH2:BH501,MATCH(LARGE(_Helper!BH2:BH501,4),_Helper!BH2:BH501,0)),"-")</f>
        <v/>
      </c>
      <c r="O20" s="31">
        <f>IFERROR(INDEX(_Helper!M2:M501,MATCH(LARGE(_Helper!BH2:BH501,4),_Helper!BH2:BH501,0)),"-")</f>
        <v/>
      </c>
      <c r="P20" s="31">
        <f>IFERROR(INDEX(_Helper!N2:N501,MATCH(LARGE(_Helper!BH2:BH501,4),_Helper!BH2:BH501,0)),"-")</f>
        <v/>
      </c>
      <c r="Q20" s="31">
        <f>IFERROR(INDEX(_Helper!O2:O501,MATCH(LARGE(_Helper!BH2:BH501,4),_Helper!BH2:BH501,0)),"-")</f>
        <v/>
      </c>
      <c r="R20" s="31">
        <f>IFERROR(INDEX(_Helper!P2:P501,MATCH(LARGE(_Helper!BH2:BH501,4),_Helper!BH2:BH501,0)),"-")</f>
        <v/>
      </c>
      <c r="S20" s="31">
        <f>IFERROR(INDEX(_Helper!Q2:Q501,MATCH(LARGE(_Helper!BH2:BH501,4),_Helper!BH2:BH501,0)),"-")</f>
        <v/>
      </c>
      <c r="T20" s="31">
        <f>IFERROR(INDEX(_Helper!R2:R501,MATCH(LARGE(_Helper!BH2:BH501,4),_Helper!BH2:BH501,0)),"-")</f>
        <v/>
      </c>
      <c r="U20" s="31">
        <f>IFERROR(INDEX(_Helper!S2:S501,MATCH(LARGE(_Helper!BH2:BH501,4),_Helper!BH2:BH501,0)),"-")</f>
        <v/>
      </c>
      <c r="V20" s="30">
        <f>IFERROR(IF(INDEX(_Helper!BZ2:BZ501,MATCH(LARGE(_Helper!BH2:BH501,4),_Helper!BH2:BH501,0))="","(not set)",INDEX(_Helper!BZ2:BZ501,MATCH(LARGE(_Helper!BH2:BH501,4),_Helper!BH2:BH501,0))),"-")</f>
        <v/>
      </c>
    </row>
    <row r="21" ht="24" customHeight="1" s="82">
      <c r="A21" s="61" t="n">
        <v>5</v>
      </c>
      <c r="B21" s="37">
        <f>IFERROR(INDEX(_Helper!A2:A501,MATCH(LARGE(_Helper!BH2:BH501,5),_Helper!BH2:BH501,0)),"-")</f>
        <v/>
      </c>
      <c r="C21" s="36">
        <f>IFERROR(INDEX(_Helper!B2:B501,MATCH(LARGE(_Helper!BH2:BH501,5),_Helper!BH2:BH501,0)),"-")</f>
        <v/>
      </c>
      <c r="D21" s="37">
        <f>IFERROR(INDEX(_Helper!C2:C501,MATCH(LARGE(_Helper!BH2:BH501,5),_Helper!BH2:BH501,0)),"-")</f>
        <v/>
      </c>
      <c r="E21" s="37">
        <f>IFERROR(INDEX(_Helper!D2:D501,MATCH(LARGE(_Helper!BH2:BH501,5),_Helper!BH2:BH501,0)),"-")</f>
        <v/>
      </c>
      <c r="F21" s="37">
        <f>IFERROR(INDEX(_Helper!E2:E501,MATCH(LARGE(_Helper!BH2:BH501,5),_Helper!BH2:BH501,0)),"-")</f>
        <v/>
      </c>
      <c r="G21" s="37">
        <f>IFERROR(INDEX(_Helper!F2:F501,MATCH(LARGE(_Helper!BH2:BH501,5),_Helper!BH2:BH501,0)),"-")</f>
        <v/>
      </c>
      <c r="H21" s="37">
        <f>IFERROR(INDEX(_Helper!G2:G501,MATCH(LARGE(_Helper!BH2:BH501,5),_Helper!BH2:BH501,0)),"-")</f>
        <v/>
      </c>
      <c r="I21" s="37">
        <f>IFERROR(INDEX(_Helper!H2:H501,MATCH(LARGE(_Helper!BH2:BH501,5),_Helper!BH2:BH501,0)),"-")</f>
        <v/>
      </c>
      <c r="J21" s="37">
        <f>IFERROR(INDEX(_Helper!I2:I501,MATCH(LARGE(_Helper!BH2:BH501,5),_Helper!BH2:BH501,0)),"-")</f>
        <v/>
      </c>
      <c r="K21" s="37">
        <f>IFERROR(INDEX(_Helper!J2:J501,MATCH(LARGE(_Helper!BH2:BH501,5),_Helper!BH2:BH501,0)),"-")</f>
        <v/>
      </c>
      <c r="L21" s="37">
        <f>IFERROR(INDEX(_Helper!K2:K501,MATCH(LARGE(_Helper!BH2:BH501,5),_Helper!BH2:BH501,0)),"-")</f>
        <v/>
      </c>
      <c r="M21" s="37">
        <f>IFERROR(INDEX(_Helper!L2:L501,MATCH(LARGE(_Helper!BH2:BH501,5),_Helper!BH2:BH501,0)),"-")</f>
        <v/>
      </c>
      <c r="N21" s="63">
        <f>IFERROR(INDEX(_Helper!BH2:BH501,MATCH(LARGE(_Helper!BH2:BH501,5),_Helper!BH2:BH501,0)),"-")</f>
        <v/>
      </c>
      <c r="O21" s="37">
        <f>IFERROR(INDEX(_Helper!M2:M501,MATCH(LARGE(_Helper!BH2:BH501,5),_Helper!BH2:BH501,0)),"-")</f>
        <v/>
      </c>
      <c r="P21" s="37">
        <f>IFERROR(INDEX(_Helper!N2:N501,MATCH(LARGE(_Helper!BH2:BH501,5),_Helper!BH2:BH501,0)),"-")</f>
        <v/>
      </c>
      <c r="Q21" s="37">
        <f>IFERROR(INDEX(_Helper!O2:O501,MATCH(LARGE(_Helper!BH2:BH501,5),_Helper!BH2:BH501,0)),"-")</f>
        <v/>
      </c>
      <c r="R21" s="37">
        <f>IFERROR(INDEX(_Helper!P2:P501,MATCH(LARGE(_Helper!BH2:BH501,5),_Helper!BH2:BH501,0)),"-")</f>
        <v/>
      </c>
      <c r="S21" s="37">
        <f>IFERROR(INDEX(_Helper!Q2:Q501,MATCH(LARGE(_Helper!BH2:BH501,5),_Helper!BH2:BH501,0)),"-")</f>
        <v/>
      </c>
      <c r="T21" s="37">
        <f>IFERROR(INDEX(_Helper!R2:R501,MATCH(LARGE(_Helper!BH2:BH501,5),_Helper!BH2:BH501,0)),"-")</f>
        <v/>
      </c>
      <c r="U21" s="37">
        <f>IFERROR(INDEX(_Helper!S2:S501,MATCH(LARGE(_Helper!BH2:BH501,5),_Helper!BH2:BH501,0)),"-")</f>
        <v/>
      </c>
      <c r="V21" s="36">
        <f>IFERROR(IF(INDEX(_Helper!BZ2:BZ501,MATCH(LARGE(_Helper!BH2:BH501,5),_Helper!BH2:BH501,0))="","(not set)",INDEX(_Helper!BZ2:BZ501,MATCH(LARGE(_Helper!BH2:BH501,5),_Helper!BH2:BH501,0))),"-")</f>
        <v/>
      </c>
    </row>
    <row r="22" ht="14.25" customHeight="1" s="82">
      <c r="A22" s="3" t="n"/>
    </row>
    <row r="23" ht="24" customHeight="1" s="82">
      <c r="A23" s="114" t="inlineStr">
        <is>
          <t xml:space="preserve">  📅  ESTIMATED SCHEDULE &amp; MANHOUR COST  —  from closest match</t>
        </is>
      </c>
    </row>
    <row r="24" ht="19.5" customHeight="1" s="82">
      <c r="A24" s="125" t="inlineStr">
        <is>
          <t xml:space="preserve">  CLOSEST MATCH REFERENCE PROJECT</t>
        </is>
      </c>
      <c r="B24" s="126" t="n"/>
      <c r="C24" s="126" t="n"/>
      <c r="D24" s="126" t="n"/>
      <c r="E24" s="126" t="n"/>
      <c r="F24" s="126" t="n"/>
      <c r="G24" s="126" t="n"/>
      <c r="H24" s="126" t="n"/>
      <c r="I24" s="126" t="n"/>
      <c r="J24" s="126" t="n"/>
      <c r="K24" s="126" t="n"/>
      <c r="L24" s="126" t="n"/>
      <c r="M24" s="126" t="n"/>
      <c r="N24" s="126" t="n"/>
      <c r="O24" s="126" t="n"/>
      <c r="P24" s="126" t="n"/>
      <c r="Q24" s="126" t="n"/>
      <c r="R24" s="126" t="n"/>
      <c r="S24" s="126" t="n"/>
      <c r="T24" s="126" t="n"/>
      <c r="U24" s="126" t="n"/>
    </row>
    <row r="25" ht="18" customHeight="1" s="82">
      <c r="A25" s="117" t="inlineStr">
        <is>
          <t>Project ID</t>
        </is>
      </c>
      <c r="B25" s="118" t="n"/>
      <c r="C25" s="118" t="n"/>
      <c r="D25" s="118" t="n"/>
      <c r="E25" s="117" t="inlineStr">
        <is>
          <t>Project Name</t>
        </is>
      </c>
      <c r="F25" s="118" t="n"/>
      <c r="G25" s="118" t="n"/>
      <c r="H25" s="118" t="n"/>
      <c r="I25" s="118" t="n"/>
      <c r="J25" s="118" t="n"/>
      <c r="K25" s="117" t="inlineStr">
        <is>
          <t>Client / Region</t>
        </is>
      </c>
      <c r="L25" s="118" t="n"/>
      <c r="M25" s="118" t="n"/>
      <c r="N25" s="118" t="n"/>
      <c r="O25" s="117" t="inlineStr">
        <is>
          <t>Match Score</t>
        </is>
      </c>
      <c r="P25" s="118" t="n"/>
      <c r="Q25" s="118" t="n"/>
      <c r="R25" s="117" t="inlineStr">
        <is>
          <t>Solution Type</t>
        </is>
      </c>
      <c r="S25" s="118" t="n"/>
      <c r="T25" s="118" t="n"/>
      <c r="U25" s="118" t="n"/>
    </row>
    <row r="26" ht="25.5" customHeight="1" s="82">
      <c r="A26" s="128">
        <f>IFERROR(INDEX(_Helper!A2:A501,MATCH(LARGE(_Helper!BH2:BH501,1),_Helper!BH2:BH501,0)),"-")</f>
        <v/>
      </c>
      <c r="B26" s="96" t="n"/>
      <c r="C26" s="96" t="n"/>
      <c r="D26" s="96" t="n"/>
      <c r="E26" s="145">
        <f>IFERROR(INDEX(_Helper!B2:B501,MATCH(LARGE(_Helper!BH2:BH501,1),_Helper!BH2:BH501,0)),"-")</f>
        <v/>
      </c>
      <c r="F26" s="96" t="n"/>
      <c r="G26" s="96" t="n"/>
      <c r="H26" s="96" t="n"/>
      <c r="I26" s="96" t="n"/>
      <c r="J26" s="96" t="n"/>
      <c r="K26" s="119">
        <f>IFERROR(INDEX(_Helper!CA2:CA501,MATCH(LARGE(_Helper!BH2:BH501,1),_Helper!BH2:BH501,0)),"-")</f>
        <v/>
      </c>
      <c r="L26" s="98" t="n"/>
      <c r="M26" s="98" t="n"/>
      <c r="N26" s="98" t="n"/>
      <c r="O26" s="140">
        <f>IFERROR(LARGE(_Helper!BH2:BH501,1),"-")</f>
        <v/>
      </c>
      <c r="P26" s="96" t="n"/>
      <c r="Q26" s="96" t="n"/>
      <c r="R26" s="119">
        <f>IFERROR(IF(INDEX(_Helper!A2:A501,MATCH(LARGE(_Helper!BH2:BH501,1),_Helper!BH2:BH501,0))="","-",IF(INDEX(_Helper!BZ2:BZ501,MATCH(LARGE(_Helper!BH2:BH501,1),_Helper!BH2:BH501,0))="","(not set)",INDEX(_Helper!BZ2:BZ501,MATCH(LARGE(_Helper!BH2:BH501,1),_Helper!BH2:BH501,0)))),"-")</f>
        <v/>
      </c>
      <c r="S26" s="98" t="n"/>
      <c r="T26" s="98" t="n"/>
      <c r="U26" s="98" t="n"/>
    </row>
    <row r="27" ht="18" customHeight="1" s="82">
      <c r="A27" s="117" t="inlineStr">
        <is>
          <t xml:space="preserve">  SCHEDULE  (weeks)  —  closest match</t>
        </is>
      </c>
      <c r="B27" s="118" t="n"/>
      <c r="C27" s="118" t="n"/>
      <c r="D27" s="118" t="n"/>
      <c r="E27" s="118" t="n"/>
      <c r="F27" s="118" t="n"/>
      <c r="G27" s="118" t="n"/>
      <c r="H27" s="118" t="n"/>
      <c r="I27" s="118" t="n"/>
      <c r="J27" s="118" t="n"/>
      <c r="K27" s="117" t="inlineStr">
        <is>
          <t>Presales plan</t>
        </is>
      </c>
      <c r="L27" s="118" t="n"/>
      <c r="M27" s="118" t="n"/>
      <c r="N27" s="118" t="n"/>
      <c r="O27" s="117" t="inlineStr">
        <is>
          <t>Actual</t>
        </is>
      </c>
      <c r="P27" s="118" t="n"/>
      <c r="Q27" s="118" t="n"/>
      <c r="R27" s="117" t="inlineStr">
        <is>
          <t>Difference</t>
        </is>
      </c>
      <c r="S27" s="118" t="n"/>
      <c r="T27" s="118" t="n"/>
      <c r="U27" s="118" t="n"/>
    </row>
    <row r="28" ht="21.75" customHeight="1" s="82">
      <c r="A28" s="105" t="inlineStr">
        <is>
          <t>Mechanical Engineering</t>
        </is>
      </c>
      <c r="B28" s="98" t="n"/>
      <c r="C28" s="98" t="n"/>
      <c r="D28" s="98" t="n"/>
      <c r="E28" s="98" t="n"/>
      <c r="F28" s="98" t="n"/>
      <c r="G28" s="98" t="n"/>
      <c r="H28" s="98" t="n"/>
      <c r="I28" s="98" t="n"/>
      <c r="J28" s="98" t="n"/>
      <c r="K28" s="95">
        <f>IFERROR(IF(INDEX(_Helper!A2:A501,MATCH(LARGE(_Helper!BH2:BH501,1),_Helper!BH2:BH501,0))="","-",IF(N(INDEX(_Helper!DC2:DC501,MATCH(LARGE(_Helper!BH2:BH501,1),_Helper!BH2:BH501,0)))=0,"—",INDEX(_Helper!CW2:CW501,MATCH(LARGE(_Helper!BH2:BH501,1),_Helper!BH2:BH501,0)))),"-")</f>
        <v/>
      </c>
      <c r="L28" s="96" t="n"/>
      <c r="M28" s="96" t="n"/>
      <c r="N28" s="96" t="n"/>
      <c r="O28" s="95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won"),INDEX(_Helper!DD2:DD501,MATCH(LARGE(_Helper!BH2:BH501,1),_Helper!BH2:BH501,0)))),"-")</f>
        <v/>
      </c>
      <c r="P28" s="96" t="n"/>
      <c r="Q28" s="96" t="n"/>
      <c r="R28" s="180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D2:DD501,MATCH(LARGE(_Helper!BH2:BH501,1),_Helper!BH2:BH501,0))-INDEX(_Helper!CW2:CW501,MATCH(LARGE(_Helper!BH2:BH501,1),_Helper!BH2:BH501,0))),"")</f>
        <v/>
      </c>
      <c r="S28" s="96" t="n"/>
      <c r="T28" s="96" t="n"/>
      <c r="U28" s="96" t="n"/>
    </row>
    <row r="29" ht="21.75" customHeight="1" s="82">
      <c r="A29" s="105" t="inlineStr">
        <is>
          <t>Controls Engineering</t>
        </is>
      </c>
      <c r="B29" s="98" t="n"/>
      <c r="C29" s="98" t="n"/>
      <c r="D29" s="98" t="n"/>
      <c r="E29" s="98" t="n"/>
      <c r="F29" s="98" t="n"/>
      <c r="G29" s="98" t="n"/>
      <c r="H29" s="98" t="n"/>
      <c r="I29" s="98" t="n"/>
      <c r="J29" s="98" t="n"/>
      <c r="K29" s="95">
        <f>IFERROR(IF(INDEX(_Helper!A2:A501,MATCH(LARGE(_Helper!BH2:BH501,1),_Helper!BH2:BH501,0))="","-",IF(N(INDEX(_Helper!DC2:DC501,MATCH(LARGE(_Helper!BH2:BH501,1),_Helper!BH2:BH501,0)))=0,"—",INDEX(_Helper!CX2:CX501,MATCH(LARGE(_Helper!BH2:BH501,1),_Helper!BH2:BH501,0)))),"-")</f>
        <v/>
      </c>
      <c r="L29" s="96" t="n"/>
      <c r="M29" s="96" t="n"/>
      <c r="N29" s="96" t="n"/>
      <c r="O29" s="95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won"),INDEX(_Helper!DE2:DE501,MATCH(LARGE(_Helper!BH2:BH501,1),_Helper!BH2:BH501,0)))),"-")</f>
        <v/>
      </c>
      <c r="P29" s="96" t="n"/>
      <c r="Q29" s="96" t="n"/>
      <c r="R29" s="180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E2:DE501,MATCH(LARGE(_Helper!BH2:BH501,1),_Helper!BH2:BH501,0))-INDEX(_Helper!CX2:CX501,MATCH(LARGE(_Helper!BH2:BH501,1),_Helper!BH2:BH501,0))),"")</f>
        <v/>
      </c>
      <c r="S29" s="96" t="n"/>
      <c r="T29" s="96" t="n"/>
      <c r="U29" s="96" t="n"/>
    </row>
    <row r="30" ht="21.75" customHeight="1" s="82">
      <c r="A30" s="105" t="inlineStr">
        <is>
          <t>Systems Engineering</t>
        </is>
      </c>
      <c r="B30" s="98" t="n"/>
      <c r="C30" s="98" t="n"/>
      <c r="D30" s="98" t="n"/>
      <c r="E30" s="98" t="n"/>
      <c r="F30" s="98" t="n"/>
      <c r="G30" s="98" t="n"/>
      <c r="H30" s="98" t="n"/>
      <c r="I30" s="98" t="n"/>
      <c r="J30" s="98" t="n"/>
      <c r="K30" s="95">
        <f>IFERROR(IF(INDEX(_Helper!A2:A501,MATCH(LARGE(_Helper!BH2:BH501,1),_Helper!BH2:BH501,0))="","-",IF(N(INDEX(_Helper!DC2:DC501,MATCH(LARGE(_Helper!BH2:BH501,1),_Helper!BH2:BH501,0)))=0,"—",INDEX(_Helper!CY2:CY501,MATCH(LARGE(_Helper!BH2:BH501,1),_Helper!BH2:BH501,0)))),"-")</f>
        <v/>
      </c>
      <c r="L30" s="96" t="n"/>
      <c r="M30" s="96" t="n"/>
      <c r="N30" s="96" t="n"/>
      <c r="O30" s="95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won"),INDEX(_Helper!DF2:DF501,MATCH(LARGE(_Helper!BH2:BH501,1),_Helper!BH2:BH501,0)))),"-")</f>
        <v/>
      </c>
      <c r="P30" s="96" t="n"/>
      <c r="Q30" s="96" t="n"/>
      <c r="R30" s="180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F2:DF501,MATCH(LARGE(_Helper!BH2:BH501,1),_Helper!BH2:BH501,0))-INDEX(_Helper!CY2:CY501,MATCH(LARGE(_Helper!BH2:BH501,1),_Helper!BH2:BH501,0))),"")</f>
        <v/>
      </c>
      <c r="S30" s="96" t="n"/>
      <c r="T30" s="96" t="n"/>
      <c r="U30" s="96" t="n"/>
    </row>
    <row r="31" ht="21.75" customHeight="1" s="82">
      <c r="A31" s="105" t="inlineStr">
        <is>
          <t>Software Engineering</t>
        </is>
      </c>
      <c r="B31" s="98" t="n"/>
      <c r="C31" s="98" t="n"/>
      <c r="D31" s="98" t="n"/>
      <c r="E31" s="98" t="n"/>
      <c r="F31" s="98" t="n"/>
      <c r="G31" s="98" t="n"/>
      <c r="H31" s="98" t="n"/>
      <c r="I31" s="98" t="n"/>
      <c r="J31" s="98" t="n"/>
      <c r="K31" s="95">
        <f>IFERROR(IF(INDEX(_Helper!A2:A501,MATCH(LARGE(_Helper!BH2:BH501,1),_Helper!BH2:BH501,0))="","-",IF(N(INDEX(_Helper!DC2:DC501,MATCH(LARGE(_Helper!BH2:BH501,1),_Helper!BH2:BH501,0)))=0,"—",INDEX(_Helper!CZ2:CZ501,MATCH(LARGE(_Helper!BH2:BH501,1),_Helper!BH2:BH501,0)))),"-")</f>
        <v/>
      </c>
      <c r="L31" s="96" t="n"/>
      <c r="M31" s="96" t="n"/>
      <c r="N31" s="96" t="n"/>
      <c r="O31" s="95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won"),INDEX(_Helper!DG2:DG501,MATCH(LARGE(_Helper!BH2:BH501,1),_Helper!BH2:BH501,0)))),"-")</f>
        <v/>
      </c>
      <c r="P31" s="96" t="n"/>
      <c r="Q31" s="96" t="n"/>
      <c r="R31" s="180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G2:DG501,MATCH(LARGE(_Helper!BH2:BH501,1),_Helper!BH2:BH501,0))-INDEX(_Helper!CZ2:CZ501,MATCH(LARGE(_Helper!BH2:BH501,1),_Helper!BH2:BH501,0))),"")</f>
        <v/>
      </c>
      <c r="S31" s="96" t="n"/>
      <c r="T31" s="96" t="n"/>
      <c r="U31" s="96" t="n"/>
    </row>
    <row r="32" ht="21.75" customHeight="1" s="82">
      <c r="A32" s="105" t="inlineStr">
        <is>
          <t>M&amp;E Installation</t>
        </is>
      </c>
      <c r="B32" s="98" t="n"/>
      <c r="C32" s="98" t="n"/>
      <c r="D32" s="98" t="n"/>
      <c r="E32" s="98" t="n"/>
      <c r="F32" s="98" t="n"/>
      <c r="G32" s="98" t="n"/>
      <c r="H32" s="98" t="n"/>
      <c r="I32" s="98" t="n"/>
      <c r="J32" s="98" t="n"/>
      <c r="K32" s="95">
        <f>IFERROR(IF(INDEX(_Helper!A2:A501,MATCH(LARGE(_Helper!BH2:BH501,1),_Helper!BH2:BH501,0))="","-",IF(N(INDEX(_Helper!DC2:DC501,MATCH(LARGE(_Helper!BH2:BH501,1),_Helper!BH2:BH501,0)))=0,"—",INDEX(_Helper!DA2:DA501,MATCH(LARGE(_Helper!BH2:BH501,1),_Helper!BH2:BH501,0)))),"-")</f>
        <v/>
      </c>
      <c r="L32" s="96" t="n"/>
      <c r="M32" s="96" t="n"/>
      <c r="N32" s="96" t="n"/>
      <c r="O32" s="95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won"),INDEX(_Helper!DH2:DH501,MATCH(LARGE(_Helper!BH2:BH501,1),_Helper!BH2:BH501,0)))),"-")</f>
        <v/>
      </c>
      <c r="P32" s="96" t="n"/>
      <c r="Q32" s="96" t="n"/>
      <c r="R32" s="180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H2:DH501,MATCH(LARGE(_Helper!BH2:BH501,1),_Helper!BH2:BH501,0))-INDEX(_Helper!DA2:DA501,MATCH(LARGE(_Helper!BH2:BH501,1),_Helper!BH2:BH501,0))),"")</f>
        <v/>
      </c>
      <c r="S32" s="96" t="n"/>
      <c r="T32" s="96" t="n"/>
      <c r="U32" s="96" t="n"/>
    </row>
    <row r="33" ht="21.75" customHeight="1" s="82">
      <c r="A33" s="105" t="inlineStr">
        <is>
          <t>Commissioning</t>
        </is>
      </c>
      <c r="B33" s="98" t="n"/>
      <c r="C33" s="98" t="n"/>
      <c r="D33" s="98" t="n"/>
      <c r="E33" s="98" t="n"/>
      <c r="F33" s="98" t="n"/>
      <c r="G33" s="98" t="n"/>
      <c r="H33" s="98" t="n"/>
      <c r="I33" s="98" t="n"/>
      <c r="J33" s="98" t="n"/>
      <c r="K33" s="95">
        <f>IFERROR(IF(INDEX(_Helper!A2:A501,MATCH(LARGE(_Helper!BH2:BH501,1),_Helper!BH2:BH501,0))="","-",IF(N(INDEX(_Helper!DC2:DC501,MATCH(LARGE(_Helper!BH2:BH501,1),_Helper!BH2:BH501,0)))=0,"—",INDEX(_Helper!DB2:DB501,MATCH(LARGE(_Helper!BH2:BH501,1),_Helper!BH2:BH501,0)))),"-")</f>
        <v/>
      </c>
      <c r="L33" s="96" t="n"/>
      <c r="M33" s="96" t="n"/>
      <c r="N33" s="96" t="n"/>
      <c r="O33" s="95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won"),INDEX(_Helper!DI2:DI501,MATCH(LARGE(_Helper!BH2:BH501,1),_Helper!BH2:BH501,0)))),"-")</f>
        <v/>
      </c>
      <c r="P33" s="96" t="n"/>
      <c r="Q33" s="96" t="n"/>
      <c r="R33" s="180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I2:DI501,MATCH(LARGE(_Helper!BH2:BH501,1),_Helper!BH2:BH501,0))-INDEX(_Helper!DB2:DB501,MATCH(LARGE(_Helper!BH2:BH501,1),_Helper!BH2:BH501,0))),"")</f>
        <v/>
      </c>
      <c r="S33" s="96" t="n"/>
      <c r="T33" s="96" t="n"/>
      <c r="U33" s="96" t="n"/>
    </row>
    <row r="34" ht="21.75" customHeight="1" s="82" thickBot="1">
      <c r="A34" s="110" t="inlineStr">
        <is>
          <t>TOTAL PROJECT TIMELINE</t>
        </is>
      </c>
      <c r="B34" s="98" t="n"/>
      <c r="C34" s="98" t="n"/>
      <c r="D34" s="98" t="n"/>
      <c r="E34" s="98" t="n"/>
      <c r="F34" s="98" t="n"/>
      <c r="G34" s="98" t="n"/>
      <c r="H34" s="98" t="n"/>
      <c r="I34" s="98" t="n"/>
      <c r="J34" s="98" t="n"/>
      <c r="K34" s="144">
        <f>IFERROR(IF(INDEX(_Helper!A2:A501,MATCH(LARGE(_Helper!BH2:BH501,1),_Helper!BH2:BH501,0))="","-",IF(N(INDEX(_Helper!DC2:DC501,MATCH(LARGE(_Helper!BH2:BH501,1),_Helper!BH2:BH501,0)))=0,"—",INDEX(_Helper!DC2:DC501,MATCH(LARGE(_Helper!BH2:BH501,1),_Helper!BH2:BH501,0)))),"-")</f>
        <v/>
      </c>
      <c r="L34" s="96" t="n"/>
      <c r="M34" s="96" t="n"/>
      <c r="N34" s="96" t="n"/>
      <c r="O34" s="144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won"),INDEX(_Helper!DJ2:DJ501,MATCH(LARGE(_Helper!BH2:BH501,1),_Helper!BH2:BH501,0)))),"-")</f>
        <v/>
      </c>
      <c r="P34" s="96" t="n"/>
      <c r="Q34" s="96" t="n"/>
      <c r="R34" s="181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J2:DJ501,MATCH(LARGE(_Helper!BH2:BH501,1),_Helper!BH2:BH501,0))-INDEX(_Helper!DC2:DC501,MATCH(LARGE(_Helper!BH2:BH501,1),_Helper!BH2:BH501,0))),"")</f>
        <v/>
      </c>
      <c r="S34" s="96" t="n"/>
      <c r="T34" s="96" t="n"/>
      <c r="U34" s="96" t="n"/>
    </row>
    <row r="35" ht="21.75" customHeight="1" s="82" thickBot="1">
      <c r="A35" s="105" t="inlineStr">
        <is>
          <t>Sold Value (closest match)</t>
        </is>
      </c>
      <c r="B35" s="98" t="n"/>
      <c r="C35" s="98" t="n"/>
      <c r="D35" s="98" t="n"/>
      <c r="E35" s="98" t="n"/>
      <c r="F35" s="98" t="n"/>
      <c r="G35" s="98" t="n"/>
      <c r="H35" s="98" t="n"/>
      <c r="I35" s="98" t="n"/>
      <c r="J35" s="98" t="n"/>
      <c r="K35" s="108">
        <f>IFERROR(INDEX(_Helper!T2:T501,MATCH(LARGE(_Helper!BH2:BH501,1),_Helper!BH2:BH501,0))&amp;" "&amp;TEXT(INDEX(_Helper!BY2:BY501,MATCH(LARGE(_Helper!BH2:BH501,1),_Helper!BH2:BH501,0)),"#,##0.00")&amp;" M","-")</f>
        <v/>
      </c>
      <c r="L35" s="96" t="n"/>
      <c r="M35" s="96" t="n"/>
      <c r="N35" s="96" t="n"/>
      <c r="O35" s="123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5" s="96" t="n"/>
      <c r="Q35" s="96" t="n"/>
    </row>
    <row r="36" ht="18" customHeight="1" s="82" thickBot="1">
      <c r="A36" s="117" t="inlineStr">
        <is>
          <t>MANHOUR COST PROFILE  —  closest match</t>
        </is>
      </c>
      <c r="B36" s="118" t="n"/>
      <c r="C36" s="118" t="n"/>
      <c r="D36" s="118" t="n"/>
      <c r="E36" s="118" t="n"/>
      <c r="F36" s="118" t="n"/>
      <c r="G36" s="118" t="n"/>
      <c r="H36" s="118" t="n"/>
      <c r="I36" s="118" t="n"/>
      <c r="J36" s="118" t="n"/>
      <c r="K36" s="117" t="inlineStr">
        <is>
          <t>Presales est.</t>
        </is>
      </c>
      <c r="L36" s="118" t="n"/>
      <c r="M36" s="118" t="n"/>
      <c r="N36" s="118" t="n"/>
      <c r="O36" s="117" t="inlineStr">
        <is>
          <t>Actual</t>
        </is>
      </c>
      <c r="P36" s="118" t="n"/>
      <c r="Q36" s="118" t="n"/>
      <c r="R36" s="117" t="inlineStr">
        <is>
          <t>Difference</t>
        </is>
      </c>
      <c r="S36" s="118" t="n"/>
      <c r="T36" s="118" t="n"/>
      <c r="U36" s="118" t="n"/>
    </row>
    <row r="37" ht="21.75" customHeight="1" s="82" thickBot="1">
      <c r="A37" s="105" t="inlineStr">
        <is>
          <t>Mechanical Installation</t>
        </is>
      </c>
      <c r="B37" s="98" t="n"/>
      <c r="C37" s="98" t="n"/>
      <c r="D37" s="98" t="n"/>
      <c r="E37" s="98" t="n"/>
      <c r="F37" s="98" t="n"/>
      <c r="G37" s="98" t="n"/>
      <c r="H37" s="98" t="n"/>
      <c r="I37" s="98" t="n"/>
      <c r="J37" s="98" t="n"/>
      <c r="K37" s="99">
        <f>IFERROR(IF(INDEX(_Helper!A2:A501,MATCH(LARGE(_Helper!BH2:BH501,1),_Helper!BH2:BH501,0))="","-",IF(N(INDEX(_Helper!CT2:CT501,MATCH(LARGE(_Helper!BH2:BH501,1),_Helper!BH2:BH501,0)))=0,"—",INDEX(_Helper!CF2:CF501,MATCH(LARGE(_Helper!BH2:BH501,1),_Helper!BH2:BH501,0)))),"-")</f>
        <v/>
      </c>
      <c r="L37" s="96" t="n"/>
      <c r="M37" s="96" t="n"/>
      <c r="N37" s="96" t="n"/>
      <c r="O37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won"),INDEX(_Helper!BJ2:BJ501,MATCH(LARGE(_Helper!BH2:BH501,1),_Helper!BH2:BH501,0)))),"-")</f>
        <v/>
      </c>
      <c r="P37" s="96" t="n"/>
      <c r="Q37" s="96" t="n"/>
      <c r="R37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J2:BJ501,MATCH(LARGE(_Helper!BH2:BH501,1),_Helper!BH2:BH501,0))-INDEX(_Helper!CF2:CF501,MATCH(LARGE(_Helper!BH2:BH501,1),_Helper!BH2:BH501,0))),"")</f>
        <v/>
      </c>
      <c r="S37" s="96" t="n"/>
      <c r="T37" s="96" t="n"/>
      <c r="U37" s="96" t="n"/>
    </row>
    <row r="38" ht="21.75" customHeight="1" s="82" thickBot="1">
      <c r="A38" s="105" t="inlineStr">
        <is>
          <t>Electrical Installation</t>
        </is>
      </c>
      <c r="B38" s="98" t="n"/>
      <c r="C38" s="98" t="n"/>
      <c r="D38" s="98" t="n"/>
      <c r="E38" s="98" t="n"/>
      <c r="F38" s="98" t="n"/>
      <c r="G38" s="98" t="n"/>
      <c r="H38" s="98" t="n"/>
      <c r="I38" s="98" t="n"/>
      <c r="J38" s="98" t="n"/>
      <c r="K38" s="99">
        <f>IFERROR(IF(INDEX(_Helper!A2:A501,MATCH(LARGE(_Helper!BH2:BH501,1),_Helper!BH2:BH501,0))="","-",IF(N(INDEX(_Helper!CT2:CT501,MATCH(LARGE(_Helper!BH2:BH501,1),_Helper!BH2:BH501,0)))=0,"—",INDEX(_Helper!CG2:CG501,MATCH(LARGE(_Helper!BH2:BH501,1),_Helper!BH2:BH501,0)))),"-")</f>
        <v/>
      </c>
      <c r="L38" s="96" t="n"/>
      <c r="M38" s="96" t="n"/>
      <c r="N38" s="96" t="n"/>
      <c r="O38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won"),INDEX(_Helper!BK2:BK501,MATCH(LARGE(_Helper!BH2:BH501,1),_Helper!BH2:BH501,0)))),"-")</f>
        <v/>
      </c>
      <c r="P38" s="96" t="n"/>
      <c r="Q38" s="96" t="n"/>
      <c r="R38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K2:BK501,MATCH(LARGE(_Helper!BH2:BH501,1),_Helper!BH2:BH501,0))-INDEX(_Helper!CG2:CG501,MATCH(LARGE(_Helper!BH2:BH501,1),_Helper!BH2:BH501,0))),"")</f>
        <v/>
      </c>
      <c r="S38" s="96" t="n"/>
      <c r="T38" s="96" t="n"/>
      <c r="U38" s="96" t="n"/>
    </row>
    <row r="39" ht="21.75" customHeight="1" s="82" thickBot="1">
      <c r="A39" s="105" t="inlineStr">
        <is>
          <t>Project Management</t>
        </is>
      </c>
      <c r="B39" s="98" t="n"/>
      <c r="C39" s="98" t="n"/>
      <c r="D39" s="98" t="n"/>
      <c r="E39" s="98" t="n"/>
      <c r="F39" s="98" t="n"/>
      <c r="G39" s="98" t="n"/>
      <c r="H39" s="98" t="n"/>
      <c r="I39" s="98" t="n"/>
      <c r="J39" s="98" t="n"/>
      <c r="K39" s="99">
        <f>IFERROR(IF(INDEX(_Helper!A2:A501,MATCH(LARGE(_Helper!BH2:BH501,1),_Helper!BH2:BH501,0))="","-",IF(N(INDEX(_Helper!CT2:CT501,MATCH(LARGE(_Helper!BH2:BH501,1),_Helper!BH2:BH501,0)))=0,"—",INDEX(_Helper!CH2:CH501,MATCH(LARGE(_Helper!BH2:BH501,1),_Helper!BH2:BH501,0)))),"-")</f>
        <v/>
      </c>
      <c r="L39" s="96" t="n"/>
      <c r="M39" s="96" t="n"/>
      <c r="N39" s="96" t="n"/>
      <c r="O39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won"),INDEX(_Helper!BL2:BL501,MATCH(LARGE(_Helper!BH2:BH501,1),_Helper!BH2:BH501,0)))),"-")</f>
        <v/>
      </c>
      <c r="P39" s="96" t="n"/>
      <c r="Q39" s="96" t="n"/>
      <c r="R39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L2:BL501,MATCH(LARGE(_Helper!BH2:BH501,1),_Helper!BH2:BH501,0))-INDEX(_Helper!CH2:CH501,MATCH(LARGE(_Helper!BH2:BH501,1),_Helper!BH2:BH501,0))),"")</f>
        <v/>
      </c>
      <c r="S39" s="96" t="n"/>
      <c r="T39" s="96" t="n"/>
      <c r="U39" s="96" t="n"/>
    </row>
    <row r="40" ht="21.75" customHeight="1" s="82" thickBot="1">
      <c r="A40" s="105" t="inlineStr">
        <is>
          <t>Systems Engineering</t>
        </is>
      </c>
      <c r="B40" s="98" t="n"/>
      <c r="C40" s="98" t="n"/>
      <c r="D40" s="98" t="n"/>
      <c r="E40" s="98" t="n"/>
      <c r="F40" s="98" t="n"/>
      <c r="G40" s="98" t="n"/>
      <c r="H40" s="98" t="n"/>
      <c r="I40" s="98" t="n"/>
      <c r="J40" s="98" t="n"/>
      <c r="K40" s="99">
        <f>IFERROR(IF(INDEX(_Helper!A2:A501,MATCH(LARGE(_Helper!BH2:BH501,1),_Helper!BH2:BH501,0))="","-",IF(N(INDEX(_Helper!CT2:CT501,MATCH(LARGE(_Helper!BH2:BH501,1),_Helper!BH2:BH501,0)))=0,"—",INDEX(_Helper!CI2:CI501,MATCH(LARGE(_Helper!BH2:BH501,1),_Helper!BH2:BH501,0)))),"-")</f>
        <v/>
      </c>
      <c r="L40" s="96" t="n"/>
      <c r="M40" s="96" t="n"/>
      <c r="N40" s="96" t="n"/>
      <c r="O40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won"),INDEX(_Helper!BM2:BM501,MATCH(LARGE(_Helper!BH2:BH501,1),_Helper!BH2:BH501,0)))),"-")</f>
        <v/>
      </c>
      <c r="P40" s="96" t="n"/>
      <c r="Q40" s="96" t="n"/>
      <c r="R40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M2:BM501,MATCH(LARGE(_Helper!BH2:BH501,1),_Helper!BH2:BH501,0))-INDEX(_Helper!CI2:CI501,MATCH(LARGE(_Helper!BH2:BH501,1),_Helper!BH2:BH501,0))),"")</f>
        <v/>
      </c>
      <c r="S40" s="96" t="n"/>
      <c r="T40" s="96" t="n"/>
      <c r="U40" s="96" t="n"/>
    </row>
    <row r="41" ht="21.75" customHeight="1" s="82" thickBot="1">
      <c r="A41" s="105" t="inlineStr">
        <is>
          <t>Mechanical Engineering</t>
        </is>
      </c>
      <c r="B41" s="98" t="n"/>
      <c r="C41" s="98" t="n"/>
      <c r="D41" s="98" t="n"/>
      <c r="E41" s="98" t="n"/>
      <c r="F41" s="98" t="n"/>
      <c r="G41" s="98" t="n"/>
      <c r="H41" s="98" t="n"/>
      <c r="I41" s="98" t="n"/>
      <c r="J41" s="98" t="n"/>
      <c r="K41" s="99">
        <f>IFERROR(IF(INDEX(_Helper!A2:A501,MATCH(LARGE(_Helper!BH2:BH501,1),_Helper!BH2:BH501,0))="","-",IF(N(INDEX(_Helper!CT2:CT501,MATCH(LARGE(_Helper!BH2:BH501,1),_Helper!BH2:BH501,0)))=0,"—",INDEX(_Helper!CJ2:CJ501,MATCH(LARGE(_Helper!BH2:BH501,1),_Helper!BH2:BH501,0)))),"-")</f>
        <v/>
      </c>
      <c r="L41" s="96" t="n"/>
      <c r="M41" s="96" t="n"/>
      <c r="N41" s="96" t="n"/>
      <c r="O41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won"),INDEX(_Helper!BN2:BN501,MATCH(LARGE(_Helper!BH2:BH501,1),_Helper!BH2:BH501,0)))),"-")</f>
        <v/>
      </c>
      <c r="P41" s="96" t="n"/>
      <c r="Q41" s="96" t="n"/>
      <c r="R41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N2:BN501,MATCH(LARGE(_Helper!BH2:BH501,1),_Helper!BH2:BH501,0))-INDEX(_Helper!CJ2:CJ501,MATCH(LARGE(_Helper!BH2:BH501,1),_Helper!BH2:BH501,0))),"")</f>
        <v/>
      </c>
      <c r="S41" s="96" t="n"/>
      <c r="T41" s="96" t="n"/>
      <c r="U41" s="96" t="n"/>
    </row>
    <row r="42" ht="21.75" customHeight="1" s="82" thickBot="1">
      <c r="A42" s="105" t="inlineStr">
        <is>
          <t>Structural Engineering</t>
        </is>
      </c>
      <c r="B42" s="98" t="n"/>
      <c r="C42" s="98" t="n"/>
      <c r="D42" s="98" t="n"/>
      <c r="E42" s="98" t="n"/>
      <c r="F42" s="98" t="n"/>
      <c r="G42" s="98" t="n"/>
      <c r="H42" s="98" t="n"/>
      <c r="I42" s="98" t="n"/>
      <c r="J42" s="98" t="n"/>
      <c r="K42" s="99">
        <f>IFERROR(IF(INDEX(_Helper!A2:A501,MATCH(LARGE(_Helper!BH2:BH501,1),_Helper!BH2:BH501,0))="","-",IF(N(INDEX(_Helper!CT2:CT501,MATCH(LARGE(_Helper!BH2:BH501,1),_Helper!BH2:BH501,0)))=0,"—",INDEX(_Helper!CK2:CK501,MATCH(LARGE(_Helper!BH2:BH501,1),_Helper!BH2:BH501,0)))),"-")</f>
        <v/>
      </c>
      <c r="L42" s="96" t="n"/>
      <c r="M42" s="96" t="n"/>
      <c r="N42" s="96" t="n"/>
      <c r="O42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won"),INDEX(_Helper!BO2:BO501,MATCH(LARGE(_Helper!BH2:BH501,1),_Helper!BH2:BH501,0)))),"-")</f>
        <v/>
      </c>
      <c r="P42" s="96" t="n"/>
      <c r="Q42" s="96" t="n"/>
      <c r="R42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O2:BO501,MATCH(LARGE(_Helper!BH2:BH501,1),_Helper!BH2:BH501,0))-INDEX(_Helper!CK2:CK501,MATCH(LARGE(_Helper!BH2:BH501,1),_Helper!BH2:BH501,0))),"")</f>
        <v/>
      </c>
      <c r="S42" s="96" t="n"/>
      <c r="T42" s="96" t="n"/>
      <c r="U42" s="96" t="n"/>
    </row>
    <row r="43" ht="21.75" customHeight="1" s="82" thickBot="1">
      <c r="A43" s="105" t="inlineStr">
        <is>
          <t>Site Supervision</t>
        </is>
      </c>
      <c r="B43" s="98" t="n"/>
      <c r="C43" s="98" t="n"/>
      <c r="D43" s="98" t="n"/>
      <c r="E43" s="98" t="n"/>
      <c r="F43" s="98" t="n"/>
      <c r="G43" s="98" t="n"/>
      <c r="H43" s="98" t="n"/>
      <c r="I43" s="98" t="n"/>
      <c r="J43" s="98" t="n"/>
      <c r="K43" s="99">
        <f>IFERROR(IF(INDEX(_Helper!A2:A501,MATCH(LARGE(_Helper!BH2:BH501,1),_Helper!BH2:BH501,0))="","-",IF(N(INDEX(_Helper!CT2:CT501,MATCH(LARGE(_Helper!BH2:BH501,1),_Helper!BH2:BH501,0)))=0,"—",INDEX(_Helper!CL2:CL501,MATCH(LARGE(_Helper!BH2:BH501,1),_Helper!BH2:BH501,0)))),"-")</f>
        <v/>
      </c>
      <c r="L43" s="96" t="n"/>
      <c r="M43" s="96" t="n"/>
      <c r="N43" s="96" t="n"/>
      <c r="O43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won"),INDEX(_Helper!BP2:BP501,MATCH(LARGE(_Helper!BH2:BH501,1),_Helper!BH2:BH501,0)))),"-")</f>
        <v/>
      </c>
      <c r="P43" s="96" t="n"/>
      <c r="Q43" s="96" t="n"/>
      <c r="R43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P2:BP501,MATCH(LARGE(_Helper!BH2:BH501,1),_Helper!BH2:BH501,0))-INDEX(_Helper!CL2:CL501,MATCH(LARGE(_Helper!BH2:BH501,1),_Helper!BH2:BH501,0))),"")</f>
        <v/>
      </c>
      <c r="S43" s="96" t="n"/>
      <c r="T43" s="96" t="n"/>
      <c r="U43" s="96" t="n"/>
    </row>
    <row r="44" ht="21.75" customHeight="1" s="82" thickBot="1">
      <c r="A44" s="105" t="inlineStr">
        <is>
          <t>Controls Commissioning</t>
        </is>
      </c>
      <c r="B44" s="98" t="n"/>
      <c r="C44" s="98" t="n"/>
      <c r="D44" s="98" t="n"/>
      <c r="E44" s="98" t="n"/>
      <c r="F44" s="98" t="n"/>
      <c r="G44" s="98" t="n"/>
      <c r="H44" s="98" t="n"/>
      <c r="I44" s="98" t="n"/>
      <c r="J44" s="98" t="n"/>
      <c r="K44" s="99">
        <f>IFERROR(IF(INDEX(_Helper!A2:A501,MATCH(LARGE(_Helper!BH2:BH501,1),_Helper!BH2:BH501,0))="","-",IF(N(INDEX(_Helper!CT2:CT501,MATCH(LARGE(_Helper!BH2:BH501,1),_Helper!BH2:BH501,0)))=0,"—",INDEX(_Helper!CM2:CM501,MATCH(LARGE(_Helper!BH2:BH501,1),_Helper!BH2:BH501,0)))),"-")</f>
        <v/>
      </c>
      <c r="L44" s="96" t="n"/>
      <c r="M44" s="96" t="n"/>
      <c r="N44" s="96" t="n"/>
      <c r="O44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won"),INDEX(_Helper!BQ2:BQ501,MATCH(LARGE(_Helper!BH2:BH501,1),_Helper!BH2:BH501,0)))),"-")</f>
        <v/>
      </c>
      <c r="P44" s="96" t="n"/>
      <c r="Q44" s="96" t="n"/>
      <c r="R44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Q2:BQ501,MATCH(LARGE(_Helper!BH2:BH501,1),_Helper!BH2:BH501,0))-INDEX(_Helper!CM2:CM501,MATCH(LARGE(_Helper!BH2:BH501,1),_Helper!BH2:BH501,0))),"")</f>
        <v/>
      </c>
      <c r="S44" s="96" t="n"/>
      <c r="T44" s="96" t="n"/>
      <c r="U44" s="96" t="n"/>
    </row>
    <row r="45" ht="21.75" customHeight="1" s="82" thickBot="1">
      <c r="A45" s="105" t="inlineStr">
        <is>
          <t>Systems Commissioning</t>
        </is>
      </c>
      <c r="B45" s="98" t="n"/>
      <c r="C45" s="98" t="n"/>
      <c r="D45" s="98" t="n"/>
      <c r="E45" s="98" t="n"/>
      <c r="F45" s="98" t="n"/>
      <c r="G45" s="98" t="n"/>
      <c r="H45" s="98" t="n"/>
      <c r="I45" s="98" t="n"/>
      <c r="J45" s="98" t="n"/>
      <c r="K45" s="99">
        <f>IFERROR(IF(INDEX(_Helper!A2:A501,MATCH(LARGE(_Helper!BH2:BH501,1),_Helper!BH2:BH501,0))="","-",IF(N(INDEX(_Helper!CT2:CT501,MATCH(LARGE(_Helper!BH2:BH501,1),_Helper!BH2:BH501,0)))=0,"—",INDEX(_Helper!CN2:CN501,MATCH(LARGE(_Helper!BH2:BH501,1),_Helper!BH2:BH501,0)))),"-")</f>
        <v/>
      </c>
      <c r="L45" s="96" t="n"/>
      <c r="M45" s="96" t="n"/>
      <c r="N45" s="96" t="n"/>
      <c r="O45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won"),INDEX(_Helper!BR2:BR501,MATCH(LARGE(_Helper!BH2:BH501,1),_Helper!BH2:BH501,0)))),"-")</f>
        <v/>
      </c>
      <c r="P45" s="96" t="n"/>
      <c r="Q45" s="96" t="n"/>
      <c r="R45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R2:BR501,MATCH(LARGE(_Helper!BH2:BH501,1),_Helper!BH2:BH501,0))-INDEX(_Helper!CN2:CN501,MATCH(LARGE(_Helper!BH2:BH501,1),_Helper!BH2:BH501,0))),"")</f>
        <v/>
      </c>
      <c r="S45" s="96" t="n"/>
      <c r="T45" s="96" t="n"/>
      <c r="U45" s="96" t="n"/>
    </row>
    <row r="46" ht="21.75" customHeight="1" s="82" thickBot="1">
      <c r="A46" s="105" t="inlineStr">
        <is>
          <t>Service Commissioning</t>
        </is>
      </c>
      <c r="B46" s="98" t="n"/>
      <c r="C46" s="98" t="n"/>
      <c r="D46" s="98" t="n"/>
      <c r="E46" s="98" t="n"/>
      <c r="F46" s="98" t="n"/>
      <c r="G46" s="98" t="n"/>
      <c r="H46" s="98" t="n"/>
      <c r="I46" s="98" t="n"/>
      <c r="J46" s="98" t="n"/>
      <c r="K46" s="99">
        <f>IFERROR(IF(INDEX(_Helper!A2:A501,MATCH(LARGE(_Helper!BH2:BH501,1),_Helper!BH2:BH501,0))="","-",IF(N(INDEX(_Helper!CT2:CT501,MATCH(LARGE(_Helper!BH2:BH501,1),_Helper!BH2:BH501,0)))=0,"—",INDEX(_Helper!CO2:CO501,MATCH(LARGE(_Helper!BH2:BH501,1),_Helper!BH2:BH501,0)))),"-")</f>
        <v/>
      </c>
      <c r="L46" s="96" t="n"/>
      <c r="M46" s="96" t="n"/>
      <c r="N46" s="96" t="n"/>
      <c r="O46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won"),INDEX(_Helper!BS2:BS501,MATCH(LARGE(_Helper!BH2:BH501,1),_Helper!BH2:BH501,0)))),"-")</f>
        <v/>
      </c>
      <c r="P46" s="96" t="n"/>
      <c r="Q46" s="96" t="n"/>
      <c r="R46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S2:BS501,MATCH(LARGE(_Helper!BH2:BH501,1),_Helper!BH2:BH501,0))-INDEX(_Helper!CO2:CO501,MATCH(LARGE(_Helper!BH2:BH501,1),_Helper!BH2:BH501,0))),"")</f>
        <v/>
      </c>
      <c r="S46" s="96" t="n"/>
      <c r="T46" s="96" t="n"/>
      <c r="U46" s="96" t="n"/>
    </row>
    <row r="47" ht="21.75" customHeight="1" s="82" thickBot="1">
      <c r="A47" s="105" t="inlineStr">
        <is>
          <t>Controls Engineering</t>
        </is>
      </c>
      <c r="B47" s="98" t="n"/>
      <c r="C47" s="98" t="n"/>
      <c r="D47" s="98" t="n"/>
      <c r="E47" s="98" t="n"/>
      <c r="F47" s="98" t="n"/>
      <c r="G47" s="98" t="n"/>
      <c r="H47" s="98" t="n"/>
      <c r="I47" s="98" t="n"/>
      <c r="J47" s="98" t="n"/>
      <c r="K47" s="99">
        <f>IFERROR(IF(INDEX(_Helper!A2:A501,MATCH(LARGE(_Helper!BH2:BH501,1),_Helper!BH2:BH501,0))="","-",IF(N(INDEX(_Helper!CT2:CT501,MATCH(LARGE(_Helper!BH2:BH501,1),_Helper!BH2:BH501,0)))=0,"—",INDEX(_Helper!CP2:CP501,MATCH(LARGE(_Helper!BH2:BH501,1),_Helper!BH2:BH501,0)))),"-")</f>
        <v/>
      </c>
      <c r="L47" s="96" t="n"/>
      <c r="M47" s="96" t="n"/>
      <c r="N47" s="96" t="n"/>
      <c r="O47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won"),INDEX(_Helper!BT2:BT501,MATCH(LARGE(_Helper!BH2:BH501,1),_Helper!BH2:BH501,0)))),"-")</f>
        <v/>
      </c>
      <c r="P47" s="96" t="n"/>
      <c r="Q47" s="96" t="n"/>
      <c r="R47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T2:BT501,MATCH(LARGE(_Helper!BH2:BH501,1),_Helper!BH2:BH501,0))-INDEX(_Helper!CP2:CP501,MATCH(LARGE(_Helper!BH2:BH501,1),_Helper!BH2:BH501,0))),"")</f>
        <v/>
      </c>
      <c r="S47" s="96" t="n"/>
      <c r="T47" s="96" t="n"/>
      <c r="U47" s="96" t="n"/>
    </row>
    <row r="48" ht="21.75" customHeight="1" s="82" thickBot="1">
      <c r="A48" s="105" t="inlineStr">
        <is>
          <t>Controls Purchase</t>
        </is>
      </c>
      <c r="B48" s="98" t="n"/>
      <c r="C48" s="98" t="n"/>
      <c r="D48" s="98" t="n"/>
      <c r="E48" s="98" t="n"/>
      <c r="F48" s="98" t="n"/>
      <c r="G48" s="98" t="n"/>
      <c r="H48" s="98" t="n"/>
      <c r="I48" s="98" t="n"/>
      <c r="J48" s="98" t="n"/>
      <c r="K48" s="99">
        <f>IFERROR(IF(INDEX(_Helper!A2:A501,MATCH(LARGE(_Helper!BH2:BH501,1),_Helper!BH2:BH501,0))="","-",IF(N(INDEX(_Helper!CT2:CT501,MATCH(LARGE(_Helper!BH2:BH501,1),_Helper!BH2:BH501,0)))=0,"—",INDEX(_Helper!CQ2:CQ501,MATCH(LARGE(_Helper!BH2:BH501,1),_Helper!BH2:BH501,0)))),"-")</f>
        <v/>
      </c>
      <c r="L48" s="96" t="n"/>
      <c r="M48" s="96" t="n"/>
      <c r="N48" s="96" t="n"/>
      <c r="O48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won"),INDEX(_Helper!BU2:BU501,MATCH(LARGE(_Helper!BH2:BH501,1),_Helper!BH2:BH501,0)))),"-")</f>
        <v/>
      </c>
      <c r="P48" s="96" t="n"/>
      <c r="Q48" s="96" t="n"/>
      <c r="R48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U2:BU501,MATCH(LARGE(_Helper!BH2:BH501,1),_Helper!BH2:BH501,0))-INDEX(_Helper!CQ2:CQ501,MATCH(LARGE(_Helper!BH2:BH501,1),_Helper!BH2:BH501,0))),"")</f>
        <v/>
      </c>
      <c r="S48" s="96" t="n"/>
      <c r="T48" s="96" t="n"/>
      <c r="U48" s="96" t="n"/>
    </row>
    <row r="49" ht="21.75" customHeight="1" s="82" thickBot="1">
      <c r="A49" s="105" t="inlineStr">
        <is>
          <t>Software Engineering</t>
        </is>
      </c>
      <c r="B49" s="98" t="n"/>
      <c r="C49" s="98" t="n"/>
      <c r="D49" s="98" t="n"/>
      <c r="E49" s="98" t="n"/>
      <c r="F49" s="98" t="n"/>
      <c r="G49" s="98" t="n"/>
      <c r="H49" s="98" t="n"/>
      <c r="I49" s="98" t="n"/>
      <c r="J49" s="98" t="n"/>
      <c r="K49" s="99">
        <f>IFERROR(IF(INDEX(_Helper!A2:A501,MATCH(LARGE(_Helper!BH2:BH501,1),_Helper!BH2:BH501,0))="","-",IF(N(INDEX(_Helper!CT2:CT501,MATCH(LARGE(_Helper!BH2:BH501,1),_Helper!BH2:BH501,0)))=0,"—",INDEX(_Helper!CR2:CR501,MATCH(LARGE(_Helper!BH2:BH501,1),_Helper!BH2:BH501,0)))),"-")</f>
        <v/>
      </c>
      <c r="L49" s="96" t="n"/>
      <c r="M49" s="96" t="n"/>
      <c r="N49" s="96" t="n"/>
      <c r="O49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won"),INDEX(_Helper!BV2:BV501,MATCH(LARGE(_Helper!BH2:BH501,1),_Helper!BH2:BH501,0)))),"-")</f>
        <v/>
      </c>
      <c r="P49" s="96" t="n"/>
      <c r="Q49" s="96" t="n"/>
      <c r="R49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V2:BV501,MATCH(LARGE(_Helper!BH2:BH501,1),_Helper!BH2:BH501,0))-INDEX(_Helper!CR2:CR501,MATCH(LARGE(_Helper!BH2:BH501,1),_Helper!BH2:BH501,0))),"")</f>
        <v/>
      </c>
      <c r="S49" s="96" t="n"/>
      <c r="T49" s="96" t="n"/>
      <c r="U49" s="96" t="n"/>
    </row>
    <row r="50" ht="21.75" customHeight="1" s="82" thickBot="1">
      <c r="A50" s="105" t="inlineStr">
        <is>
          <t>Miscellaneous</t>
        </is>
      </c>
      <c r="B50" s="98" t="n"/>
      <c r="C50" s="98" t="n"/>
      <c r="D50" s="98" t="n"/>
      <c r="E50" s="98" t="n"/>
      <c r="F50" s="98" t="n"/>
      <c r="G50" s="98" t="n"/>
      <c r="H50" s="98" t="n"/>
      <c r="I50" s="98" t="n"/>
      <c r="J50" s="98" t="n"/>
      <c r="K50" s="99">
        <f>IFERROR(IF(INDEX(_Helper!A2:A501,MATCH(LARGE(_Helper!BH2:BH501,1),_Helper!BH2:BH501,0))="","-",IF(N(INDEX(_Helper!CT2:CT501,MATCH(LARGE(_Helper!BH2:BH501,1),_Helper!BH2:BH501,0)))=0,"—",INDEX(_Helper!CS2:CS501,MATCH(LARGE(_Helper!BH2:BH501,1),_Helper!BH2:BH501,0)))),"-")</f>
        <v/>
      </c>
      <c r="L50" s="96" t="n"/>
      <c r="M50" s="96" t="n"/>
      <c r="N50" s="96" t="n"/>
      <c r="O50" s="99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—","Not won"),INDEX(_Helper!BW2:BW501,MATCH(LARGE(_Helper!BH2:BH501,1),_Helper!BH2:BH501,0)))),"-")</f>
        <v/>
      </c>
      <c r="P50" s="96" t="n"/>
      <c r="Q50" s="96" t="n"/>
      <c r="R50" s="182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W2:BW501,MATCH(LARGE(_Helper!BH2:BH501,1),_Helper!BH2:BH501,0))-INDEX(_Helper!CS2:CS501,MATCH(LARGE(_Helper!BH2:BH501,1),_Helper!BH2:BH501,0))),"")</f>
        <v/>
      </c>
      <c r="S50" s="96" t="n"/>
      <c r="T50" s="96" t="n"/>
      <c r="U50" s="96" t="n"/>
    </row>
    <row r="51" ht="21.75" customHeight="1" s="82">
      <c r="A51" s="110" t="inlineStr">
        <is>
          <t>TOTAL MANHOUR COST</t>
        </is>
      </c>
      <c r="B51" s="98" t="n"/>
      <c r="C51" s="98" t="n"/>
      <c r="D51" s="98" t="n"/>
      <c r="E51" s="98" t="n"/>
      <c r="F51" s="98" t="n"/>
      <c r="G51" s="98" t="n"/>
      <c r="H51" s="98" t="n"/>
      <c r="I51" s="98" t="n"/>
      <c r="J51" s="98" t="n"/>
      <c r="K51" s="106">
        <f>IFERROR(IF(INDEX(_Helper!A2:A501,MATCH(LARGE(_Helper!BH2:BH501,1),_Helper!BH2:BH501,0))="","-",IF(N(INDEX(_Helper!CT2:CT501,MATCH(LARGE(_Helper!BH2:BH501,1),_Helper!BH2:BH501,0)))=0,"No data",INDEX(_Helper!CT2:CT501,MATCH(LARGE(_Helper!BH2:BH501,1),_Helper!BH2:BH501,0)))),"-")</f>
        <v/>
      </c>
      <c r="L51" s="96" t="n"/>
      <c r="M51" s="96" t="n"/>
      <c r="N51" s="96" t="n"/>
      <c r="O51" s="106">
        <f>IFERROR(IF(INDEX(_Helper!A2:A501,MATCH(LARGE(_Helper!BH2:BH501,1),_Helper!BH2:BH501,0))="","-",IF(N(INDEX(_Helper!BX2:BX501,MATCH(LARGE(_Helper!BH2:BH501,1),_Helper!BH2:BH501,0)))=0,IF(INDEX(_Helper!CC2:CC501,MATCH(LARGE(_Helper!BH2:BH501,1),_Helper!BH2:BH501,0))="Yes","No data","Not won"),INDEX(_Helper!BX2:BX501,MATCH(LARGE(_Helper!BH2:BH501,1),_Helper!BH2:BH501,0)))),"-")</f>
        <v/>
      </c>
      <c r="P51" s="96" t="n"/>
      <c r="Q51" s="96" t="n"/>
      <c r="R51" s="183">
        <f>IFERROR(IF(OR(INDEX(_Helper!A2:A501,MATCH(LARGE(_Helper!BH2:BH501,1),_Helper!BH2:BH501,0))="",N(INDEX(_Helper!CT2:CT501,MATCH(LARGE(_Helper!BH2:BH501,1),_Helper!BH2:BH501,0)))=0,N(INDEX(_Helper!BX2:BX501,MATCH(LARGE(_Helper!BH2:BH501,1),_Helper!BH2:BH501,0)))=0),"",INDEX(_Helper!BX2:BX501,MATCH(LARGE(_Helper!BH2:BH501,1),_Helper!BH2:BH501,0))-INDEX(_Helper!CT2:CT501,MATCH(LARGE(_Helper!BH2:BH501,1),_Helper!BH2:BH501,0))),"")</f>
        <v/>
      </c>
      <c r="S51" s="96" t="n"/>
      <c r="T51" s="96" t="n"/>
      <c r="U51" s="96" t="n"/>
    </row>
    <row r="52" ht="21.75" customHeight="1" s="82">
      <c r="A52" s="105" t="inlineStr">
        <is>
          <t>Project cost (M)</t>
        </is>
      </c>
      <c r="B52" s="98" t="n"/>
      <c r="C52" s="98" t="n"/>
      <c r="D52" s="98" t="n"/>
      <c r="E52" s="98" t="n"/>
      <c r="F52" s="98" t="n"/>
      <c r="G52" s="98" t="n"/>
      <c r="H52" s="98" t="n"/>
      <c r="I52" s="98" t="n"/>
      <c r="J52" s="98" t="n"/>
      <c r="K52" s="108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L52" s="96" t="n"/>
      <c r="M52" s="96" t="n"/>
      <c r="N52" s="96" t="n"/>
      <c r="O52" s="123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P52" s="96" t="n"/>
      <c r="Q52" s="96" t="n"/>
      <c r="R52" s="108">
        <f>IFERROR(IF(AND(N(INDEX(_Helper!CU2:CU501,MATCH(LARGE(_Helper!BH2:BH501,1),_Helper!BH2:BH501,0)))&gt;0,N(INDEX(_Helper!CV2:CV501,MATCH(LARGE(_Helper!BH2:BH501,1),_Helper!BH2:BH501,0)))&gt;0),IF((INDEX(_Helper!CV2:CV501,MATCH(LARGE(_Helper!BH2:BH501,1),_Helper!BH2:BH501,0))-INDEX(_Helper!CU2:CU501,MATCH(LARGE(_Helper!BH2:BH501,1),_Helper!BH2:BH501,0)))&lt;0,"-","+")&amp;TEXT(ABS(INDEX(_Helper!CV2:CV501,MATCH(LARGE(_Helper!BH2:BH501,1),_Helper!BH2:BH501,0))-INDEX(_Helper!CU2:CU501,MATCH(LARGE(_Helper!BH2:BH501,1),_Helper!BH2:BH501,0))),"#,##0.00")&amp;" M",""),"")</f>
        <v/>
      </c>
      <c r="S52" s="96" t="n"/>
      <c r="T52" s="96" t="n"/>
      <c r="U52" s="96" t="n"/>
    </row>
    <row r="53" ht="21.75" customHeight="1" s="82" thickBot="1">
      <c r="A53" s="105" t="inlineStr">
        <is>
          <t>Manhour cost (M)</t>
        </is>
      </c>
      <c r="B53" s="98" t="n"/>
      <c r="C53" s="98" t="n"/>
      <c r="D53" s="98" t="n"/>
      <c r="E53" s="98" t="n"/>
      <c r="F53" s="98" t="n"/>
      <c r="G53" s="98" t="n"/>
      <c r="H53" s="98" t="n"/>
      <c r="I53" s="98" t="n"/>
      <c r="J53" s="98" t="n"/>
      <c r="K53" s="108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L53" s="96" t="n"/>
      <c r="M53" s="96" t="n"/>
      <c r="N53" s="96" t="n"/>
      <c r="O53" s="123">
        <f>IFERROR(IF(OR(N(INDEX(_Helper!BX2:BX501,MATCH(LARGE(_Helper!BH2:BH501,1),_Helper!BH2:BH501,0)))=0,N(INDEX(_Helper!CV2:CV501,MATCH(LARGE(_Helper!BH2:BH501,1),_Helper!BH2:BH501,0)))=0),"—",INDEX(_Helper!T2:T501,MATCH(LARGE(_Helper!BH2:BH501,1),_Helper!BH2:BH501,0))&amp;"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P53" s="96" t="n"/>
      <c r="Q53" s="96" t="n"/>
      <c r="R53" s="108">
        <f>IFERROR(IF(OR(N(INDEX(_Helper!CT2:CT501,MATCH(LARGE(_Helper!BH2:BH501,1),_Helper!BH2:BH501,0)))=0,N(INDEX(_Helper!BX2:BX501,MATCH(LARGE(_Helper!BH2:BH501,1),_Helper!BH2:BH501,0)))=0,N(INDEX(_Helper!CU2:CU501,MATCH(LARGE(_Helper!BH2:BH501,1),_Helper!BH2:BH501,0)))=0,N(INDEX(_Helper!CV2:CV501,MATCH(LARGE(_Helper!BH2:BH501,1),_Helper!BH2:BH501,0)))=0),"",IF(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&lt;0,"-","+")&amp;TEXT(ABS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,"#,##0.00")&amp;" M"),"")</f>
        <v/>
      </c>
      <c r="S53" s="96" t="n"/>
      <c r="T53" s="96" t="n"/>
      <c r="U53" s="96" t="n"/>
    </row>
    <row r="54" ht="15.75" customHeight="1" s="82"/>
    <row r="55" ht="15.75" customHeight="1" s="82"/>
    <row r="56" ht="21.75" customHeight="1" s="82">
      <c r="A56" s="114" t="inlineStr">
        <is>
          <t xml:space="preserve">  SYSTEM MATCH SCORECARD  —  closest match breakdown</t>
        </is>
      </c>
      <c r="R56" s="3" t="n"/>
      <c r="S56" s="3" t="n"/>
      <c r="T56" s="3" t="n"/>
      <c r="U56" s="3" t="n"/>
    </row>
    <row r="57" ht="19.5" customHeight="1" s="82">
      <c r="A57" s="130" t="inlineStr">
        <is>
          <t>System</t>
        </is>
      </c>
      <c r="B57" s="118" t="n"/>
      <c r="C57" s="118" t="n"/>
      <c r="D57" s="118" t="n"/>
      <c r="E57" s="118" t="n"/>
      <c r="F57" s="135" t="inlineStr">
        <is>
          <t>Score</t>
        </is>
      </c>
      <c r="G57" s="118" t="n"/>
      <c r="H57" s="118" t="n"/>
      <c r="I57" s="135" t="inlineStr">
        <is>
          <t>Status</t>
        </is>
      </c>
      <c r="J57" s="118" t="n"/>
      <c r="K57" s="118" t="n"/>
      <c r="L57" s="135" t="inlineStr">
        <is>
          <t>Match Strength  ◀──────────────▶</t>
        </is>
      </c>
      <c r="M57" s="118" t="n"/>
      <c r="N57" s="118" t="n"/>
      <c r="O57" s="118" t="n"/>
      <c r="P57" s="118" t="n"/>
      <c r="Q57" s="118" t="n"/>
      <c r="R57" s="3" t="n"/>
      <c r="S57" s="3" t="n"/>
      <c r="T57" s="3" t="n"/>
      <c r="U57" s="3" t="n"/>
    </row>
    <row r="58" ht="24" customHeight="1" s="82">
      <c r="A58" s="138" t="inlineStr">
        <is>
          <t>Multishuttle</t>
        </is>
      </c>
      <c r="B58" s="75" t="n"/>
      <c r="C58" s="75" t="n"/>
      <c r="D58" s="75" t="n"/>
      <c r="E58" s="75" t="n"/>
      <c r="F58" s="112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8" s="96" t="n"/>
      <c r="H58" s="96" t="n"/>
      <c r="I58" s="116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8" s="98" t="n"/>
      <c r="K58" s="98" t="n"/>
      <c r="L58" s="107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8" s="98" t="n"/>
      <c r="N58" s="98" t="n"/>
      <c r="O58" s="98" t="n"/>
      <c r="P58" s="98" t="n"/>
      <c r="Q58" s="98" t="n"/>
      <c r="R58" s="3" t="n"/>
      <c r="S58" s="3" t="n"/>
      <c r="T58" s="3" t="n"/>
      <c r="U58" s="3" t="n"/>
    </row>
    <row r="59" ht="24" customHeight="1" s="82">
      <c r="A59" s="134" t="inlineStr">
        <is>
          <t>AutoStore</t>
        </is>
      </c>
      <c r="B59" s="75" t="n"/>
      <c r="C59" s="75" t="n"/>
      <c r="D59" s="75" t="n"/>
      <c r="E59" s="75" t="n"/>
      <c r="F59" s="112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9" s="96" t="n"/>
      <c r="H59" s="96" t="n"/>
      <c r="I59" s="122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9" s="98" t="n"/>
      <c r="K59" s="98" t="n"/>
      <c r="L59" s="97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9" s="98" t="n"/>
      <c r="N59" s="98" t="n"/>
      <c r="O59" s="98" t="n"/>
      <c r="P59" s="98" t="n"/>
      <c r="Q59" s="98" t="n"/>
      <c r="R59" s="3" t="n"/>
      <c r="S59" s="3" t="n"/>
      <c r="T59" s="3" t="n"/>
      <c r="U59" s="3" t="n"/>
    </row>
    <row r="60" ht="24" customHeight="1" s="82">
      <c r="A60" s="141" t="inlineStr">
        <is>
          <t>Pallet Shuttle</t>
        </is>
      </c>
      <c r="B60" s="75" t="n"/>
      <c r="C60" s="75" t="n"/>
      <c r="D60" s="75" t="n"/>
      <c r="E60" s="75" t="n"/>
      <c r="F60" s="112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60" s="96" t="n"/>
      <c r="H60" s="96" t="n"/>
      <c r="I60" s="116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60" s="98" t="n"/>
      <c r="K60" s="98" t="n"/>
      <c r="L60" s="107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60" s="98" t="n"/>
      <c r="N60" s="98" t="n"/>
      <c r="O60" s="98" t="n"/>
      <c r="P60" s="98" t="n"/>
      <c r="Q60" s="98" t="n"/>
      <c r="R60" s="3" t="n"/>
      <c r="S60" s="3" t="n"/>
      <c r="T60" s="3" t="n"/>
      <c r="U60" s="3" t="n"/>
    </row>
    <row r="61" ht="24" customHeight="1" s="82">
      <c r="A61" s="148" t="inlineStr">
        <is>
          <t>SRM Crane</t>
        </is>
      </c>
      <c r="B61" s="75" t="n"/>
      <c r="C61" s="75" t="n"/>
      <c r="D61" s="75" t="n"/>
      <c r="E61" s="75" t="n"/>
      <c r="F61" s="112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61" s="96" t="n"/>
      <c r="H61" s="96" t="n"/>
      <c r="I61" s="122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61" s="98" t="n"/>
      <c r="K61" s="98" t="n"/>
      <c r="L61" s="97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61" s="98" t="n"/>
      <c r="N61" s="98" t="n"/>
      <c r="O61" s="98" t="n"/>
      <c r="P61" s="98" t="n"/>
      <c r="Q61" s="98" t="n"/>
      <c r="R61" s="3" t="n"/>
      <c r="S61" s="3" t="n"/>
      <c r="T61" s="3" t="n"/>
      <c r="U61" s="3" t="n"/>
    </row>
    <row r="62" ht="24" customHeight="1" s="82">
      <c r="A62" s="120" t="inlineStr">
        <is>
          <t>Conveyors</t>
        </is>
      </c>
      <c r="B62" s="75" t="n"/>
      <c r="C62" s="75" t="n"/>
      <c r="D62" s="75" t="n"/>
      <c r="E62" s="75" t="n"/>
      <c r="F62" s="112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62" s="96" t="n"/>
      <c r="H62" s="96" t="n"/>
      <c r="I62" s="116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62" s="98" t="n"/>
      <c r="K62" s="98" t="n"/>
      <c r="L62" s="107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62" s="98" t="n"/>
      <c r="N62" s="98" t="n"/>
      <c r="O62" s="98" t="n"/>
      <c r="P62" s="98" t="n"/>
      <c r="Q62" s="98" t="n"/>
      <c r="R62" s="3" t="n"/>
      <c r="S62" s="3" t="n"/>
      <c r="T62" s="3" t="n"/>
      <c r="U62" s="3" t="n"/>
    </row>
    <row r="63" ht="24" customHeight="1" s="82">
      <c r="A63" s="139" t="inlineStr">
        <is>
          <t>Keywords</t>
        </is>
      </c>
      <c r="B63" s="75" t="n"/>
      <c r="C63" s="75" t="n"/>
      <c r="D63" s="75" t="n"/>
      <c r="E63" s="75" t="n"/>
      <c r="F63" s="112">
        <f>IF('Smart Search'!G13=0,"—",TEXT(IFERROR(INDEX(_Helper!BD2:BD501,MATCH(LARGE(_Helper!BH2:BH501,1),_Helper!BH2:BH501,0))/IFERROR(1/'Smart Search'!H13,0),0),"0%"))</f>
        <v/>
      </c>
      <c r="G63" s="96" t="n"/>
      <c r="H63" s="96" t="n"/>
      <c r="I63" s="122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3" s="98" t="n"/>
      <c r="K63" s="98" t="n"/>
      <c r="L63" s="97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3" s="98" t="n"/>
      <c r="N63" s="98" t="n"/>
      <c r="O63" s="98" t="n"/>
      <c r="P63" s="98" t="n"/>
      <c r="Q63" s="98" t="n"/>
      <c r="R63" s="3" t="n"/>
      <c r="S63" s="3" t="n"/>
      <c r="T63" s="3" t="n"/>
      <c r="U63" s="3" t="n"/>
    </row>
    <row r="64" ht="15.75" customHeight="1" s="82">
      <c r="A64" s="143" t="inlineStr">
        <is>
          <t xml:space="preserve">  ✅ Strong ≥ 70%     🟡 Partial 30–69%     ❌ Weak &lt; 30%     — System not included in search</t>
        </is>
      </c>
      <c r="R64" s="3" t="n"/>
      <c r="S64" s="3" t="n"/>
      <c r="T64" s="3" t="n"/>
      <c r="U64" s="3" t="n"/>
    </row>
  </sheetData>
  <mergeCells count="170">
    <mergeCell ref="O29:Q29"/>
    <mergeCell ref="L62:Q62"/>
    <mergeCell ref="K48:N48"/>
    <mergeCell ref="I10:Q11"/>
    <mergeCell ref="O44:Q44"/>
    <mergeCell ref="A14:V14"/>
    <mergeCell ref="O31:Q31"/>
    <mergeCell ref="A43:J43"/>
    <mergeCell ref="L8:Q8"/>
    <mergeCell ref="K38:N38"/>
    <mergeCell ref="A52:J52"/>
    <mergeCell ref="O51:Q51"/>
    <mergeCell ref="L63:Q63"/>
    <mergeCell ref="R52:U52"/>
    <mergeCell ref="O47:Q47"/>
    <mergeCell ref="K49:N49"/>
    <mergeCell ref="I8:K8"/>
    <mergeCell ref="A34:J34"/>
    <mergeCell ref="R44:U44"/>
    <mergeCell ref="F61:H61"/>
    <mergeCell ref="K33:N33"/>
    <mergeCell ref="A11:G11"/>
    <mergeCell ref="A15:V15"/>
    <mergeCell ref="R28:U28"/>
    <mergeCell ref="A49:J49"/>
    <mergeCell ref="I63:K63"/>
    <mergeCell ref="A36:J36"/>
    <mergeCell ref="A57:E57"/>
    <mergeCell ref="K26:N26"/>
    <mergeCell ref="I59:K59"/>
    <mergeCell ref="K35:N35"/>
    <mergeCell ref="R30:U30"/>
    <mergeCell ref="O33:Q33"/>
    <mergeCell ref="A63:E63"/>
    <mergeCell ref="R51:U51"/>
    <mergeCell ref="O39:Q39"/>
    <mergeCell ref="R32:U32"/>
    <mergeCell ref="R41:U41"/>
    <mergeCell ref="A32:J32"/>
    <mergeCell ref="L5:Q5"/>
    <mergeCell ref="K39:N39"/>
    <mergeCell ref="K53:N53"/>
    <mergeCell ref="A29:J29"/>
    <mergeCell ref="R43:U43"/>
    <mergeCell ref="A38:J38"/>
    <mergeCell ref="O50:Q50"/>
    <mergeCell ref="K37:N37"/>
    <mergeCell ref="A44:J44"/>
    <mergeCell ref="R33:U33"/>
    <mergeCell ref="I62:K62"/>
    <mergeCell ref="A31:J31"/>
    <mergeCell ref="O46:Q46"/>
    <mergeCell ref="A40:J40"/>
    <mergeCell ref="O52:Q52"/>
    <mergeCell ref="A23:U23"/>
    <mergeCell ref="O48:Q48"/>
    <mergeCell ref="A1:G1"/>
    <mergeCell ref="O38:Q38"/>
    <mergeCell ref="K51:N51"/>
    <mergeCell ref="R25:U25"/>
    <mergeCell ref="I9:Q9"/>
    <mergeCell ref="K32:N32"/>
    <mergeCell ref="K41:N41"/>
    <mergeCell ref="K50:N50"/>
    <mergeCell ref="R45:U45"/>
    <mergeCell ref="A24:U24"/>
    <mergeCell ref="A3:G3"/>
    <mergeCell ref="L57:Q57"/>
    <mergeCell ref="A26:D26"/>
    <mergeCell ref="A12:G12"/>
    <mergeCell ref="K43:N43"/>
    <mergeCell ref="A50:J50"/>
    <mergeCell ref="K52:N52"/>
    <mergeCell ref="R47:U47"/>
    <mergeCell ref="A58:E58"/>
    <mergeCell ref="A42:J42"/>
    <mergeCell ref="K27:N27"/>
    <mergeCell ref="F59:H59"/>
    <mergeCell ref="A47:J47"/>
    <mergeCell ref="E10:G10"/>
    <mergeCell ref="K42:N42"/>
    <mergeCell ref="O49:Q49"/>
    <mergeCell ref="O41:Q41"/>
    <mergeCell ref="O35:Q35"/>
    <mergeCell ref="A60:E60"/>
    <mergeCell ref="A64:Q64"/>
    <mergeCell ref="O25:Q25"/>
    <mergeCell ref="A28:J28"/>
    <mergeCell ref="O43:Q43"/>
    <mergeCell ref="K28:N28"/>
    <mergeCell ref="O27:Q27"/>
    <mergeCell ref="I5:K5"/>
    <mergeCell ref="O42:Q42"/>
    <mergeCell ref="A30:J30"/>
    <mergeCell ref="K25:N25"/>
    <mergeCell ref="F58:H58"/>
    <mergeCell ref="K30:N30"/>
    <mergeCell ref="L6:Q6"/>
    <mergeCell ref="A51:J51"/>
    <mergeCell ref="E25:J25"/>
    <mergeCell ref="K45:N45"/>
    <mergeCell ref="A56:Q56"/>
    <mergeCell ref="F60:H60"/>
    <mergeCell ref="R49:U49"/>
    <mergeCell ref="F57:H57"/>
    <mergeCell ref="K29:N29"/>
    <mergeCell ref="O37:Q37"/>
    <mergeCell ref="R34:U34"/>
    <mergeCell ref="K47:N47"/>
    <mergeCell ref="A41:J41"/>
    <mergeCell ref="F63:H63"/>
    <mergeCell ref="K31:N31"/>
    <mergeCell ref="K46:N46"/>
    <mergeCell ref="L7:Q7"/>
    <mergeCell ref="R27:U27"/>
    <mergeCell ref="K40:N40"/>
    <mergeCell ref="O53:Q53"/>
    <mergeCell ref="R36:U36"/>
    <mergeCell ref="A27:J27"/>
    <mergeCell ref="A2:G2"/>
    <mergeCell ref="I57:K57"/>
    <mergeCell ref="R42:U42"/>
    <mergeCell ref="I7:K7"/>
    <mergeCell ref="A33:J33"/>
    <mergeCell ref="A59:E59"/>
    <mergeCell ref="R53:U53"/>
    <mergeCell ref="O32:Q32"/>
    <mergeCell ref="O26:Q26"/>
    <mergeCell ref="A53:J53"/>
    <mergeCell ref="A35:J35"/>
    <mergeCell ref="I58:K58"/>
    <mergeCell ref="R46:U46"/>
    <mergeCell ref="A61:E61"/>
    <mergeCell ref="F62:H62"/>
    <mergeCell ref="I12:Q12"/>
    <mergeCell ref="L58:Q58"/>
    <mergeCell ref="R39:U39"/>
    <mergeCell ref="O40:Q40"/>
    <mergeCell ref="R48:U48"/>
    <mergeCell ref="A39:J39"/>
    <mergeCell ref="K34:N34"/>
    <mergeCell ref="L60:Q60"/>
    <mergeCell ref="A48:J48"/>
    <mergeCell ref="R29:U29"/>
    <mergeCell ref="E26:J26"/>
    <mergeCell ref="I1:Q1"/>
    <mergeCell ref="R38:U38"/>
    <mergeCell ref="I4:Q4"/>
    <mergeCell ref="A45:J45"/>
    <mergeCell ref="L59:Q59"/>
    <mergeCell ref="K36:N36"/>
    <mergeCell ref="R31:U31"/>
    <mergeCell ref="I60:K60"/>
    <mergeCell ref="R40:U40"/>
    <mergeCell ref="A25:D25"/>
    <mergeCell ref="L61:Q61"/>
    <mergeCell ref="R37:U37"/>
    <mergeCell ref="O34:Q34"/>
    <mergeCell ref="I6:K6"/>
    <mergeCell ref="O28:Q28"/>
    <mergeCell ref="K44:N44"/>
    <mergeCell ref="A46:J46"/>
    <mergeCell ref="A37:J37"/>
    <mergeCell ref="A62:E62"/>
    <mergeCell ref="R26:U26"/>
    <mergeCell ref="O36:Q36"/>
    <mergeCell ref="I61:K61"/>
    <mergeCell ref="O30:Q30"/>
    <mergeCell ref="O45:Q45"/>
    <mergeCell ref="R50:U50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J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82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Sold 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Act TOTAL</t>
        </is>
      </c>
      <c r="BY1" s="4" t="inlineStr">
        <is>
          <t>Sold 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Sold Value (USD M)</t>
        </is>
      </c>
      <c r="CE1" s="4" t="n"/>
      <c r="CF1" s="4" t="inlineStr">
        <is>
          <t>MH% Est Mech Inst</t>
        </is>
      </c>
      <c r="CG1" s="4" t="inlineStr">
        <is>
          <t>MH% Est Elec Inst</t>
        </is>
      </c>
      <c r="CH1" s="4" t="inlineStr">
        <is>
          <t>MH% Est Project Management</t>
        </is>
      </c>
      <c r="CI1" s="4" t="inlineStr">
        <is>
          <t>MH% Est Systems Eng</t>
        </is>
      </c>
      <c r="CJ1" s="4" t="inlineStr">
        <is>
          <t>MH% Est Mechanical Eng</t>
        </is>
      </c>
      <c r="CK1" s="4" t="inlineStr">
        <is>
          <t>MH% Est Structural Engineering</t>
        </is>
      </c>
      <c r="CL1" s="4" t="inlineStr">
        <is>
          <t>MH% Est Site Sup</t>
        </is>
      </c>
      <c r="CM1" s="4" t="inlineStr">
        <is>
          <t>MH% Est Controls Commissioning</t>
        </is>
      </c>
      <c r="CN1" s="4" t="inlineStr">
        <is>
          <t>MH% Est Systems Commissioning</t>
        </is>
      </c>
      <c r="CO1" s="4" t="inlineStr">
        <is>
          <t>MH% Est Service Commissioning</t>
        </is>
      </c>
      <c r="CP1" s="4" t="inlineStr">
        <is>
          <t>MH% Est Controls Eng</t>
        </is>
      </c>
      <c r="CQ1" s="4" t="inlineStr">
        <is>
          <t>MH% Est Controls Purchase</t>
        </is>
      </c>
      <c r="CR1" s="4" t="inlineStr">
        <is>
          <t>MH% Est Software Eng</t>
        </is>
      </c>
      <c r="CS1" s="4" t="inlineStr">
        <is>
          <t>MH% Est Misc</t>
        </is>
      </c>
      <c r="CT1" s="4" t="inlineStr">
        <is>
          <t>MH% Est TOTAL</t>
        </is>
      </c>
      <c r="CU1" s="4" t="inlineStr">
        <is>
          <t>Est Cost (M)</t>
        </is>
      </c>
      <c r="CV1" s="4" t="inlineStr">
        <is>
          <t>Act Cost (M)</t>
        </is>
      </c>
      <c r="CW1" s="4" t="inlineStr">
        <is>
          <t>Plan Mech Eng (wks)</t>
        </is>
      </c>
      <c r="CX1" s="4" t="inlineStr">
        <is>
          <t>Plan Controls Eng (wks)</t>
        </is>
      </c>
      <c r="CY1" s="4" t="inlineStr">
        <is>
          <t>Plan Systems Eng (wks)</t>
        </is>
      </c>
      <c r="CZ1" s="4" t="inlineStr">
        <is>
          <t>Plan Software Eng (wks)</t>
        </is>
      </c>
      <c r="DA1" s="4" t="inlineStr">
        <is>
          <t>Plan M&amp;E Installation (wks)</t>
        </is>
      </c>
      <c r="DB1" s="4" t="inlineStr">
        <is>
          <t>Plan Commissioning (wks)</t>
        </is>
      </c>
      <c r="DC1" s="4" t="inlineStr">
        <is>
          <t>Plan Total (wks)</t>
        </is>
      </c>
      <c r="DD1" s="4" t="inlineStr">
        <is>
          <t>Act Mech Eng (wks)</t>
        </is>
      </c>
      <c r="DE1" s="4" t="inlineStr">
        <is>
          <t>Act Controls Eng (wks)</t>
        </is>
      </c>
      <c r="DF1" s="4" t="inlineStr">
        <is>
          <t>Act Systems Eng (wks)</t>
        </is>
      </c>
      <c r="DG1" s="4" t="inlineStr">
        <is>
          <t>Act Software Eng (wks)</t>
        </is>
      </c>
      <c r="DH1" s="4" t="inlineStr">
        <is>
          <t>Act M&amp;E Installation (wks)</t>
        </is>
      </c>
      <c r="DI1" s="4" t="inlineStr">
        <is>
          <t>Act Commissioning (wks)</t>
        </is>
      </c>
      <c r="DJ1" s="4" t="inlineStr">
        <is>
          <t>Act Total (wks)</t>
        </is>
      </c>
    </row>
    <row r="2" ht="15" customHeight="1" s="82">
      <c r="A2" s="64">
        <f>INDEX(Projects[Project ID *],1)&amp;""</f>
        <v/>
      </c>
      <c r="B2" s="64">
        <f>INDEX(Projects[Project Name *],1)&amp;""</f>
        <v/>
      </c>
      <c r="C2" s="64">
        <f>INDEX(Projects[MS Shuttles],1)</f>
        <v/>
      </c>
      <c r="D2" s="64">
        <f>INDEX(Projects[MS Tote Locations],1)</f>
        <v/>
      </c>
      <c r="E2" s="64">
        <f>INDEX(Projects[AS Robots],1)</f>
        <v/>
      </c>
      <c r="F2" s="64">
        <f>INDEX(Projects[AS Tote Locations],1)</f>
        <v/>
      </c>
      <c r="G2" s="64">
        <f>INDEX(Projects[PS Shuttles],1)</f>
        <v/>
      </c>
      <c r="H2" s="64">
        <f>INDEX(Projects[PS Pallet Locations],1)</f>
        <v/>
      </c>
      <c r="I2" s="64">
        <f>INDEX(Projects[SRM Cranes],1)</f>
        <v/>
      </c>
      <c r="J2" s="64">
        <f>INDEX(Projects[SRM Pallet Locations],1)</f>
        <v/>
      </c>
      <c r="K2" s="64">
        <f>INDEX(Projects[Case Conv (m)],1)</f>
        <v/>
      </c>
      <c r="L2" s="64">
        <f>INDEX(Projects[Pallet Conv (m)],1)</f>
        <v/>
      </c>
      <c r="M2" s="64">
        <f>IF(N(DJ2)&gt;0,DD2,CW2)</f>
        <v/>
      </c>
      <c r="N2" s="64">
        <f>IF(N(DJ2)&gt;0,DE2,CX2)</f>
        <v/>
      </c>
      <c r="O2" s="64">
        <f>IF(N(DJ2)&gt;0,DF2,CY2)</f>
        <v/>
      </c>
      <c r="P2" s="64">
        <f>IF(N(DJ2)&gt;0,DG2,CZ2)</f>
        <v/>
      </c>
      <c r="Q2" s="64">
        <f>IF(N(DJ2)&gt;0,DH2,DA2)</f>
        <v/>
      </c>
      <c r="R2" s="64">
        <f>IF(N(DJ2)&gt;0,DI2,DB2)</f>
        <v/>
      </c>
      <c r="S2" s="64">
        <f>IF(N(DJ2)&gt;0,DJ2,DC2)</f>
        <v/>
      </c>
      <c r="T2" s="64">
        <f>INDEX(Projects[Currency],1)&amp;""</f>
        <v/>
      </c>
      <c r="U2" s="65">
        <f>INDEX(Projects[Sold Value (M)],1)</f>
        <v/>
      </c>
      <c r="V2" s="64">
        <f>IF('Smart Search'!B13=1,IFERROR(1/'Smart Search'!H13,0),0)</f>
        <v/>
      </c>
      <c r="W2" s="64">
        <f>IF('Smart Search'!B13=1,IFERROR(1/'Smart Search'!H13,0),0)</f>
        <v/>
      </c>
      <c r="X2" s="64">
        <f>IF('Smart Search'!C13=1,IFERROR(1/'Smart Search'!H13,0),0)</f>
        <v/>
      </c>
      <c r="Y2" s="64">
        <f>IF('Smart Search'!C13=1,IFERROR(1/'Smart Search'!H13,0),0)</f>
        <v/>
      </c>
      <c r="Z2" s="64">
        <f>IF('Smart Search'!D13=1,IFERROR(1/'Smart Search'!H13,0),0)</f>
        <v/>
      </c>
      <c r="AA2" s="64">
        <f>IF('Smart Search'!D13=1,IFERROR(1/'Smart Search'!H13,0),0)</f>
        <v/>
      </c>
      <c r="AB2" s="64">
        <f>IF('Smart Search'!E13=1,IFERROR(1/'Smart Search'!H13,0),0)</f>
        <v/>
      </c>
      <c r="AC2" s="64">
        <f>IF('Smart Search'!E13=1,IFERROR(1/'Smart Search'!H13,0),0)</f>
        <v/>
      </c>
      <c r="AD2" s="64">
        <f>IF('Smart Search'!F13=1,IFERROR(1/'Smart Search'!H13,0),0)</f>
        <v/>
      </c>
      <c r="AE2" s="64">
        <f>IF('Smart Search'!F13=1,IFERROR(1/'Smart Search'!H13,0),0)</f>
        <v/>
      </c>
      <c r="AF2" s="64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4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4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4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4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4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4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4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4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4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4">
        <f>AF2*V2</f>
        <v/>
      </c>
      <c r="AQ2" s="64">
        <f>AG2*W2</f>
        <v/>
      </c>
      <c r="AR2" s="64">
        <f>AH2*X2</f>
        <v/>
      </c>
      <c r="AS2" s="64">
        <f>AI2*Y2</f>
        <v/>
      </c>
      <c r="AT2" s="64">
        <f>AJ2*Z2</f>
        <v/>
      </c>
      <c r="AU2" s="64">
        <f>AK2*AA2</f>
        <v/>
      </c>
      <c r="AV2" s="64">
        <f>AL2*AB2</f>
        <v/>
      </c>
      <c r="AW2" s="64">
        <f>AM2*AC2</f>
        <v/>
      </c>
      <c r="AX2" s="64">
        <f>AN2*AD2</f>
        <v/>
      </c>
      <c r="AY2" s="64">
        <f>AO2*AE2</f>
        <v/>
      </c>
      <c r="AZ2" s="64">
        <f>INDEX(Projects[Automation Equipment],1)&amp;""</f>
        <v/>
      </c>
      <c r="BA2" s="64">
        <f>IF(OR(A2="",'Smart Search'!H13=0),"",MAX(0,BE2*BF2*MAX(0,1-BG2)))</f>
        <v/>
      </c>
      <c r="BB2" s="64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4">
        <f>IF('Smart Search'!G13=1,IFERROR(1/'Smart Search'!H13,0),0)</f>
        <v/>
      </c>
      <c r="BD2" s="64">
        <f>BB2*BC2</f>
        <v/>
      </c>
      <c r="BE2" s="64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IF(A2="","",N(INDEX(Projects[Act Mech Inst],1)))</f>
        <v/>
      </c>
      <c r="BK2" s="5">
        <f>IF(A2="","",N(INDEX(Projects[Act Elec Inst],1)))</f>
        <v/>
      </c>
      <c r="BL2" s="5">
        <f>IF(A2="","",N(INDEX(Projects[Act Project Management],1)))</f>
        <v/>
      </c>
      <c r="BM2" s="5">
        <f>IF(A2="","",N(INDEX(Projects[Act Systems Eng],1)))</f>
        <v/>
      </c>
      <c r="BN2" s="5">
        <f>IF(A2="","",N(INDEX(Projects[Act Mechanical Eng],1)))</f>
        <v/>
      </c>
      <c r="BO2" s="5">
        <f>IF(A2="","",N(INDEX(Projects[Act Structural Engineering],1)))</f>
        <v/>
      </c>
      <c r="BP2" s="5">
        <f>IF(A2="","",N(INDEX(Projects[Act Site Sup],1)))</f>
        <v/>
      </c>
      <c r="BQ2" s="5">
        <f>IF(A2="","",N(INDEX(Projects[Act Controls Commissioning],1)))</f>
        <v/>
      </c>
      <c r="BR2" s="5">
        <f>IF(A2="","",N(INDEX(Projects[Act Systems Commissioning],1)))</f>
        <v/>
      </c>
      <c r="BS2" s="5">
        <f>IF(A2="","",N(INDEX(Projects[Act Service Commissioning],1)))</f>
        <v/>
      </c>
      <c r="BT2" s="5">
        <f>IF(A2="","",N(INDEX(Projects[Act Controls Eng],1)))</f>
        <v/>
      </c>
      <c r="BU2" s="5">
        <f>IF(A2="","",N(INDEX(Projects[Act Controls Purchase],1)))</f>
        <v/>
      </c>
      <c r="BV2" s="5">
        <f>IF(A2="","",N(INDEX(Projects[Act Software Eng],1)))</f>
        <v/>
      </c>
      <c r="BW2" s="5">
        <f>IF(A2="","",N(INDEX(Projects[Act 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INDEX(Projects[Sold Value (USD M)],1)</f>
        <v/>
      </c>
      <c r="CE2" s="5" t="n"/>
      <c r="CF2" s="5">
        <f>IF(A2="","",N(INDEX(Projects[Est Mech Inst],1)))</f>
        <v/>
      </c>
      <c r="CG2" s="5">
        <f>IF(A2="","",N(INDEX(Projects[Est Elec Inst],1)))</f>
        <v/>
      </c>
      <c r="CH2" s="5">
        <f>IF(A2="","",N(INDEX(Projects[Est Project Management],1)))</f>
        <v/>
      </c>
      <c r="CI2" s="5">
        <f>IF(A2="","",N(INDEX(Projects[Est Systems Eng],1)))</f>
        <v/>
      </c>
      <c r="CJ2" s="5">
        <f>IF(A2="","",N(INDEX(Projects[Est Mechanical Eng],1)))</f>
        <v/>
      </c>
      <c r="CK2" s="5">
        <f>IF(A2="","",N(INDEX(Projects[Est Structural Engineering],1)))</f>
        <v/>
      </c>
      <c r="CL2" s="5">
        <f>IF(A2="","",N(INDEX(Projects[Est Site Sup],1)))</f>
        <v/>
      </c>
      <c r="CM2" s="5">
        <f>IF(A2="","",N(INDEX(Projects[Est Controls Commissioning],1)))</f>
        <v/>
      </c>
      <c r="CN2" s="5">
        <f>IF(A2="","",N(INDEX(Projects[Est Systems Commissioning],1)))</f>
        <v/>
      </c>
      <c r="CO2" s="5">
        <f>IF(A2="","",N(INDEX(Projects[Est Service Commissioning],1)))</f>
        <v/>
      </c>
      <c r="CP2" s="5">
        <f>IF(A2="","",N(INDEX(Projects[Est Controls Eng],1)))</f>
        <v/>
      </c>
      <c r="CQ2" s="5">
        <f>IF(A2="","",N(INDEX(Projects[Est Controls Purchase],1)))</f>
        <v/>
      </c>
      <c r="CR2" s="5">
        <f>IF(A2="","",N(INDEX(Projects[Est Software Eng],1)))</f>
        <v/>
      </c>
      <c r="CS2" s="5">
        <f>IF(A2="","",N(INDEX(Projects[Est Misc],1)))</f>
        <v/>
      </c>
      <c r="CT2" s="5">
        <f>IF(A2="","",SUM(CF2:CS2))</f>
        <v/>
      </c>
      <c r="CU2" s="5">
        <f>INDEX(Projects[Est Cost (M)],1)</f>
        <v/>
      </c>
      <c r="CV2" s="5">
        <f>INDEX(Projects[Act Cost (M)],1)</f>
        <v/>
      </c>
      <c r="CW2" s="5">
        <f>INDEX(Projects[Plan Mech Eng (wks)],1)</f>
        <v/>
      </c>
      <c r="CX2" s="5">
        <f>INDEX(Projects[Plan Controls Eng (wks)],1)</f>
        <v/>
      </c>
      <c r="CY2" s="5">
        <f>INDEX(Projects[Plan Systems Eng (wks)],1)</f>
        <v/>
      </c>
      <c r="CZ2" s="5">
        <f>INDEX(Projects[Plan Software Eng (wks)],1)</f>
        <v/>
      </c>
      <c r="DA2" s="5">
        <f>INDEX(Projects[Plan M&amp;E Installation (wks)],1)</f>
        <v/>
      </c>
      <c r="DB2" s="5">
        <f>INDEX(Projects[Plan Commissioning (wks)],1)</f>
        <v/>
      </c>
      <c r="DC2" s="5">
        <f>INDEX(Projects[Plan Total (wks)],1)</f>
        <v/>
      </c>
      <c r="DD2" s="5">
        <f>INDEX(Projects[Act Mech Eng (wks)],1)</f>
        <v/>
      </c>
      <c r="DE2" s="5">
        <f>INDEX(Projects[Act Controls Eng (wks)],1)</f>
        <v/>
      </c>
      <c r="DF2" s="5">
        <f>INDEX(Projects[Act Systems Eng (wks)],1)</f>
        <v/>
      </c>
      <c r="DG2" s="5">
        <f>INDEX(Projects[Act Software Eng (wks)],1)</f>
        <v/>
      </c>
      <c r="DH2" s="5">
        <f>INDEX(Projects[Act M&amp;E Installation (wks)],1)</f>
        <v/>
      </c>
      <c r="DI2" s="5">
        <f>INDEX(Projects[Act Commissioning (wks)],1)</f>
        <v/>
      </c>
      <c r="DJ2" s="5">
        <f>INDEX(Projects[Act Total (wks)],1)</f>
        <v/>
      </c>
    </row>
    <row r="3" ht="15" customHeight="1" s="82">
      <c r="A3" s="64">
        <f>INDEX(Projects[Project ID *],2)&amp;""</f>
        <v/>
      </c>
      <c r="B3" s="64">
        <f>INDEX(Projects[Project Name *],2)&amp;""</f>
        <v/>
      </c>
      <c r="C3" s="64">
        <f>INDEX(Projects[MS Shuttles],2)</f>
        <v/>
      </c>
      <c r="D3" s="64">
        <f>INDEX(Projects[MS Tote Locations],2)</f>
        <v/>
      </c>
      <c r="E3" s="64">
        <f>INDEX(Projects[AS Robots],2)</f>
        <v/>
      </c>
      <c r="F3" s="64">
        <f>INDEX(Projects[AS Tote Locations],2)</f>
        <v/>
      </c>
      <c r="G3" s="64">
        <f>INDEX(Projects[PS Shuttles],2)</f>
        <v/>
      </c>
      <c r="H3" s="64">
        <f>INDEX(Projects[PS Pallet Locations],2)</f>
        <v/>
      </c>
      <c r="I3" s="64">
        <f>INDEX(Projects[SRM Cranes],2)</f>
        <v/>
      </c>
      <c r="J3" s="64">
        <f>INDEX(Projects[SRM Pallet Locations],2)</f>
        <v/>
      </c>
      <c r="K3" s="64">
        <f>INDEX(Projects[Case Conv (m)],2)</f>
        <v/>
      </c>
      <c r="L3" s="64">
        <f>INDEX(Projects[Pallet Conv (m)],2)</f>
        <v/>
      </c>
      <c r="M3" s="64">
        <f>IF(N(DJ3)&gt;0,DD3,CW3)</f>
        <v/>
      </c>
      <c r="N3" s="64">
        <f>IF(N(DJ3)&gt;0,DE3,CX3)</f>
        <v/>
      </c>
      <c r="O3" s="64">
        <f>IF(N(DJ3)&gt;0,DF3,CY3)</f>
        <v/>
      </c>
      <c r="P3" s="64">
        <f>IF(N(DJ3)&gt;0,DG3,CZ3)</f>
        <v/>
      </c>
      <c r="Q3" s="64">
        <f>IF(N(DJ3)&gt;0,DH3,DA3)</f>
        <v/>
      </c>
      <c r="R3" s="64">
        <f>IF(N(DJ3)&gt;0,DI3,DB3)</f>
        <v/>
      </c>
      <c r="S3" s="64">
        <f>IF(N(DJ3)&gt;0,DJ3,DC3)</f>
        <v/>
      </c>
      <c r="T3" s="64">
        <f>INDEX(Projects[Currency],2)&amp;""</f>
        <v/>
      </c>
      <c r="U3" s="65">
        <f>INDEX(Projects[Sold Value (M)],2)</f>
        <v/>
      </c>
      <c r="V3" s="64">
        <f>IF('Smart Search'!B13=1,IFERROR(1/'Smart Search'!H13,0),0)</f>
        <v/>
      </c>
      <c r="W3" s="64">
        <f>IF('Smart Search'!B13=1,IFERROR(1/'Smart Search'!H13,0),0)</f>
        <v/>
      </c>
      <c r="X3" s="64">
        <f>IF('Smart Search'!C13=1,IFERROR(1/'Smart Search'!H13,0),0)</f>
        <v/>
      </c>
      <c r="Y3" s="64">
        <f>IF('Smart Search'!C13=1,IFERROR(1/'Smart Search'!H13,0),0)</f>
        <v/>
      </c>
      <c r="Z3" s="64">
        <f>IF('Smart Search'!D13=1,IFERROR(1/'Smart Search'!H13,0),0)</f>
        <v/>
      </c>
      <c r="AA3" s="64">
        <f>IF('Smart Search'!D13=1,IFERROR(1/'Smart Search'!H13,0),0)</f>
        <v/>
      </c>
      <c r="AB3" s="64">
        <f>IF('Smart Search'!E13=1,IFERROR(1/'Smart Search'!H13,0),0)</f>
        <v/>
      </c>
      <c r="AC3" s="64">
        <f>IF('Smart Search'!E13=1,IFERROR(1/'Smart Search'!H13,0),0)</f>
        <v/>
      </c>
      <c r="AD3" s="64">
        <f>IF('Smart Search'!F13=1,IFERROR(1/'Smart Search'!H13,0),0)</f>
        <v/>
      </c>
      <c r="AE3" s="64">
        <f>IF('Smart Search'!F13=1,IFERROR(1/'Smart Search'!H13,0),0)</f>
        <v/>
      </c>
      <c r="AF3" s="64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4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4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4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4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4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4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4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4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4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4">
        <f>AF3*V3</f>
        <v/>
      </c>
      <c r="AQ3" s="64">
        <f>AG3*W3</f>
        <v/>
      </c>
      <c r="AR3" s="64">
        <f>AH3*X3</f>
        <v/>
      </c>
      <c r="AS3" s="64">
        <f>AI3*Y3</f>
        <v/>
      </c>
      <c r="AT3" s="64">
        <f>AJ3*Z3</f>
        <v/>
      </c>
      <c r="AU3" s="64">
        <f>AK3*AA3</f>
        <v/>
      </c>
      <c r="AV3" s="64">
        <f>AL3*AB3</f>
        <v/>
      </c>
      <c r="AW3" s="64">
        <f>AM3*AC3</f>
        <v/>
      </c>
      <c r="AX3" s="64">
        <f>AN3*AD3</f>
        <v/>
      </c>
      <c r="AY3" s="64">
        <f>AO3*AE3</f>
        <v/>
      </c>
      <c r="AZ3" s="64">
        <f>INDEX(Projects[Automation Equipment],2)&amp;""</f>
        <v/>
      </c>
      <c r="BA3" s="64">
        <f>IF(OR(A3="",'Smart Search'!H13=0),"",MAX(0,BE3*BF3*MAX(0,1-BG3)))</f>
        <v/>
      </c>
      <c r="BB3" s="64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4">
        <f>IF('Smart Search'!G13=1,IFERROR(1/'Smart Search'!H13,0),0)</f>
        <v/>
      </c>
      <c r="BD3" s="64">
        <f>BB3*BC3</f>
        <v/>
      </c>
      <c r="BE3" s="64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IF(A3="","",N(INDEX(Projects[Act Mech Inst],2)))</f>
        <v/>
      </c>
      <c r="BK3" s="5">
        <f>IF(A3="","",N(INDEX(Projects[Act Elec Inst],2)))</f>
        <v/>
      </c>
      <c r="BL3" s="5">
        <f>IF(A3="","",N(INDEX(Projects[Act Project Management],2)))</f>
        <v/>
      </c>
      <c r="BM3" s="5">
        <f>IF(A3="","",N(INDEX(Projects[Act Systems Eng],2)))</f>
        <v/>
      </c>
      <c r="BN3" s="5">
        <f>IF(A3="","",N(INDEX(Projects[Act Mechanical Eng],2)))</f>
        <v/>
      </c>
      <c r="BO3" s="5">
        <f>IF(A3="","",N(INDEX(Projects[Act Structural Engineering],2)))</f>
        <v/>
      </c>
      <c r="BP3" s="5">
        <f>IF(A3="","",N(INDEX(Projects[Act Site Sup],2)))</f>
        <v/>
      </c>
      <c r="BQ3" s="5">
        <f>IF(A3="","",N(INDEX(Projects[Act Controls Commissioning],2)))</f>
        <v/>
      </c>
      <c r="BR3" s="5">
        <f>IF(A3="","",N(INDEX(Projects[Act Systems Commissioning],2)))</f>
        <v/>
      </c>
      <c r="BS3" s="5">
        <f>IF(A3="","",N(INDEX(Projects[Act Service Commissioning],2)))</f>
        <v/>
      </c>
      <c r="BT3" s="5">
        <f>IF(A3="","",N(INDEX(Projects[Act Controls Eng],2)))</f>
        <v/>
      </c>
      <c r="BU3" s="5">
        <f>IF(A3="","",N(INDEX(Projects[Act Controls Purchase],2)))</f>
        <v/>
      </c>
      <c r="BV3" s="5">
        <f>IF(A3="","",N(INDEX(Projects[Act Software Eng],2)))</f>
        <v/>
      </c>
      <c r="BW3" s="5">
        <f>IF(A3="","",N(INDEX(Projects[Act 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INDEX(Projects[Sold Value (USD M)],2)</f>
        <v/>
      </c>
      <c r="CE3" s="5" t="n"/>
      <c r="CF3" s="5">
        <f>IF(A3="","",N(INDEX(Projects[Est Mech Inst],2)))</f>
        <v/>
      </c>
      <c r="CG3" s="5">
        <f>IF(A3="","",N(INDEX(Projects[Est Elec Inst],2)))</f>
        <v/>
      </c>
      <c r="CH3" s="5">
        <f>IF(A3="","",N(INDEX(Projects[Est Project Management],2)))</f>
        <v/>
      </c>
      <c r="CI3" s="5">
        <f>IF(A3="","",N(INDEX(Projects[Est Systems Eng],2)))</f>
        <v/>
      </c>
      <c r="CJ3" s="5">
        <f>IF(A3="","",N(INDEX(Projects[Est Mechanical Eng],2)))</f>
        <v/>
      </c>
      <c r="CK3" s="5">
        <f>IF(A3="","",N(INDEX(Projects[Est Structural Engineering],2)))</f>
        <v/>
      </c>
      <c r="CL3" s="5">
        <f>IF(A3="","",N(INDEX(Projects[Est Site Sup],2)))</f>
        <v/>
      </c>
      <c r="CM3" s="5">
        <f>IF(A3="","",N(INDEX(Projects[Est Controls Commissioning],2)))</f>
        <v/>
      </c>
      <c r="CN3" s="5">
        <f>IF(A3="","",N(INDEX(Projects[Est Systems Commissioning],2)))</f>
        <v/>
      </c>
      <c r="CO3" s="5">
        <f>IF(A3="","",N(INDEX(Projects[Est Service Commissioning],2)))</f>
        <v/>
      </c>
      <c r="CP3" s="5">
        <f>IF(A3="","",N(INDEX(Projects[Est Controls Eng],2)))</f>
        <v/>
      </c>
      <c r="CQ3" s="5">
        <f>IF(A3="","",N(INDEX(Projects[Est Controls Purchase],2)))</f>
        <v/>
      </c>
      <c r="CR3" s="5">
        <f>IF(A3="","",N(INDEX(Projects[Est Software Eng],2)))</f>
        <v/>
      </c>
      <c r="CS3" s="5">
        <f>IF(A3="","",N(INDEX(Projects[Est Misc],2)))</f>
        <v/>
      </c>
      <c r="CT3" s="5">
        <f>IF(A3="","",SUM(CF3:CS3))</f>
        <v/>
      </c>
      <c r="CU3" s="5">
        <f>INDEX(Projects[Est Cost (M)],2)</f>
        <v/>
      </c>
      <c r="CV3" s="5">
        <f>INDEX(Projects[Act Cost (M)],2)</f>
        <v/>
      </c>
      <c r="CW3" s="5">
        <f>INDEX(Projects[Plan Mech Eng (wks)],2)</f>
        <v/>
      </c>
      <c r="CX3" s="5">
        <f>INDEX(Projects[Plan Controls Eng (wks)],2)</f>
        <v/>
      </c>
      <c r="CY3" s="5">
        <f>INDEX(Projects[Plan Systems Eng (wks)],2)</f>
        <v/>
      </c>
      <c r="CZ3" s="5">
        <f>INDEX(Projects[Plan Software Eng (wks)],2)</f>
        <v/>
      </c>
      <c r="DA3" s="5">
        <f>INDEX(Projects[Plan M&amp;E Installation (wks)],2)</f>
        <v/>
      </c>
      <c r="DB3" s="5">
        <f>INDEX(Projects[Plan Commissioning (wks)],2)</f>
        <v/>
      </c>
      <c r="DC3" s="5">
        <f>INDEX(Projects[Plan Total (wks)],2)</f>
        <v/>
      </c>
      <c r="DD3" s="5">
        <f>INDEX(Projects[Act Mech Eng (wks)],2)</f>
        <v/>
      </c>
      <c r="DE3" s="5">
        <f>INDEX(Projects[Act Controls Eng (wks)],2)</f>
        <v/>
      </c>
      <c r="DF3" s="5">
        <f>INDEX(Projects[Act Systems Eng (wks)],2)</f>
        <v/>
      </c>
      <c r="DG3" s="5">
        <f>INDEX(Projects[Act Software Eng (wks)],2)</f>
        <v/>
      </c>
      <c r="DH3" s="5">
        <f>INDEX(Projects[Act M&amp;E Installation (wks)],2)</f>
        <v/>
      </c>
      <c r="DI3" s="5">
        <f>INDEX(Projects[Act Commissioning (wks)],2)</f>
        <v/>
      </c>
      <c r="DJ3" s="5">
        <f>INDEX(Projects[Act Total (wks)],2)</f>
        <v/>
      </c>
    </row>
    <row r="4" ht="15" customHeight="1" s="82">
      <c r="A4" s="64">
        <f>INDEX(Projects[Project ID *],3)&amp;""</f>
        <v/>
      </c>
      <c r="B4" s="64">
        <f>INDEX(Projects[Project Name *],3)&amp;""</f>
        <v/>
      </c>
      <c r="C4" s="64">
        <f>INDEX(Projects[MS Shuttles],3)</f>
        <v/>
      </c>
      <c r="D4" s="64">
        <f>INDEX(Projects[MS Tote Locations],3)</f>
        <v/>
      </c>
      <c r="E4" s="64">
        <f>INDEX(Projects[AS Robots],3)</f>
        <v/>
      </c>
      <c r="F4" s="64">
        <f>INDEX(Projects[AS Tote Locations],3)</f>
        <v/>
      </c>
      <c r="G4" s="64">
        <f>INDEX(Projects[PS Shuttles],3)</f>
        <v/>
      </c>
      <c r="H4" s="64">
        <f>INDEX(Projects[PS Pallet Locations],3)</f>
        <v/>
      </c>
      <c r="I4" s="64">
        <f>INDEX(Projects[SRM Cranes],3)</f>
        <v/>
      </c>
      <c r="J4" s="64">
        <f>INDEX(Projects[SRM Pallet Locations],3)</f>
        <v/>
      </c>
      <c r="K4" s="64">
        <f>INDEX(Projects[Case Conv (m)],3)</f>
        <v/>
      </c>
      <c r="L4" s="64">
        <f>INDEX(Projects[Pallet Conv (m)],3)</f>
        <v/>
      </c>
      <c r="M4" s="64">
        <f>IF(N(DJ4)&gt;0,DD4,CW4)</f>
        <v/>
      </c>
      <c r="N4" s="64">
        <f>IF(N(DJ4)&gt;0,DE4,CX4)</f>
        <v/>
      </c>
      <c r="O4" s="64">
        <f>IF(N(DJ4)&gt;0,DF4,CY4)</f>
        <v/>
      </c>
      <c r="P4" s="64">
        <f>IF(N(DJ4)&gt;0,DG4,CZ4)</f>
        <v/>
      </c>
      <c r="Q4" s="64">
        <f>IF(N(DJ4)&gt;0,DH4,DA4)</f>
        <v/>
      </c>
      <c r="R4" s="64">
        <f>IF(N(DJ4)&gt;0,DI4,DB4)</f>
        <v/>
      </c>
      <c r="S4" s="64">
        <f>IF(N(DJ4)&gt;0,DJ4,DC4)</f>
        <v/>
      </c>
      <c r="T4" s="64">
        <f>INDEX(Projects[Currency],3)&amp;""</f>
        <v/>
      </c>
      <c r="U4" s="65">
        <f>INDEX(Projects[Sold Value (M)],3)</f>
        <v/>
      </c>
      <c r="V4" s="64">
        <f>IF('Smart Search'!B13=1,IFERROR(1/'Smart Search'!H13,0),0)</f>
        <v/>
      </c>
      <c r="W4" s="64">
        <f>IF('Smart Search'!B13=1,IFERROR(1/'Smart Search'!H13,0),0)</f>
        <v/>
      </c>
      <c r="X4" s="64">
        <f>IF('Smart Search'!C13=1,IFERROR(1/'Smart Search'!H13,0),0)</f>
        <v/>
      </c>
      <c r="Y4" s="64">
        <f>IF('Smart Search'!C13=1,IFERROR(1/'Smart Search'!H13,0),0)</f>
        <v/>
      </c>
      <c r="Z4" s="64">
        <f>IF('Smart Search'!D13=1,IFERROR(1/'Smart Search'!H13,0),0)</f>
        <v/>
      </c>
      <c r="AA4" s="64">
        <f>IF('Smart Search'!D13=1,IFERROR(1/'Smart Search'!H13,0),0)</f>
        <v/>
      </c>
      <c r="AB4" s="64">
        <f>IF('Smart Search'!E13=1,IFERROR(1/'Smart Search'!H13,0),0)</f>
        <v/>
      </c>
      <c r="AC4" s="64">
        <f>IF('Smart Search'!E13=1,IFERROR(1/'Smart Search'!H13,0),0)</f>
        <v/>
      </c>
      <c r="AD4" s="64">
        <f>IF('Smart Search'!F13=1,IFERROR(1/'Smart Search'!H13,0),0)</f>
        <v/>
      </c>
      <c r="AE4" s="64">
        <f>IF('Smart Search'!F13=1,IFERROR(1/'Smart Search'!H13,0),0)</f>
        <v/>
      </c>
      <c r="AF4" s="64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4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4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4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4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4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4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4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4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4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4">
        <f>AF4*V4</f>
        <v/>
      </c>
      <c r="AQ4" s="64">
        <f>AG4*W4</f>
        <v/>
      </c>
      <c r="AR4" s="64">
        <f>AH4*X4</f>
        <v/>
      </c>
      <c r="AS4" s="64">
        <f>AI4*Y4</f>
        <v/>
      </c>
      <c r="AT4" s="64">
        <f>AJ4*Z4</f>
        <v/>
      </c>
      <c r="AU4" s="64">
        <f>AK4*AA4</f>
        <v/>
      </c>
      <c r="AV4" s="64">
        <f>AL4*AB4</f>
        <v/>
      </c>
      <c r="AW4" s="64">
        <f>AM4*AC4</f>
        <v/>
      </c>
      <c r="AX4" s="64">
        <f>AN4*AD4</f>
        <v/>
      </c>
      <c r="AY4" s="64">
        <f>AO4*AE4</f>
        <v/>
      </c>
      <c r="AZ4" s="64">
        <f>INDEX(Projects[Automation Equipment],3)&amp;""</f>
        <v/>
      </c>
      <c r="BA4" s="64">
        <f>IF(OR(A4="",'Smart Search'!H13=0),"",MAX(0,BE4*BF4*MAX(0,1-BG4)))</f>
        <v/>
      </c>
      <c r="BB4" s="64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4">
        <f>IF('Smart Search'!G13=1,IFERROR(1/'Smart Search'!H13,0),0)</f>
        <v/>
      </c>
      <c r="BD4" s="64">
        <f>BB4*BC4</f>
        <v/>
      </c>
      <c r="BE4" s="64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IF(A4="","",N(INDEX(Projects[Act Mech Inst],3)))</f>
        <v/>
      </c>
      <c r="BK4" s="5">
        <f>IF(A4="","",N(INDEX(Projects[Act Elec Inst],3)))</f>
        <v/>
      </c>
      <c r="BL4" s="5">
        <f>IF(A4="","",N(INDEX(Projects[Act Project Management],3)))</f>
        <v/>
      </c>
      <c r="BM4" s="5">
        <f>IF(A4="","",N(INDEX(Projects[Act Systems Eng],3)))</f>
        <v/>
      </c>
      <c r="BN4" s="5">
        <f>IF(A4="","",N(INDEX(Projects[Act Mechanical Eng],3)))</f>
        <v/>
      </c>
      <c r="BO4" s="5">
        <f>IF(A4="","",N(INDEX(Projects[Act Structural Engineering],3)))</f>
        <v/>
      </c>
      <c r="BP4" s="5">
        <f>IF(A4="","",N(INDEX(Projects[Act Site Sup],3)))</f>
        <v/>
      </c>
      <c r="BQ4" s="5">
        <f>IF(A4="","",N(INDEX(Projects[Act Controls Commissioning],3)))</f>
        <v/>
      </c>
      <c r="BR4" s="5">
        <f>IF(A4="","",N(INDEX(Projects[Act Systems Commissioning],3)))</f>
        <v/>
      </c>
      <c r="BS4" s="5">
        <f>IF(A4="","",N(INDEX(Projects[Act Service Commissioning],3)))</f>
        <v/>
      </c>
      <c r="BT4" s="5">
        <f>IF(A4="","",N(INDEX(Projects[Act Controls Eng],3)))</f>
        <v/>
      </c>
      <c r="BU4" s="5">
        <f>IF(A4="","",N(INDEX(Projects[Act Controls Purchase],3)))</f>
        <v/>
      </c>
      <c r="BV4" s="5">
        <f>IF(A4="","",N(INDEX(Projects[Act Software Eng],3)))</f>
        <v/>
      </c>
      <c r="BW4" s="5">
        <f>IF(A4="","",N(INDEX(Projects[Act 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INDEX(Projects[Sold Value (USD M)],3)</f>
        <v/>
      </c>
      <c r="CE4" s="5" t="n"/>
      <c r="CF4" s="5">
        <f>IF(A4="","",N(INDEX(Projects[Est Mech Inst],3)))</f>
        <v/>
      </c>
      <c r="CG4" s="5">
        <f>IF(A4="","",N(INDEX(Projects[Est Elec Inst],3)))</f>
        <v/>
      </c>
      <c r="CH4" s="5">
        <f>IF(A4="","",N(INDEX(Projects[Est Project Management],3)))</f>
        <v/>
      </c>
      <c r="CI4" s="5">
        <f>IF(A4="","",N(INDEX(Projects[Est Systems Eng],3)))</f>
        <v/>
      </c>
      <c r="CJ4" s="5">
        <f>IF(A4="","",N(INDEX(Projects[Est Mechanical Eng],3)))</f>
        <v/>
      </c>
      <c r="CK4" s="5">
        <f>IF(A4="","",N(INDEX(Projects[Est Structural Engineering],3)))</f>
        <v/>
      </c>
      <c r="CL4" s="5">
        <f>IF(A4="","",N(INDEX(Projects[Est Site Sup],3)))</f>
        <v/>
      </c>
      <c r="CM4" s="5">
        <f>IF(A4="","",N(INDEX(Projects[Est Controls Commissioning],3)))</f>
        <v/>
      </c>
      <c r="CN4" s="5">
        <f>IF(A4="","",N(INDEX(Projects[Est Systems Commissioning],3)))</f>
        <v/>
      </c>
      <c r="CO4" s="5">
        <f>IF(A4="","",N(INDEX(Projects[Est Service Commissioning],3)))</f>
        <v/>
      </c>
      <c r="CP4" s="5">
        <f>IF(A4="","",N(INDEX(Projects[Est Controls Eng],3)))</f>
        <v/>
      </c>
      <c r="CQ4" s="5">
        <f>IF(A4="","",N(INDEX(Projects[Est Controls Purchase],3)))</f>
        <v/>
      </c>
      <c r="CR4" s="5">
        <f>IF(A4="","",N(INDEX(Projects[Est Software Eng],3)))</f>
        <v/>
      </c>
      <c r="CS4" s="5">
        <f>IF(A4="","",N(INDEX(Projects[Est Misc],3)))</f>
        <v/>
      </c>
      <c r="CT4" s="5">
        <f>IF(A4="","",SUM(CF4:CS4))</f>
        <v/>
      </c>
      <c r="CU4" s="5">
        <f>INDEX(Projects[Est Cost (M)],3)</f>
        <v/>
      </c>
      <c r="CV4" s="5">
        <f>INDEX(Projects[Act Cost (M)],3)</f>
        <v/>
      </c>
      <c r="CW4" s="5">
        <f>INDEX(Projects[Plan Mech Eng (wks)],3)</f>
        <v/>
      </c>
      <c r="CX4" s="5">
        <f>INDEX(Projects[Plan Controls Eng (wks)],3)</f>
        <v/>
      </c>
      <c r="CY4" s="5">
        <f>INDEX(Projects[Plan Systems Eng (wks)],3)</f>
        <v/>
      </c>
      <c r="CZ4" s="5">
        <f>INDEX(Projects[Plan Software Eng (wks)],3)</f>
        <v/>
      </c>
      <c r="DA4" s="5">
        <f>INDEX(Projects[Plan M&amp;E Installation (wks)],3)</f>
        <v/>
      </c>
      <c r="DB4" s="5">
        <f>INDEX(Projects[Plan Commissioning (wks)],3)</f>
        <v/>
      </c>
      <c r="DC4" s="5">
        <f>INDEX(Projects[Plan Total (wks)],3)</f>
        <v/>
      </c>
      <c r="DD4" s="5">
        <f>INDEX(Projects[Act Mech Eng (wks)],3)</f>
        <v/>
      </c>
      <c r="DE4" s="5">
        <f>INDEX(Projects[Act Controls Eng (wks)],3)</f>
        <v/>
      </c>
      <c r="DF4" s="5">
        <f>INDEX(Projects[Act Systems Eng (wks)],3)</f>
        <v/>
      </c>
      <c r="DG4" s="5">
        <f>INDEX(Projects[Act Software Eng (wks)],3)</f>
        <v/>
      </c>
      <c r="DH4" s="5">
        <f>INDEX(Projects[Act M&amp;E Installation (wks)],3)</f>
        <v/>
      </c>
      <c r="DI4" s="5">
        <f>INDEX(Projects[Act Commissioning (wks)],3)</f>
        <v/>
      </c>
      <c r="DJ4" s="5">
        <f>INDEX(Projects[Act Total (wks)],3)</f>
        <v/>
      </c>
    </row>
    <row r="5" ht="15" customHeight="1" s="82">
      <c r="A5" s="64">
        <f>INDEX(Projects[Project ID *],4)&amp;""</f>
        <v/>
      </c>
      <c r="B5" s="64">
        <f>INDEX(Projects[Project Name *],4)&amp;""</f>
        <v/>
      </c>
      <c r="C5" s="64">
        <f>INDEX(Projects[MS Shuttles],4)</f>
        <v/>
      </c>
      <c r="D5" s="64">
        <f>INDEX(Projects[MS Tote Locations],4)</f>
        <v/>
      </c>
      <c r="E5" s="64">
        <f>INDEX(Projects[AS Robots],4)</f>
        <v/>
      </c>
      <c r="F5" s="64">
        <f>INDEX(Projects[AS Tote Locations],4)</f>
        <v/>
      </c>
      <c r="G5" s="64">
        <f>INDEX(Projects[PS Shuttles],4)</f>
        <v/>
      </c>
      <c r="H5" s="64">
        <f>INDEX(Projects[PS Pallet Locations],4)</f>
        <v/>
      </c>
      <c r="I5" s="64">
        <f>INDEX(Projects[SRM Cranes],4)</f>
        <v/>
      </c>
      <c r="J5" s="64">
        <f>INDEX(Projects[SRM Pallet Locations],4)</f>
        <v/>
      </c>
      <c r="K5" s="64">
        <f>INDEX(Projects[Case Conv (m)],4)</f>
        <v/>
      </c>
      <c r="L5" s="64">
        <f>INDEX(Projects[Pallet Conv (m)],4)</f>
        <v/>
      </c>
      <c r="M5" s="64">
        <f>IF(N(DJ5)&gt;0,DD5,CW5)</f>
        <v/>
      </c>
      <c r="N5" s="64">
        <f>IF(N(DJ5)&gt;0,DE5,CX5)</f>
        <v/>
      </c>
      <c r="O5" s="64">
        <f>IF(N(DJ5)&gt;0,DF5,CY5)</f>
        <v/>
      </c>
      <c r="P5" s="64">
        <f>IF(N(DJ5)&gt;0,DG5,CZ5)</f>
        <v/>
      </c>
      <c r="Q5" s="64">
        <f>IF(N(DJ5)&gt;0,DH5,DA5)</f>
        <v/>
      </c>
      <c r="R5" s="64">
        <f>IF(N(DJ5)&gt;0,DI5,DB5)</f>
        <v/>
      </c>
      <c r="S5" s="64">
        <f>IF(N(DJ5)&gt;0,DJ5,DC5)</f>
        <v/>
      </c>
      <c r="T5" s="64">
        <f>INDEX(Projects[Currency],4)&amp;""</f>
        <v/>
      </c>
      <c r="U5" s="65">
        <f>INDEX(Projects[Sold Value (M)],4)</f>
        <v/>
      </c>
      <c r="V5" s="64">
        <f>IF('Smart Search'!B13=1,IFERROR(1/'Smart Search'!H13,0),0)</f>
        <v/>
      </c>
      <c r="W5" s="64">
        <f>IF('Smart Search'!B13=1,IFERROR(1/'Smart Search'!H13,0),0)</f>
        <v/>
      </c>
      <c r="X5" s="64">
        <f>IF('Smart Search'!C13=1,IFERROR(1/'Smart Search'!H13,0),0)</f>
        <v/>
      </c>
      <c r="Y5" s="64">
        <f>IF('Smart Search'!C13=1,IFERROR(1/'Smart Search'!H13,0),0)</f>
        <v/>
      </c>
      <c r="Z5" s="64">
        <f>IF('Smart Search'!D13=1,IFERROR(1/'Smart Search'!H13,0),0)</f>
        <v/>
      </c>
      <c r="AA5" s="64">
        <f>IF('Smart Search'!D13=1,IFERROR(1/'Smart Search'!H13,0),0)</f>
        <v/>
      </c>
      <c r="AB5" s="64">
        <f>IF('Smart Search'!E13=1,IFERROR(1/'Smart Search'!H13,0),0)</f>
        <v/>
      </c>
      <c r="AC5" s="64">
        <f>IF('Smart Search'!E13=1,IFERROR(1/'Smart Search'!H13,0),0)</f>
        <v/>
      </c>
      <c r="AD5" s="64">
        <f>IF('Smart Search'!F13=1,IFERROR(1/'Smart Search'!H13,0),0)</f>
        <v/>
      </c>
      <c r="AE5" s="64">
        <f>IF('Smart Search'!F13=1,IFERROR(1/'Smart Search'!H13,0),0)</f>
        <v/>
      </c>
      <c r="AF5" s="64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4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4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4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4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4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4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4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4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4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4">
        <f>AF5*V5</f>
        <v/>
      </c>
      <c r="AQ5" s="64">
        <f>AG5*W5</f>
        <v/>
      </c>
      <c r="AR5" s="64">
        <f>AH5*X5</f>
        <v/>
      </c>
      <c r="AS5" s="64">
        <f>AI5*Y5</f>
        <v/>
      </c>
      <c r="AT5" s="64">
        <f>AJ5*Z5</f>
        <v/>
      </c>
      <c r="AU5" s="64">
        <f>AK5*AA5</f>
        <v/>
      </c>
      <c r="AV5" s="64">
        <f>AL5*AB5</f>
        <v/>
      </c>
      <c r="AW5" s="64">
        <f>AM5*AC5</f>
        <v/>
      </c>
      <c r="AX5" s="64">
        <f>AN5*AD5</f>
        <v/>
      </c>
      <c r="AY5" s="64">
        <f>AO5*AE5</f>
        <v/>
      </c>
      <c r="AZ5" s="64">
        <f>INDEX(Projects[Automation Equipment],4)&amp;""</f>
        <v/>
      </c>
      <c r="BA5" s="64">
        <f>IF(OR(A5="",'Smart Search'!H13=0),"",MAX(0,BE5*BF5*MAX(0,1-BG5)))</f>
        <v/>
      </c>
      <c r="BB5" s="64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4">
        <f>IF('Smart Search'!G13=1,IFERROR(1/'Smart Search'!H13,0),0)</f>
        <v/>
      </c>
      <c r="BD5" s="64">
        <f>BB5*BC5</f>
        <v/>
      </c>
      <c r="BE5" s="64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IF(A5="","",N(INDEX(Projects[Act Mech Inst],4)))</f>
        <v/>
      </c>
      <c r="BK5" s="5">
        <f>IF(A5="","",N(INDEX(Projects[Act Elec Inst],4)))</f>
        <v/>
      </c>
      <c r="BL5" s="5">
        <f>IF(A5="","",N(INDEX(Projects[Act Project Management],4)))</f>
        <v/>
      </c>
      <c r="BM5" s="5">
        <f>IF(A5="","",N(INDEX(Projects[Act Systems Eng],4)))</f>
        <v/>
      </c>
      <c r="BN5" s="5">
        <f>IF(A5="","",N(INDEX(Projects[Act Mechanical Eng],4)))</f>
        <v/>
      </c>
      <c r="BO5" s="5">
        <f>IF(A5="","",N(INDEX(Projects[Act Structural Engineering],4)))</f>
        <v/>
      </c>
      <c r="BP5" s="5">
        <f>IF(A5="","",N(INDEX(Projects[Act Site Sup],4)))</f>
        <v/>
      </c>
      <c r="BQ5" s="5">
        <f>IF(A5="","",N(INDEX(Projects[Act Controls Commissioning],4)))</f>
        <v/>
      </c>
      <c r="BR5" s="5">
        <f>IF(A5="","",N(INDEX(Projects[Act Systems Commissioning],4)))</f>
        <v/>
      </c>
      <c r="BS5" s="5">
        <f>IF(A5="","",N(INDEX(Projects[Act Service Commissioning],4)))</f>
        <v/>
      </c>
      <c r="BT5" s="5">
        <f>IF(A5="","",N(INDEX(Projects[Act Controls Eng],4)))</f>
        <v/>
      </c>
      <c r="BU5" s="5">
        <f>IF(A5="","",N(INDEX(Projects[Act Controls Purchase],4)))</f>
        <v/>
      </c>
      <c r="BV5" s="5">
        <f>IF(A5="","",N(INDEX(Projects[Act Software Eng],4)))</f>
        <v/>
      </c>
      <c r="BW5" s="5">
        <f>IF(A5="","",N(INDEX(Projects[Act 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INDEX(Projects[Sold Value (USD M)],4)</f>
        <v/>
      </c>
      <c r="CE5" s="5" t="n"/>
      <c r="CF5" s="5">
        <f>IF(A5="","",N(INDEX(Projects[Est Mech Inst],4)))</f>
        <v/>
      </c>
      <c r="CG5" s="5">
        <f>IF(A5="","",N(INDEX(Projects[Est Elec Inst],4)))</f>
        <v/>
      </c>
      <c r="CH5" s="5">
        <f>IF(A5="","",N(INDEX(Projects[Est Project Management],4)))</f>
        <v/>
      </c>
      <c r="CI5" s="5">
        <f>IF(A5="","",N(INDEX(Projects[Est Systems Eng],4)))</f>
        <v/>
      </c>
      <c r="CJ5" s="5">
        <f>IF(A5="","",N(INDEX(Projects[Est Mechanical Eng],4)))</f>
        <v/>
      </c>
      <c r="CK5" s="5">
        <f>IF(A5="","",N(INDEX(Projects[Est Structural Engineering],4)))</f>
        <v/>
      </c>
      <c r="CL5" s="5">
        <f>IF(A5="","",N(INDEX(Projects[Est Site Sup],4)))</f>
        <v/>
      </c>
      <c r="CM5" s="5">
        <f>IF(A5="","",N(INDEX(Projects[Est Controls Commissioning],4)))</f>
        <v/>
      </c>
      <c r="CN5" s="5">
        <f>IF(A5="","",N(INDEX(Projects[Est Systems Commissioning],4)))</f>
        <v/>
      </c>
      <c r="CO5" s="5">
        <f>IF(A5="","",N(INDEX(Projects[Est Service Commissioning],4)))</f>
        <v/>
      </c>
      <c r="CP5" s="5">
        <f>IF(A5="","",N(INDEX(Projects[Est Controls Eng],4)))</f>
        <v/>
      </c>
      <c r="CQ5" s="5">
        <f>IF(A5="","",N(INDEX(Projects[Est Controls Purchase],4)))</f>
        <v/>
      </c>
      <c r="CR5" s="5">
        <f>IF(A5="","",N(INDEX(Projects[Est Software Eng],4)))</f>
        <v/>
      </c>
      <c r="CS5" s="5">
        <f>IF(A5="","",N(INDEX(Projects[Est Misc],4)))</f>
        <v/>
      </c>
      <c r="CT5" s="5">
        <f>IF(A5="","",SUM(CF5:CS5))</f>
        <v/>
      </c>
      <c r="CU5" s="5">
        <f>INDEX(Projects[Est Cost (M)],4)</f>
        <v/>
      </c>
      <c r="CV5" s="5">
        <f>INDEX(Projects[Act Cost (M)],4)</f>
        <v/>
      </c>
      <c r="CW5" s="5">
        <f>INDEX(Projects[Plan Mech Eng (wks)],4)</f>
        <v/>
      </c>
      <c r="CX5" s="5">
        <f>INDEX(Projects[Plan Controls Eng (wks)],4)</f>
        <v/>
      </c>
      <c r="CY5" s="5">
        <f>INDEX(Projects[Plan Systems Eng (wks)],4)</f>
        <v/>
      </c>
      <c r="CZ5" s="5">
        <f>INDEX(Projects[Plan Software Eng (wks)],4)</f>
        <v/>
      </c>
      <c r="DA5" s="5">
        <f>INDEX(Projects[Plan M&amp;E Installation (wks)],4)</f>
        <v/>
      </c>
      <c r="DB5" s="5">
        <f>INDEX(Projects[Plan Commissioning (wks)],4)</f>
        <v/>
      </c>
      <c r="DC5" s="5">
        <f>INDEX(Projects[Plan Total (wks)],4)</f>
        <v/>
      </c>
      <c r="DD5" s="5">
        <f>INDEX(Projects[Act Mech Eng (wks)],4)</f>
        <v/>
      </c>
      <c r="DE5" s="5">
        <f>INDEX(Projects[Act Controls Eng (wks)],4)</f>
        <v/>
      </c>
      <c r="DF5" s="5">
        <f>INDEX(Projects[Act Systems Eng (wks)],4)</f>
        <v/>
      </c>
      <c r="DG5" s="5">
        <f>INDEX(Projects[Act Software Eng (wks)],4)</f>
        <v/>
      </c>
      <c r="DH5" s="5">
        <f>INDEX(Projects[Act M&amp;E Installation (wks)],4)</f>
        <v/>
      </c>
      <c r="DI5" s="5">
        <f>INDEX(Projects[Act Commissioning (wks)],4)</f>
        <v/>
      </c>
      <c r="DJ5" s="5">
        <f>INDEX(Projects[Act Total (wks)],4)</f>
        <v/>
      </c>
    </row>
    <row r="6" ht="15" customHeight="1" s="82">
      <c r="A6" s="64">
        <f>INDEX(Projects[Project ID *],5)&amp;""</f>
        <v/>
      </c>
      <c r="B6" s="64">
        <f>INDEX(Projects[Project Name *],5)&amp;""</f>
        <v/>
      </c>
      <c r="C6" s="64">
        <f>INDEX(Projects[MS Shuttles],5)</f>
        <v/>
      </c>
      <c r="D6" s="64">
        <f>INDEX(Projects[MS Tote Locations],5)</f>
        <v/>
      </c>
      <c r="E6" s="64">
        <f>INDEX(Projects[AS Robots],5)</f>
        <v/>
      </c>
      <c r="F6" s="64">
        <f>INDEX(Projects[AS Tote Locations],5)</f>
        <v/>
      </c>
      <c r="G6" s="64">
        <f>INDEX(Projects[PS Shuttles],5)</f>
        <v/>
      </c>
      <c r="H6" s="64">
        <f>INDEX(Projects[PS Pallet Locations],5)</f>
        <v/>
      </c>
      <c r="I6" s="64">
        <f>INDEX(Projects[SRM Cranes],5)</f>
        <v/>
      </c>
      <c r="J6" s="64">
        <f>INDEX(Projects[SRM Pallet Locations],5)</f>
        <v/>
      </c>
      <c r="K6" s="64">
        <f>INDEX(Projects[Case Conv (m)],5)</f>
        <v/>
      </c>
      <c r="L6" s="64">
        <f>INDEX(Projects[Pallet Conv (m)],5)</f>
        <v/>
      </c>
      <c r="M6" s="64">
        <f>IF(N(DJ6)&gt;0,DD6,CW6)</f>
        <v/>
      </c>
      <c r="N6" s="64">
        <f>IF(N(DJ6)&gt;0,DE6,CX6)</f>
        <v/>
      </c>
      <c r="O6" s="64">
        <f>IF(N(DJ6)&gt;0,DF6,CY6)</f>
        <v/>
      </c>
      <c r="P6" s="64">
        <f>IF(N(DJ6)&gt;0,DG6,CZ6)</f>
        <v/>
      </c>
      <c r="Q6" s="64">
        <f>IF(N(DJ6)&gt;0,DH6,DA6)</f>
        <v/>
      </c>
      <c r="R6" s="64">
        <f>IF(N(DJ6)&gt;0,DI6,DB6)</f>
        <v/>
      </c>
      <c r="S6" s="64">
        <f>IF(N(DJ6)&gt;0,DJ6,DC6)</f>
        <v/>
      </c>
      <c r="T6" s="64">
        <f>INDEX(Projects[Currency],5)&amp;""</f>
        <v/>
      </c>
      <c r="U6" s="65">
        <f>INDEX(Projects[Sold Value (M)],5)</f>
        <v/>
      </c>
      <c r="V6" s="64">
        <f>IF('Smart Search'!B13=1,IFERROR(1/'Smart Search'!H13,0),0)</f>
        <v/>
      </c>
      <c r="W6" s="64">
        <f>IF('Smart Search'!B13=1,IFERROR(1/'Smart Search'!H13,0),0)</f>
        <v/>
      </c>
      <c r="X6" s="64">
        <f>IF('Smart Search'!C13=1,IFERROR(1/'Smart Search'!H13,0),0)</f>
        <v/>
      </c>
      <c r="Y6" s="64">
        <f>IF('Smart Search'!C13=1,IFERROR(1/'Smart Search'!H13,0),0)</f>
        <v/>
      </c>
      <c r="Z6" s="64">
        <f>IF('Smart Search'!D13=1,IFERROR(1/'Smart Search'!H13,0),0)</f>
        <v/>
      </c>
      <c r="AA6" s="64">
        <f>IF('Smart Search'!D13=1,IFERROR(1/'Smart Search'!H13,0),0)</f>
        <v/>
      </c>
      <c r="AB6" s="64">
        <f>IF('Smart Search'!E13=1,IFERROR(1/'Smart Search'!H13,0),0)</f>
        <v/>
      </c>
      <c r="AC6" s="64">
        <f>IF('Smart Search'!E13=1,IFERROR(1/'Smart Search'!H13,0),0)</f>
        <v/>
      </c>
      <c r="AD6" s="64">
        <f>IF('Smart Search'!F13=1,IFERROR(1/'Smart Search'!H13,0),0)</f>
        <v/>
      </c>
      <c r="AE6" s="64">
        <f>IF('Smart Search'!F13=1,IFERROR(1/'Smart Search'!H13,0),0)</f>
        <v/>
      </c>
      <c r="AF6" s="64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4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4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4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4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4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4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4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4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4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4">
        <f>AF6*V6</f>
        <v/>
      </c>
      <c r="AQ6" s="64">
        <f>AG6*W6</f>
        <v/>
      </c>
      <c r="AR6" s="64">
        <f>AH6*X6</f>
        <v/>
      </c>
      <c r="AS6" s="64">
        <f>AI6*Y6</f>
        <v/>
      </c>
      <c r="AT6" s="64">
        <f>AJ6*Z6</f>
        <v/>
      </c>
      <c r="AU6" s="64">
        <f>AK6*AA6</f>
        <v/>
      </c>
      <c r="AV6" s="64">
        <f>AL6*AB6</f>
        <v/>
      </c>
      <c r="AW6" s="64">
        <f>AM6*AC6</f>
        <v/>
      </c>
      <c r="AX6" s="64">
        <f>AN6*AD6</f>
        <v/>
      </c>
      <c r="AY6" s="64">
        <f>AO6*AE6</f>
        <v/>
      </c>
      <c r="AZ6" s="64">
        <f>INDEX(Projects[Automation Equipment],5)&amp;""</f>
        <v/>
      </c>
      <c r="BA6" s="64">
        <f>IF(OR(A6="",'Smart Search'!H13=0),"",MAX(0,BE6*BF6*MAX(0,1-BG6)))</f>
        <v/>
      </c>
      <c r="BB6" s="64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4">
        <f>IF('Smart Search'!G13=1,IFERROR(1/'Smart Search'!H13,0),0)</f>
        <v/>
      </c>
      <c r="BD6" s="64">
        <f>BB6*BC6</f>
        <v/>
      </c>
      <c r="BE6" s="64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IF(A6="","",N(INDEX(Projects[Act Mech Inst],5)))</f>
        <v/>
      </c>
      <c r="BK6" s="5">
        <f>IF(A6="","",N(INDEX(Projects[Act Elec Inst],5)))</f>
        <v/>
      </c>
      <c r="BL6" s="5">
        <f>IF(A6="","",N(INDEX(Projects[Act Project Management],5)))</f>
        <v/>
      </c>
      <c r="BM6" s="5">
        <f>IF(A6="","",N(INDEX(Projects[Act Systems Eng],5)))</f>
        <v/>
      </c>
      <c r="BN6" s="5">
        <f>IF(A6="","",N(INDEX(Projects[Act Mechanical Eng],5)))</f>
        <v/>
      </c>
      <c r="BO6" s="5">
        <f>IF(A6="","",N(INDEX(Projects[Act Structural Engineering],5)))</f>
        <v/>
      </c>
      <c r="BP6" s="5">
        <f>IF(A6="","",N(INDEX(Projects[Act Site Sup],5)))</f>
        <v/>
      </c>
      <c r="BQ6" s="5">
        <f>IF(A6="","",N(INDEX(Projects[Act Controls Commissioning],5)))</f>
        <v/>
      </c>
      <c r="BR6" s="5">
        <f>IF(A6="","",N(INDEX(Projects[Act Systems Commissioning],5)))</f>
        <v/>
      </c>
      <c r="BS6" s="5">
        <f>IF(A6="","",N(INDEX(Projects[Act Service Commissioning],5)))</f>
        <v/>
      </c>
      <c r="BT6" s="5">
        <f>IF(A6="","",N(INDEX(Projects[Act Controls Eng],5)))</f>
        <v/>
      </c>
      <c r="BU6" s="5">
        <f>IF(A6="","",N(INDEX(Projects[Act Controls Purchase],5)))</f>
        <v/>
      </c>
      <c r="BV6" s="5">
        <f>IF(A6="","",N(INDEX(Projects[Act Software Eng],5)))</f>
        <v/>
      </c>
      <c r="BW6" s="5">
        <f>IF(A6="","",N(INDEX(Projects[Act 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INDEX(Projects[Sold Value (USD M)],5)</f>
        <v/>
      </c>
      <c r="CE6" s="5" t="n"/>
      <c r="CF6" s="5">
        <f>IF(A6="","",N(INDEX(Projects[Est Mech Inst],5)))</f>
        <v/>
      </c>
      <c r="CG6" s="5">
        <f>IF(A6="","",N(INDEX(Projects[Est Elec Inst],5)))</f>
        <v/>
      </c>
      <c r="CH6" s="5">
        <f>IF(A6="","",N(INDEX(Projects[Est Project Management],5)))</f>
        <v/>
      </c>
      <c r="CI6" s="5">
        <f>IF(A6="","",N(INDEX(Projects[Est Systems Eng],5)))</f>
        <v/>
      </c>
      <c r="CJ6" s="5">
        <f>IF(A6="","",N(INDEX(Projects[Est Mechanical Eng],5)))</f>
        <v/>
      </c>
      <c r="CK6" s="5">
        <f>IF(A6="","",N(INDEX(Projects[Est Structural Engineering],5)))</f>
        <v/>
      </c>
      <c r="CL6" s="5">
        <f>IF(A6="","",N(INDEX(Projects[Est Site Sup],5)))</f>
        <v/>
      </c>
      <c r="CM6" s="5">
        <f>IF(A6="","",N(INDEX(Projects[Est Controls Commissioning],5)))</f>
        <v/>
      </c>
      <c r="CN6" s="5">
        <f>IF(A6="","",N(INDEX(Projects[Est Systems Commissioning],5)))</f>
        <v/>
      </c>
      <c r="CO6" s="5">
        <f>IF(A6="","",N(INDEX(Projects[Est Service Commissioning],5)))</f>
        <v/>
      </c>
      <c r="CP6" s="5">
        <f>IF(A6="","",N(INDEX(Projects[Est Controls Eng],5)))</f>
        <v/>
      </c>
      <c r="CQ6" s="5">
        <f>IF(A6="","",N(INDEX(Projects[Est Controls Purchase],5)))</f>
        <v/>
      </c>
      <c r="CR6" s="5">
        <f>IF(A6="","",N(INDEX(Projects[Est Software Eng],5)))</f>
        <v/>
      </c>
      <c r="CS6" s="5">
        <f>IF(A6="","",N(INDEX(Projects[Est Misc],5)))</f>
        <v/>
      </c>
      <c r="CT6" s="5">
        <f>IF(A6="","",SUM(CF6:CS6))</f>
        <v/>
      </c>
      <c r="CU6" s="5">
        <f>INDEX(Projects[Est Cost (M)],5)</f>
        <v/>
      </c>
      <c r="CV6" s="5">
        <f>INDEX(Projects[Act Cost (M)],5)</f>
        <v/>
      </c>
      <c r="CW6" s="5">
        <f>INDEX(Projects[Plan Mech Eng (wks)],5)</f>
        <v/>
      </c>
      <c r="CX6" s="5">
        <f>INDEX(Projects[Plan Controls Eng (wks)],5)</f>
        <v/>
      </c>
      <c r="CY6" s="5">
        <f>INDEX(Projects[Plan Systems Eng (wks)],5)</f>
        <v/>
      </c>
      <c r="CZ6" s="5">
        <f>INDEX(Projects[Plan Software Eng (wks)],5)</f>
        <v/>
      </c>
      <c r="DA6" s="5">
        <f>INDEX(Projects[Plan M&amp;E Installation (wks)],5)</f>
        <v/>
      </c>
      <c r="DB6" s="5">
        <f>INDEX(Projects[Plan Commissioning (wks)],5)</f>
        <v/>
      </c>
      <c r="DC6" s="5">
        <f>INDEX(Projects[Plan Total (wks)],5)</f>
        <v/>
      </c>
      <c r="DD6" s="5">
        <f>INDEX(Projects[Act Mech Eng (wks)],5)</f>
        <v/>
      </c>
      <c r="DE6" s="5">
        <f>INDEX(Projects[Act Controls Eng (wks)],5)</f>
        <v/>
      </c>
      <c r="DF6" s="5">
        <f>INDEX(Projects[Act Systems Eng (wks)],5)</f>
        <v/>
      </c>
      <c r="DG6" s="5">
        <f>INDEX(Projects[Act Software Eng (wks)],5)</f>
        <v/>
      </c>
      <c r="DH6" s="5">
        <f>INDEX(Projects[Act M&amp;E Installation (wks)],5)</f>
        <v/>
      </c>
      <c r="DI6" s="5">
        <f>INDEX(Projects[Act Commissioning (wks)],5)</f>
        <v/>
      </c>
      <c r="DJ6" s="5">
        <f>INDEX(Projects[Act Total (wks)],5)</f>
        <v/>
      </c>
    </row>
    <row r="7" ht="15" customHeight="1" s="82">
      <c r="A7" s="64">
        <f>INDEX(Projects[Project ID *],6)&amp;""</f>
        <v/>
      </c>
      <c r="B7" s="64">
        <f>INDEX(Projects[Project Name *],6)&amp;""</f>
        <v/>
      </c>
      <c r="C7" s="64">
        <f>INDEX(Projects[MS Shuttles],6)</f>
        <v/>
      </c>
      <c r="D7" s="64">
        <f>INDEX(Projects[MS Tote Locations],6)</f>
        <v/>
      </c>
      <c r="E7" s="64">
        <f>INDEX(Projects[AS Robots],6)</f>
        <v/>
      </c>
      <c r="F7" s="64">
        <f>INDEX(Projects[AS Tote Locations],6)</f>
        <v/>
      </c>
      <c r="G7" s="64">
        <f>INDEX(Projects[PS Shuttles],6)</f>
        <v/>
      </c>
      <c r="H7" s="64">
        <f>INDEX(Projects[PS Pallet Locations],6)</f>
        <v/>
      </c>
      <c r="I7" s="64">
        <f>INDEX(Projects[SRM Cranes],6)</f>
        <v/>
      </c>
      <c r="J7" s="64">
        <f>INDEX(Projects[SRM Pallet Locations],6)</f>
        <v/>
      </c>
      <c r="K7" s="64">
        <f>INDEX(Projects[Case Conv (m)],6)</f>
        <v/>
      </c>
      <c r="L7" s="64">
        <f>INDEX(Projects[Pallet Conv (m)],6)</f>
        <v/>
      </c>
      <c r="M7" s="64">
        <f>IF(N(DJ7)&gt;0,DD7,CW7)</f>
        <v/>
      </c>
      <c r="N7" s="64">
        <f>IF(N(DJ7)&gt;0,DE7,CX7)</f>
        <v/>
      </c>
      <c r="O7" s="64">
        <f>IF(N(DJ7)&gt;0,DF7,CY7)</f>
        <v/>
      </c>
      <c r="P7" s="64">
        <f>IF(N(DJ7)&gt;0,DG7,CZ7)</f>
        <v/>
      </c>
      <c r="Q7" s="64">
        <f>IF(N(DJ7)&gt;0,DH7,DA7)</f>
        <v/>
      </c>
      <c r="R7" s="64">
        <f>IF(N(DJ7)&gt;0,DI7,DB7)</f>
        <v/>
      </c>
      <c r="S7" s="64">
        <f>IF(N(DJ7)&gt;0,DJ7,DC7)</f>
        <v/>
      </c>
      <c r="T7" s="64">
        <f>INDEX(Projects[Currency],6)&amp;""</f>
        <v/>
      </c>
      <c r="U7" s="65">
        <f>INDEX(Projects[Sold Value (M)],6)</f>
        <v/>
      </c>
      <c r="V7" s="64">
        <f>IF('Smart Search'!B13=1,IFERROR(1/'Smart Search'!H13,0),0)</f>
        <v/>
      </c>
      <c r="W7" s="64">
        <f>IF('Smart Search'!B13=1,IFERROR(1/'Smart Search'!H13,0),0)</f>
        <v/>
      </c>
      <c r="X7" s="64">
        <f>IF('Smart Search'!C13=1,IFERROR(1/'Smart Search'!H13,0),0)</f>
        <v/>
      </c>
      <c r="Y7" s="64">
        <f>IF('Smart Search'!C13=1,IFERROR(1/'Smart Search'!H13,0),0)</f>
        <v/>
      </c>
      <c r="Z7" s="64">
        <f>IF('Smart Search'!D13=1,IFERROR(1/'Smart Search'!H13,0),0)</f>
        <v/>
      </c>
      <c r="AA7" s="64">
        <f>IF('Smart Search'!D13=1,IFERROR(1/'Smart Search'!H13,0),0)</f>
        <v/>
      </c>
      <c r="AB7" s="64">
        <f>IF('Smart Search'!E13=1,IFERROR(1/'Smart Search'!H13,0),0)</f>
        <v/>
      </c>
      <c r="AC7" s="64">
        <f>IF('Smart Search'!E13=1,IFERROR(1/'Smart Search'!H13,0),0)</f>
        <v/>
      </c>
      <c r="AD7" s="64">
        <f>IF('Smart Search'!F13=1,IFERROR(1/'Smart Search'!H13,0),0)</f>
        <v/>
      </c>
      <c r="AE7" s="64">
        <f>IF('Smart Search'!F13=1,IFERROR(1/'Smart Search'!H13,0),0)</f>
        <v/>
      </c>
      <c r="AF7" s="64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4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4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4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4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4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4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4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4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4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4">
        <f>AF7*V7</f>
        <v/>
      </c>
      <c r="AQ7" s="64">
        <f>AG7*W7</f>
        <v/>
      </c>
      <c r="AR7" s="64">
        <f>AH7*X7</f>
        <v/>
      </c>
      <c r="AS7" s="64">
        <f>AI7*Y7</f>
        <v/>
      </c>
      <c r="AT7" s="64">
        <f>AJ7*Z7</f>
        <v/>
      </c>
      <c r="AU7" s="64">
        <f>AK7*AA7</f>
        <v/>
      </c>
      <c r="AV7" s="64">
        <f>AL7*AB7</f>
        <v/>
      </c>
      <c r="AW7" s="64">
        <f>AM7*AC7</f>
        <v/>
      </c>
      <c r="AX7" s="64">
        <f>AN7*AD7</f>
        <v/>
      </c>
      <c r="AY7" s="64">
        <f>AO7*AE7</f>
        <v/>
      </c>
      <c r="AZ7" s="64">
        <f>INDEX(Projects[Automation Equipment],6)&amp;""</f>
        <v/>
      </c>
      <c r="BA7" s="64">
        <f>IF(OR(A7="",'Smart Search'!H13=0),"",MAX(0,BE7*BF7*MAX(0,1-BG7)))</f>
        <v/>
      </c>
      <c r="BB7" s="64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4">
        <f>IF('Smart Search'!G13=1,IFERROR(1/'Smart Search'!H13,0),0)</f>
        <v/>
      </c>
      <c r="BD7" s="64">
        <f>BB7*BC7</f>
        <v/>
      </c>
      <c r="BE7" s="64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IF(A7="","",N(INDEX(Projects[Act Mech Inst],6)))</f>
        <v/>
      </c>
      <c r="BK7" s="5">
        <f>IF(A7="","",N(INDEX(Projects[Act Elec Inst],6)))</f>
        <v/>
      </c>
      <c r="BL7" s="5">
        <f>IF(A7="","",N(INDEX(Projects[Act Project Management],6)))</f>
        <v/>
      </c>
      <c r="BM7" s="5">
        <f>IF(A7="","",N(INDEX(Projects[Act Systems Eng],6)))</f>
        <v/>
      </c>
      <c r="BN7" s="5">
        <f>IF(A7="","",N(INDEX(Projects[Act Mechanical Eng],6)))</f>
        <v/>
      </c>
      <c r="BO7" s="5">
        <f>IF(A7="","",N(INDEX(Projects[Act Structural Engineering],6)))</f>
        <v/>
      </c>
      <c r="BP7" s="5">
        <f>IF(A7="","",N(INDEX(Projects[Act Site Sup],6)))</f>
        <v/>
      </c>
      <c r="BQ7" s="5">
        <f>IF(A7="","",N(INDEX(Projects[Act Controls Commissioning],6)))</f>
        <v/>
      </c>
      <c r="BR7" s="5">
        <f>IF(A7="","",N(INDEX(Projects[Act Systems Commissioning],6)))</f>
        <v/>
      </c>
      <c r="BS7" s="5">
        <f>IF(A7="","",N(INDEX(Projects[Act Service Commissioning],6)))</f>
        <v/>
      </c>
      <c r="BT7" s="5">
        <f>IF(A7="","",N(INDEX(Projects[Act Controls Eng],6)))</f>
        <v/>
      </c>
      <c r="BU7" s="5">
        <f>IF(A7="","",N(INDEX(Projects[Act Controls Purchase],6)))</f>
        <v/>
      </c>
      <c r="BV7" s="5">
        <f>IF(A7="","",N(INDEX(Projects[Act Software Eng],6)))</f>
        <v/>
      </c>
      <c r="BW7" s="5">
        <f>IF(A7="","",N(INDEX(Projects[Act 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INDEX(Projects[Sold Value (USD M)],6)</f>
        <v/>
      </c>
      <c r="CE7" s="5" t="n"/>
      <c r="CF7" s="5">
        <f>IF(A7="","",N(INDEX(Projects[Est Mech Inst],6)))</f>
        <v/>
      </c>
      <c r="CG7" s="5">
        <f>IF(A7="","",N(INDEX(Projects[Est Elec Inst],6)))</f>
        <v/>
      </c>
      <c r="CH7" s="5">
        <f>IF(A7="","",N(INDEX(Projects[Est Project Management],6)))</f>
        <v/>
      </c>
      <c r="CI7" s="5">
        <f>IF(A7="","",N(INDEX(Projects[Est Systems Eng],6)))</f>
        <v/>
      </c>
      <c r="CJ7" s="5">
        <f>IF(A7="","",N(INDEX(Projects[Est Mechanical Eng],6)))</f>
        <v/>
      </c>
      <c r="CK7" s="5">
        <f>IF(A7="","",N(INDEX(Projects[Est Structural Engineering],6)))</f>
        <v/>
      </c>
      <c r="CL7" s="5">
        <f>IF(A7="","",N(INDEX(Projects[Est Site Sup],6)))</f>
        <v/>
      </c>
      <c r="CM7" s="5">
        <f>IF(A7="","",N(INDEX(Projects[Est Controls Commissioning],6)))</f>
        <v/>
      </c>
      <c r="CN7" s="5">
        <f>IF(A7="","",N(INDEX(Projects[Est Systems Commissioning],6)))</f>
        <v/>
      </c>
      <c r="CO7" s="5">
        <f>IF(A7="","",N(INDEX(Projects[Est Service Commissioning],6)))</f>
        <v/>
      </c>
      <c r="CP7" s="5">
        <f>IF(A7="","",N(INDEX(Projects[Est Controls Eng],6)))</f>
        <v/>
      </c>
      <c r="CQ7" s="5">
        <f>IF(A7="","",N(INDEX(Projects[Est Controls Purchase],6)))</f>
        <v/>
      </c>
      <c r="CR7" s="5">
        <f>IF(A7="","",N(INDEX(Projects[Est Software Eng],6)))</f>
        <v/>
      </c>
      <c r="CS7" s="5">
        <f>IF(A7="","",N(INDEX(Projects[Est Misc],6)))</f>
        <v/>
      </c>
      <c r="CT7" s="5">
        <f>IF(A7="","",SUM(CF7:CS7))</f>
        <v/>
      </c>
      <c r="CU7" s="5">
        <f>INDEX(Projects[Est Cost (M)],6)</f>
        <v/>
      </c>
      <c r="CV7" s="5">
        <f>INDEX(Projects[Act Cost (M)],6)</f>
        <v/>
      </c>
      <c r="CW7" s="5">
        <f>INDEX(Projects[Plan Mech Eng (wks)],6)</f>
        <v/>
      </c>
      <c r="CX7" s="5">
        <f>INDEX(Projects[Plan Controls Eng (wks)],6)</f>
        <v/>
      </c>
      <c r="CY7" s="5">
        <f>INDEX(Projects[Plan Systems Eng (wks)],6)</f>
        <v/>
      </c>
      <c r="CZ7" s="5">
        <f>INDEX(Projects[Plan Software Eng (wks)],6)</f>
        <v/>
      </c>
      <c r="DA7" s="5">
        <f>INDEX(Projects[Plan M&amp;E Installation (wks)],6)</f>
        <v/>
      </c>
      <c r="DB7" s="5">
        <f>INDEX(Projects[Plan Commissioning (wks)],6)</f>
        <v/>
      </c>
      <c r="DC7" s="5">
        <f>INDEX(Projects[Plan Total (wks)],6)</f>
        <v/>
      </c>
      <c r="DD7" s="5">
        <f>INDEX(Projects[Act Mech Eng (wks)],6)</f>
        <v/>
      </c>
      <c r="DE7" s="5">
        <f>INDEX(Projects[Act Controls Eng (wks)],6)</f>
        <v/>
      </c>
      <c r="DF7" s="5">
        <f>INDEX(Projects[Act Systems Eng (wks)],6)</f>
        <v/>
      </c>
      <c r="DG7" s="5">
        <f>INDEX(Projects[Act Software Eng (wks)],6)</f>
        <v/>
      </c>
      <c r="DH7" s="5">
        <f>INDEX(Projects[Act M&amp;E Installation (wks)],6)</f>
        <v/>
      </c>
      <c r="DI7" s="5">
        <f>INDEX(Projects[Act Commissioning (wks)],6)</f>
        <v/>
      </c>
      <c r="DJ7" s="5">
        <f>INDEX(Projects[Act Total (wks)],6)</f>
        <v/>
      </c>
    </row>
    <row r="8" ht="15" customHeight="1" s="82">
      <c r="A8" s="64">
        <f>INDEX(Projects[Project ID *],7)&amp;""</f>
        <v/>
      </c>
      <c r="B8" s="64">
        <f>INDEX(Projects[Project Name *],7)&amp;""</f>
        <v/>
      </c>
      <c r="C8" s="64">
        <f>INDEX(Projects[MS Shuttles],7)</f>
        <v/>
      </c>
      <c r="D8" s="64">
        <f>INDEX(Projects[MS Tote Locations],7)</f>
        <v/>
      </c>
      <c r="E8" s="64">
        <f>INDEX(Projects[AS Robots],7)</f>
        <v/>
      </c>
      <c r="F8" s="64">
        <f>INDEX(Projects[AS Tote Locations],7)</f>
        <v/>
      </c>
      <c r="G8" s="64">
        <f>INDEX(Projects[PS Shuttles],7)</f>
        <v/>
      </c>
      <c r="H8" s="64">
        <f>INDEX(Projects[PS Pallet Locations],7)</f>
        <v/>
      </c>
      <c r="I8" s="64">
        <f>INDEX(Projects[SRM Cranes],7)</f>
        <v/>
      </c>
      <c r="J8" s="64">
        <f>INDEX(Projects[SRM Pallet Locations],7)</f>
        <v/>
      </c>
      <c r="K8" s="64">
        <f>INDEX(Projects[Case Conv (m)],7)</f>
        <v/>
      </c>
      <c r="L8" s="64">
        <f>INDEX(Projects[Pallet Conv (m)],7)</f>
        <v/>
      </c>
      <c r="M8" s="64">
        <f>IF(N(DJ8)&gt;0,DD8,CW8)</f>
        <v/>
      </c>
      <c r="N8" s="64">
        <f>IF(N(DJ8)&gt;0,DE8,CX8)</f>
        <v/>
      </c>
      <c r="O8" s="64">
        <f>IF(N(DJ8)&gt;0,DF8,CY8)</f>
        <v/>
      </c>
      <c r="P8" s="64">
        <f>IF(N(DJ8)&gt;0,DG8,CZ8)</f>
        <v/>
      </c>
      <c r="Q8" s="64">
        <f>IF(N(DJ8)&gt;0,DH8,DA8)</f>
        <v/>
      </c>
      <c r="R8" s="64">
        <f>IF(N(DJ8)&gt;0,DI8,DB8)</f>
        <v/>
      </c>
      <c r="S8" s="64">
        <f>IF(N(DJ8)&gt;0,DJ8,DC8)</f>
        <v/>
      </c>
      <c r="T8" s="64">
        <f>INDEX(Projects[Currency],7)&amp;""</f>
        <v/>
      </c>
      <c r="U8" s="65">
        <f>INDEX(Projects[Sold Value (M)],7)</f>
        <v/>
      </c>
      <c r="V8" s="64">
        <f>IF('Smart Search'!B13=1,IFERROR(1/'Smart Search'!H13,0),0)</f>
        <v/>
      </c>
      <c r="W8" s="64">
        <f>IF('Smart Search'!B13=1,IFERROR(1/'Smart Search'!H13,0),0)</f>
        <v/>
      </c>
      <c r="X8" s="64">
        <f>IF('Smart Search'!C13=1,IFERROR(1/'Smart Search'!H13,0),0)</f>
        <v/>
      </c>
      <c r="Y8" s="64">
        <f>IF('Smart Search'!C13=1,IFERROR(1/'Smart Search'!H13,0),0)</f>
        <v/>
      </c>
      <c r="Z8" s="64">
        <f>IF('Smart Search'!D13=1,IFERROR(1/'Smart Search'!H13,0),0)</f>
        <v/>
      </c>
      <c r="AA8" s="64">
        <f>IF('Smart Search'!D13=1,IFERROR(1/'Smart Search'!H13,0),0)</f>
        <v/>
      </c>
      <c r="AB8" s="64">
        <f>IF('Smart Search'!E13=1,IFERROR(1/'Smart Search'!H13,0),0)</f>
        <v/>
      </c>
      <c r="AC8" s="64">
        <f>IF('Smart Search'!E13=1,IFERROR(1/'Smart Search'!H13,0),0)</f>
        <v/>
      </c>
      <c r="AD8" s="64">
        <f>IF('Smart Search'!F13=1,IFERROR(1/'Smart Search'!H13,0),0)</f>
        <v/>
      </c>
      <c r="AE8" s="64">
        <f>IF('Smart Search'!F13=1,IFERROR(1/'Smart Search'!H13,0),0)</f>
        <v/>
      </c>
      <c r="AF8" s="64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4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4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4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4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4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4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4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4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4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4">
        <f>AF8*V8</f>
        <v/>
      </c>
      <c r="AQ8" s="64">
        <f>AG8*W8</f>
        <v/>
      </c>
      <c r="AR8" s="64">
        <f>AH8*X8</f>
        <v/>
      </c>
      <c r="AS8" s="64">
        <f>AI8*Y8</f>
        <v/>
      </c>
      <c r="AT8" s="64">
        <f>AJ8*Z8</f>
        <v/>
      </c>
      <c r="AU8" s="64">
        <f>AK8*AA8</f>
        <v/>
      </c>
      <c r="AV8" s="64">
        <f>AL8*AB8</f>
        <v/>
      </c>
      <c r="AW8" s="64">
        <f>AM8*AC8</f>
        <v/>
      </c>
      <c r="AX8" s="64">
        <f>AN8*AD8</f>
        <v/>
      </c>
      <c r="AY8" s="64">
        <f>AO8*AE8</f>
        <v/>
      </c>
      <c r="AZ8" s="64">
        <f>INDEX(Projects[Automation Equipment],7)&amp;""</f>
        <v/>
      </c>
      <c r="BA8" s="64">
        <f>IF(OR(A8="",'Smart Search'!H13=0),"",MAX(0,BE8*BF8*MAX(0,1-BG8)))</f>
        <v/>
      </c>
      <c r="BB8" s="64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4">
        <f>IF('Smart Search'!G13=1,IFERROR(1/'Smart Search'!H13,0),0)</f>
        <v/>
      </c>
      <c r="BD8" s="64">
        <f>BB8*BC8</f>
        <v/>
      </c>
      <c r="BE8" s="64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IF(A8="","",N(INDEX(Projects[Act Mech Inst],7)))</f>
        <v/>
      </c>
      <c r="BK8" s="5">
        <f>IF(A8="","",N(INDEX(Projects[Act Elec Inst],7)))</f>
        <v/>
      </c>
      <c r="BL8" s="5">
        <f>IF(A8="","",N(INDEX(Projects[Act Project Management],7)))</f>
        <v/>
      </c>
      <c r="BM8" s="5">
        <f>IF(A8="","",N(INDEX(Projects[Act Systems Eng],7)))</f>
        <v/>
      </c>
      <c r="BN8" s="5">
        <f>IF(A8="","",N(INDEX(Projects[Act Mechanical Eng],7)))</f>
        <v/>
      </c>
      <c r="BO8" s="5">
        <f>IF(A8="","",N(INDEX(Projects[Act Structural Engineering],7)))</f>
        <v/>
      </c>
      <c r="BP8" s="5">
        <f>IF(A8="","",N(INDEX(Projects[Act Site Sup],7)))</f>
        <v/>
      </c>
      <c r="BQ8" s="5">
        <f>IF(A8="","",N(INDEX(Projects[Act Controls Commissioning],7)))</f>
        <v/>
      </c>
      <c r="BR8" s="5">
        <f>IF(A8="","",N(INDEX(Projects[Act Systems Commissioning],7)))</f>
        <v/>
      </c>
      <c r="BS8" s="5">
        <f>IF(A8="","",N(INDEX(Projects[Act Service Commissioning],7)))</f>
        <v/>
      </c>
      <c r="BT8" s="5">
        <f>IF(A8="","",N(INDEX(Projects[Act Controls Eng],7)))</f>
        <v/>
      </c>
      <c r="BU8" s="5">
        <f>IF(A8="","",N(INDEX(Projects[Act Controls Purchase],7)))</f>
        <v/>
      </c>
      <c r="BV8" s="5">
        <f>IF(A8="","",N(INDEX(Projects[Act Software Eng],7)))</f>
        <v/>
      </c>
      <c r="BW8" s="5">
        <f>IF(A8="","",N(INDEX(Projects[Act 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INDEX(Projects[Sold Value (USD M)],7)</f>
        <v/>
      </c>
      <c r="CE8" s="5" t="n"/>
      <c r="CF8" s="5">
        <f>IF(A8="","",N(INDEX(Projects[Est Mech Inst],7)))</f>
        <v/>
      </c>
      <c r="CG8" s="5">
        <f>IF(A8="","",N(INDEX(Projects[Est Elec Inst],7)))</f>
        <v/>
      </c>
      <c r="CH8" s="5">
        <f>IF(A8="","",N(INDEX(Projects[Est Project Management],7)))</f>
        <v/>
      </c>
      <c r="CI8" s="5">
        <f>IF(A8="","",N(INDEX(Projects[Est Systems Eng],7)))</f>
        <v/>
      </c>
      <c r="CJ8" s="5">
        <f>IF(A8="","",N(INDEX(Projects[Est Mechanical Eng],7)))</f>
        <v/>
      </c>
      <c r="CK8" s="5">
        <f>IF(A8="","",N(INDEX(Projects[Est Structural Engineering],7)))</f>
        <v/>
      </c>
      <c r="CL8" s="5">
        <f>IF(A8="","",N(INDEX(Projects[Est Site Sup],7)))</f>
        <v/>
      </c>
      <c r="CM8" s="5">
        <f>IF(A8="","",N(INDEX(Projects[Est Controls Commissioning],7)))</f>
        <v/>
      </c>
      <c r="CN8" s="5">
        <f>IF(A8="","",N(INDEX(Projects[Est Systems Commissioning],7)))</f>
        <v/>
      </c>
      <c r="CO8" s="5">
        <f>IF(A8="","",N(INDEX(Projects[Est Service Commissioning],7)))</f>
        <v/>
      </c>
      <c r="CP8" s="5">
        <f>IF(A8="","",N(INDEX(Projects[Est Controls Eng],7)))</f>
        <v/>
      </c>
      <c r="CQ8" s="5">
        <f>IF(A8="","",N(INDEX(Projects[Est Controls Purchase],7)))</f>
        <v/>
      </c>
      <c r="CR8" s="5">
        <f>IF(A8="","",N(INDEX(Projects[Est Software Eng],7)))</f>
        <v/>
      </c>
      <c r="CS8" s="5">
        <f>IF(A8="","",N(INDEX(Projects[Est Misc],7)))</f>
        <v/>
      </c>
      <c r="CT8" s="5">
        <f>IF(A8="","",SUM(CF8:CS8))</f>
        <v/>
      </c>
      <c r="CU8" s="5">
        <f>INDEX(Projects[Est Cost (M)],7)</f>
        <v/>
      </c>
      <c r="CV8" s="5">
        <f>INDEX(Projects[Act Cost (M)],7)</f>
        <v/>
      </c>
      <c r="CW8" s="5">
        <f>INDEX(Projects[Plan Mech Eng (wks)],7)</f>
        <v/>
      </c>
      <c r="CX8" s="5">
        <f>INDEX(Projects[Plan Controls Eng (wks)],7)</f>
        <v/>
      </c>
      <c r="CY8" s="5">
        <f>INDEX(Projects[Plan Systems Eng (wks)],7)</f>
        <v/>
      </c>
      <c r="CZ8" s="5">
        <f>INDEX(Projects[Plan Software Eng (wks)],7)</f>
        <v/>
      </c>
      <c r="DA8" s="5">
        <f>INDEX(Projects[Plan M&amp;E Installation (wks)],7)</f>
        <v/>
      </c>
      <c r="DB8" s="5">
        <f>INDEX(Projects[Plan Commissioning (wks)],7)</f>
        <v/>
      </c>
      <c r="DC8" s="5">
        <f>INDEX(Projects[Plan Total (wks)],7)</f>
        <v/>
      </c>
      <c r="DD8" s="5">
        <f>INDEX(Projects[Act Mech Eng (wks)],7)</f>
        <v/>
      </c>
      <c r="DE8" s="5">
        <f>INDEX(Projects[Act Controls Eng (wks)],7)</f>
        <v/>
      </c>
      <c r="DF8" s="5">
        <f>INDEX(Projects[Act Systems Eng (wks)],7)</f>
        <v/>
      </c>
      <c r="DG8" s="5">
        <f>INDEX(Projects[Act Software Eng (wks)],7)</f>
        <v/>
      </c>
      <c r="DH8" s="5">
        <f>INDEX(Projects[Act M&amp;E Installation (wks)],7)</f>
        <v/>
      </c>
      <c r="DI8" s="5">
        <f>INDEX(Projects[Act Commissioning (wks)],7)</f>
        <v/>
      </c>
      <c r="DJ8" s="5">
        <f>INDEX(Projects[Act Total (wks)],7)</f>
        <v/>
      </c>
    </row>
    <row r="9" ht="15" customHeight="1" s="82">
      <c r="A9" s="64">
        <f>INDEX(Projects[Project ID *],8)&amp;""</f>
        <v/>
      </c>
      <c r="B9" s="64">
        <f>INDEX(Projects[Project Name *],8)&amp;""</f>
        <v/>
      </c>
      <c r="C9" s="64">
        <f>INDEX(Projects[MS Shuttles],8)</f>
        <v/>
      </c>
      <c r="D9" s="64">
        <f>INDEX(Projects[MS Tote Locations],8)</f>
        <v/>
      </c>
      <c r="E9" s="64">
        <f>INDEX(Projects[AS Robots],8)</f>
        <v/>
      </c>
      <c r="F9" s="64">
        <f>INDEX(Projects[AS Tote Locations],8)</f>
        <v/>
      </c>
      <c r="G9" s="64">
        <f>INDEX(Projects[PS Shuttles],8)</f>
        <v/>
      </c>
      <c r="H9" s="64">
        <f>INDEX(Projects[PS Pallet Locations],8)</f>
        <v/>
      </c>
      <c r="I9" s="64">
        <f>INDEX(Projects[SRM Cranes],8)</f>
        <v/>
      </c>
      <c r="J9" s="64">
        <f>INDEX(Projects[SRM Pallet Locations],8)</f>
        <v/>
      </c>
      <c r="K9" s="64">
        <f>INDEX(Projects[Case Conv (m)],8)</f>
        <v/>
      </c>
      <c r="L9" s="64">
        <f>INDEX(Projects[Pallet Conv (m)],8)</f>
        <v/>
      </c>
      <c r="M9" s="64">
        <f>IF(N(DJ9)&gt;0,DD9,CW9)</f>
        <v/>
      </c>
      <c r="N9" s="64">
        <f>IF(N(DJ9)&gt;0,DE9,CX9)</f>
        <v/>
      </c>
      <c r="O9" s="64">
        <f>IF(N(DJ9)&gt;0,DF9,CY9)</f>
        <v/>
      </c>
      <c r="P9" s="64">
        <f>IF(N(DJ9)&gt;0,DG9,CZ9)</f>
        <v/>
      </c>
      <c r="Q9" s="64">
        <f>IF(N(DJ9)&gt;0,DH9,DA9)</f>
        <v/>
      </c>
      <c r="R9" s="64">
        <f>IF(N(DJ9)&gt;0,DI9,DB9)</f>
        <v/>
      </c>
      <c r="S9" s="64">
        <f>IF(N(DJ9)&gt;0,DJ9,DC9)</f>
        <v/>
      </c>
      <c r="T9" s="64">
        <f>INDEX(Projects[Currency],8)&amp;""</f>
        <v/>
      </c>
      <c r="U9" s="65">
        <f>INDEX(Projects[Sold Value (M)],8)</f>
        <v/>
      </c>
      <c r="V9" s="64">
        <f>IF('Smart Search'!B13=1,IFERROR(1/'Smart Search'!H13,0),0)</f>
        <v/>
      </c>
      <c r="W9" s="64">
        <f>IF('Smart Search'!B13=1,IFERROR(1/'Smart Search'!H13,0),0)</f>
        <v/>
      </c>
      <c r="X9" s="64">
        <f>IF('Smart Search'!C13=1,IFERROR(1/'Smart Search'!H13,0),0)</f>
        <v/>
      </c>
      <c r="Y9" s="64">
        <f>IF('Smart Search'!C13=1,IFERROR(1/'Smart Search'!H13,0),0)</f>
        <v/>
      </c>
      <c r="Z9" s="64">
        <f>IF('Smart Search'!D13=1,IFERROR(1/'Smart Search'!H13,0),0)</f>
        <v/>
      </c>
      <c r="AA9" s="64">
        <f>IF('Smart Search'!D13=1,IFERROR(1/'Smart Search'!H13,0),0)</f>
        <v/>
      </c>
      <c r="AB9" s="64">
        <f>IF('Smart Search'!E13=1,IFERROR(1/'Smart Search'!H13,0),0)</f>
        <v/>
      </c>
      <c r="AC9" s="64">
        <f>IF('Smart Search'!E13=1,IFERROR(1/'Smart Search'!H13,0),0)</f>
        <v/>
      </c>
      <c r="AD9" s="64">
        <f>IF('Smart Search'!F13=1,IFERROR(1/'Smart Search'!H13,0),0)</f>
        <v/>
      </c>
      <c r="AE9" s="64">
        <f>IF('Smart Search'!F13=1,IFERROR(1/'Smart Search'!H13,0),0)</f>
        <v/>
      </c>
      <c r="AF9" s="64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4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4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4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4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4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4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4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4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4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4">
        <f>AF9*V9</f>
        <v/>
      </c>
      <c r="AQ9" s="64">
        <f>AG9*W9</f>
        <v/>
      </c>
      <c r="AR9" s="64">
        <f>AH9*X9</f>
        <v/>
      </c>
      <c r="AS9" s="64">
        <f>AI9*Y9</f>
        <v/>
      </c>
      <c r="AT9" s="64">
        <f>AJ9*Z9</f>
        <v/>
      </c>
      <c r="AU9" s="64">
        <f>AK9*AA9</f>
        <v/>
      </c>
      <c r="AV9" s="64">
        <f>AL9*AB9</f>
        <v/>
      </c>
      <c r="AW9" s="64">
        <f>AM9*AC9</f>
        <v/>
      </c>
      <c r="AX9" s="64">
        <f>AN9*AD9</f>
        <v/>
      </c>
      <c r="AY9" s="64">
        <f>AO9*AE9</f>
        <v/>
      </c>
      <c r="AZ9" s="64">
        <f>INDEX(Projects[Automation Equipment],8)&amp;""</f>
        <v/>
      </c>
      <c r="BA9" s="64">
        <f>IF(OR(A9="",'Smart Search'!H13=0),"",MAX(0,BE9*BF9*MAX(0,1-BG9)))</f>
        <v/>
      </c>
      <c r="BB9" s="64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4">
        <f>IF('Smart Search'!G13=1,IFERROR(1/'Smart Search'!H13,0),0)</f>
        <v/>
      </c>
      <c r="BD9" s="64">
        <f>BB9*BC9</f>
        <v/>
      </c>
      <c r="BE9" s="64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IF(A9="","",N(INDEX(Projects[Act Mech Inst],8)))</f>
        <v/>
      </c>
      <c r="BK9" s="5">
        <f>IF(A9="","",N(INDEX(Projects[Act Elec Inst],8)))</f>
        <v/>
      </c>
      <c r="BL9" s="5">
        <f>IF(A9="","",N(INDEX(Projects[Act Project Management],8)))</f>
        <v/>
      </c>
      <c r="BM9" s="5">
        <f>IF(A9="","",N(INDEX(Projects[Act Systems Eng],8)))</f>
        <v/>
      </c>
      <c r="BN9" s="5">
        <f>IF(A9="","",N(INDEX(Projects[Act Mechanical Eng],8)))</f>
        <v/>
      </c>
      <c r="BO9" s="5">
        <f>IF(A9="","",N(INDEX(Projects[Act Structural Engineering],8)))</f>
        <v/>
      </c>
      <c r="BP9" s="5">
        <f>IF(A9="","",N(INDEX(Projects[Act Site Sup],8)))</f>
        <v/>
      </c>
      <c r="BQ9" s="5">
        <f>IF(A9="","",N(INDEX(Projects[Act Controls Commissioning],8)))</f>
        <v/>
      </c>
      <c r="BR9" s="5">
        <f>IF(A9="","",N(INDEX(Projects[Act Systems Commissioning],8)))</f>
        <v/>
      </c>
      <c r="BS9" s="5">
        <f>IF(A9="","",N(INDEX(Projects[Act Service Commissioning],8)))</f>
        <v/>
      </c>
      <c r="BT9" s="5">
        <f>IF(A9="","",N(INDEX(Projects[Act Controls Eng],8)))</f>
        <v/>
      </c>
      <c r="BU9" s="5">
        <f>IF(A9="","",N(INDEX(Projects[Act Controls Purchase],8)))</f>
        <v/>
      </c>
      <c r="BV9" s="5">
        <f>IF(A9="","",N(INDEX(Projects[Act Software Eng],8)))</f>
        <v/>
      </c>
      <c r="BW9" s="5">
        <f>IF(A9="","",N(INDEX(Projects[Act 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INDEX(Projects[Sold Value (USD M)],8)</f>
        <v/>
      </c>
      <c r="CE9" s="5" t="n"/>
      <c r="CF9" s="5">
        <f>IF(A9="","",N(INDEX(Projects[Est Mech Inst],8)))</f>
        <v/>
      </c>
      <c r="CG9" s="5">
        <f>IF(A9="","",N(INDEX(Projects[Est Elec Inst],8)))</f>
        <v/>
      </c>
      <c r="CH9" s="5">
        <f>IF(A9="","",N(INDEX(Projects[Est Project Management],8)))</f>
        <v/>
      </c>
      <c r="CI9" s="5">
        <f>IF(A9="","",N(INDEX(Projects[Est Systems Eng],8)))</f>
        <v/>
      </c>
      <c r="CJ9" s="5">
        <f>IF(A9="","",N(INDEX(Projects[Est Mechanical Eng],8)))</f>
        <v/>
      </c>
      <c r="CK9" s="5">
        <f>IF(A9="","",N(INDEX(Projects[Est Structural Engineering],8)))</f>
        <v/>
      </c>
      <c r="CL9" s="5">
        <f>IF(A9="","",N(INDEX(Projects[Est Site Sup],8)))</f>
        <v/>
      </c>
      <c r="CM9" s="5">
        <f>IF(A9="","",N(INDEX(Projects[Est Controls Commissioning],8)))</f>
        <v/>
      </c>
      <c r="CN9" s="5">
        <f>IF(A9="","",N(INDEX(Projects[Est Systems Commissioning],8)))</f>
        <v/>
      </c>
      <c r="CO9" s="5">
        <f>IF(A9="","",N(INDEX(Projects[Est Service Commissioning],8)))</f>
        <v/>
      </c>
      <c r="CP9" s="5">
        <f>IF(A9="","",N(INDEX(Projects[Est Controls Eng],8)))</f>
        <v/>
      </c>
      <c r="CQ9" s="5">
        <f>IF(A9="","",N(INDEX(Projects[Est Controls Purchase],8)))</f>
        <v/>
      </c>
      <c r="CR9" s="5">
        <f>IF(A9="","",N(INDEX(Projects[Est Software Eng],8)))</f>
        <v/>
      </c>
      <c r="CS9" s="5">
        <f>IF(A9="","",N(INDEX(Projects[Est Misc],8)))</f>
        <v/>
      </c>
      <c r="CT9" s="5">
        <f>IF(A9="","",SUM(CF9:CS9))</f>
        <v/>
      </c>
      <c r="CU9" s="5">
        <f>INDEX(Projects[Est Cost (M)],8)</f>
        <v/>
      </c>
      <c r="CV9" s="5">
        <f>INDEX(Projects[Act Cost (M)],8)</f>
        <v/>
      </c>
      <c r="CW9" s="5">
        <f>INDEX(Projects[Plan Mech Eng (wks)],8)</f>
        <v/>
      </c>
      <c r="CX9" s="5">
        <f>INDEX(Projects[Plan Controls Eng (wks)],8)</f>
        <v/>
      </c>
      <c r="CY9" s="5">
        <f>INDEX(Projects[Plan Systems Eng (wks)],8)</f>
        <v/>
      </c>
      <c r="CZ9" s="5">
        <f>INDEX(Projects[Plan Software Eng (wks)],8)</f>
        <v/>
      </c>
      <c r="DA9" s="5">
        <f>INDEX(Projects[Plan M&amp;E Installation (wks)],8)</f>
        <v/>
      </c>
      <c r="DB9" s="5">
        <f>INDEX(Projects[Plan Commissioning (wks)],8)</f>
        <v/>
      </c>
      <c r="DC9" s="5">
        <f>INDEX(Projects[Plan Total (wks)],8)</f>
        <v/>
      </c>
      <c r="DD9" s="5">
        <f>INDEX(Projects[Act Mech Eng (wks)],8)</f>
        <v/>
      </c>
      <c r="DE9" s="5">
        <f>INDEX(Projects[Act Controls Eng (wks)],8)</f>
        <v/>
      </c>
      <c r="DF9" s="5">
        <f>INDEX(Projects[Act Systems Eng (wks)],8)</f>
        <v/>
      </c>
      <c r="DG9" s="5">
        <f>INDEX(Projects[Act Software Eng (wks)],8)</f>
        <v/>
      </c>
      <c r="DH9" s="5">
        <f>INDEX(Projects[Act M&amp;E Installation (wks)],8)</f>
        <v/>
      </c>
      <c r="DI9" s="5">
        <f>INDEX(Projects[Act Commissioning (wks)],8)</f>
        <v/>
      </c>
      <c r="DJ9" s="5">
        <f>INDEX(Projects[Act Total (wks)],8)</f>
        <v/>
      </c>
    </row>
    <row r="10" ht="15" customHeight="1" s="82">
      <c r="A10" s="64">
        <f>INDEX(Projects[Project ID *],9)&amp;""</f>
        <v/>
      </c>
      <c r="B10" s="64">
        <f>INDEX(Projects[Project Name *],9)&amp;""</f>
        <v/>
      </c>
      <c r="C10" s="64">
        <f>INDEX(Projects[MS Shuttles],9)</f>
        <v/>
      </c>
      <c r="D10" s="64">
        <f>INDEX(Projects[MS Tote Locations],9)</f>
        <v/>
      </c>
      <c r="E10" s="64">
        <f>INDEX(Projects[AS Robots],9)</f>
        <v/>
      </c>
      <c r="F10" s="64">
        <f>INDEX(Projects[AS Tote Locations],9)</f>
        <v/>
      </c>
      <c r="G10" s="64">
        <f>INDEX(Projects[PS Shuttles],9)</f>
        <v/>
      </c>
      <c r="H10" s="64">
        <f>INDEX(Projects[PS Pallet Locations],9)</f>
        <v/>
      </c>
      <c r="I10" s="64">
        <f>INDEX(Projects[SRM Cranes],9)</f>
        <v/>
      </c>
      <c r="J10" s="64">
        <f>INDEX(Projects[SRM Pallet Locations],9)</f>
        <v/>
      </c>
      <c r="K10" s="64">
        <f>INDEX(Projects[Case Conv (m)],9)</f>
        <v/>
      </c>
      <c r="L10" s="64">
        <f>INDEX(Projects[Pallet Conv (m)],9)</f>
        <v/>
      </c>
      <c r="M10" s="64">
        <f>IF(N(DJ10)&gt;0,DD10,CW10)</f>
        <v/>
      </c>
      <c r="N10" s="64">
        <f>IF(N(DJ10)&gt;0,DE10,CX10)</f>
        <v/>
      </c>
      <c r="O10" s="64">
        <f>IF(N(DJ10)&gt;0,DF10,CY10)</f>
        <v/>
      </c>
      <c r="P10" s="64">
        <f>IF(N(DJ10)&gt;0,DG10,CZ10)</f>
        <v/>
      </c>
      <c r="Q10" s="64">
        <f>IF(N(DJ10)&gt;0,DH10,DA10)</f>
        <v/>
      </c>
      <c r="R10" s="64">
        <f>IF(N(DJ10)&gt;0,DI10,DB10)</f>
        <v/>
      </c>
      <c r="S10" s="64">
        <f>IF(N(DJ10)&gt;0,DJ10,DC10)</f>
        <v/>
      </c>
      <c r="T10" s="64">
        <f>INDEX(Projects[Currency],9)&amp;""</f>
        <v/>
      </c>
      <c r="U10" s="65">
        <f>INDEX(Projects[Sold Value (M)],9)</f>
        <v/>
      </c>
      <c r="V10" s="64">
        <f>IF('Smart Search'!B13=1,IFERROR(1/'Smart Search'!H13,0),0)</f>
        <v/>
      </c>
      <c r="W10" s="64">
        <f>IF('Smart Search'!B13=1,IFERROR(1/'Smart Search'!H13,0),0)</f>
        <v/>
      </c>
      <c r="X10" s="64">
        <f>IF('Smart Search'!C13=1,IFERROR(1/'Smart Search'!H13,0),0)</f>
        <v/>
      </c>
      <c r="Y10" s="64">
        <f>IF('Smart Search'!C13=1,IFERROR(1/'Smart Search'!H13,0),0)</f>
        <v/>
      </c>
      <c r="Z10" s="64">
        <f>IF('Smart Search'!D13=1,IFERROR(1/'Smart Search'!H13,0),0)</f>
        <v/>
      </c>
      <c r="AA10" s="64">
        <f>IF('Smart Search'!D13=1,IFERROR(1/'Smart Search'!H13,0),0)</f>
        <v/>
      </c>
      <c r="AB10" s="64">
        <f>IF('Smart Search'!E13=1,IFERROR(1/'Smart Search'!H13,0),0)</f>
        <v/>
      </c>
      <c r="AC10" s="64">
        <f>IF('Smart Search'!E13=1,IFERROR(1/'Smart Search'!H13,0),0)</f>
        <v/>
      </c>
      <c r="AD10" s="64">
        <f>IF('Smart Search'!F13=1,IFERROR(1/'Smart Search'!H13,0),0)</f>
        <v/>
      </c>
      <c r="AE10" s="64">
        <f>IF('Smart Search'!F13=1,IFERROR(1/'Smart Search'!H13,0),0)</f>
        <v/>
      </c>
      <c r="AF10" s="64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4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4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4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4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4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4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4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4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4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4">
        <f>AF10*V10</f>
        <v/>
      </c>
      <c r="AQ10" s="64">
        <f>AG10*W10</f>
        <v/>
      </c>
      <c r="AR10" s="64">
        <f>AH10*X10</f>
        <v/>
      </c>
      <c r="AS10" s="64">
        <f>AI10*Y10</f>
        <v/>
      </c>
      <c r="AT10" s="64">
        <f>AJ10*Z10</f>
        <v/>
      </c>
      <c r="AU10" s="64">
        <f>AK10*AA10</f>
        <v/>
      </c>
      <c r="AV10" s="64">
        <f>AL10*AB10</f>
        <v/>
      </c>
      <c r="AW10" s="64">
        <f>AM10*AC10</f>
        <v/>
      </c>
      <c r="AX10" s="64">
        <f>AN10*AD10</f>
        <v/>
      </c>
      <c r="AY10" s="64">
        <f>AO10*AE10</f>
        <v/>
      </c>
      <c r="AZ10" s="64">
        <f>INDEX(Projects[Automation Equipment],9)&amp;""</f>
        <v/>
      </c>
      <c r="BA10" s="64">
        <f>IF(OR(A10="",'Smart Search'!H13=0),"",MAX(0,BE10*BF10*MAX(0,1-BG10)))</f>
        <v/>
      </c>
      <c r="BB10" s="64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4">
        <f>IF('Smart Search'!G13=1,IFERROR(1/'Smart Search'!H13,0),0)</f>
        <v/>
      </c>
      <c r="BD10" s="64">
        <f>BB10*BC10</f>
        <v/>
      </c>
      <c r="BE10" s="64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IF(A10="","",N(INDEX(Projects[Act Mech Inst],9)))</f>
        <v/>
      </c>
      <c r="BK10" s="5">
        <f>IF(A10="","",N(INDEX(Projects[Act Elec Inst],9)))</f>
        <v/>
      </c>
      <c r="BL10" s="5">
        <f>IF(A10="","",N(INDEX(Projects[Act Project Management],9)))</f>
        <v/>
      </c>
      <c r="BM10" s="5">
        <f>IF(A10="","",N(INDEX(Projects[Act Systems Eng],9)))</f>
        <v/>
      </c>
      <c r="BN10" s="5">
        <f>IF(A10="","",N(INDEX(Projects[Act Mechanical Eng],9)))</f>
        <v/>
      </c>
      <c r="BO10" s="5">
        <f>IF(A10="","",N(INDEX(Projects[Act Structural Engineering],9)))</f>
        <v/>
      </c>
      <c r="BP10" s="5">
        <f>IF(A10="","",N(INDEX(Projects[Act Site Sup],9)))</f>
        <v/>
      </c>
      <c r="BQ10" s="5">
        <f>IF(A10="","",N(INDEX(Projects[Act Controls Commissioning],9)))</f>
        <v/>
      </c>
      <c r="BR10" s="5">
        <f>IF(A10="","",N(INDEX(Projects[Act Systems Commissioning],9)))</f>
        <v/>
      </c>
      <c r="BS10" s="5">
        <f>IF(A10="","",N(INDEX(Projects[Act Service Commissioning],9)))</f>
        <v/>
      </c>
      <c r="BT10" s="5">
        <f>IF(A10="","",N(INDEX(Projects[Act Controls Eng],9)))</f>
        <v/>
      </c>
      <c r="BU10" s="5">
        <f>IF(A10="","",N(INDEX(Projects[Act Controls Purchase],9)))</f>
        <v/>
      </c>
      <c r="BV10" s="5">
        <f>IF(A10="","",N(INDEX(Projects[Act Software Eng],9)))</f>
        <v/>
      </c>
      <c r="BW10" s="5">
        <f>IF(A10="","",N(INDEX(Projects[Act 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INDEX(Projects[Sold Value (USD M)],9)</f>
        <v/>
      </c>
      <c r="CE10" s="5" t="n"/>
      <c r="CF10" s="5">
        <f>IF(A10="","",N(INDEX(Projects[Est Mech Inst],9)))</f>
        <v/>
      </c>
      <c r="CG10" s="5">
        <f>IF(A10="","",N(INDEX(Projects[Est Elec Inst],9)))</f>
        <v/>
      </c>
      <c r="CH10" s="5">
        <f>IF(A10="","",N(INDEX(Projects[Est Project Management],9)))</f>
        <v/>
      </c>
      <c r="CI10" s="5">
        <f>IF(A10="","",N(INDEX(Projects[Est Systems Eng],9)))</f>
        <v/>
      </c>
      <c r="CJ10" s="5">
        <f>IF(A10="","",N(INDEX(Projects[Est Mechanical Eng],9)))</f>
        <v/>
      </c>
      <c r="CK10" s="5">
        <f>IF(A10="","",N(INDEX(Projects[Est Structural Engineering],9)))</f>
        <v/>
      </c>
      <c r="CL10" s="5">
        <f>IF(A10="","",N(INDEX(Projects[Est Site Sup],9)))</f>
        <v/>
      </c>
      <c r="CM10" s="5">
        <f>IF(A10="","",N(INDEX(Projects[Est Controls Commissioning],9)))</f>
        <v/>
      </c>
      <c r="CN10" s="5">
        <f>IF(A10="","",N(INDEX(Projects[Est Systems Commissioning],9)))</f>
        <v/>
      </c>
      <c r="CO10" s="5">
        <f>IF(A10="","",N(INDEX(Projects[Est Service Commissioning],9)))</f>
        <v/>
      </c>
      <c r="CP10" s="5">
        <f>IF(A10="","",N(INDEX(Projects[Est Controls Eng],9)))</f>
        <v/>
      </c>
      <c r="CQ10" s="5">
        <f>IF(A10="","",N(INDEX(Projects[Est Controls Purchase],9)))</f>
        <v/>
      </c>
      <c r="CR10" s="5">
        <f>IF(A10="","",N(INDEX(Projects[Est Software Eng],9)))</f>
        <v/>
      </c>
      <c r="CS10" s="5">
        <f>IF(A10="","",N(INDEX(Projects[Est Misc],9)))</f>
        <v/>
      </c>
      <c r="CT10" s="5">
        <f>IF(A10="","",SUM(CF10:CS10))</f>
        <v/>
      </c>
      <c r="CU10" s="5">
        <f>INDEX(Projects[Est Cost (M)],9)</f>
        <v/>
      </c>
      <c r="CV10" s="5">
        <f>INDEX(Projects[Act Cost (M)],9)</f>
        <v/>
      </c>
      <c r="CW10" s="5">
        <f>INDEX(Projects[Plan Mech Eng (wks)],9)</f>
        <v/>
      </c>
      <c r="CX10" s="5">
        <f>INDEX(Projects[Plan Controls Eng (wks)],9)</f>
        <v/>
      </c>
      <c r="CY10" s="5">
        <f>INDEX(Projects[Plan Systems Eng (wks)],9)</f>
        <v/>
      </c>
      <c r="CZ10" s="5">
        <f>INDEX(Projects[Plan Software Eng (wks)],9)</f>
        <v/>
      </c>
      <c r="DA10" s="5">
        <f>INDEX(Projects[Plan M&amp;E Installation (wks)],9)</f>
        <v/>
      </c>
      <c r="DB10" s="5">
        <f>INDEX(Projects[Plan Commissioning (wks)],9)</f>
        <v/>
      </c>
      <c r="DC10" s="5">
        <f>INDEX(Projects[Plan Total (wks)],9)</f>
        <v/>
      </c>
      <c r="DD10" s="5">
        <f>INDEX(Projects[Act Mech Eng (wks)],9)</f>
        <v/>
      </c>
      <c r="DE10" s="5">
        <f>INDEX(Projects[Act Controls Eng (wks)],9)</f>
        <v/>
      </c>
      <c r="DF10" s="5">
        <f>INDEX(Projects[Act Systems Eng (wks)],9)</f>
        <v/>
      </c>
      <c r="DG10" s="5">
        <f>INDEX(Projects[Act Software Eng (wks)],9)</f>
        <v/>
      </c>
      <c r="DH10" s="5">
        <f>INDEX(Projects[Act M&amp;E Installation (wks)],9)</f>
        <v/>
      </c>
      <c r="DI10" s="5">
        <f>INDEX(Projects[Act Commissioning (wks)],9)</f>
        <v/>
      </c>
      <c r="DJ10" s="5">
        <f>INDEX(Projects[Act Total (wks)],9)</f>
        <v/>
      </c>
    </row>
    <row r="11" ht="15" customHeight="1" s="82">
      <c r="A11" s="64">
        <f>INDEX(Projects[Project ID *],10)&amp;""</f>
        <v/>
      </c>
      <c r="B11" s="64">
        <f>INDEX(Projects[Project Name *],10)&amp;""</f>
        <v/>
      </c>
      <c r="C11" s="64">
        <f>INDEX(Projects[MS Shuttles],10)</f>
        <v/>
      </c>
      <c r="D11" s="64">
        <f>INDEX(Projects[MS Tote Locations],10)</f>
        <v/>
      </c>
      <c r="E11" s="64">
        <f>INDEX(Projects[AS Robots],10)</f>
        <v/>
      </c>
      <c r="F11" s="64">
        <f>INDEX(Projects[AS Tote Locations],10)</f>
        <v/>
      </c>
      <c r="G11" s="64">
        <f>INDEX(Projects[PS Shuttles],10)</f>
        <v/>
      </c>
      <c r="H11" s="64">
        <f>INDEX(Projects[PS Pallet Locations],10)</f>
        <v/>
      </c>
      <c r="I11" s="64">
        <f>INDEX(Projects[SRM Cranes],10)</f>
        <v/>
      </c>
      <c r="J11" s="64">
        <f>INDEX(Projects[SRM Pallet Locations],10)</f>
        <v/>
      </c>
      <c r="K11" s="64">
        <f>INDEX(Projects[Case Conv (m)],10)</f>
        <v/>
      </c>
      <c r="L11" s="64">
        <f>INDEX(Projects[Pallet Conv (m)],10)</f>
        <v/>
      </c>
      <c r="M11" s="64">
        <f>IF(N(DJ11)&gt;0,DD11,CW11)</f>
        <v/>
      </c>
      <c r="N11" s="64">
        <f>IF(N(DJ11)&gt;0,DE11,CX11)</f>
        <v/>
      </c>
      <c r="O11" s="64">
        <f>IF(N(DJ11)&gt;0,DF11,CY11)</f>
        <v/>
      </c>
      <c r="P11" s="64">
        <f>IF(N(DJ11)&gt;0,DG11,CZ11)</f>
        <v/>
      </c>
      <c r="Q11" s="64">
        <f>IF(N(DJ11)&gt;0,DH11,DA11)</f>
        <v/>
      </c>
      <c r="R11" s="64">
        <f>IF(N(DJ11)&gt;0,DI11,DB11)</f>
        <v/>
      </c>
      <c r="S11" s="64">
        <f>IF(N(DJ11)&gt;0,DJ11,DC11)</f>
        <v/>
      </c>
      <c r="T11" s="64">
        <f>INDEX(Projects[Currency],10)&amp;""</f>
        <v/>
      </c>
      <c r="U11" s="65">
        <f>INDEX(Projects[Sold Value (M)],10)</f>
        <v/>
      </c>
      <c r="V11" s="64">
        <f>IF('Smart Search'!B13=1,IFERROR(1/'Smart Search'!H13,0),0)</f>
        <v/>
      </c>
      <c r="W11" s="64">
        <f>IF('Smart Search'!B13=1,IFERROR(1/'Smart Search'!H13,0),0)</f>
        <v/>
      </c>
      <c r="X11" s="64">
        <f>IF('Smart Search'!C13=1,IFERROR(1/'Smart Search'!H13,0),0)</f>
        <v/>
      </c>
      <c r="Y11" s="64">
        <f>IF('Smart Search'!C13=1,IFERROR(1/'Smart Search'!H13,0),0)</f>
        <v/>
      </c>
      <c r="Z11" s="64">
        <f>IF('Smart Search'!D13=1,IFERROR(1/'Smart Search'!H13,0),0)</f>
        <v/>
      </c>
      <c r="AA11" s="64">
        <f>IF('Smart Search'!D13=1,IFERROR(1/'Smart Search'!H13,0),0)</f>
        <v/>
      </c>
      <c r="AB11" s="64">
        <f>IF('Smart Search'!E13=1,IFERROR(1/'Smart Search'!H13,0),0)</f>
        <v/>
      </c>
      <c r="AC11" s="64">
        <f>IF('Smart Search'!E13=1,IFERROR(1/'Smart Search'!H13,0),0)</f>
        <v/>
      </c>
      <c r="AD11" s="64">
        <f>IF('Smart Search'!F13=1,IFERROR(1/'Smart Search'!H13,0),0)</f>
        <v/>
      </c>
      <c r="AE11" s="64">
        <f>IF('Smart Search'!F13=1,IFERROR(1/'Smart Search'!H13,0),0)</f>
        <v/>
      </c>
      <c r="AF11" s="64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4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4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4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4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4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4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4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4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4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4">
        <f>AF11*V11</f>
        <v/>
      </c>
      <c r="AQ11" s="64">
        <f>AG11*W11</f>
        <v/>
      </c>
      <c r="AR11" s="64">
        <f>AH11*X11</f>
        <v/>
      </c>
      <c r="AS11" s="64">
        <f>AI11*Y11</f>
        <v/>
      </c>
      <c r="AT11" s="64">
        <f>AJ11*Z11</f>
        <v/>
      </c>
      <c r="AU11" s="64">
        <f>AK11*AA11</f>
        <v/>
      </c>
      <c r="AV11" s="64">
        <f>AL11*AB11</f>
        <v/>
      </c>
      <c r="AW11" s="64">
        <f>AM11*AC11</f>
        <v/>
      </c>
      <c r="AX11" s="64">
        <f>AN11*AD11</f>
        <v/>
      </c>
      <c r="AY11" s="64">
        <f>AO11*AE11</f>
        <v/>
      </c>
      <c r="AZ11" s="64">
        <f>INDEX(Projects[Automation Equipment],10)&amp;""</f>
        <v/>
      </c>
      <c r="BA11" s="64">
        <f>IF(OR(A11="",'Smart Search'!H13=0),"",MAX(0,BE11*BF11*MAX(0,1-BG11)))</f>
        <v/>
      </c>
      <c r="BB11" s="64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4">
        <f>IF('Smart Search'!G13=1,IFERROR(1/'Smart Search'!H13,0),0)</f>
        <v/>
      </c>
      <c r="BD11" s="64">
        <f>BB11*BC11</f>
        <v/>
      </c>
      <c r="BE11" s="64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IF(A11="","",N(INDEX(Projects[Act Mech Inst],10)))</f>
        <v/>
      </c>
      <c r="BK11" s="5">
        <f>IF(A11="","",N(INDEX(Projects[Act Elec Inst],10)))</f>
        <v/>
      </c>
      <c r="BL11" s="5">
        <f>IF(A11="","",N(INDEX(Projects[Act Project Management],10)))</f>
        <v/>
      </c>
      <c r="BM11" s="5">
        <f>IF(A11="","",N(INDEX(Projects[Act Systems Eng],10)))</f>
        <v/>
      </c>
      <c r="BN11" s="5">
        <f>IF(A11="","",N(INDEX(Projects[Act Mechanical Eng],10)))</f>
        <v/>
      </c>
      <c r="BO11" s="5">
        <f>IF(A11="","",N(INDEX(Projects[Act Structural Engineering],10)))</f>
        <v/>
      </c>
      <c r="BP11" s="5">
        <f>IF(A11="","",N(INDEX(Projects[Act Site Sup],10)))</f>
        <v/>
      </c>
      <c r="BQ11" s="5">
        <f>IF(A11="","",N(INDEX(Projects[Act Controls Commissioning],10)))</f>
        <v/>
      </c>
      <c r="BR11" s="5">
        <f>IF(A11="","",N(INDEX(Projects[Act Systems Commissioning],10)))</f>
        <v/>
      </c>
      <c r="BS11" s="5">
        <f>IF(A11="","",N(INDEX(Projects[Act Service Commissioning],10)))</f>
        <v/>
      </c>
      <c r="BT11" s="5">
        <f>IF(A11="","",N(INDEX(Projects[Act Controls Eng],10)))</f>
        <v/>
      </c>
      <c r="BU11" s="5">
        <f>IF(A11="","",N(INDEX(Projects[Act Controls Purchase],10)))</f>
        <v/>
      </c>
      <c r="BV11" s="5">
        <f>IF(A11="","",N(INDEX(Projects[Act Software Eng],10)))</f>
        <v/>
      </c>
      <c r="BW11" s="5">
        <f>IF(A11="","",N(INDEX(Projects[Act 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INDEX(Projects[Sold Value (USD M)],10)</f>
        <v/>
      </c>
      <c r="CE11" s="5" t="n"/>
      <c r="CF11" s="5">
        <f>IF(A11="","",N(INDEX(Projects[Est Mech Inst],10)))</f>
        <v/>
      </c>
      <c r="CG11" s="5">
        <f>IF(A11="","",N(INDEX(Projects[Est Elec Inst],10)))</f>
        <v/>
      </c>
      <c r="CH11" s="5">
        <f>IF(A11="","",N(INDEX(Projects[Est Project Management],10)))</f>
        <v/>
      </c>
      <c r="CI11" s="5">
        <f>IF(A11="","",N(INDEX(Projects[Est Systems Eng],10)))</f>
        <v/>
      </c>
      <c r="CJ11" s="5">
        <f>IF(A11="","",N(INDEX(Projects[Est Mechanical Eng],10)))</f>
        <v/>
      </c>
      <c r="CK11" s="5">
        <f>IF(A11="","",N(INDEX(Projects[Est Structural Engineering],10)))</f>
        <v/>
      </c>
      <c r="CL11" s="5">
        <f>IF(A11="","",N(INDEX(Projects[Est Site Sup],10)))</f>
        <v/>
      </c>
      <c r="CM11" s="5">
        <f>IF(A11="","",N(INDEX(Projects[Est Controls Commissioning],10)))</f>
        <v/>
      </c>
      <c r="CN11" s="5">
        <f>IF(A11="","",N(INDEX(Projects[Est Systems Commissioning],10)))</f>
        <v/>
      </c>
      <c r="CO11" s="5">
        <f>IF(A11="","",N(INDEX(Projects[Est Service Commissioning],10)))</f>
        <v/>
      </c>
      <c r="CP11" s="5">
        <f>IF(A11="","",N(INDEX(Projects[Est Controls Eng],10)))</f>
        <v/>
      </c>
      <c r="CQ11" s="5">
        <f>IF(A11="","",N(INDEX(Projects[Est Controls Purchase],10)))</f>
        <v/>
      </c>
      <c r="CR11" s="5">
        <f>IF(A11="","",N(INDEX(Projects[Est Software Eng],10)))</f>
        <v/>
      </c>
      <c r="CS11" s="5">
        <f>IF(A11="","",N(INDEX(Projects[Est Misc],10)))</f>
        <v/>
      </c>
      <c r="CT11" s="5">
        <f>IF(A11="","",SUM(CF11:CS11))</f>
        <v/>
      </c>
      <c r="CU11" s="5">
        <f>INDEX(Projects[Est Cost (M)],10)</f>
        <v/>
      </c>
      <c r="CV11" s="5">
        <f>INDEX(Projects[Act Cost (M)],10)</f>
        <v/>
      </c>
      <c r="CW11" s="5">
        <f>INDEX(Projects[Plan Mech Eng (wks)],10)</f>
        <v/>
      </c>
      <c r="CX11" s="5">
        <f>INDEX(Projects[Plan Controls Eng (wks)],10)</f>
        <v/>
      </c>
      <c r="CY11" s="5">
        <f>INDEX(Projects[Plan Systems Eng (wks)],10)</f>
        <v/>
      </c>
      <c r="CZ11" s="5">
        <f>INDEX(Projects[Plan Software Eng (wks)],10)</f>
        <v/>
      </c>
      <c r="DA11" s="5">
        <f>INDEX(Projects[Plan M&amp;E Installation (wks)],10)</f>
        <v/>
      </c>
      <c r="DB11" s="5">
        <f>INDEX(Projects[Plan Commissioning (wks)],10)</f>
        <v/>
      </c>
      <c r="DC11" s="5">
        <f>INDEX(Projects[Plan Total (wks)],10)</f>
        <v/>
      </c>
      <c r="DD11" s="5">
        <f>INDEX(Projects[Act Mech Eng (wks)],10)</f>
        <v/>
      </c>
      <c r="DE11" s="5">
        <f>INDEX(Projects[Act Controls Eng (wks)],10)</f>
        <v/>
      </c>
      <c r="DF11" s="5">
        <f>INDEX(Projects[Act Systems Eng (wks)],10)</f>
        <v/>
      </c>
      <c r="DG11" s="5">
        <f>INDEX(Projects[Act Software Eng (wks)],10)</f>
        <v/>
      </c>
      <c r="DH11" s="5">
        <f>INDEX(Projects[Act M&amp;E Installation (wks)],10)</f>
        <v/>
      </c>
      <c r="DI11" s="5">
        <f>INDEX(Projects[Act Commissioning (wks)],10)</f>
        <v/>
      </c>
      <c r="DJ11" s="5">
        <f>INDEX(Projects[Act Total (wks)],10)</f>
        <v/>
      </c>
    </row>
    <row r="12" ht="15" customHeight="1" s="82">
      <c r="A12" s="64">
        <f>INDEX(Projects[Project ID *],11)&amp;""</f>
        <v/>
      </c>
      <c r="B12" s="64">
        <f>INDEX(Projects[Project Name *],11)&amp;""</f>
        <v/>
      </c>
      <c r="C12" s="64">
        <f>INDEX(Projects[MS Shuttles],11)</f>
        <v/>
      </c>
      <c r="D12" s="64">
        <f>INDEX(Projects[MS Tote Locations],11)</f>
        <v/>
      </c>
      <c r="E12" s="64">
        <f>INDEX(Projects[AS Robots],11)</f>
        <v/>
      </c>
      <c r="F12" s="64">
        <f>INDEX(Projects[AS Tote Locations],11)</f>
        <v/>
      </c>
      <c r="G12" s="64">
        <f>INDEX(Projects[PS Shuttles],11)</f>
        <v/>
      </c>
      <c r="H12" s="64">
        <f>INDEX(Projects[PS Pallet Locations],11)</f>
        <v/>
      </c>
      <c r="I12" s="64">
        <f>INDEX(Projects[SRM Cranes],11)</f>
        <v/>
      </c>
      <c r="J12" s="64">
        <f>INDEX(Projects[SRM Pallet Locations],11)</f>
        <v/>
      </c>
      <c r="K12" s="64">
        <f>INDEX(Projects[Case Conv (m)],11)</f>
        <v/>
      </c>
      <c r="L12" s="64">
        <f>INDEX(Projects[Pallet Conv (m)],11)</f>
        <v/>
      </c>
      <c r="M12" s="64">
        <f>IF(N(DJ12)&gt;0,DD12,CW12)</f>
        <v/>
      </c>
      <c r="N12" s="64">
        <f>IF(N(DJ12)&gt;0,DE12,CX12)</f>
        <v/>
      </c>
      <c r="O12" s="64">
        <f>IF(N(DJ12)&gt;0,DF12,CY12)</f>
        <v/>
      </c>
      <c r="P12" s="64">
        <f>IF(N(DJ12)&gt;0,DG12,CZ12)</f>
        <v/>
      </c>
      <c r="Q12" s="64">
        <f>IF(N(DJ12)&gt;0,DH12,DA12)</f>
        <v/>
      </c>
      <c r="R12" s="64">
        <f>IF(N(DJ12)&gt;0,DI12,DB12)</f>
        <v/>
      </c>
      <c r="S12" s="64">
        <f>IF(N(DJ12)&gt;0,DJ12,DC12)</f>
        <v/>
      </c>
      <c r="T12" s="64">
        <f>INDEX(Projects[Currency],11)&amp;""</f>
        <v/>
      </c>
      <c r="U12" s="65">
        <f>INDEX(Projects[Sold Value (M)],11)</f>
        <v/>
      </c>
      <c r="V12" s="64">
        <f>IF('Smart Search'!B13=1,IFERROR(1/'Smart Search'!H13,0),0)</f>
        <v/>
      </c>
      <c r="W12" s="64">
        <f>IF('Smart Search'!B13=1,IFERROR(1/'Smart Search'!H13,0),0)</f>
        <v/>
      </c>
      <c r="X12" s="64">
        <f>IF('Smart Search'!C13=1,IFERROR(1/'Smart Search'!H13,0),0)</f>
        <v/>
      </c>
      <c r="Y12" s="64">
        <f>IF('Smart Search'!C13=1,IFERROR(1/'Smart Search'!H13,0),0)</f>
        <v/>
      </c>
      <c r="Z12" s="64">
        <f>IF('Smart Search'!D13=1,IFERROR(1/'Smart Search'!H13,0),0)</f>
        <v/>
      </c>
      <c r="AA12" s="64">
        <f>IF('Smart Search'!D13=1,IFERROR(1/'Smart Search'!H13,0),0)</f>
        <v/>
      </c>
      <c r="AB12" s="64">
        <f>IF('Smart Search'!E13=1,IFERROR(1/'Smart Search'!H13,0),0)</f>
        <v/>
      </c>
      <c r="AC12" s="64">
        <f>IF('Smart Search'!E13=1,IFERROR(1/'Smart Search'!H13,0),0)</f>
        <v/>
      </c>
      <c r="AD12" s="64">
        <f>IF('Smart Search'!F13=1,IFERROR(1/'Smart Search'!H13,0),0)</f>
        <v/>
      </c>
      <c r="AE12" s="64">
        <f>IF('Smart Search'!F13=1,IFERROR(1/'Smart Search'!H13,0),0)</f>
        <v/>
      </c>
      <c r="AF12" s="64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4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4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4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4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4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4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4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4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4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4">
        <f>AF12*V12</f>
        <v/>
      </c>
      <c r="AQ12" s="64">
        <f>AG12*W12</f>
        <v/>
      </c>
      <c r="AR12" s="64">
        <f>AH12*X12</f>
        <v/>
      </c>
      <c r="AS12" s="64">
        <f>AI12*Y12</f>
        <v/>
      </c>
      <c r="AT12" s="64">
        <f>AJ12*Z12</f>
        <v/>
      </c>
      <c r="AU12" s="64">
        <f>AK12*AA12</f>
        <v/>
      </c>
      <c r="AV12" s="64">
        <f>AL12*AB12</f>
        <v/>
      </c>
      <c r="AW12" s="64">
        <f>AM12*AC12</f>
        <v/>
      </c>
      <c r="AX12" s="64">
        <f>AN12*AD12</f>
        <v/>
      </c>
      <c r="AY12" s="64">
        <f>AO12*AE12</f>
        <v/>
      </c>
      <c r="AZ12" s="64">
        <f>INDEX(Projects[Automation Equipment],11)&amp;""</f>
        <v/>
      </c>
      <c r="BA12" s="64">
        <f>IF(OR(A12="",'Smart Search'!H13=0),"",MAX(0,BE12*BF12*MAX(0,1-BG12)))</f>
        <v/>
      </c>
      <c r="BB12" s="64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4">
        <f>IF('Smart Search'!G13=1,IFERROR(1/'Smart Search'!H13,0),0)</f>
        <v/>
      </c>
      <c r="BD12" s="64">
        <f>BB12*BC12</f>
        <v/>
      </c>
      <c r="BE12" s="64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IF(A12="","",N(INDEX(Projects[Act Mech Inst],11)))</f>
        <v/>
      </c>
      <c r="BK12" s="5">
        <f>IF(A12="","",N(INDEX(Projects[Act Elec Inst],11)))</f>
        <v/>
      </c>
      <c r="BL12" s="5">
        <f>IF(A12="","",N(INDEX(Projects[Act Project Management],11)))</f>
        <v/>
      </c>
      <c r="BM12" s="5">
        <f>IF(A12="","",N(INDEX(Projects[Act Systems Eng],11)))</f>
        <v/>
      </c>
      <c r="BN12" s="5">
        <f>IF(A12="","",N(INDEX(Projects[Act Mechanical Eng],11)))</f>
        <v/>
      </c>
      <c r="BO12" s="5">
        <f>IF(A12="","",N(INDEX(Projects[Act Structural Engineering],11)))</f>
        <v/>
      </c>
      <c r="BP12" s="5">
        <f>IF(A12="","",N(INDEX(Projects[Act Site Sup],11)))</f>
        <v/>
      </c>
      <c r="BQ12" s="5">
        <f>IF(A12="","",N(INDEX(Projects[Act Controls Commissioning],11)))</f>
        <v/>
      </c>
      <c r="BR12" s="5">
        <f>IF(A12="","",N(INDEX(Projects[Act Systems Commissioning],11)))</f>
        <v/>
      </c>
      <c r="BS12" s="5">
        <f>IF(A12="","",N(INDEX(Projects[Act Service Commissioning],11)))</f>
        <v/>
      </c>
      <c r="BT12" s="5">
        <f>IF(A12="","",N(INDEX(Projects[Act Controls Eng],11)))</f>
        <v/>
      </c>
      <c r="BU12" s="5">
        <f>IF(A12="","",N(INDEX(Projects[Act Controls Purchase],11)))</f>
        <v/>
      </c>
      <c r="BV12" s="5">
        <f>IF(A12="","",N(INDEX(Projects[Act Software Eng],11)))</f>
        <v/>
      </c>
      <c r="BW12" s="5">
        <f>IF(A12="","",N(INDEX(Projects[Act 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INDEX(Projects[Sold Value (USD M)],11)</f>
        <v/>
      </c>
      <c r="CE12" s="5" t="n"/>
      <c r="CF12" s="5">
        <f>IF(A12="","",N(INDEX(Projects[Est Mech Inst],11)))</f>
        <v/>
      </c>
      <c r="CG12" s="5">
        <f>IF(A12="","",N(INDEX(Projects[Est Elec Inst],11)))</f>
        <v/>
      </c>
      <c r="CH12" s="5">
        <f>IF(A12="","",N(INDEX(Projects[Est Project Management],11)))</f>
        <v/>
      </c>
      <c r="CI12" s="5">
        <f>IF(A12="","",N(INDEX(Projects[Est Systems Eng],11)))</f>
        <v/>
      </c>
      <c r="CJ12" s="5">
        <f>IF(A12="","",N(INDEX(Projects[Est Mechanical Eng],11)))</f>
        <v/>
      </c>
      <c r="CK12" s="5">
        <f>IF(A12="","",N(INDEX(Projects[Est Structural Engineering],11)))</f>
        <v/>
      </c>
      <c r="CL12" s="5">
        <f>IF(A12="","",N(INDEX(Projects[Est Site Sup],11)))</f>
        <v/>
      </c>
      <c r="CM12" s="5">
        <f>IF(A12="","",N(INDEX(Projects[Est Controls Commissioning],11)))</f>
        <v/>
      </c>
      <c r="CN12" s="5">
        <f>IF(A12="","",N(INDEX(Projects[Est Systems Commissioning],11)))</f>
        <v/>
      </c>
      <c r="CO12" s="5">
        <f>IF(A12="","",N(INDEX(Projects[Est Service Commissioning],11)))</f>
        <v/>
      </c>
      <c r="CP12" s="5">
        <f>IF(A12="","",N(INDEX(Projects[Est Controls Eng],11)))</f>
        <v/>
      </c>
      <c r="CQ12" s="5">
        <f>IF(A12="","",N(INDEX(Projects[Est Controls Purchase],11)))</f>
        <v/>
      </c>
      <c r="CR12" s="5">
        <f>IF(A12="","",N(INDEX(Projects[Est Software Eng],11)))</f>
        <v/>
      </c>
      <c r="CS12" s="5">
        <f>IF(A12="","",N(INDEX(Projects[Est Misc],11)))</f>
        <v/>
      </c>
      <c r="CT12" s="5">
        <f>IF(A12="","",SUM(CF12:CS12))</f>
        <v/>
      </c>
      <c r="CU12" s="5">
        <f>INDEX(Projects[Est Cost (M)],11)</f>
        <v/>
      </c>
      <c r="CV12" s="5">
        <f>INDEX(Projects[Act Cost (M)],11)</f>
        <v/>
      </c>
      <c r="CW12" s="5">
        <f>INDEX(Projects[Plan Mech Eng (wks)],11)</f>
        <v/>
      </c>
      <c r="CX12" s="5">
        <f>INDEX(Projects[Plan Controls Eng (wks)],11)</f>
        <v/>
      </c>
      <c r="CY12" s="5">
        <f>INDEX(Projects[Plan Systems Eng (wks)],11)</f>
        <v/>
      </c>
      <c r="CZ12" s="5">
        <f>INDEX(Projects[Plan Software Eng (wks)],11)</f>
        <v/>
      </c>
      <c r="DA12" s="5">
        <f>INDEX(Projects[Plan M&amp;E Installation (wks)],11)</f>
        <v/>
      </c>
      <c r="DB12" s="5">
        <f>INDEX(Projects[Plan Commissioning (wks)],11)</f>
        <v/>
      </c>
      <c r="DC12" s="5">
        <f>INDEX(Projects[Plan Total (wks)],11)</f>
        <v/>
      </c>
      <c r="DD12" s="5">
        <f>INDEX(Projects[Act Mech Eng (wks)],11)</f>
        <v/>
      </c>
      <c r="DE12" s="5">
        <f>INDEX(Projects[Act Controls Eng (wks)],11)</f>
        <v/>
      </c>
      <c r="DF12" s="5">
        <f>INDEX(Projects[Act Systems Eng (wks)],11)</f>
        <v/>
      </c>
      <c r="DG12" s="5">
        <f>INDEX(Projects[Act Software Eng (wks)],11)</f>
        <v/>
      </c>
      <c r="DH12" s="5">
        <f>INDEX(Projects[Act M&amp;E Installation (wks)],11)</f>
        <v/>
      </c>
      <c r="DI12" s="5">
        <f>INDEX(Projects[Act Commissioning (wks)],11)</f>
        <v/>
      </c>
      <c r="DJ12" s="5">
        <f>INDEX(Projects[Act Total (wks)],11)</f>
        <v/>
      </c>
    </row>
    <row r="13" ht="15" customHeight="1" s="82">
      <c r="A13" s="64">
        <f>INDEX(Projects[Project ID *],12)&amp;""</f>
        <v/>
      </c>
      <c r="B13" s="64">
        <f>INDEX(Projects[Project Name *],12)&amp;""</f>
        <v/>
      </c>
      <c r="C13" s="64">
        <f>INDEX(Projects[MS Shuttles],12)</f>
        <v/>
      </c>
      <c r="D13" s="64">
        <f>INDEX(Projects[MS Tote Locations],12)</f>
        <v/>
      </c>
      <c r="E13" s="64">
        <f>INDEX(Projects[AS Robots],12)</f>
        <v/>
      </c>
      <c r="F13" s="64">
        <f>INDEX(Projects[AS Tote Locations],12)</f>
        <v/>
      </c>
      <c r="G13" s="64">
        <f>INDEX(Projects[PS Shuttles],12)</f>
        <v/>
      </c>
      <c r="H13" s="64">
        <f>INDEX(Projects[PS Pallet Locations],12)</f>
        <v/>
      </c>
      <c r="I13" s="64">
        <f>INDEX(Projects[SRM Cranes],12)</f>
        <v/>
      </c>
      <c r="J13" s="64">
        <f>INDEX(Projects[SRM Pallet Locations],12)</f>
        <v/>
      </c>
      <c r="K13" s="64">
        <f>INDEX(Projects[Case Conv (m)],12)</f>
        <v/>
      </c>
      <c r="L13" s="64">
        <f>INDEX(Projects[Pallet Conv (m)],12)</f>
        <v/>
      </c>
      <c r="M13" s="64">
        <f>IF(N(DJ13)&gt;0,DD13,CW13)</f>
        <v/>
      </c>
      <c r="N13" s="64">
        <f>IF(N(DJ13)&gt;0,DE13,CX13)</f>
        <v/>
      </c>
      <c r="O13" s="64">
        <f>IF(N(DJ13)&gt;0,DF13,CY13)</f>
        <v/>
      </c>
      <c r="P13" s="64">
        <f>IF(N(DJ13)&gt;0,DG13,CZ13)</f>
        <v/>
      </c>
      <c r="Q13" s="64">
        <f>IF(N(DJ13)&gt;0,DH13,DA13)</f>
        <v/>
      </c>
      <c r="R13" s="64">
        <f>IF(N(DJ13)&gt;0,DI13,DB13)</f>
        <v/>
      </c>
      <c r="S13" s="64">
        <f>IF(N(DJ13)&gt;0,DJ13,DC13)</f>
        <v/>
      </c>
      <c r="T13" s="64">
        <f>INDEX(Projects[Currency],12)&amp;""</f>
        <v/>
      </c>
      <c r="U13" s="65">
        <f>INDEX(Projects[Sold Value (M)],12)</f>
        <v/>
      </c>
      <c r="V13" s="64">
        <f>IF('Smart Search'!B13=1,IFERROR(1/'Smart Search'!H13,0),0)</f>
        <v/>
      </c>
      <c r="W13" s="64">
        <f>IF('Smart Search'!B13=1,IFERROR(1/'Smart Search'!H13,0),0)</f>
        <v/>
      </c>
      <c r="X13" s="64">
        <f>IF('Smart Search'!C13=1,IFERROR(1/'Smart Search'!H13,0),0)</f>
        <v/>
      </c>
      <c r="Y13" s="64">
        <f>IF('Smart Search'!C13=1,IFERROR(1/'Smart Search'!H13,0),0)</f>
        <v/>
      </c>
      <c r="Z13" s="64">
        <f>IF('Smart Search'!D13=1,IFERROR(1/'Smart Search'!H13,0),0)</f>
        <v/>
      </c>
      <c r="AA13" s="64">
        <f>IF('Smart Search'!D13=1,IFERROR(1/'Smart Search'!H13,0),0)</f>
        <v/>
      </c>
      <c r="AB13" s="64">
        <f>IF('Smart Search'!E13=1,IFERROR(1/'Smart Search'!H13,0),0)</f>
        <v/>
      </c>
      <c r="AC13" s="64">
        <f>IF('Smart Search'!E13=1,IFERROR(1/'Smart Search'!H13,0),0)</f>
        <v/>
      </c>
      <c r="AD13" s="64">
        <f>IF('Smart Search'!F13=1,IFERROR(1/'Smart Search'!H13,0),0)</f>
        <v/>
      </c>
      <c r="AE13" s="64">
        <f>IF('Smart Search'!F13=1,IFERROR(1/'Smart Search'!H13,0),0)</f>
        <v/>
      </c>
      <c r="AF13" s="64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4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4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4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4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4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4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4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4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4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4">
        <f>AF13*V13</f>
        <v/>
      </c>
      <c r="AQ13" s="64">
        <f>AG13*W13</f>
        <v/>
      </c>
      <c r="AR13" s="64">
        <f>AH13*X13</f>
        <v/>
      </c>
      <c r="AS13" s="64">
        <f>AI13*Y13</f>
        <v/>
      </c>
      <c r="AT13" s="64">
        <f>AJ13*Z13</f>
        <v/>
      </c>
      <c r="AU13" s="64">
        <f>AK13*AA13</f>
        <v/>
      </c>
      <c r="AV13" s="64">
        <f>AL13*AB13</f>
        <v/>
      </c>
      <c r="AW13" s="64">
        <f>AM13*AC13</f>
        <v/>
      </c>
      <c r="AX13" s="64">
        <f>AN13*AD13</f>
        <v/>
      </c>
      <c r="AY13" s="64">
        <f>AO13*AE13</f>
        <v/>
      </c>
      <c r="AZ13" s="64">
        <f>INDEX(Projects[Automation Equipment],12)&amp;""</f>
        <v/>
      </c>
      <c r="BA13" s="64">
        <f>IF(OR(A13="",'Smart Search'!H13=0),"",MAX(0,BE13*BF13*MAX(0,1-BG13)))</f>
        <v/>
      </c>
      <c r="BB13" s="64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4">
        <f>IF('Smart Search'!G13=1,IFERROR(1/'Smart Search'!H13,0),0)</f>
        <v/>
      </c>
      <c r="BD13" s="64">
        <f>BB13*BC13</f>
        <v/>
      </c>
      <c r="BE13" s="64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IF(A13="","",N(INDEX(Projects[Act Mech Inst],12)))</f>
        <v/>
      </c>
      <c r="BK13" s="5">
        <f>IF(A13="","",N(INDEX(Projects[Act Elec Inst],12)))</f>
        <v/>
      </c>
      <c r="BL13" s="5">
        <f>IF(A13="","",N(INDEX(Projects[Act Project Management],12)))</f>
        <v/>
      </c>
      <c r="BM13" s="5">
        <f>IF(A13="","",N(INDEX(Projects[Act Systems Eng],12)))</f>
        <v/>
      </c>
      <c r="BN13" s="5">
        <f>IF(A13="","",N(INDEX(Projects[Act Mechanical Eng],12)))</f>
        <v/>
      </c>
      <c r="BO13" s="5">
        <f>IF(A13="","",N(INDEX(Projects[Act Structural Engineering],12)))</f>
        <v/>
      </c>
      <c r="BP13" s="5">
        <f>IF(A13="","",N(INDEX(Projects[Act Site Sup],12)))</f>
        <v/>
      </c>
      <c r="BQ13" s="5">
        <f>IF(A13="","",N(INDEX(Projects[Act Controls Commissioning],12)))</f>
        <v/>
      </c>
      <c r="BR13" s="5">
        <f>IF(A13="","",N(INDEX(Projects[Act Systems Commissioning],12)))</f>
        <v/>
      </c>
      <c r="BS13" s="5">
        <f>IF(A13="","",N(INDEX(Projects[Act Service Commissioning],12)))</f>
        <v/>
      </c>
      <c r="BT13" s="5">
        <f>IF(A13="","",N(INDEX(Projects[Act Controls Eng],12)))</f>
        <v/>
      </c>
      <c r="BU13" s="5">
        <f>IF(A13="","",N(INDEX(Projects[Act Controls Purchase],12)))</f>
        <v/>
      </c>
      <c r="BV13" s="5">
        <f>IF(A13="","",N(INDEX(Projects[Act Software Eng],12)))</f>
        <v/>
      </c>
      <c r="BW13" s="5">
        <f>IF(A13="","",N(INDEX(Projects[Act 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INDEX(Projects[Sold Value (USD M)],12)</f>
        <v/>
      </c>
      <c r="CE13" s="5" t="n"/>
      <c r="CF13" s="5">
        <f>IF(A13="","",N(INDEX(Projects[Est Mech Inst],12)))</f>
        <v/>
      </c>
      <c r="CG13" s="5">
        <f>IF(A13="","",N(INDEX(Projects[Est Elec Inst],12)))</f>
        <v/>
      </c>
      <c r="CH13" s="5">
        <f>IF(A13="","",N(INDEX(Projects[Est Project Management],12)))</f>
        <v/>
      </c>
      <c r="CI13" s="5">
        <f>IF(A13="","",N(INDEX(Projects[Est Systems Eng],12)))</f>
        <v/>
      </c>
      <c r="CJ13" s="5">
        <f>IF(A13="","",N(INDEX(Projects[Est Mechanical Eng],12)))</f>
        <v/>
      </c>
      <c r="CK13" s="5">
        <f>IF(A13="","",N(INDEX(Projects[Est Structural Engineering],12)))</f>
        <v/>
      </c>
      <c r="CL13" s="5">
        <f>IF(A13="","",N(INDEX(Projects[Est Site Sup],12)))</f>
        <v/>
      </c>
      <c r="CM13" s="5">
        <f>IF(A13="","",N(INDEX(Projects[Est Controls Commissioning],12)))</f>
        <v/>
      </c>
      <c r="CN13" s="5">
        <f>IF(A13="","",N(INDEX(Projects[Est Systems Commissioning],12)))</f>
        <v/>
      </c>
      <c r="CO13" s="5">
        <f>IF(A13="","",N(INDEX(Projects[Est Service Commissioning],12)))</f>
        <v/>
      </c>
      <c r="CP13" s="5">
        <f>IF(A13="","",N(INDEX(Projects[Est Controls Eng],12)))</f>
        <v/>
      </c>
      <c r="CQ13" s="5">
        <f>IF(A13="","",N(INDEX(Projects[Est Controls Purchase],12)))</f>
        <v/>
      </c>
      <c r="CR13" s="5">
        <f>IF(A13="","",N(INDEX(Projects[Est Software Eng],12)))</f>
        <v/>
      </c>
      <c r="CS13" s="5">
        <f>IF(A13="","",N(INDEX(Projects[Est Misc],12)))</f>
        <v/>
      </c>
      <c r="CT13" s="5">
        <f>IF(A13="","",SUM(CF13:CS13))</f>
        <v/>
      </c>
      <c r="CU13" s="5">
        <f>INDEX(Projects[Est Cost (M)],12)</f>
        <v/>
      </c>
      <c r="CV13" s="5">
        <f>INDEX(Projects[Act Cost (M)],12)</f>
        <v/>
      </c>
      <c r="CW13" s="5">
        <f>INDEX(Projects[Plan Mech Eng (wks)],12)</f>
        <v/>
      </c>
      <c r="CX13" s="5">
        <f>INDEX(Projects[Plan Controls Eng (wks)],12)</f>
        <v/>
      </c>
      <c r="CY13" s="5">
        <f>INDEX(Projects[Plan Systems Eng (wks)],12)</f>
        <v/>
      </c>
      <c r="CZ13" s="5">
        <f>INDEX(Projects[Plan Software Eng (wks)],12)</f>
        <v/>
      </c>
      <c r="DA13" s="5">
        <f>INDEX(Projects[Plan M&amp;E Installation (wks)],12)</f>
        <v/>
      </c>
      <c r="DB13" s="5">
        <f>INDEX(Projects[Plan Commissioning (wks)],12)</f>
        <v/>
      </c>
      <c r="DC13" s="5">
        <f>INDEX(Projects[Plan Total (wks)],12)</f>
        <v/>
      </c>
      <c r="DD13" s="5">
        <f>INDEX(Projects[Act Mech Eng (wks)],12)</f>
        <v/>
      </c>
      <c r="DE13" s="5">
        <f>INDEX(Projects[Act Controls Eng (wks)],12)</f>
        <v/>
      </c>
      <c r="DF13" s="5">
        <f>INDEX(Projects[Act Systems Eng (wks)],12)</f>
        <v/>
      </c>
      <c r="DG13" s="5">
        <f>INDEX(Projects[Act Software Eng (wks)],12)</f>
        <v/>
      </c>
      <c r="DH13" s="5">
        <f>INDEX(Projects[Act M&amp;E Installation (wks)],12)</f>
        <v/>
      </c>
      <c r="DI13" s="5">
        <f>INDEX(Projects[Act Commissioning (wks)],12)</f>
        <v/>
      </c>
      <c r="DJ13" s="5">
        <f>INDEX(Projects[Act Total (wks)],12)</f>
        <v/>
      </c>
    </row>
    <row r="14" ht="15" customHeight="1" s="82">
      <c r="A14" s="64">
        <f>INDEX(Projects[Project ID *],13)&amp;""</f>
        <v/>
      </c>
      <c r="B14" s="64">
        <f>INDEX(Projects[Project Name *],13)&amp;""</f>
        <v/>
      </c>
      <c r="C14" s="64">
        <f>INDEX(Projects[MS Shuttles],13)</f>
        <v/>
      </c>
      <c r="D14" s="64">
        <f>INDEX(Projects[MS Tote Locations],13)</f>
        <v/>
      </c>
      <c r="E14" s="64">
        <f>INDEX(Projects[AS Robots],13)</f>
        <v/>
      </c>
      <c r="F14" s="64">
        <f>INDEX(Projects[AS Tote Locations],13)</f>
        <v/>
      </c>
      <c r="G14" s="64">
        <f>INDEX(Projects[PS Shuttles],13)</f>
        <v/>
      </c>
      <c r="H14" s="64">
        <f>INDEX(Projects[PS Pallet Locations],13)</f>
        <v/>
      </c>
      <c r="I14" s="64">
        <f>INDEX(Projects[SRM Cranes],13)</f>
        <v/>
      </c>
      <c r="J14" s="64">
        <f>INDEX(Projects[SRM Pallet Locations],13)</f>
        <v/>
      </c>
      <c r="K14" s="64">
        <f>INDEX(Projects[Case Conv (m)],13)</f>
        <v/>
      </c>
      <c r="L14" s="64">
        <f>INDEX(Projects[Pallet Conv (m)],13)</f>
        <v/>
      </c>
      <c r="M14" s="64">
        <f>IF(N(DJ14)&gt;0,DD14,CW14)</f>
        <v/>
      </c>
      <c r="N14" s="64">
        <f>IF(N(DJ14)&gt;0,DE14,CX14)</f>
        <v/>
      </c>
      <c r="O14" s="64">
        <f>IF(N(DJ14)&gt;0,DF14,CY14)</f>
        <v/>
      </c>
      <c r="P14" s="64">
        <f>IF(N(DJ14)&gt;0,DG14,CZ14)</f>
        <v/>
      </c>
      <c r="Q14" s="64">
        <f>IF(N(DJ14)&gt;0,DH14,DA14)</f>
        <v/>
      </c>
      <c r="R14" s="64">
        <f>IF(N(DJ14)&gt;0,DI14,DB14)</f>
        <v/>
      </c>
      <c r="S14" s="64">
        <f>IF(N(DJ14)&gt;0,DJ14,DC14)</f>
        <v/>
      </c>
      <c r="T14" s="64">
        <f>INDEX(Projects[Currency],13)&amp;""</f>
        <v/>
      </c>
      <c r="U14" s="65">
        <f>INDEX(Projects[Sold Value (M)],13)</f>
        <v/>
      </c>
      <c r="V14" s="64">
        <f>IF('Smart Search'!B13=1,IFERROR(1/'Smart Search'!H13,0),0)</f>
        <v/>
      </c>
      <c r="W14" s="64">
        <f>IF('Smart Search'!B13=1,IFERROR(1/'Smart Search'!H13,0),0)</f>
        <v/>
      </c>
      <c r="X14" s="64">
        <f>IF('Smart Search'!C13=1,IFERROR(1/'Smart Search'!H13,0),0)</f>
        <v/>
      </c>
      <c r="Y14" s="64">
        <f>IF('Smart Search'!C13=1,IFERROR(1/'Smart Search'!H13,0),0)</f>
        <v/>
      </c>
      <c r="Z14" s="64">
        <f>IF('Smart Search'!D13=1,IFERROR(1/'Smart Search'!H13,0),0)</f>
        <v/>
      </c>
      <c r="AA14" s="64">
        <f>IF('Smart Search'!D13=1,IFERROR(1/'Smart Search'!H13,0),0)</f>
        <v/>
      </c>
      <c r="AB14" s="64">
        <f>IF('Smart Search'!E13=1,IFERROR(1/'Smart Search'!H13,0),0)</f>
        <v/>
      </c>
      <c r="AC14" s="64">
        <f>IF('Smart Search'!E13=1,IFERROR(1/'Smart Search'!H13,0),0)</f>
        <v/>
      </c>
      <c r="AD14" s="64">
        <f>IF('Smart Search'!F13=1,IFERROR(1/'Smart Search'!H13,0),0)</f>
        <v/>
      </c>
      <c r="AE14" s="64">
        <f>IF('Smart Search'!F13=1,IFERROR(1/'Smart Search'!H13,0),0)</f>
        <v/>
      </c>
      <c r="AF14" s="64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4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4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4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4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4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4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4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4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4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4">
        <f>AF14*V14</f>
        <v/>
      </c>
      <c r="AQ14" s="64">
        <f>AG14*W14</f>
        <v/>
      </c>
      <c r="AR14" s="64">
        <f>AH14*X14</f>
        <v/>
      </c>
      <c r="AS14" s="64">
        <f>AI14*Y14</f>
        <v/>
      </c>
      <c r="AT14" s="64">
        <f>AJ14*Z14</f>
        <v/>
      </c>
      <c r="AU14" s="64">
        <f>AK14*AA14</f>
        <v/>
      </c>
      <c r="AV14" s="64">
        <f>AL14*AB14</f>
        <v/>
      </c>
      <c r="AW14" s="64">
        <f>AM14*AC14</f>
        <v/>
      </c>
      <c r="AX14" s="64">
        <f>AN14*AD14</f>
        <v/>
      </c>
      <c r="AY14" s="64">
        <f>AO14*AE14</f>
        <v/>
      </c>
      <c r="AZ14" s="64">
        <f>INDEX(Projects[Automation Equipment],13)&amp;""</f>
        <v/>
      </c>
      <c r="BA14" s="64">
        <f>IF(OR(A14="",'Smart Search'!H13=0),"",MAX(0,BE14*BF14*MAX(0,1-BG14)))</f>
        <v/>
      </c>
      <c r="BB14" s="64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4">
        <f>IF('Smart Search'!G13=1,IFERROR(1/'Smart Search'!H13,0),0)</f>
        <v/>
      </c>
      <c r="BD14" s="64">
        <f>BB14*BC14</f>
        <v/>
      </c>
      <c r="BE14" s="64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IF(A14="","",N(INDEX(Projects[Act Mech Inst],13)))</f>
        <v/>
      </c>
      <c r="BK14" s="5">
        <f>IF(A14="","",N(INDEX(Projects[Act Elec Inst],13)))</f>
        <v/>
      </c>
      <c r="BL14" s="5">
        <f>IF(A14="","",N(INDEX(Projects[Act Project Management],13)))</f>
        <v/>
      </c>
      <c r="BM14" s="5">
        <f>IF(A14="","",N(INDEX(Projects[Act Systems Eng],13)))</f>
        <v/>
      </c>
      <c r="BN14" s="5">
        <f>IF(A14="","",N(INDEX(Projects[Act Mechanical Eng],13)))</f>
        <v/>
      </c>
      <c r="BO14" s="5">
        <f>IF(A14="","",N(INDEX(Projects[Act Structural Engineering],13)))</f>
        <v/>
      </c>
      <c r="BP14" s="5">
        <f>IF(A14="","",N(INDEX(Projects[Act Site Sup],13)))</f>
        <v/>
      </c>
      <c r="BQ14" s="5">
        <f>IF(A14="","",N(INDEX(Projects[Act Controls Commissioning],13)))</f>
        <v/>
      </c>
      <c r="BR14" s="5">
        <f>IF(A14="","",N(INDEX(Projects[Act Systems Commissioning],13)))</f>
        <v/>
      </c>
      <c r="BS14" s="5">
        <f>IF(A14="","",N(INDEX(Projects[Act Service Commissioning],13)))</f>
        <v/>
      </c>
      <c r="BT14" s="5">
        <f>IF(A14="","",N(INDEX(Projects[Act Controls Eng],13)))</f>
        <v/>
      </c>
      <c r="BU14" s="5">
        <f>IF(A14="","",N(INDEX(Projects[Act Controls Purchase],13)))</f>
        <v/>
      </c>
      <c r="BV14" s="5">
        <f>IF(A14="","",N(INDEX(Projects[Act Software Eng],13)))</f>
        <v/>
      </c>
      <c r="BW14" s="5">
        <f>IF(A14="","",N(INDEX(Projects[Act 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INDEX(Projects[Sold Value (USD M)],13)</f>
        <v/>
      </c>
      <c r="CE14" s="5" t="n"/>
      <c r="CF14" s="5">
        <f>IF(A14="","",N(INDEX(Projects[Est Mech Inst],13)))</f>
        <v/>
      </c>
      <c r="CG14" s="5">
        <f>IF(A14="","",N(INDEX(Projects[Est Elec Inst],13)))</f>
        <v/>
      </c>
      <c r="CH14" s="5">
        <f>IF(A14="","",N(INDEX(Projects[Est Project Management],13)))</f>
        <v/>
      </c>
      <c r="CI14" s="5">
        <f>IF(A14="","",N(INDEX(Projects[Est Systems Eng],13)))</f>
        <v/>
      </c>
      <c r="CJ14" s="5">
        <f>IF(A14="","",N(INDEX(Projects[Est Mechanical Eng],13)))</f>
        <v/>
      </c>
      <c r="CK14" s="5">
        <f>IF(A14="","",N(INDEX(Projects[Est Structural Engineering],13)))</f>
        <v/>
      </c>
      <c r="CL14" s="5">
        <f>IF(A14="","",N(INDEX(Projects[Est Site Sup],13)))</f>
        <v/>
      </c>
      <c r="CM14" s="5">
        <f>IF(A14="","",N(INDEX(Projects[Est Controls Commissioning],13)))</f>
        <v/>
      </c>
      <c r="CN14" s="5">
        <f>IF(A14="","",N(INDEX(Projects[Est Systems Commissioning],13)))</f>
        <v/>
      </c>
      <c r="CO14" s="5">
        <f>IF(A14="","",N(INDEX(Projects[Est Service Commissioning],13)))</f>
        <v/>
      </c>
      <c r="CP14" s="5">
        <f>IF(A14="","",N(INDEX(Projects[Est Controls Eng],13)))</f>
        <v/>
      </c>
      <c r="CQ14" s="5">
        <f>IF(A14="","",N(INDEX(Projects[Est Controls Purchase],13)))</f>
        <v/>
      </c>
      <c r="CR14" s="5">
        <f>IF(A14="","",N(INDEX(Projects[Est Software Eng],13)))</f>
        <v/>
      </c>
      <c r="CS14" s="5">
        <f>IF(A14="","",N(INDEX(Projects[Est Misc],13)))</f>
        <v/>
      </c>
      <c r="CT14" s="5">
        <f>IF(A14="","",SUM(CF14:CS14))</f>
        <v/>
      </c>
      <c r="CU14" s="5">
        <f>INDEX(Projects[Est Cost (M)],13)</f>
        <v/>
      </c>
      <c r="CV14" s="5">
        <f>INDEX(Projects[Act Cost (M)],13)</f>
        <v/>
      </c>
      <c r="CW14" s="5">
        <f>INDEX(Projects[Plan Mech Eng (wks)],13)</f>
        <v/>
      </c>
      <c r="CX14" s="5">
        <f>INDEX(Projects[Plan Controls Eng (wks)],13)</f>
        <v/>
      </c>
      <c r="CY14" s="5">
        <f>INDEX(Projects[Plan Systems Eng (wks)],13)</f>
        <v/>
      </c>
      <c r="CZ14" s="5">
        <f>INDEX(Projects[Plan Software Eng (wks)],13)</f>
        <v/>
      </c>
      <c r="DA14" s="5">
        <f>INDEX(Projects[Plan M&amp;E Installation (wks)],13)</f>
        <v/>
      </c>
      <c r="DB14" s="5">
        <f>INDEX(Projects[Plan Commissioning (wks)],13)</f>
        <v/>
      </c>
      <c r="DC14" s="5">
        <f>INDEX(Projects[Plan Total (wks)],13)</f>
        <v/>
      </c>
      <c r="DD14" s="5">
        <f>INDEX(Projects[Act Mech Eng (wks)],13)</f>
        <v/>
      </c>
      <c r="DE14" s="5">
        <f>INDEX(Projects[Act Controls Eng (wks)],13)</f>
        <v/>
      </c>
      <c r="DF14" s="5">
        <f>INDEX(Projects[Act Systems Eng (wks)],13)</f>
        <v/>
      </c>
      <c r="DG14" s="5">
        <f>INDEX(Projects[Act Software Eng (wks)],13)</f>
        <v/>
      </c>
      <c r="DH14" s="5">
        <f>INDEX(Projects[Act M&amp;E Installation (wks)],13)</f>
        <v/>
      </c>
      <c r="DI14" s="5">
        <f>INDEX(Projects[Act Commissioning (wks)],13)</f>
        <v/>
      </c>
      <c r="DJ14" s="5">
        <f>INDEX(Projects[Act Total (wks)],13)</f>
        <v/>
      </c>
    </row>
    <row r="15" ht="15" customHeight="1" s="82">
      <c r="A15" s="64">
        <f>INDEX(Projects[Project ID *],14)&amp;""</f>
        <v/>
      </c>
      <c r="B15" s="64">
        <f>INDEX(Projects[Project Name *],14)&amp;""</f>
        <v/>
      </c>
      <c r="C15" s="64">
        <f>INDEX(Projects[MS Shuttles],14)</f>
        <v/>
      </c>
      <c r="D15" s="64">
        <f>INDEX(Projects[MS Tote Locations],14)</f>
        <v/>
      </c>
      <c r="E15" s="64">
        <f>INDEX(Projects[AS Robots],14)</f>
        <v/>
      </c>
      <c r="F15" s="64">
        <f>INDEX(Projects[AS Tote Locations],14)</f>
        <v/>
      </c>
      <c r="G15" s="64">
        <f>INDEX(Projects[PS Shuttles],14)</f>
        <v/>
      </c>
      <c r="H15" s="64">
        <f>INDEX(Projects[PS Pallet Locations],14)</f>
        <v/>
      </c>
      <c r="I15" s="64">
        <f>INDEX(Projects[SRM Cranes],14)</f>
        <v/>
      </c>
      <c r="J15" s="64">
        <f>INDEX(Projects[SRM Pallet Locations],14)</f>
        <v/>
      </c>
      <c r="K15" s="64">
        <f>INDEX(Projects[Case Conv (m)],14)</f>
        <v/>
      </c>
      <c r="L15" s="64">
        <f>INDEX(Projects[Pallet Conv (m)],14)</f>
        <v/>
      </c>
      <c r="M15" s="64">
        <f>IF(N(DJ15)&gt;0,DD15,CW15)</f>
        <v/>
      </c>
      <c r="N15" s="64">
        <f>IF(N(DJ15)&gt;0,DE15,CX15)</f>
        <v/>
      </c>
      <c r="O15" s="64">
        <f>IF(N(DJ15)&gt;0,DF15,CY15)</f>
        <v/>
      </c>
      <c r="P15" s="64">
        <f>IF(N(DJ15)&gt;0,DG15,CZ15)</f>
        <v/>
      </c>
      <c r="Q15" s="64">
        <f>IF(N(DJ15)&gt;0,DH15,DA15)</f>
        <v/>
      </c>
      <c r="R15" s="64">
        <f>IF(N(DJ15)&gt;0,DI15,DB15)</f>
        <v/>
      </c>
      <c r="S15" s="64">
        <f>IF(N(DJ15)&gt;0,DJ15,DC15)</f>
        <v/>
      </c>
      <c r="T15" s="64">
        <f>INDEX(Projects[Currency],14)&amp;""</f>
        <v/>
      </c>
      <c r="U15" s="65">
        <f>INDEX(Projects[Sold Value (M)],14)</f>
        <v/>
      </c>
      <c r="V15" s="64">
        <f>IF('Smart Search'!B13=1,IFERROR(1/'Smart Search'!H13,0),0)</f>
        <v/>
      </c>
      <c r="W15" s="64">
        <f>IF('Smart Search'!B13=1,IFERROR(1/'Smart Search'!H13,0),0)</f>
        <v/>
      </c>
      <c r="X15" s="64">
        <f>IF('Smart Search'!C13=1,IFERROR(1/'Smart Search'!H13,0),0)</f>
        <v/>
      </c>
      <c r="Y15" s="64">
        <f>IF('Smart Search'!C13=1,IFERROR(1/'Smart Search'!H13,0),0)</f>
        <v/>
      </c>
      <c r="Z15" s="64">
        <f>IF('Smart Search'!D13=1,IFERROR(1/'Smart Search'!H13,0),0)</f>
        <v/>
      </c>
      <c r="AA15" s="64">
        <f>IF('Smart Search'!D13=1,IFERROR(1/'Smart Search'!H13,0),0)</f>
        <v/>
      </c>
      <c r="AB15" s="64">
        <f>IF('Smart Search'!E13=1,IFERROR(1/'Smart Search'!H13,0),0)</f>
        <v/>
      </c>
      <c r="AC15" s="64">
        <f>IF('Smart Search'!E13=1,IFERROR(1/'Smart Search'!H13,0),0)</f>
        <v/>
      </c>
      <c r="AD15" s="64">
        <f>IF('Smart Search'!F13=1,IFERROR(1/'Smart Search'!H13,0),0)</f>
        <v/>
      </c>
      <c r="AE15" s="64">
        <f>IF('Smart Search'!F13=1,IFERROR(1/'Smart Search'!H13,0),0)</f>
        <v/>
      </c>
      <c r="AF15" s="64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4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4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4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4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4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4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4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4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4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4">
        <f>AF15*V15</f>
        <v/>
      </c>
      <c r="AQ15" s="64">
        <f>AG15*W15</f>
        <v/>
      </c>
      <c r="AR15" s="64">
        <f>AH15*X15</f>
        <v/>
      </c>
      <c r="AS15" s="64">
        <f>AI15*Y15</f>
        <v/>
      </c>
      <c r="AT15" s="64">
        <f>AJ15*Z15</f>
        <v/>
      </c>
      <c r="AU15" s="64">
        <f>AK15*AA15</f>
        <v/>
      </c>
      <c r="AV15" s="64">
        <f>AL15*AB15</f>
        <v/>
      </c>
      <c r="AW15" s="64">
        <f>AM15*AC15</f>
        <v/>
      </c>
      <c r="AX15" s="64">
        <f>AN15*AD15</f>
        <v/>
      </c>
      <c r="AY15" s="64">
        <f>AO15*AE15</f>
        <v/>
      </c>
      <c r="AZ15" s="64">
        <f>INDEX(Projects[Automation Equipment],14)&amp;""</f>
        <v/>
      </c>
      <c r="BA15" s="64">
        <f>IF(OR(A15="",'Smart Search'!H13=0),"",MAX(0,BE15*BF15*MAX(0,1-BG15)))</f>
        <v/>
      </c>
      <c r="BB15" s="64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4">
        <f>IF('Smart Search'!G13=1,IFERROR(1/'Smart Search'!H13,0),0)</f>
        <v/>
      </c>
      <c r="BD15" s="64">
        <f>BB15*BC15</f>
        <v/>
      </c>
      <c r="BE15" s="64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IF(A15="","",N(INDEX(Projects[Act Mech Inst],14)))</f>
        <v/>
      </c>
      <c r="BK15" s="5">
        <f>IF(A15="","",N(INDEX(Projects[Act Elec Inst],14)))</f>
        <v/>
      </c>
      <c r="BL15" s="5">
        <f>IF(A15="","",N(INDEX(Projects[Act Project Management],14)))</f>
        <v/>
      </c>
      <c r="BM15" s="5">
        <f>IF(A15="","",N(INDEX(Projects[Act Systems Eng],14)))</f>
        <v/>
      </c>
      <c r="BN15" s="5">
        <f>IF(A15="","",N(INDEX(Projects[Act Mechanical Eng],14)))</f>
        <v/>
      </c>
      <c r="BO15" s="5">
        <f>IF(A15="","",N(INDEX(Projects[Act Structural Engineering],14)))</f>
        <v/>
      </c>
      <c r="BP15" s="5">
        <f>IF(A15="","",N(INDEX(Projects[Act Site Sup],14)))</f>
        <v/>
      </c>
      <c r="BQ15" s="5">
        <f>IF(A15="","",N(INDEX(Projects[Act Controls Commissioning],14)))</f>
        <v/>
      </c>
      <c r="BR15" s="5">
        <f>IF(A15="","",N(INDEX(Projects[Act Systems Commissioning],14)))</f>
        <v/>
      </c>
      <c r="BS15" s="5">
        <f>IF(A15="","",N(INDEX(Projects[Act Service Commissioning],14)))</f>
        <v/>
      </c>
      <c r="BT15" s="5">
        <f>IF(A15="","",N(INDEX(Projects[Act Controls Eng],14)))</f>
        <v/>
      </c>
      <c r="BU15" s="5">
        <f>IF(A15="","",N(INDEX(Projects[Act Controls Purchase],14)))</f>
        <v/>
      </c>
      <c r="BV15" s="5">
        <f>IF(A15="","",N(INDEX(Projects[Act Software Eng],14)))</f>
        <v/>
      </c>
      <c r="BW15" s="5">
        <f>IF(A15="","",N(INDEX(Projects[Act 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INDEX(Projects[Sold Value (USD M)],14)</f>
        <v/>
      </c>
      <c r="CE15" s="5" t="n"/>
      <c r="CF15" s="5">
        <f>IF(A15="","",N(INDEX(Projects[Est Mech Inst],14)))</f>
        <v/>
      </c>
      <c r="CG15" s="5">
        <f>IF(A15="","",N(INDEX(Projects[Est Elec Inst],14)))</f>
        <v/>
      </c>
      <c r="CH15" s="5">
        <f>IF(A15="","",N(INDEX(Projects[Est Project Management],14)))</f>
        <v/>
      </c>
      <c r="CI15" s="5">
        <f>IF(A15="","",N(INDEX(Projects[Est Systems Eng],14)))</f>
        <v/>
      </c>
      <c r="CJ15" s="5">
        <f>IF(A15="","",N(INDEX(Projects[Est Mechanical Eng],14)))</f>
        <v/>
      </c>
      <c r="CK15" s="5">
        <f>IF(A15="","",N(INDEX(Projects[Est Structural Engineering],14)))</f>
        <v/>
      </c>
      <c r="CL15" s="5">
        <f>IF(A15="","",N(INDEX(Projects[Est Site Sup],14)))</f>
        <v/>
      </c>
      <c r="CM15" s="5">
        <f>IF(A15="","",N(INDEX(Projects[Est Controls Commissioning],14)))</f>
        <v/>
      </c>
      <c r="CN15" s="5">
        <f>IF(A15="","",N(INDEX(Projects[Est Systems Commissioning],14)))</f>
        <v/>
      </c>
      <c r="CO15" s="5">
        <f>IF(A15="","",N(INDEX(Projects[Est Service Commissioning],14)))</f>
        <v/>
      </c>
      <c r="CP15" s="5">
        <f>IF(A15="","",N(INDEX(Projects[Est Controls Eng],14)))</f>
        <v/>
      </c>
      <c r="CQ15" s="5">
        <f>IF(A15="","",N(INDEX(Projects[Est Controls Purchase],14)))</f>
        <v/>
      </c>
      <c r="CR15" s="5">
        <f>IF(A15="","",N(INDEX(Projects[Est Software Eng],14)))</f>
        <v/>
      </c>
      <c r="CS15" s="5">
        <f>IF(A15="","",N(INDEX(Projects[Est Misc],14)))</f>
        <v/>
      </c>
      <c r="CT15" s="5">
        <f>IF(A15="","",SUM(CF15:CS15))</f>
        <v/>
      </c>
      <c r="CU15" s="5">
        <f>INDEX(Projects[Est Cost (M)],14)</f>
        <v/>
      </c>
      <c r="CV15" s="5">
        <f>INDEX(Projects[Act Cost (M)],14)</f>
        <v/>
      </c>
      <c r="CW15" s="5">
        <f>INDEX(Projects[Plan Mech Eng (wks)],14)</f>
        <v/>
      </c>
      <c r="CX15" s="5">
        <f>INDEX(Projects[Plan Controls Eng (wks)],14)</f>
        <v/>
      </c>
      <c r="CY15" s="5">
        <f>INDEX(Projects[Plan Systems Eng (wks)],14)</f>
        <v/>
      </c>
      <c r="CZ15" s="5">
        <f>INDEX(Projects[Plan Software Eng (wks)],14)</f>
        <v/>
      </c>
      <c r="DA15" s="5">
        <f>INDEX(Projects[Plan M&amp;E Installation (wks)],14)</f>
        <v/>
      </c>
      <c r="DB15" s="5">
        <f>INDEX(Projects[Plan Commissioning (wks)],14)</f>
        <v/>
      </c>
      <c r="DC15" s="5">
        <f>INDEX(Projects[Plan Total (wks)],14)</f>
        <v/>
      </c>
      <c r="DD15" s="5">
        <f>INDEX(Projects[Act Mech Eng (wks)],14)</f>
        <v/>
      </c>
      <c r="DE15" s="5">
        <f>INDEX(Projects[Act Controls Eng (wks)],14)</f>
        <v/>
      </c>
      <c r="DF15" s="5">
        <f>INDEX(Projects[Act Systems Eng (wks)],14)</f>
        <v/>
      </c>
      <c r="DG15" s="5">
        <f>INDEX(Projects[Act Software Eng (wks)],14)</f>
        <v/>
      </c>
      <c r="DH15" s="5">
        <f>INDEX(Projects[Act M&amp;E Installation (wks)],14)</f>
        <v/>
      </c>
      <c r="DI15" s="5">
        <f>INDEX(Projects[Act Commissioning (wks)],14)</f>
        <v/>
      </c>
      <c r="DJ15" s="5">
        <f>INDEX(Projects[Act Total (wks)],14)</f>
        <v/>
      </c>
    </row>
    <row r="16" ht="15" customHeight="1" s="82">
      <c r="A16" s="64">
        <f>INDEX(Projects[Project ID *],15)&amp;""</f>
        <v/>
      </c>
      <c r="B16" s="64">
        <f>INDEX(Projects[Project Name *],15)&amp;""</f>
        <v/>
      </c>
      <c r="C16" s="64">
        <f>INDEX(Projects[MS Shuttles],15)</f>
        <v/>
      </c>
      <c r="D16" s="64">
        <f>INDEX(Projects[MS Tote Locations],15)</f>
        <v/>
      </c>
      <c r="E16" s="64">
        <f>INDEX(Projects[AS Robots],15)</f>
        <v/>
      </c>
      <c r="F16" s="64">
        <f>INDEX(Projects[AS Tote Locations],15)</f>
        <v/>
      </c>
      <c r="G16" s="64">
        <f>INDEX(Projects[PS Shuttles],15)</f>
        <v/>
      </c>
      <c r="H16" s="64">
        <f>INDEX(Projects[PS Pallet Locations],15)</f>
        <v/>
      </c>
      <c r="I16" s="64">
        <f>INDEX(Projects[SRM Cranes],15)</f>
        <v/>
      </c>
      <c r="J16" s="64">
        <f>INDEX(Projects[SRM Pallet Locations],15)</f>
        <v/>
      </c>
      <c r="K16" s="64">
        <f>INDEX(Projects[Case Conv (m)],15)</f>
        <v/>
      </c>
      <c r="L16" s="64">
        <f>INDEX(Projects[Pallet Conv (m)],15)</f>
        <v/>
      </c>
      <c r="M16" s="64">
        <f>IF(N(DJ16)&gt;0,DD16,CW16)</f>
        <v/>
      </c>
      <c r="N16" s="64">
        <f>IF(N(DJ16)&gt;0,DE16,CX16)</f>
        <v/>
      </c>
      <c r="O16" s="64">
        <f>IF(N(DJ16)&gt;0,DF16,CY16)</f>
        <v/>
      </c>
      <c r="P16" s="64">
        <f>IF(N(DJ16)&gt;0,DG16,CZ16)</f>
        <v/>
      </c>
      <c r="Q16" s="64">
        <f>IF(N(DJ16)&gt;0,DH16,DA16)</f>
        <v/>
      </c>
      <c r="R16" s="64">
        <f>IF(N(DJ16)&gt;0,DI16,DB16)</f>
        <v/>
      </c>
      <c r="S16" s="64">
        <f>IF(N(DJ16)&gt;0,DJ16,DC16)</f>
        <v/>
      </c>
      <c r="T16" s="64">
        <f>INDEX(Projects[Currency],15)&amp;""</f>
        <v/>
      </c>
      <c r="U16" s="65">
        <f>INDEX(Projects[Sold Value (M)],15)</f>
        <v/>
      </c>
      <c r="V16" s="64">
        <f>IF('Smart Search'!B13=1,IFERROR(1/'Smart Search'!H13,0),0)</f>
        <v/>
      </c>
      <c r="W16" s="64">
        <f>IF('Smart Search'!B13=1,IFERROR(1/'Smart Search'!H13,0),0)</f>
        <v/>
      </c>
      <c r="X16" s="64">
        <f>IF('Smart Search'!C13=1,IFERROR(1/'Smart Search'!H13,0),0)</f>
        <v/>
      </c>
      <c r="Y16" s="64">
        <f>IF('Smart Search'!C13=1,IFERROR(1/'Smart Search'!H13,0),0)</f>
        <v/>
      </c>
      <c r="Z16" s="64">
        <f>IF('Smart Search'!D13=1,IFERROR(1/'Smart Search'!H13,0),0)</f>
        <v/>
      </c>
      <c r="AA16" s="64">
        <f>IF('Smart Search'!D13=1,IFERROR(1/'Smart Search'!H13,0),0)</f>
        <v/>
      </c>
      <c r="AB16" s="64">
        <f>IF('Smart Search'!E13=1,IFERROR(1/'Smart Search'!H13,0),0)</f>
        <v/>
      </c>
      <c r="AC16" s="64">
        <f>IF('Smart Search'!E13=1,IFERROR(1/'Smart Search'!H13,0),0)</f>
        <v/>
      </c>
      <c r="AD16" s="64">
        <f>IF('Smart Search'!F13=1,IFERROR(1/'Smart Search'!H13,0),0)</f>
        <v/>
      </c>
      <c r="AE16" s="64">
        <f>IF('Smart Search'!F13=1,IFERROR(1/'Smart Search'!H13,0),0)</f>
        <v/>
      </c>
      <c r="AF16" s="64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4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4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4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4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4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4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4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4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4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4">
        <f>AF16*V16</f>
        <v/>
      </c>
      <c r="AQ16" s="64">
        <f>AG16*W16</f>
        <v/>
      </c>
      <c r="AR16" s="64">
        <f>AH16*X16</f>
        <v/>
      </c>
      <c r="AS16" s="64">
        <f>AI16*Y16</f>
        <v/>
      </c>
      <c r="AT16" s="64">
        <f>AJ16*Z16</f>
        <v/>
      </c>
      <c r="AU16" s="64">
        <f>AK16*AA16</f>
        <v/>
      </c>
      <c r="AV16" s="64">
        <f>AL16*AB16</f>
        <v/>
      </c>
      <c r="AW16" s="64">
        <f>AM16*AC16</f>
        <v/>
      </c>
      <c r="AX16" s="64">
        <f>AN16*AD16</f>
        <v/>
      </c>
      <c r="AY16" s="64">
        <f>AO16*AE16</f>
        <v/>
      </c>
      <c r="AZ16" s="64">
        <f>INDEX(Projects[Automation Equipment],15)&amp;""</f>
        <v/>
      </c>
      <c r="BA16" s="64">
        <f>IF(OR(A16="",'Smart Search'!H13=0),"",MAX(0,BE16*BF16*MAX(0,1-BG16)))</f>
        <v/>
      </c>
      <c r="BB16" s="64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4">
        <f>IF('Smart Search'!G13=1,IFERROR(1/'Smart Search'!H13,0),0)</f>
        <v/>
      </c>
      <c r="BD16" s="64">
        <f>BB16*BC16</f>
        <v/>
      </c>
      <c r="BE16" s="64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IF(A16="","",N(INDEX(Projects[Act Mech Inst],15)))</f>
        <v/>
      </c>
      <c r="BK16" s="5">
        <f>IF(A16="","",N(INDEX(Projects[Act Elec Inst],15)))</f>
        <v/>
      </c>
      <c r="BL16" s="5">
        <f>IF(A16="","",N(INDEX(Projects[Act Project Management],15)))</f>
        <v/>
      </c>
      <c r="BM16" s="5">
        <f>IF(A16="","",N(INDEX(Projects[Act Systems Eng],15)))</f>
        <v/>
      </c>
      <c r="BN16" s="5">
        <f>IF(A16="","",N(INDEX(Projects[Act Mechanical Eng],15)))</f>
        <v/>
      </c>
      <c r="BO16" s="5">
        <f>IF(A16="","",N(INDEX(Projects[Act Structural Engineering],15)))</f>
        <v/>
      </c>
      <c r="BP16" s="5">
        <f>IF(A16="","",N(INDEX(Projects[Act Site Sup],15)))</f>
        <v/>
      </c>
      <c r="BQ16" s="5">
        <f>IF(A16="","",N(INDEX(Projects[Act Controls Commissioning],15)))</f>
        <v/>
      </c>
      <c r="BR16" s="5">
        <f>IF(A16="","",N(INDEX(Projects[Act Systems Commissioning],15)))</f>
        <v/>
      </c>
      <c r="BS16" s="5">
        <f>IF(A16="","",N(INDEX(Projects[Act Service Commissioning],15)))</f>
        <v/>
      </c>
      <c r="BT16" s="5">
        <f>IF(A16="","",N(INDEX(Projects[Act Controls Eng],15)))</f>
        <v/>
      </c>
      <c r="BU16" s="5">
        <f>IF(A16="","",N(INDEX(Projects[Act Controls Purchase],15)))</f>
        <v/>
      </c>
      <c r="BV16" s="5">
        <f>IF(A16="","",N(INDEX(Projects[Act Software Eng],15)))</f>
        <v/>
      </c>
      <c r="BW16" s="5">
        <f>IF(A16="","",N(INDEX(Projects[Act 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INDEX(Projects[Sold Value (USD M)],15)</f>
        <v/>
      </c>
      <c r="CE16" s="5" t="n"/>
      <c r="CF16" s="5">
        <f>IF(A16="","",N(INDEX(Projects[Est Mech Inst],15)))</f>
        <v/>
      </c>
      <c r="CG16" s="5">
        <f>IF(A16="","",N(INDEX(Projects[Est Elec Inst],15)))</f>
        <v/>
      </c>
      <c r="CH16" s="5">
        <f>IF(A16="","",N(INDEX(Projects[Est Project Management],15)))</f>
        <v/>
      </c>
      <c r="CI16" s="5">
        <f>IF(A16="","",N(INDEX(Projects[Est Systems Eng],15)))</f>
        <v/>
      </c>
      <c r="CJ16" s="5">
        <f>IF(A16="","",N(INDEX(Projects[Est Mechanical Eng],15)))</f>
        <v/>
      </c>
      <c r="CK16" s="5">
        <f>IF(A16="","",N(INDEX(Projects[Est Structural Engineering],15)))</f>
        <v/>
      </c>
      <c r="CL16" s="5">
        <f>IF(A16="","",N(INDEX(Projects[Est Site Sup],15)))</f>
        <v/>
      </c>
      <c r="CM16" s="5">
        <f>IF(A16="","",N(INDEX(Projects[Est Controls Commissioning],15)))</f>
        <v/>
      </c>
      <c r="CN16" s="5">
        <f>IF(A16="","",N(INDEX(Projects[Est Systems Commissioning],15)))</f>
        <v/>
      </c>
      <c r="CO16" s="5">
        <f>IF(A16="","",N(INDEX(Projects[Est Service Commissioning],15)))</f>
        <v/>
      </c>
      <c r="CP16" s="5">
        <f>IF(A16="","",N(INDEX(Projects[Est Controls Eng],15)))</f>
        <v/>
      </c>
      <c r="CQ16" s="5">
        <f>IF(A16="","",N(INDEX(Projects[Est Controls Purchase],15)))</f>
        <v/>
      </c>
      <c r="CR16" s="5">
        <f>IF(A16="","",N(INDEX(Projects[Est Software Eng],15)))</f>
        <v/>
      </c>
      <c r="CS16" s="5">
        <f>IF(A16="","",N(INDEX(Projects[Est Misc],15)))</f>
        <v/>
      </c>
      <c r="CT16" s="5">
        <f>IF(A16="","",SUM(CF16:CS16))</f>
        <v/>
      </c>
      <c r="CU16" s="5">
        <f>INDEX(Projects[Est Cost (M)],15)</f>
        <v/>
      </c>
      <c r="CV16" s="5">
        <f>INDEX(Projects[Act Cost (M)],15)</f>
        <v/>
      </c>
      <c r="CW16" s="5">
        <f>INDEX(Projects[Plan Mech Eng (wks)],15)</f>
        <v/>
      </c>
      <c r="CX16" s="5">
        <f>INDEX(Projects[Plan Controls Eng (wks)],15)</f>
        <v/>
      </c>
      <c r="CY16" s="5">
        <f>INDEX(Projects[Plan Systems Eng (wks)],15)</f>
        <v/>
      </c>
      <c r="CZ16" s="5">
        <f>INDEX(Projects[Plan Software Eng (wks)],15)</f>
        <v/>
      </c>
      <c r="DA16" s="5">
        <f>INDEX(Projects[Plan M&amp;E Installation (wks)],15)</f>
        <v/>
      </c>
      <c r="DB16" s="5">
        <f>INDEX(Projects[Plan Commissioning (wks)],15)</f>
        <v/>
      </c>
      <c r="DC16" s="5">
        <f>INDEX(Projects[Plan Total (wks)],15)</f>
        <v/>
      </c>
      <c r="DD16" s="5">
        <f>INDEX(Projects[Act Mech Eng (wks)],15)</f>
        <v/>
      </c>
      <c r="DE16" s="5">
        <f>INDEX(Projects[Act Controls Eng (wks)],15)</f>
        <v/>
      </c>
      <c r="DF16" s="5">
        <f>INDEX(Projects[Act Systems Eng (wks)],15)</f>
        <v/>
      </c>
      <c r="DG16" s="5">
        <f>INDEX(Projects[Act Software Eng (wks)],15)</f>
        <v/>
      </c>
      <c r="DH16" s="5">
        <f>INDEX(Projects[Act M&amp;E Installation (wks)],15)</f>
        <v/>
      </c>
      <c r="DI16" s="5">
        <f>INDEX(Projects[Act Commissioning (wks)],15)</f>
        <v/>
      </c>
      <c r="DJ16" s="5">
        <f>INDEX(Projects[Act Total (wks)],15)</f>
        <v/>
      </c>
    </row>
    <row r="17" ht="15" customHeight="1" s="82">
      <c r="A17" s="64">
        <f>INDEX(Projects[Project ID *],16)&amp;""</f>
        <v/>
      </c>
      <c r="B17" s="64">
        <f>INDEX(Projects[Project Name *],16)&amp;""</f>
        <v/>
      </c>
      <c r="C17" s="64">
        <f>INDEX(Projects[MS Shuttles],16)</f>
        <v/>
      </c>
      <c r="D17" s="64">
        <f>INDEX(Projects[MS Tote Locations],16)</f>
        <v/>
      </c>
      <c r="E17" s="64">
        <f>INDEX(Projects[AS Robots],16)</f>
        <v/>
      </c>
      <c r="F17" s="64">
        <f>INDEX(Projects[AS Tote Locations],16)</f>
        <v/>
      </c>
      <c r="G17" s="64">
        <f>INDEX(Projects[PS Shuttles],16)</f>
        <v/>
      </c>
      <c r="H17" s="64">
        <f>INDEX(Projects[PS Pallet Locations],16)</f>
        <v/>
      </c>
      <c r="I17" s="64">
        <f>INDEX(Projects[SRM Cranes],16)</f>
        <v/>
      </c>
      <c r="J17" s="64">
        <f>INDEX(Projects[SRM Pallet Locations],16)</f>
        <v/>
      </c>
      <c r="K17" s="64">
        <f>INDEX(Projects[Case Conv (m)],16)</f>
        <v/>
      </c>
      <c r="L17" s="64">
        <f>INDEX(Projects[Pallet Conv (m)],16)</f>
        <v/>
      </c>
      <c r="M17" s="64">
        <f>IF(N(DJ17)&gt;0,DD17,CW17)</f>
        <v/>
      </c>
      <c r="N17" s="64">
        <f>IF(N(DJ17)&gt;0,DE17,CX17)</f>
        <v/>
      </c>
      <c r="O17" s="64">
        <f>IF(N(DJ17)&gt;0,DF17,CY17)</f>
        <v/>
      </c>
      <c r="P17" s="64">
        <f>IF(N(DJ17)&gt;0,DG17,CZ17)</f>
        <v/>
      </c>
      <c r="Q17" s="64">
        <f>IF(N(DJ17)&gt;0,DH17,DA17)</f>
        <v/>
      </c>
      <c r="R17" s="64">
        <f>IF(N(DJ17)&gt;0,DI17,DB17)</f>
        <v/>
      </c>
      <c r="S17" s="64">
        <f>IF(N(DJ17)&gt;0,DJ17,DC17)</f>
        <v/>
      </c>
      <c r="T17" s="64">
        <f>INDEX(Projects[Currency],16)&amp;""</f>
        <v/>
      </c>
      <c r="U17" s="65">
        <f>INDEX(Projects[Sold Value (M)],16)</f>
        <v/>
      </c>
      <c r="V17" s="64">
        <f>IF('Smart Search'!B13=1,IFERROR(1/'Smart Search'!H13,0),0)</f>
        <v/>
      </c>
      <c r="W17" s="64">
        <f>IF('Smart Search'!B13=1,IFERROR(1/'Smart Search'!H13,0),0)</f>
        <v/>
      </c>
      <c r="X17" s="64">
        <f>IF('Smart Search'!C13=1,IFERROR(1/'Smart Search'!H13,0),0)</f>
        <v/>
      </c>
      <c r="Y17" s="64">
        <f>IF('Smart Search'!C13=1,IFERROR(1/'Smart Search'!H13,0),0)</f>
        <v/>
      </c>
      <c r="Z17" s="64">
        <f>IF('Smart Search'!D13=1,IFERROR(1/'Smart Search'!H13,0),0)</f>
        <v/>
      </c>
      <c r="AA17" s="64">
        <f>IF('Smart Search'!D13=1,IFERROR(1/'Smart Search'!H13,0),0)</f>
        <v/>
      </c>
      <c r="AB17" s="64">
        <f>IF('Smart Search'!E13=1,IFERROR(1/'Smart Search'!H13,0),0)</f>
        <v/>
      </c>
      <c r="AC17" s="64">
        <f>IF('Smart Search'!E13=1,IFERROR(1/'Smart Search'!H13,0),0)</f>
        <v/>
      </c>
      <c r="AD17" s="64">
        <f>IF('Smart Search'!F13=1,IFERROR(1/'Smart Search'!H13,0),0)</f>
        <v/>
      </c>
      <c r="AE17" s="64">
        <f>IF('Smart Search'!F13=1,IFERROR(1/'Smart Search'!H13,0),0)</f>
        <v/>
      </c>
      <c r="AF17" s="64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4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4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4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4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4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4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4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4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4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4">
        <f>AF17*V17</f>
        <v/>
      </c>
      <c r="AQ17" s="64">
        <f>AG17*W17</f>
        <v/>
      </c>
      <c r="AR17" s="64">
        <f>AH17*X17</f>
        <v/>
      </c>
      <c r="AS17" s="64">
        <f>AI17*Y17</f>
        <v/>
      </c>
      <c r="AT17" s="64">
        <f>AJ17*Z17</f>
        <v/>
      </c>
      <c r="AU17" s="64">
        <f>AK17*AA17</f>
        <v/>
      </c>
      <c r="AV17" s="64">
        <f>AL17*AB17</f>
        <v/>
      </c>
      <c r="AW17" s="64">
        <f>AM17*AC17</f>
        <v/>
      </c>
      <c r="AX17" s="64">
        <f>AN17*AD17</f>
        <v/>
      </c>
      <c r="AY17" s="64">
        <f>AO17*AE17</f>
        <v/>
      </c>
      <c r="AZ17" s="64">
        <f>INDEX(Projects[Automation Equipment],16)&amp;""</f>
        <v/>
      </c>
      <c r="BA17" s="64">
        <f>IF(OR(A17="",'Smart Search'!H13=0),"",MAX(0,BE17*BF17*MAX(0,1-BG17)))</f>
        <v/>
      </c>
      <c r="BB17" s="64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4">
        <f>IF('Smart Search'!G13=1,IFERROR(1/'Smart Search'!H13,0),0)</f>
        <v/>
      </c>
      <c r="BD17" s="64">
        <f>BB17*BC17</f>
        <v/>
      </c>
      <c r="BE17" s="64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IF(A17="","",N(INDEX(Projects[Act Mech Inst],16)))</f>
        <v/>
      </c>
      <c r="BK17" s="5">
        <f>IF(A17="","",N(INDEX(Projects[Act Elec Inst],16)))</f>
        <v/>
      </c>
      <c r="BL17" s="5">
        <f>IF(A17="","",N(INDEX(Projects[Act Project Management],16)))</f>
        <v/>
      </c>
      <c r="BM17" s="5">
        <f>IF(A17="","",N(INDEX(Projects[Act Systems Eng],16)))</f>
        <v/>
      </c>
      <c r="BN17" s="5">
        <f>IF(A17="","",N(INDEX(Projects[Act Mechanical Eng],16)))</f>
        <v/>
      </c>
      <c r="BO17" s="5">
        <f>IF(A17="","",N(INDEX(Projects[Act Structural Engineering],16)))</f>
        <v/>
      </c>
      <c r="BP17" s="5">
        <f>IF(A17="","",N(INDEX(Projects[Act Site Sup],16)))</f>
        <v/>
      </c>
      <c r="BQ17" s="5">
        <f>IF(A17="","",N(INDEX(Projects[Act Controls Commissioning],16)))</f>
        <v/>
      </c>
      <c r="BR17" s="5">
        <f>IF(A17="","",N(INDEX(Projects[Act Systems Commissioning],16)))</f>
        <v/>
      </c>
      <c r="BS17" s="5">
        <f>IF(A17="","",N(INDEX(Projects[Act Service Commissioning],16)))</f>
        <v/>
      </c>
      <c r="BT17" s="5">
        <f>IF(A17="","",N(INDEX(Projects[Act Controls Eng],16)))</f>
        <v/>
      </c>
      <c r="BU17" s="5">
        <f>IF(A17="","",N(INDEX(Projects[Act Controls Purchase],16)))</f>
        <v/>
      </c>
      <c r="BV17" s="5">
        <f>IF(A17="","",N(INDEX(Projects[Act Software Eng],16)))</f>
        <v/>
      </c>
      <c r="BW17" s="5">
        <f>IF(A17="","",N(INDEX(Projects[Act 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INDEX(Projects[Sold Value (USD M)],16)</f>
        <v/>
      </c>
      <c r="CE17" s="5" t="n"/>
      <c r="CF17" s="5">
        <f>IF(A17="","",N(INDEX(Projects[Est Mech Inst],16)))</f>
        <v/>
      </c>
      <c r="CG17" s="5">
        <f>IF(A17="","",N(INDEX(Projects[Est Elec Inst],16)))</f>
        <v/>
      </c>
      <c r="CH17" s="5">
        <f>IF(A17="","",N(INDEX(Projects[Est Project Management],16)))</f>
        <v/>
      </c>
      <c r="CI17" s="5">
        <f>IF(A17="","",N(INDEX(Projects[Est Systems Eng],16)))</f>
        <v/>
      </c>
      <c r="CJ17" s="5">
        <f>IF(A17="","",N(INDEX(Projects[Est Mechanical Eng],16)))</f>
        <v/>
      </c>
      <c r="CK17" s="5">
        <f>IF(A17="","",N(INDEX(Projects[Est Structural Engineering],16)))</f>
        <v/>
      </c>
      <c r="CL17" s="5">
        <f>IF(A17="","",N(INDEX(Projects[Est Site Sup],16)))</f>
        <v/>
      </c>
      <c r="CM17" s="5">
        <f>IF(A17="","",N(INDEX(Projects[Est Controls Commissioning],16)))</f>
        <v/>
      </c>
      <c r="CN17" s="5">
        <f>IF(A17="","",N(INDEX(Projects[Est Systems Commissioning],16)))</f>
        <v/>
      </c>
      <c r="CO17" s="5">
        <f>IF(A17="","",N(INDEX(Projects[Est Service Commissioning],16)))</f>
        <v/>
      </c>
      <c r="CP17" s="5">
        <f>IF(A17="","",N(INDEX(Projects[Est Controls Eng],16)))</f>
        <v/>
      </c>
      <c r="CQ17" s="5">
        <f>IF(A17="","",N(INDEX(Projects[Est Controls Purchase],16)))</f>
        <v/>
      </c>
      <c r="CR17" s="5">
        <f>IF(A17="","",N(INDEX(Projects[Est Software Eng],16)))</f>
        <v/>
      </c>
      <c r="CS17" s="5">
        <f>IF(A17="","",N(INDEX(Projects[Est Misc],16)))</f>
        <v/>
      </c>
      <c r="CT17" s="5">
        <f>IF(A17="","",SUM(CF17:CS17))</f>
        <v/>
      </c>
      <c r="CU17" s="5">
        <f>INDEX(Projects[Est Cost (M)],16)</f>
        <v/>
      </c>
      <c r="CV17" s="5">
        <f>INDEX(Projects[Act Cost (M)],16)</f>
        <v/>
      </c>
      <c r="CW17" s="5">
        <f>INDEX(Projects[Plan Mech Eng (wks)],16)</f>
        <v/>
      </c>
      <c r="CX17" s="5">
        <f>INDEX(Projects[Plan Controls Eng (wks)],16)</f>
        <v/>
      </c>
      <c r="CY17" s="5">
        <f>INDEX(Projects[Plan Systems Eng (wks)],16)</f>
        <v/>
      </c>
      <c r="CZ17" s="5">
        <f>INDEX(Projects[Plan Software Eng (wks)],16)</f>
        <v/>
      </c>
      <c r="DA17" s="5">
        <f>INDEX(Projects[Plan M&amp;E Installation (wks)],16)</f>
        <v/>
      </c>
      <c r="DB17" s="5">
        <f>INDEX(Projects[Plan Commissioning (wks)],16)</f>
        <v/>
      </c>
      <c r="DC17" s="5">
        <f>INDEX(Projects[Plan Total (wks)],16)</f>
        <v/>
      </c>
      <c r="DD17" s="5">
        <f>INDEX(Projects[Act Mech Eng (wks)],16)</f>
        <v/>
      </c>
      <c r="DE17" s="5">
        <f>INDEX(Projects[Act Controls Eng (wks)],16)</f>
        <v/>
      </c>
      <c r="DF17" s="5">
        <f>INDEX(Projects[Act Systems Eng (wks)],16)</f>
        <v/>
      </c>
      <c r="DG17" s="5">
        <f>INDEX(Projects[Act Software Eng (wks)],16)</f>
        <v/>
      </c>
      <c r="DH17" s="5">
        <f>INDEX(Projects[Act M&amp;E Installation (wks)],16)</f>
        <v/>
      </c>
      <c r="DI17" s="5">
        <f>INDEX(Projects[Act Commissioning (wks)],16)</f>
        <v/>
      </c>
      <c r="DJ17" s="5">
        <f>INDEX(Projects[Act Total (wks)],16)</f>
        <v/>
      </c>
    </row>
    <row r="18" ht="15" customHeight="1" s="82">
      <c r="A18" s="64">
        <f>INDEX(Projects[Project ID *],17)&amp;""</f>
        <v/>
      </c>
      <c r="B18" s="64">
        <f>INDEX(Projects[Project Name *],17)&amp;""</f>
        <v/>
      </c>
      <c r="C18" s="64">
        <f>INDEX(Projects[MS Shuttles],17)</f>
        <v/>
      </c>
      <c r="D18" s="64">
        <f>INDEX(Projects[MS Tote Locations],17)</f>
        <v/>
      </c>
      <c r="E18" s="64">
        <f>INDEX(Projects[AS Robots],17)</f>
        <v/>
      </c>
      <c r="F18" s="64">
        <f>INDEX(Projects[AS Tote Locations],17)</f>
        <v/>
      </c>
      <c r="G18" s="64">
        <f>INDEX(Projects[PS Shuttles],17)</f>
        <v/>
      </c>
      <c r="H18" s="64">
        <f>INDEX(Projects[PS Pallet Locations],17)</f>
        <v/>
      </c>
      <c r="I18" s="64">
        <f>INDEX(Projects[SRM Cranes],17)</f>
        <v/>
      </c>
      <c r="J18" s="64">
        <f>INDEX(Projects[SRM Pallet Locations],17)</f>
        <v/>
      </c>
      <c r="K18" s="64">
        <f>INDEX(Projects[Case Conv (m)],17)</f>
        <v/>
      </c>
      <c r="L18" s="64">
        <f>INDEX(Projects[Pallet Conv (m)],17)</f>
        <v/>
      </c>
      <c r="M18" s="64">
        <f>IF(N(DJ18)&gt;0,DD18,CW18)</f>
        <v/>
      </c>
      <c r="N18" s="64">
        <f>IF(N(DJ18)&gt;0,DE18,CX18)</f>
        <v/>
      </c>
      <c r="O18" s="64">
        <f>IF(N(DJ18)&gt;0,DF18,CY18)</f>
        <v/>
      </c>
      <c r="P18" s="64">
        <f>IF(N(DJ18)&gt;0,DG18,CZ18)</f>
        <v/>
      </c>
      <c r="Q18" s="64">
        <f>IF(N(DJ18)&gt;0,DH18,DA18)</f>
        <v/>
      </c>
      <c r="R18" s="64">
        <f>IF(N(DJ18)&gt;0,DI18,DB18)</f>
        <v/>
      </c>
      <c r="S18" s="64">
        <f>IF(N(DJ18)&gt;0,DJ18,DC18)</f>
        <v/>
      </c>
      <c r="T18" s="64">
        <f>INDEX(Projects[Currency],17)&amp;""</f>
        <v/>
      </c>
      <c r="U18" s="65">
        <f>INDEX(Projects[Sold Value (M)],17)</f>
        <v/>
      </c>
      <c r="V18" s="64">
        <f>IF('Smart Search'!B13=1,IFERROR(1/'Smart Search'!H13,0),0)</f>
        <v/>
      </c>
      <c r="W18" s="64">
        <f>IF('Smart Search'!B13=1,IFERROR(1/'Smart Search'!H13,0),0)</f>
        <v/>
      </c>
      <c r="X18" s="64">
        <f>IF('Smart Search'!C13=1,IFERROR(1/'Smart Search'!H13,0),0)</f>
        <v/>
      </c>
      <c r="Y18" s="64">
        <f>IF('Smart Search'!C13=1,IFERROR(1/'Smart Search'!H13,0),0)</f>
        <v/>
      </c>
      <c r="Z18" s="64">
        <f>IF('Smart Search'!D13=1,IFERROR(1/'Smart Search'!H13,0),0)</f>
        <v/>
      </c>
      <c r="AA18" s="64">
        <f>IF('Smart Search'!D13=1,IFERROR(1/'Smart Search'!H13,0),0)</f>
        <v/>
      </c>
      <c r="AB18" s="64">
        <f>IF('Smart Search'!E13=1,IFERROR(1/'Smart Search'!H13,0),0)</f>
        <v/>
      </c>
      <c r="AC18" s="64">
        <f>IF('Smart Search'!E13=1,IFERROR(1/'Smart Search'!H13,0),0)</f>
        <v/>
      </c>
      <c r="AD18" s="64">
        <f>IF('Smart Search'!F13=1,IFERROR(1/'Smart Search'!H13,0),0)</f>
        <v/>
      </c>
      <c r="AE18" s="64">
        <f>IF('Smart Search'!F13=1,IFERROR(1/'Smart Search'!H13,0),0)</f>
        <v/>
      </c>
      <c r="AF18" s="64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4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4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4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4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4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4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4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4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4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4">
        <f>AF18*V18</f>
        <v/>
      </c>
      <c r="AQ18" s="64">
        <f>AG18*W18</f>
        <v/>
      </c>
      <c r="AR18" s="64">
        <f>AH18*X18</f>
        <v/>
      </c>
      <c r="AS18" s="64">
        <f>AI18*Y18</f>
        <v/>
      </c>
      <c r="AT18" s="64">
        <f>AJ18*Z18</f>
        <v/>
      </c>
      <c r="AU18" s="64">
        <f>AK18*AA18</f>
        <v/>
      </c>
      <c r="AV18" s="64">
        <f>AL18*AB18</f>
        <v/>
      </c>
      <c r="AW18" s="64">
        <f>AM18*AC18</f>
        <v/>
      </c>
      <c r="AX18" s="64">
        <f>AN18*AD18</f>
        <v/>
      </c>
      <c r="AY18" s="64">
        <f>AO18*AE18</f>
        <v/>
      </c>
      <c r="AZ18" s="64">
        <f>INDEX(Projects[Automation Equipment],17)&amp;""</f>
        <v/>
      </c>
      <c r="BA18" s="64">
        <f>IF(OR(A18="",'Smart Search'!H13=0),"",MAX(0,BE18*BF18*MAX(0,1-BG18)))</f>
        <v/>
      </c>
      <c r="BB18" s="64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4">
        <f>IF('Smart Search'!G13=1,IFERROR(1/'Smart Search'!H13,0),0)</f>
        <v/>
      </c>
      <c r="BD18" s="64">
        <f>BB18*BC18</f>
        <v/>
      </c>
      <c r="BE18" s="64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IF(A18="","",N(INDEX(Projects[Act Mech Inst],17)))</f>
        <v/>
      </c>
      <c r="BK18" s="5">
        <f>IF(A18="","",N(INDEX(Projects[Act Elec Inst],17)))</f>
        <v/>
      </c>
      <c r="BL18" s="5">
        <f>IF(A18="","",N(INDEX(Projects[Act Project Management],17)))</f>
        <v/>
      </c>
      <c r="BM18" s="5">
        <f>IF(A18="","",N(INDEX(Projects[Act Systems Eng],17)))</f>
        <v/>
      </c>
      <c r="BN18" s="5">
        <f>IF(A18="","",N(INDEX(Projects[Act Mechanical Eng],17)))</f>
        <v/>
      </c>
      <c r="BO18" s="5">
        <f>IF(A18="","",N(INDEX(Projects[Act Structural Engineering],17)))</f>
        <v/>
      </c>
      <c r="BP18" s="5">
        <f>IF(A18="","",N(INDEX(Projects[Act Site Sup],17)))</f>
        <v/>
      </c>
      <c r="BQ18" s="5">
        <f>IF(A18="","",N(INDEX(Projects[Act Controls Commissioning],17)))</f>
        <v/>
      </c>
      <c r="BR18" s="5">
        <f>IF(A18="","",N(INDEX(Projects[Act Systems Commissioning],17)))</f>
        <v/>
      </c>
      <c r="BS18" s="5">
        <f>IF(A18="","",N(INDEX(Projects[Act Service Commissioning],17)))</f>
        <v/>
      </c>
      <c r="BT18" s="5">
        <f>IF(A18="","",N(INDEX(Projects[Act Controls Eng],17)))</f>
        <v/>
      </c>
      <c r="BU18" s="5">
        <f>IF(A18="","",N(INDEX(Projects[Act Controls Purchase],17)))</f>
        <v/>
      </c>
      <c r="BV18" s="5">
        <f>IF(A18="","",N(INDEX(Projects[Act Software Eng],17)))</f>
        <v/>
      </c>
      <c r="BW18" s="5">
        <f>IF(A18="","",N(INDEX(Projects[Act 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INDEX(Projects[Sold Value (USD M)],17)</f>
        <v/>
      </c>
      <c r="CE18" s="5" t="n"/>
      <c r="CF18" s="5">
        <f>IF(A18="","",N(INDEX(Projects[Est Mech Inst],17)))</f>
        <v/>
      </c>
      <c r="CG18" s="5">
        <f>IF(A18="","",N(INDEX(Projects[Est Elec Inst],17)))</f>
        <v/>
      </c>
      <c r="CH18" s="5">
        <f>IF(A18="","",N(INDEX(Projects[Est Project Management],17)))</f>
        <v/>
      </c>
      <c r="CI18" s="5">
        <f>IF(A18="","",N(INDEX(Projects[Est Systems Eng],17)))</f>
        <v/>
      </c>
      <c r="CJ18" s="5">
        <f>IF(A18="","",N(INDEX(Projects[Est Mechanical Eng],17)))</f>
        <v/>
      </c>
      <c r="CK18" s="5">
        <f>IF(A18="","",N(INDEX(Projects[Est Structural Engineering],17)))</f>
        <v/>
      </c>
      <c r="CL18" s="5">
        <f>IF(A18="","",N(INDEX(Projects[Est Site Sup],17)))</f>
        <v/>
      </c>
      <c r="CM18" s="5">
        <f>IF(A18="","",N(INDEX(Projects[Est Controls Commissioning],17)))</f>
        <v/>
      </c>
      <c r="CN18" s="5">
        <f>IF(A18="","",N(INDEX(Projects[Est Systems Commissioning],17)))</f>
        <v/>
      </c>
      <c r="CO18" s="5">
        <f>IF(A18="","",N(INDEX(Projects[Est Service Commissioning],17)))</f>
        <v/>
      </c>
      <c r="CP18" s="5">
        <f>IF(A18="","",N(INDEX(Projects[Est Controls Eng],17)))</f>
        <v/>
      </c>
      <c r="CQ18" s="5">
        <f>IF(A18="","",N(INDEX(Projects[Est Controls Purchase],17)))</f>
        <v/>
      </c>
      <c r="CR18" s="5">
        <f>IF(A18="","",N(INDEX(Projects[Est Software Eng],17)))</f>
        <v/>
      </c>
      <c r="CS18" s="5">
        <f>IF(A18="","",N(INDEX(Projects[Est Misc],17)))</f>
        <v/>
      </c>
      <c r="CT18" s="5">
        <f>IF(A18="","",SUM(CF18:CS18))</f>
        <v/>
      </c>
      <c r="CU18" s="5">
        <f>INDEX(Projects[Est Cost (M)],17)</f>
        <v/>
      </c>
      <c r="CV18" s="5">
        <f>INDEX(Projects[Act Cost (M)],17)</f>
        <v/>
      </c>
      <c r="CW18" s="5">
        <f>INDEX(Projects[Plan Mech Eng (wks)],17)</f>
        <v/>
      </c>
      <c r="CX18" s="5">
        <f>INDEX(Projects[Plan Controls Eng (wks)],17)</f>
        <v/>
      </c>
      <c r="CY18" s="5">
        <f>INDEX(Projects[Plan Systems Eng (wks)],17)</f>
        <v/>
      </c>
      <c r="CZ18" s="5">
        <f>INDEX(Projects[Plan Software Eng (wks)],17)</f>
        <v/>
      </c>
      <c r="DA18" s="5">
        <f>INDEX(Projects[Plan M&amp;E Installation (wks)],17)</f>
        <v/>
      </c>
      <c r="DB18" s="5">
        <f>INDEX(Projects[Plan Commissioning (wks)],17)</f>
        <v/>
      </c>
      <c r="DC18" s="5">
        <f>INDEX(Projects[Plan Total (wks)],17)</f>
        <v/>
      </c>
      <c r="DD18" s="5">
        <f>INDEX(Projects[Act Mech Eng (wks)],17)</f>
        <v/>
      </c>
      <c r="DE18" s="5">
        <f>INDEX(Projects[Act Controls Eng (wks)],17)</f>
        <v/>
      </c>
      <c r="DF18" s="5">
        <f>INDEX(Projects[Act Systems Eng (wks)],17)</f>
        <v/>
      </c>
      <c r="DG18" s="5">
        <f>INDEX(Projects[Act Software Eng (wks)],17)</f>
        <v/>
      </c>
      <c r="DH18" s="5">
        <f>INDEX(Projects[Act M&amp;E Installation (wks)],17)</f>
        <v/>
      </c>
      <c r="DI18" s="5">
        <f>INDEX(Projects[Act Commissioning (wks)],17)</f>
        <v/>
      </c>
      <c r="DJ18" s="5">
        <f>INDEX(Projects[Act Total (wks)],17)</f>
        <v/>
      </c>
    </row>
    <row r="19" ht="15" customHeight="1" s="82">
      <c r="A19" s="64">
        <f>INDEX(Projects[Project ID *],18)&amp;""</f>
        <v/>
      </c>
      <c r="B19" s="64">
        <f>INDEX(Projects[Project Name *],18)&amp;""</f>
        <v/>
      </c>
      <c r="C19" s="64">
        <f>INDEX(Projects[MS Shuttles],18)</f>
        <v/>
      </c>
      <c r="D19" s="64">
        <f>INDEX(Projects[MS Tote Locations],18)</f>
        <v/>
      </c>
      <c r="E19" s="64">
        <f>INDEX(Projects[AS Robots],18)</f>
        <v/>
      </c>
      <c r="F19" s="64">
        <f>INDEX(Projects[AS Tote Locations],18)</f>
        <v/>
      </c>
      <c r="G19" s="64">
        <f>INDEX(Projects[PS Shuttles],18)</f>
        <v/>
      </c>
      <c r="H19" s="64">
        <f>INDEX(Projects[PS Pallet Locations],18)</f>
        <v/>
      </c>
      <c r="I19" s="64">
        <f>INDEX(Projects[SRM Cranes],18)</f>
        <v/>
      </c>
      <c r="J19" s="64">
        <f>INDEX(Projects[SRM Pallet Locations],18)</f>
        <v/>
      </c>
      <c r="K19" s="64">
        <f>INDEX(Projects[Case Conv (m)],18)</f>
        <v/>
      </c>
      <c r="L19" s="64">
        <f>INDEX(Projects[Pallet Conv (m)],18)</f>
        <v/>
      </c>
      <c r="M19" s="64">
        <f>IF(N(DJ19)&gt;0,DD19,CW19)</f>
        <v/>
      </c>
      <c r="N19" s="64">
        <f>IF(N(DJ19)&gt;0,DE19,CX19)</f>
        <v/>
      </c>
      <c r="O19" s="64">
        <f>IF(N(DJ19)&gt;0,DF19,CY19)</f>
        <v/>
      </c>
      <c r="P19" s="64">
        <f>IF(N(DJ19)&gt;0,DG19,CZ19)</f>
        <v/>
      </c>
      <c r="Q19" s="64">
        <f>IF(N(DJ19)&gt;0,DH19,DA19)</f>
        <v/>
      </c>
      <c r="R19" s="64">
        <f>IF(N(DJ19)&gt;0,DI19,DB19)</f>
        <v/>
      </c>
      <c r="S19" s="64">
        <f>IF(N(DJ19)&gt;0,DJ19,DC19)</f>
        <v/>
      </c>
      <c r="T19" s="64">
        <f>INDEX(Projects[Currency],18)&amp;""</f>
        <v/>
      </c>
      <c r="U19" s="65">
        <f>INDEX(Projects[Sold Value (M)],18)</f>
        <v/>
      </c>
      <c r="V19" s="64">
        <f>IF('Smart Search'!B13=1,IFERROR(1/'Smart Search'!H13,0),0)</f>
        <v/>
      </c>
      <c r="W19" s="64">
        <f>IF('Smart Search'!B13=1,IFERROR(1/'Smart Search'!H13,0),0)</f>
        <v/>
      </c>
      <c r="X19" s="64">
        <f>IF('Smart Search'!C13=1,IFERROR(1/'Smart Search'!H13,0),0)</f>
        <v/>
      </c>
      <c r="Y19" s="64">
        <f>IF('Smart Search'!C13=1,IFERROR(1/'Smart Search'!H13,0),0)</f>
        <v/>
      </c>
      <c r="Z19" s="64">
        <f>IF('Smart Search'!D13=1,IFERROR(1/'Smart Search'!H13,0),0)</f>
        <v/>
      </c>
      <c r="AA19" s="64">
        <f>IF('Smart Search'!D13=1,IFERROR(1/'Smart Search'!H13,0),0)</f>
        <v/>
      </c>
      <c r="AB19" s="64">
        <f>IF('Smart Search'!E13=1,IFERROR(1/'Smart Search'!H13,0),0)</f>
        <v/>
      </c>
      <c r="AC19" s="64">
        <f>IF('Smart Search'!E13=1,IFERROR(1/'Smart Search'!H13,0),0)</f>
        <v/>
      </c>
      <c r="AD19" s="64">
        <f>IF('Smart Search'!F13=1,IFERROR(1/'Smart Search'!H13,0),0)</f>
        <v/>
      </c>
      <c r="AE19" s="64">
        <f>IF('Smart Search'!F13=1,IFERROR(1/'Smart Search'!H13,0),0)</f>
        <v/>
      </c>
      <c r="AF19" s="64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4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4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4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4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4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4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4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4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4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4">
        <f>AF19*V19</f>
        <v/>
      </c>
      <c r="AQ19" s="64">
        <f>AG19*W19</f>
        <v/>
      </c>
      <c r="AR19" s="64">
        <f>AH19*X19</f>
        <v/>
      </c>
      <c r="AS19" s="64">
        <f>AI19*Y19</f>
        <v/>
      </c>
      <c r="AT19" s="64">
        <f>AJ19*Z19</f>
        <v/>
      </c>
      <c r="AU19" s="64">
        <f>AK19*AA19</f>
        <v/>
      </c>
      <c r="AV19" s="64">
        <f>AL19*AB19</f>
        <v/>
      </c>
      <c r="AW19" s="64">
        <f>AM19*AC19</f>
        <v/>
      </c>
      <c r="AX19" s="64">
        <f>AN19*AD19</f>
        <v/>
      </c>
      <c r="AY19" s="64">
        <f>AO19*AE19</f>
        <v/>
      </c>
      <c r="AZ19" s="64">
        <f>INDEX(Projects[Automation Equipment],18)&amp;""</f>
        <v/>
      </c>
      <c r="BA19" s="64">
        <f>IF(OR(A19="",'Smart Search'!H13=0),"",MAX(0,BE19*BF19*MAX(0,1-BG19)))</f>
        <v/>
      </c>
      <c r="BB19" s="64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4">
        <f>IF('Smart Search'!G13=1,IFERROR(1/'Smart Search'!H13,0),0)</f>
        <v/>
      </c>
      <c r="BD19" s="64">
        <f>BB19*BC19</f>
        <v/>
      </c>
      <c r="BE19" s="64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IF(A19="","",N(INDEX(Projects[Act Mech Inst],18)))</f>
        <v/>
      </c>
      <c r="BK19" s="5">
        <f>IF(A19="","",N(INDEX(Projects[Act Elec Inst],18)))</f>
        <v/>
      </c>
      <c r="BL19" s="5">
        <f>IF(A19="","",N(INDEX(Projects[Act Project Management],18)))</f>
        <v/>
      </c>
      <c r="BM19" s="5">
        <f>IF(A19="","",N(INDEX(Projects[Act Systems Eng],18)))</f>
        <v/>
      </c>
      <c r="BN19" s="5">
        <f>IF(A19="","",N(INDEX(Projects[Act Mechanical Eng],18)))</f>
        <v/>
      </c>
      <c r="BO19" s="5">
        <f>IF(A19="","",N(INDEX(Projects[Act Structural Engineering],18)))</f>
        <v/>
      </c>
      <c r="BP19" s="5">
        <f>IF(A19="","",N(INDEX(Projects[Act Site Sup],18)))</f>
        <v/>
      </c>
      <c r="BQ19" s="5">
        <f>IF(A19="","",N(INDEX(Projects[Act Controls Commissioning],18)))</f>
        <v/>
      </c>
      <c r="BR19" s="5">
        <f>IF(A19="","",N(INDEX(Projects[Act Systems Commissioning],18)))</f>
        <v/>
      </c>
      <c r="BS19" s="5">
        <f>IF(A19="","",N(INDEX(Projects[Act Service Commissioning],18)))</f>
        <v/>
      </c>
      <c r="BT19" s="5">
        <f>IF(A19="","",N(INDEX(Projects[Act Controls Eng],18)))</f>
        <v/>
      </c>
      <c r="BU19" s="5">
        <f>IF(A19="","",N(INDEX(Projects[Act Controls Purchase],18)))</f>
        <v/>
      </c>
      <c r="BV19" s="5">
        <f>IF(A19="","",N(INDEX(Projects[Act Software Eng],18)))</f>
        <v/>
      </c>
      <c r="BW19" s="5">
        <f>IF(A19="","",N(INDEX(Projects[Act 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INDEX(Projects[Sold Value (USD M)],18)</f>
        <v/>
      </c>
      <c r="CE19" s="5" t="n"/>
      <c r="CF19" s="5">
        <f>IF(A19="","",N(INDEX(Projects[Est Mech Inst],18)))</f>
        <v/>
      </c>
      <c r="CG19" s="5">
        <f>IF(A19="","",N(INDEX(Projects[Est Elec Inst],18)))</f>
        <v/>
      </c>
      <c r="CH19" s="5">
        <f>IF(A19="","",N(INDEX(Projects[Est Project Management],18)))</f>
        <v/>
      </c>
      <c r="CI19" s="5">
        <f>IF(A19="","",N(INDEX(Projects[Est Systems Eng],18)))</f>
        <v/>
      </c>
      <c r="CJ19" s="5">
        <f>IF(A19="","",N(INDEX(Projects[Est Mechanical Eng],18)))</f>
        <v/>
      </c>
      <c r="CK19" s="5">
        <f>IF(A19="","",N(INDEX(Projects[Est Structural Engineering],18)))</f>
        <v/>
      </c>
      <c r="CL19" s="5">
        <f>IF(A19="","",N(INDEX(Projects[Est Site Sup],18)))</f>
        <v/>
      </c>
      <c r="CM19" s="5">
        <f>IF(A19="","",N(INDEX(Projects[Est Controls Commissioning],18)))</f>
        <v/>
      </c>
      <c r="CN19" s="5">
        <f>IF(A19="","",N(INDEX(Projects[Est Systems Commissioning],18)))</f>
        <v/>
      </c>
      <c r="CO19" s="5">
        <f>IF(A19="","",N(INDEX(Projects[Est Service Commissioning],18)))</f>
        <v/>
      </c>
      <c r="CP19" s="5">
        <f>IF(A19="","",N(INDEX(Projects[Est Controls Eng],18)))</f>
        <v/>
      </c>
      <c r="CQ19" s="5">
        <f>IF(A19="","",N(INDEX(Projects[Est Controls Purchase],18)))</f>
        <v/>
      </c>
      <c r="CR19" s="5">
        <f>IF(A19="","",N(INDEX(Projects[Est Software Eng],18)))</f>
        <v/>
      </c>
      <c r="CS19" s="5">
        <f>IF(A19="","",N(INDEX(Projects[Est Misc],18)))</f>
        <v/>
      </c>
      <c r="CT19" s="5">
        <f>IF(A19="","",SUM(CF19:CS19))</f>
        <v/>
      </c>
      <c r="CU19" s="5">
        <f>INDEX(Projects[Est Cost (M)],18)</f>
        <v/>
      </c>
      <c r="CV19" s="5">
        <f>INDEX(Projects[Act Cost (M)],18)</f>
        <v/>
      </c>
      <c r="CW19" s="5">
        <f>INDEX(Projects[Plan Mech Eng (wks)],18)</f>
        <v/>
      </c>
      <c r="CX19" s="5">
        <f>INDEX(Projects[Plan Controls Eng (wks)],18)</f>
        <v/>
      </c>
      <c r="CY19" s="5">
        <f>INDEX(Projects[Plan Systems Eng (wks)],18)</f>
        <v/>
      </c>
      <c r="CZ19" s="5">
        <f>INDEX(Projects[Plan Software Eng (wks)],18)</f>
        <v/>
      </c>
      <c r="DA19" s="5">
        <f>INDEX(Projects[Plan M&amp;E Installation (wks)],18)</f>
        <v/>
      </c>
      <c r="DB19" s="5">
        <f>INDEX(Projects[Plan Commissioning (wks)],18)</f>
        <v/>
      </c>
      <c r="DC19" s="5">
        <f>INDEX(Projects[Plan Total (wks)],18)</f>
        <v/>
      </c>
      <c r="DD19" s="5">
        <f>INDEX(Projects[Act Mech Eng (wks)],18)</f>
        <v/>
      </c>
      <c r="DE19" s="5">
        <f>INDEX(Projects[Act Controls Eng (wks)],18)</f>
        <v/>
      </c>
      <c r="DF19" s="5">
        <f>INDEX(Projects[Act Systems Eng (wks)],18)</f>
        <v/>
      </c>
      <c r="DG19" s="5">
        <f>INDEX(Projects[Act Software Eng (wks)],18)</f>
        <v/>
      </c>
      <c r="DH19" s="5">
        <f>INDEX(Projects[Act M&amp;E Installation (wks)],18)</f>
        <v/>
      </c>
      <c r="DI19" s="5">
        <f>INDEX(Projects[Act Commissioning (wks)],18)</f>
        <v/>
      </c>
      <c r="DJ19" s="5">
        <f>INDEX(Projects[Act Total (wks)],18)</f>
        <v/>
      </c>
    </row>
    <row r="20" ht="15" customHeight="1" s="82">
      <c r="A20" s="64">
        <f>INDEX(Projects[Project ID *],19)&amp;""</f>
        <v/>
      </c>
      <c r="B20" s="64">
        <f>INDEX(Projects[Project Name *],19)&amp;""</f>
        <v/>
      </c>
      <c r="C20" s="64">
        <f>INDEX(Projects[MS Shuttles],19)</f>
        <v/>
      </c>
      <c r="D20" s="64">
        <f>INDEX(Projects[MS Tote Locations],19)</f>
        <v/>
      </c>
      <c r="E20" s="64">
        <f>INDEX(Projects[AS Robots],19)</f>
        <v/>
      </c>
      <c r="F20" s="64">
        <f>INDEX(Projects[AS Tote Locations],19)</f>
        <v/>
      </c>
      <c r="G20" s="64">
        <f>INDEX(Projects[PS Shuttles],19)</f>
        <v/>
      </c>
      <c r="H20" s="64">
        <f>INDEX(Projects[PS Pallet Locations],19)</f>
        <v/>
      </c>
      <c r="I20" s="64">
        <f>INDEX(Projects[SRM Cranes],19)</f>
        <v/>
      </c>
      <c r="J20" s="64">
        <f>INDEX(Projects[SRM Pallet Locations],19)</f>
        <v/>
      </c>
      <c r="K20" s="64">
        <f>INDEX(Projects[Case Conv (m)],19)</f>
        <v/>
      </c>
      <c r="L20" s="64">
        <f>INDEX(Projects[Pallet Conv (m)],19)</f>
        <v/>
      </c>
      <c r="M20" s="64">
        <f>IF(N(DJ20)&gt;0,DD20,CW20)</f>
        <v/>
      </c>
      <c r="N20" s="64">
        <f>IF(N(DJ20)&gt;0,DE20,CX20)</f>
        <v/>
      </c>
      <c r="O20" s="64">
        <f>IF(N(DJ20)&gt;0,DF20,CY20)</f>
        <v/>
      </c>
      <c r="P20" s="64">
        <f>IF(N(DJ20)&gt;0,DG20,CZ20)</f>
        <v/>
      </c>
      <c r="Q20" s="64">
        <f>IF(N(DJ20)&gt;0,DH20,DA20)</f>
        <v/>
      </c>
      <c r="R20" s="64">
        <f>IF(N(DJ20)&gt;0,DI20,DB20)</f>
        <v/>
      </c>
      <c r="S20" s="64">
        <f>IF(N(DJ20)&gt;0,DJ20,DC20)</f>
        <v/>
      </c>
      <c r="T20" s="64">
        <f>INDEX(Projects[Currency],19)&amp;""</f>
        <v/>
      </c>
      <c r="U20" s="65">
        <f>INDEX(Projects[Sold Value (M)],19)</f>
        <v/>
      </c>
      <c r="V20" s="64">
        <f>IF('Smart Search'!B13=1,IFERROR(1/'Smart Search'!H13,0),0)</f>
        <v/>
      </c>
      <c r="W20" s="64">
        <f>IF('Smart Search'!B13=1,IFERROR(1/'Smart Search'!H13,0),0)</f>
        <v/>
      </c>
      <c r="X20" s="64">
        <f>IF('Smart Search'!C13=1,IFERROR(1/'Smart Search'!H13,0),0)</f>
        <v/>
      </c>
      <c r="Y20" s="64">
        <f>IF('Smart Search'!C13=1,IFERROR(1/'Smart Search'!H13,0),0)</f>
        <v/>
      </c>
      <c r="Z20" s="64">
        <f>IF('Smart Search'!D13=1,IFERROR(1/'Smart Search'!H13,0),0)</f>
        <v/>
      </c>
      <c r="AA20" s="64">
        <f>IF('Smart Search'!D13=1,IFERROR(1/'Smart Search'!H13,0),0)</f>
        <v/>
      </c>
      <c r="AB20" s="64">
        <f>IF('Smart Search'!E13=1,IFERROR(1/'Smart Search'!H13,0),0)</f>
        <v/>
      </c>
      <c r="AC20" s="64">
        <f>IF('Smart Search'!E13=1,IFERROR(1/'Smart Search'!H13,0),0)</f>
        <v/>
      </c>
      <c r="AD20" s="64">
        <f>IF('Smart Search'!F13=1,IFERROR(1/'Smart Search'!H13,0),0)</f>
        <v/>
      </c>
      <c r="AE20" s="64">
        <f>IF('Smart Search'!F13=1,IFERROR(1/'Smart Search'!H13,0),0)</f>
        <v/>
      </c>
      <c r="AF20" s="64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4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4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4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4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4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4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4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4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4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4">
        <f>AF20*V20</f>
        <v/>
      </c>
      <c r="AQ20" s="64">
        <f>AG20*W20</f>
        <v/>
      </c>
      <c r="AR20" s="64">
        <f>AH20*X20</f>
        <v/>
      </c>
      <c r="AS20" s="64">
        <f>AI20*Y20</f>
        <v/>
      </c>
      <c r="AT20" s="64">
        <f>AJ20*Z20</f>
        <v/>
      </c>
      <c r="AU20" s="64">
        <f>AK20*AA20</f>
        <v/>
      </c>
      <c r="AV20" s="64">
        <f>AL20*AB20</f>
        <v/>
      </c>
      <c r="AW20" s="64">
        <f>AM20*AC20</f>
        <v/>
      </c>
      <c r="AX20" s="64">
        <f>AN20*AD20</f>
        <v/>
      </c>
      <c r="AY20" s="64">
        <f>AO20*AE20</f>
        <v/>
      </c>
      <c r="AZ20" s="64">
        <f>INDEX(Projects[Automation Equipment],19)&amp;""</f>
        <v/>
      </c>
      <c r="BA20" s="64">
        <f>IF(OR(A20="",'Smart Search'!H13=0),"",MAX(0,BE20*BF20*MAX(0,1-BG20)))</f>
        <v/>
      </c>
      <c r="BB20" s="64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4">
        <f>IF('Smart Search'!G13=1,IFERROR(1/'Smart Search'!H13,0),0)</f>
        <v/>
      </c>
      <c r="BD20" s="64">
        <f>BB20*BC20</f>
        <v/>
      </c>
      <c r="BE20" s="64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IF(A20="","",N(INDEX(Projects[Act Mech Inst],19)))</f>
        <v/>
      </c>
      <c r="BK20" s="5">
        <f>IF(A20="","",N(INDEX(Projects[Act Elec Inst],19)))</f>
        <v/>
      </c>
      <c r="BL20" s="5">
        <f>IF(A20="","",N(INDEX(Projects[Act Project Management],19)))</f>
        <v/>
      </c>
      <c r="BM20" s="5">
        <f>IF(A20="","",N(INDEX(Projects[Act Systems Eng],19)))</f>
        <v/>
      </c>
      <c r="BN20" s="5">
        <f>IF(A20="","",N(INDEX(Projects[Act Mechanical Eng],19)))</f>
        <v/>
      </c>
      <c r="BO20" s="5">
        <f>IF(A20="","",N(INDEX(Projects[Act Structural Engineering],19)))</f>
        <v/>
      </c>
      <c r="BP20" s="5">
        <f>IF(A20="","",N(INDEX(Projects[Act Site Sup],19)))</f>
        <v/>
      </c>
      <c r="BQ20" s="5">
        <f>IF(A20="","",N(INDEX(Projects[Act Controls Commissioning],19)))</f>
        <v/>
      </c>
      <c r="BR20" s="5">
        <f>IF(A20="","",N(INDEX(Projects[Act Systems Commissioning],19)))</f>
        <v/>
      </c>
      <c r="BS20" s="5">
        <f>IF(A20="","",N(INDEX(Projects[Act Service Commissioning],19)))</f>
        <v/>
      </c>
      <c r="BT20" s="5">
        <f>IF(A20="","",N(INDEX(Projects[Act Controls Eng],19)))</f>
        <v/>
      </c>
      <c r="BU20" s="5">
        <f>IF(A20="","",N(INDEX(Projects[Act Controls Purchase],19)))</f>
        <v/>
      </c>
      <c r="BV20" s="5">
        <f>IF(A20="","",N(INDEX(Projects[Act Software Eng],19)))</f>
        <v/>
      </c>
      <c r="BW20" s="5">
        <f>IF(A20="","",N(INDEX(Projects[Act 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INDEX(Projects[Sold Value (USD M)],19)</f>
        <v/>
      </c>
      <c r="CE20" s="5" t="n"/>
      <c r="CF20" s="5">
        <f>IF(A20="","",N(INDEX(Projects[Est Mech Inst],19)))</f>
        <v/>
      </c>
      <c r="CG20" s="5">
        <f>IF(A20="","",N(INDEX(Projects[Est Elec Inst],19)))</f>
        <v/>
      </c>
      <c r="CH20" s="5">
        <f>IF(A20="","",N(INDEX(Projects[Est Project Management],19)))</f>
        <v/>
      </c>
      <c r="CI20" s="5">
        <f>IF(A20="","",N(INDEX(Projects[Est Systems Eng],19)))</f>
        <v/>
      </c>
      <c r="CJ20" s="5">
        <f>IF(A20="","",N(INDEX(Projects[Est Mechanical Eng],19)))</f>
        <v/>
      </c>
      <c r="CK20" s="5">
        <f>IF(A20="","",N(INDEX(Projects[Est Structural Engineering],19)))</f>
        <v/>
      </c>
      <c r="CL20" s="5">
        <f>IF(A20="","",N(INDEX(Projects[Est Site Sup],19)))</f>
        <v/>
      </c>
      <c r="CM20" s="5">
        <f>IF(A20="","",N(INDEX(Projects[Est Controls Commissioning],19)))</f>
        <v/>
      </c>
      <c r="CN20" s="5">
        <f>IF(A20="","",N(INDEX(Projects[Est Systems Commissioning],19)))</f>
        <v/>
      </c>
      <c r="CO20" s="5">
        <f>IF(A20="","",N(INDEX(Projects[Est Service Commissioning],19)))</f>
        <v/>
      </c>
      <c r="CP20" s="5">
        <f>IF(A20="","",N(INDEX(Projects[Est Controls Eng],19)))</f>
        <v/>
      </c>
      <c r="CQ20" s="5">
        <f>IF(A20="","",N(INDEX(Projects[Est Controls Purchase],19)))</f>
        <v/>
      </c>
      <c r="CR20" s="5">
        <f>IF(A20="","",N(INDEX(Projects[Est Software Eng],19)))</f>
        <v/>
      </c>
      <c r="CS20" s="5">
        <f>IF(A20="","",N(INDEX(Projects[Est Misc],19)))</f>
        <v/>
      </c>
      <c r="CT20" s="5">
        <f>IF(A20="","",SUM(CF20:CS20))</f>
        <v/>
      </c>
      <c r="CU20" s="5">
        <f>INDEX(Projects[Est Cost (M)],19)</f>
        <v/>
      </c>
      <c r="CV20" s="5">
        <f>INDEX(Projects[Act Cost (M)],19)</f>
        <v/>
      </c>
      <c r="CW20" s="5">
        <f>INDEX(Projects[Plan Mech Eng (wks)],19)</f>
        <v/>
      </c>
      <c r="CX20" s="5">
        <f>INDEX(Projects[Plan Controls Eng (wks)],19)</f>
        <v/>
      </c>
      <c r="CY20" s="5">
        <f>INDEX(Projects[Plan Systems Eng (wks)],19)</f>
        <v/>
      </c>
      <c r="CZ20" s="5">
        <f>INDEX(Projects[Plan Software Eng (wks)],19)</f>
        <v/>
      </c>
      <c r="DA20" s="5">
        <f>INDEX(Projects[Plan M&amp;E Installation (wks)],19)</f>
        <v/>
      </c>
      <c r="DB20" s="5">
        <f>INDEX(Projects[Plan Commissioning (wks)],19)</f>
        <v/>
      </c>
      <c r="DC20" s="5">
        <f>INDEX(Projects[Plan Total (wks)],19)</f>
        <v/>
      </c>
      <c r="DD20" s="5">
        <f>INDEX(Projects[Act Mech Eng (wks)],19)</f>
        <v/>
      </c>
      <c r="DE20" s="5">
        <f>INDEX(Projects[Act Controls Eng (wks)],19)</f>
        <v/>
      </c>
      <c r="DF20" s="5">
        <f>INDEX(Projects[Act Systems Eng (wks)],19)</f>
        <v/>
      </c>
      <c r="DG20" s="5">
        <f>INDEX(Projects[Act Software Eng (wks)],19)</f>
        <v/>
      </c>
      <c r="DH20" s="5">
        <f>INDEX(Projects[Act M&amp;E Installation (wks)],19)</f>
        <v/>
      </c>
      <c r="DI20" s="5">
        <f>INDEX(Projects[Act Commissioning (wks)],19)</f>
        <v/>
      </c>
      <c r="DJ20" s="5">
        <f>INDEX(Projects[Act Total (wks)],19)</f>
        <v/>
      </c>
    </row>
    <row r="21" ht="15" customHeight="1" s="82">
      <c r="A21" s="64">
        <f>INDEX(Projects[Project ID *],20)&amp;""</f>
        <v/>
      </c>
      <c r="B21" s="64">
        <f>INDEX(Projects[Project Name *],20)&amp;""</f>
        <v/>
      </c>
      <c r="C21" s="64">
        <f>INDEX(Projects[MS Shuttles],20)</f>
        <v/>
      </c>
      <c r="D21" s="64">
        <f>INDEX(Projects[MS Tote Locations],20)</f>
        <v/>
      </c>
      <c r="E21" s="64">
        <f>INDEX(Projects[AS Robots],20)</f>
        <v/>
      </c>
      <c r="F21" s="64">
        <f>INDEX(Projects[AS Tote Locations],20)</f>
        <v/>
      </c>
      <c r="G21" s="64">
        <f>INDEX(Projects[PS Shuttles],20)</f>
        <v/>
      </c>
      <c r="H21" s="64">
        <f>INDEX(Projects[PS Pallet Locations],20)</f>
        <v/>
      </c>
      <c r="I21" s="64">
        <f>INDEX(Projects[SRM Cranes],20)</f>
        <v/>
      </c>
      <c r="J21" s="64">
        <f>INDEX(Projects[SRM Pallet Locations],20)</f>
        <v/>
      </c>
      <c r="K21" s="64">
        <f>INDEX(Projects[Case Conv (m)],20)</f>
        <v/>
      </c>
      <c r="L21" s="64">
        <f>INDEX(Projects[Pallet Conv (m)],20)</f>
        <v/>
      </c>
      <c r="M21" s="64">
        <f>IF(N(DJ21)&gt;0,DD21,CW21)</f>
        <v/>
      </c>
      <c r="N21" s="64">
        <f>IF(N(DJ21)&gt;0,DE21,CX21)</f>
        <v/>
      </c>
      <c r="O21" s="64">
        <f>IF(N(DJ21)&gt;0,DF21,CY21)</f>
        <v/>
      </c>
      <c r="P21" s="64">
        <f>IF(N(DJ21)&gt;0,DG21,CZ21)</f>
        <v/>
      </c>
      <c r="Q21" s="64">
        <f>IF(N(DJ21)&gt;0,DH21,DA21)</f>
        <v/>
      </c>
      <c r="R21" s="64">
        <f>IF(N(DJ21)&gt;0,DI21,DB21)</f>
        <v/>
      </c>
      <c r="S21" s="64">
        <f>IF(N(DJ21)&gt;0,DJ21,DC21)</f>
        <v/>
      </c>
      <c r="T21" s="64">
        <f>INDEX(Projects[Currency],20)&amp;""</f>
        <v/>
      </c>
      <c r="U21" s="65">
        <f>INDEX(Projects[Sold Value (M)],20)</f>
        <v/>
      </c>
      <c r="V21" s="64">
        <f>IF('Smart Search'!B13=1,IFERROR(1/'Smart Search'!H13,0),0)</f>
        <v/>
      </c>
      <c r="W21" s="64">
        <f>IF('Smart Search'!B13=1,IFERROR(1/'Smart Search'!H13,0),0)</f>
        <v/>
      </c>
      <c r="X21" s="64">
        <f>IF('Smart Search'!C13=1,IFERROR(1/'Smart Search'!H13,0),0)</f>
        <v/>
      </c>
      <c r="Y21" s="64">
        <f>IF('Smart Search'!C13=1,IFERROR(1/'Smart Search'!H13,0),0)</f>
        <v/>
      </c>
      <c r="Z21" s="64">
        <f>IF('Smart Search'!D13=1,IFERROR(1/'Smart Search'!H13,0),0)</f>
        <v/>
      </c>
      <c r="AA21" s="64">
        <f>IF('Smart Search'!D13=1,IFERROR(1/'Smart Search'!H13,0),0)</f>
        <v/>
      </c>
      <c r="AB21" s="64">
        <f>IF('Smart Search'!E13=1,IFERROR(1/'Smart Search'!H13,0),0)</f>
        <v/>
      </c>
      <c r="AC21" s="64">
        <f>IF('Smart Search'!E13=1,IFERROR(1/'Smart Search'!H13,0),0)</f>
        <v/>
      </c>
      <c r="AD21" s="64">
        <f>IF('Smart Search'!F13=1,IFERROR(1/'Smart Search'!H13,0),0)</f>
        <v/>
      </c>
      <c r="AE21" s="64">
        <f>IF('Smart Search'!F13=1,IFERROR(1/'Smart Search'!H13,0),0)</f>
        <v/>
      </c>
      <c r="AF21" s="64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4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4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4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4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4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4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4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4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4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4">
        <f>AF21*V21</f>
        <v/>
      </c>
      <c r="AQ21" s="64">
        <f>AG21*W21</f>
        <v/>
      </c>
      <c r="AR21" s="64">
        <f>AH21*X21</f>
        <v/>
      </c>
      <c r="AS21" s="64">
        <f>AI21*Y21</f>
        <v/>
      </c>
      <c r="AT21" s="64">
        <f>AJ21*Z21</f>
        <v/>
      </c>
      <c r="AU21" s="64">
        <f>AK21*AA21</f>
        <v/>
      </c>
      <c r="AV21" s="64">
        <f>AL21*AB21</f>
        <v/>
      </c>
      <c r="AW21" s="64">
        <f>AM21*AC21</f>
        <v/>
      </c>
      <c r="AX21" s="64">
        <f>AN21*AD21</f>
        <v/>
      </c>
      <c r="AY21" s="64">
        <f>AO21*AE21</f>
        <v/>
      </c>
      <c r="AZ21" s="64">
        <f>INDEX(Projects[Automation Equipment],20)&amp;""</f>
        <v/>
      </c>
      <c r="BA21" s="64">
        <f>IF(OR(A21="",'Smart Search'!H13=0),"",MAX(0,BE21*BF21*MAX(0,1-BG21)))</f>
        <v/>
      </c>
      <c r="BB21" s="64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4">
        <f>IF('Smart Search'!G13=1,IFERROR(1/'Smart Search'!H13,0),0)</f>
        <v/>
      </c>
      <c r="BD21" s="64">
        <f>BB21*BC21</f>
        <v/>
      </c>
      <c r="BE21" s="64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IF(A21="","",N(INDEX(Projects[Act Mech Inst],20)))</f>
        <v/>
      </c>
      <c r="BK21" s="5">
        <f>IF(A21="","",N(INDEX(Projects[Act Elec Inst],20)))</f>
        <v/>
      </c>
      <c r="BL21" s="5">
        <f>IF(A21="","",N(INDEX(Projects[Act Project Management],20)))</f>
        <v/>
      </c>
      <c r="BM21" s="5">
        <f>IF(A21="","",N(INDEX(Projects[Act Systems Eng],20)))</f>
        <v/>
      </c>
      <c r="BN21" s="5">
        <f>IF(A21="","",N(INDEX(Projects[Act Mechanical Eng],20)))</f>
        <v/>
      </c>
      <c r="BO21" s="5">
        <f>IF(A21="","",N(INDEX(Projects[Act Structural Engineering],20)))</f>
        <v/>
      </c>
      <c r="BP21" s="5">
        <f>IF(A21="","",N(INDEX(Projects[Act Site Sup],20)))</f>
        <v/>
      </c>
      <c r="BQ21" s="5">
        <f>IF(A21="","",N(INDEX(Projects[Act Controls Commissioning],20)))</f>
        <v/>
      </c>
      <c r="BR21" s="5">
        <f>IF(A21="","",N(INDEX(Projects[Act Systems Commissioning],20)))</f>
        <v/>
      </c>
      <c r="BS21" s="5">
        <f>IF(A21="","",N(INDEX(Projects[Act Service Commissioning],20)))</f>
        <v/>
      </c>
      <c r="BT21" s="5">
        <f>IF(A21="","",N(INDEX(Projects[Act Controls Eng],20)))</f>
        <v/>
      </c>
      <c r="BU21" s="5">
        <f>IF(A21="","",N(INDEX(Projects[Act Controls Purchase],20)))</f>
        <v/>
      </c>
      <c r="BV21" s="5">
        <f>IF(A21="","",N(INDEX(Projects[Act Software Eng],20)))</f>
        <v/>
      </c>
      <c r="BW21" s="5">
        <f>IF(A21="","",N(INDEX(Projects[Act 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INDEX(Projects[Sold Value (USD M)],20)</f>
        <v/>
      </c>
      <c r="CE21" s="5" t="n"/>
      <c r="CF21" s="5">
        <f>IF(A21="","",N(INDEX(Projects[Est Mech Inst],20)))</f>
        <v/>
      </c>
      <c r="CG21" s="5">
        <f>IF(A21="","",N(INDEX(Projects[Est Elec Inst],20)))</f>
        <v/>
      </c>
      <c r="CH21" s="5">
        <f>IF(A21="","",N(INDEX(Projects[Est Project Management],20)))</f>
        <v/>
      </c>
      <c r="CI21" s="5">
        <f>IF(A21="","",N(INDEX(Projects[Est Systems Eng],20)))</f>
        <v/>
      </c>
      <c r="CJ21" s="5">
        <f>IF(A21="","",N(INDEX(Projects[Est Mechanical Eng],20)))</f>
        <v/>
      </c>
      <c r="CK21" s="5">
        <f>IF(A21="","",N(INDEX(Projects[Est Structural Engineering],20)))</f>
        <v/>
      </c>
      <c r="CL21" s="5">
        <f>IF(A21="","",N(INDEX(Projects[Est Site Sup],20)))</f>
        <v/>
      </c>
      <c r="CM21" s="5">
        <f>IF(A21="","",N(INDEX(Projects[Est Controls Commissioning],20)))</f>
        <v/>
      </c>
      <c r="CN21" s="5">
        <f>IF(A21="","",N(INDEX(Projects[Est Systems Commissioning],20)))</f>
        <v/>
      </c>
      <c r="CO21" s="5">
        <f>IF(A21="","",N(INDEX(Projects[Est Service Commissioning],20)))</f>
        <v/>
      </c>
      <c r="CP21" s="5">
        <f>IF(A21="","",N(INDEX(Projects[Est Controls Eng],20)))</f>
        <v/>
      </c>
      <c r="CQ21" s="5">
        <f>IF(A21="","",N(INDEX(Projects[Est Controls Purchase],20)))</f>
        <v/>
      </c>
      <c r="CR21" s="5">
        <f>IF(A21="","",N(INDEX(Projects[Est Software Eng],20)))</f>
        <v/>
      </c>
      <c r="CS21" s="5">
        <f>IF(A21="","",N(INDEX(Projects[Est Misc],20)))</f>
        <v/>
      </c>
      <c r="CT21" s="5">
        <f>IF(A21="","",SUM(CF21:CS21))</f>
        <v/>
      </c>
      <c r="CU21" s="5">
        <f>INDEX(Projects[Est Cost (M)],20)</f>
        <v/>
      </c>
      <c r="CV21" s="5">
        <f>INDEX(Projects[Act Cost (M)],20)</f>
        <v/>
      </c>
      <c r="CW21" s="5">
        <f>INDEX(Projects[Plan Mech Eng (wks)],20)</f>
        <v/>
      </c>
      <c r="CX21" s="5">
        <f>INDEX(Projects[Plan Controls Eng (wks)],20)</f>
        <v/>
      </c>
      <c r="CY21" s="5">
        <f>INDEX(Projects[Plan Systems Eng (wks)],20)</f>
        <v/>
      </c>
      <c r="CZ21" s="5">
        <f>INDEX(Projects[Plan Software Eng (wks)],20)</f>
        <v/>
      </c>
      <c r="DA21" s="5">
        <f>INDEX(Projects[Plan M&amp;E Installation (wks)],20)</f>
        <v/>
      </c>
      <c r="DB21" s="5">
        <f>INDEX(Projects[Plan Commissioning (wks)],20)</f>
        <v/>
      </c>
      <c r="DC21" s="5">
        <f>INDEX(Projects[Plan Total (wks)],20)</f>
        <v/>
      </c>
      <c r="DD21" s="5">
        <f>INDEX(Projects[Act Mech Eng (wks)],20)</f>
        <v/>
      </c>
      <c r="DE21" s="5">
        <f>INDEX(Projects[Act Controls Eng (wks)],20)</f>
        <v/>
      </c>
      <c r="DF21" s="5">
        <f>INDEX(Projects[Act Systems Eng (wks)],20)</f>
        <v/>
      </c>
      <c r="DG21" s="5">
        <f>INDEX(Projects[Act Software Eng (wks)],20)</f>
        <v/>
      </c>
      <c r="DH21" s="5">
        <f>INDEX(Projects[Act M&amp;E Installation (wks)],20)</f>
        <v/>
      </c>
      <c r="DI21" s="5">
        <f>INDEX(Projects[Act Commissioning (wks)],20)</f>
        <v/>
      </c>
      <c r="DJ21" s="5">
        <f>INDEX(Projects[Act Total (wks)],20)</f>
        <v/>
      </c>
    </row>
    <row r="22" ht="15" customHeight="1" s="82">
      <c r="A22" s="64">
        <f>INDEX(Projects[Project ID *],21)&amp;""</f>
        <v/>
      </c>
      <c r="B22" s="64">
        <f>INDEX(Projects[Project Name *],21)&amp;""</f>
        <v/>
      </c>
      <c r="C22" s="64">
        <f>INDEX(Projects[MS Shuttles],21)</f>
        <v/>
      </c>
      <c r="D22" s="64">
        <f>INDEX(Projects[MS Tote Locations],21)</f>
        <v/>
      </c>
      <c r="E22" s="64">
        <f>INDEX(Projects[AS Robots],21)</f>
        <v/>
      </c>
      <c r="F22" s="64">
        <f>INDEX(Projects[AS Tote Locations],21)</f>
        <v/>
      </c>
      <c r="G22" s="64">
        <f>INDEX(Projects[PS Shuttles],21)</f>
        <v/>
      </c>
      <c r="H22" s="64">
        <f>INDEX(Projects[PS Pallet Locations],21)</f>
        <v/>
      </c>
      <c r="I22" s="64">
        <f>INDEX(Projects[SRM Cranes],21)</f>
        <v/>
      </c>
      <c r="J22" s="64">
        <f>INDEX(Projects[SRM Pallet Locations],21)</f>
        <v/>
      </c>
      <c r="K22" s="64">
        <f>INDEX(Projects[Case Conv (m)],21)</f>
        <v/>
      </c>
      <c r="L22" s="64">
        <f>INDEX(Projects[Pallet Conv (m)],21)</f>
        <v/>
      </c>
      <c r="M22" s="64">
        <f>IF(N(DJ22)&gt;0,DD22,CW22)</f>
        <v/>
      </c>
      <c r="N22" s="64">
        <f>IF(N(DJ22)&gt;0,DE22,CX22)</f>
        <v/>
      </c>
      <c r="O22" s="64">
        <f>IF(N(DJ22)&gt;0,DF22,CY22)</f>
        <v/>
      </c>
      <c r="P22" s="64">
        <f>IF(N(DJ22)&gt;0,DG22,CZ22)</f>
        <v/>
      </c>
      <c r="Q22" s="64">
        <f>IF(N(DJ22)&gt;0,DH22,DA22)</f>
        <v/>
      </c>
      <c r="R22" s="64">
        <f>IF(N(DJ22)&gt;0,DI22,DB22)</f>
        <v/>
      </c>
      <c r="S22" s="64">
        <f>IF(N(DJ22)&gt;0,DJ22,DC22)</f>
        <v/>
      </c>
      <c r="T22" s="64">
        <f>INDEX(Projects[Currency],21)&amp;""</f>
        <v/>
      </c>
      <c r="U22" s="65">
        <f>INDEX(Projects[Sold Value (M)],21)</f>
        <v/>
      </c>
      <c r="V22" s="64">
        <f>IF('Smart Search'!B13=1,IFERROR(1/'Smart Search'!H13,0),0)</f>
        <v/>
      </c>
      <c r="W22" s="64">
        <f>IF('Smart Search'!B13=1,IFERROR(1/'Smart Search'!H13,0),0)</f>
        <v/>
      </c>
      <c r="X22" s="64">
        <f>IF('Smart Search'!C13=1,IFERROR(1/'Smart Search'!H13,0),0)</f>
        <v/>
      </c>
      <c r="Y22" s="64">
        <f>IF('Smart Search'!C13=1,IFERROR(1/'Smart Search'!H13,0),0)</f>
        <v/>
      </c>
      <c r="Z22" s="64">
        <f>IF('Smart Search'!D13=1,IFERROR(1/'Smart Search'!H13,0),0)</f>
        <v/>
      </c>
      <c r="AA22" s="64">
        <f>IF('Smart Search'!D13=1,IFERROR(1/'Smart Search'!H13,0),0)</f>
        <v/>
      </c>
      <c r="AB22" s="64">
        <f>IF('Smart Search'!E13=1,IFERROR(1/'Smart Search'!H13,0),0)</f>
        <v/>
      </c>
      <c r="AC22" s="64">
        <f>IF('Smart Search'!E13=1,IFERROR(1/'Smart Search'!H13,0),0)</f>
        <v/>
      </c>
      <c r="AD22" s="64">
        <f>IF('Smart Search'!F13=1,IFERROR(1/'Smart Search'!H13,0),0)</f>
        <v/>
      </c>
      <c r="AE22" s="64">
        <f>IF('Smart Search'!F13=1,IFERROR(1/'Smart Search'!H13,0),0)</f>
        <v/>
      </c>
      <c r="AF22" s="64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4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4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4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4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4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4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4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4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4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4">
        <f>AF22*V22</f>
        <v/>
      </c>
      <c r="AQ22" s="64">
        <f>AG22*W22</f>
        <v/>
      </c>
      <c r="AR22" s="64">
        <f>AH22*X22</f>
        <v/>
      </c>
      <c r="AS22" s="64">
        <f>AI22*Y22</f>
        <v/>
      </c>
      <c r="AT22" s="64">
        <f>AJ22*Z22</f>
        <v/>
      </c>
      <c r="AU22" s="64">
        <f>AK22*AA22</f>
        <v/>
      </c>
      <c r="AV22" s="64">
        <f>AL22*AB22</f>
        <v/>
      </c>
      <c r="AW22" s="64">
        <f>AM22*AC22</f>
        <v/>
      </c>
      <c r="AX22" s="64">
        <f>AN22*AD22</f>
        <v/>
      </c>
      <c r="AY22" s="64">
        <f>AO22*AE22</f>
        <v/>
      </c>
      <c r="AZ22" s="64">
        <f>INDEX(Projects[Automation Equipment],21)&amp;""</f>
        <v/>
      </c>
      <c r="BA22" s="64">
        <f>IF(OR(A22="",'Smart Search'!H13=0),"",MAX(0,BE22*BF22*MAX(0,1-BG22)))</f>
        <v/>
      </c>
      <c r="BB22" s="64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4">
        <f>IF('Smart Search'!G13=1,IFERROR(1/'Smart Search'!H13,0),0)</f>
        <v/>
      </c>
      <c r="BD22" s="64">
        <f>BB22*BC22</f>
        <v/>
      </c>
      <c r="BE22" s="64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IF(A22="","",N(INDEX(Projects[Act Mech Inst],21)))</f>
        <v/>
      </c>
      <c r="BK22" s="5">
        <f>IF(A22="","",N(INDEX(Projects[Act Elec Inst],21)))</f>
        <v/>
      </c>
      <c r="BL22" s="5">
        <f>IF(A22="","",N(INDEX(Projects[Act Project Management],21)))</f>
        <v/>
      </c>
      <c r="BM22" s="5">
        <f>IF(A22="","",N(INDEX(Projects[Act Systems Eng],21)))</f>
        <v/>
      </c>
      <c r="BN22" s="5">
        <f>IF(A22="","",N(INDEX(Projects[Act Mechanical Eng],21)))</f>
        <v/>
      </c>
      <c r="BO22" s="5">
        <f>IF(A22="","",N(INDEX(Projects[Act Structural Engineering],21)))</f>
        <v/>
      </c>
      <c r="BP22" s="5">
        <f>IF(A22="","",N(INDEX(Projects[Act Site Sup],21)))</f>
        <v/>
      </c>
      <c r="BQ22" s="5">
        <f>IF(A22="","",N(INDEX(Projects[Act Controls Commissioning],21)))</f>
        <v/>
      </c>
      <c r="BR22" s="5">
        <f>IF(A22="","",N(INDEX(Projects[Act Systems Commissioning],21)))</f>
        <v/>
      </c>
      <c r="BS22" s="5">
        <f>IF(A22="","",N(INDEX(Projects[Act Service Commissioning],21)))</f>
        <v/>
      </c>
      <c r="BT22" s="5">
        <f>IF(A22="","",N(INDEX(Projects[Act Controls Eng],21)))</f>
        <v/>
      </c>
      <c r="BU22" s="5">
        <f>IF(A22="","",N(INDEX(Projects[Act Controls Purchase],21)))</f>
        <v/>
      </c>
      <c r="BV22" s="5">
        <f>IF(A22="","",N(INDEX(Projects[Act Software Eng],21)))</f>
        <v/>
      </c>
      <c r="BW22" s="5">
        <f>IF(A22="","",N(INDEX(Projects[Act 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INDEX(Projects[Sold Value (USD M)],21)</f>
        <v/>
      </c>
      <c r="CE22" s="5" t="n"/>
      <c r="CF22" s="5">
        <f>IF(A22="","",N(INDEX(Projects[Est Mech Inst],21)))</f>
        <v/>
      </c>
      <c r="CG22" s="5">
        <f>IF(A22="","",N(INDEX(Projects[Est Elec Inst],21)))</f>
        <v/>
      </c>
      <c r="CH22" s="5">
        <f>IF(A22="","",N(INDEX(Projects[Est Project Management],21)))</f>
        <v/>
      </c>
      <c r="CI22" s="5">
        <f>IF(A22="","",N(INDEX(Projects[Est Systems Eng],21)))</f>
        <v/>
      </c>
      <c r="CJ22" s="5">
        <f>IF(A22="","",N(INDEX(Projects[Est Mechanical Eng],21)))</f>
        <v/>
      </c>
      <c r="CK22" s="5">
        <f>IF(A22="","",N(INDEX(Projects[Est Structural Engineering],21)))</f>
        <v/>
      </c>
      <c r="CL22" s="5">
        <f>IF(A22="","",N(INDEX(Projects[Est Site Sup],21)))</f>
        <v/>
      </c>
      <c r="CM22" s="5">
        <f>IF(A22="","",N(INDEX(Projects[Est Controls Commissioning],21)))</f>
        <v/>
      </c>
      <c r="CN22" s="5">
        <f>IF(A22="","",N(INDEX(Projects[Est Systems Commissioning],21)))</f>
        <v/>
      </c>
      <c r="CO22" s="5">
        <f>IF(A22="","",N(INDEX(Projects[Est Service Commissioning],21)))</f>
        <v/>
      </c>
      <c r="CP22" s="5">
        <f>IF(A22="","",N(INDEX(Projects[Est Controls Eng],21)))</f>
        <v/>
      </c>
      <c r="CQ22" s="5">
        <f>IF(A22="","",N(INDEX(Projects[Est Controls Purchase],21)))</f>
        <v/>
      </c>
      <c r="CR22" s="5">
        <f>IF(A22="","",N(INDEX(Projects[Est Software Eng],21)))</f>
        <v/>
      </c>
      <c r="CS22" s="5">
        <f>IF(A22="","",N(INDEX(Projects[Est Misc],21)))</f>
        <v/>
      </c>
      <c r="CT22" s="5">
        <f>IF(A22="","",SUM(CF22:CS22))</f>
        <v/>
      </c>
      <c r="CU22" s="5">
        <f>INDEX(Projects[Est Cost (M)],21)</f>
        <v/>
      </c>
      <c r="CV22" s="5">
        <f>INDEX(Projects[Act Cost (M)],21)</f>
        <v/>
      </c>
      <c r="CW22" s="5">
        <f>INDEX(Projects[Plan Mech Eng (wks)],21)</f>
        <v/>
      </c>
      <c r="CX22" s="5">
        <f>INDEX(Projects[Plan Controls Eng (wks)],21)</f>
        <v/>
      </c>
      <c r="CY22" s="5">
        <f>INDEX(Projects[Plan Systems Eng (wks)],21)</f>
        <v/>
      </c>
      <c r="CZ22" s="5">
        <f>INDEX(Projects[Plan Software Eng (wks)],21)</f>
        <v/>
      </c>
      <c r="DA22" s="5">
        <f>INDEX(Projects[Plan M&amp;E Installation (wks)],21)</f>
        <v/>
      </c>
      <c r="DB22" s="5">
        <f>INDEX(Projects[Plan Commissioning (wks)],21)</f>
        <v/>
      </c>
      <c r="DC22" s="5">
        <f>INDEX(Projects[Plan Total (wks)],21)</f>
        <v/>
      </c>
      <c r="DD22" s="5">
        <f>INDEX(Projects[Act Mech Eng (wks)],21)</f>
        <v/>
      </c>
      <c r="DE22" s="5">
        <f>INDEX(Projects[Act Controls Eng (wks)],21)</f>
        <v/>
      </c>
      <c r="DF22" s="5">
        <f>INDEX(Projects[Act Systems Eng (wks)],21)</f>
        <v/>
      </c>
      <c r="DG22" s="5">
        <f>INDEX(Projects[Act Software Eng (wks)],21)</f>
        <v/>
      </c>
      <c r="DH22" s="5">
        <f>INDEX(Projects[Act M&amp;E Installation (wks)],21)</f>
        <v/>
      </c>
      <c r="DI22" s="5">
        <f>INDEX(Projects[Act Commissioning (wks)],21)</f>
        <v/>
      </c>
      <c r="DJ22" s="5">
        <f>INDEX(Projects[Act Total (wks)],21)</f>
        <v/>
      </c>
    </row>
    <row r="23" ht="15" customHeight="1" s="82">
      <c r="A23" s="64">
        <f>INDEX(Projects[Project ID *],22)&amp;""</f>
        <v/>
      </c>
      <c r="B23" s="64">
        <f>INDEX(Projects[Project Name *],22)&amp;""</f>
        <v/>
      </c>
      <c r="C23" s="64">
        <f>INDEX(Projects[MS Shuttles],22)</f>
        <v/>
      </c>
      <c r="D23" s="64">
        <f>INDEX(Projects[MS Tote Locations],22)</f>
        <v/>
      </c>
      <c r="E23" s="64">
        <f>INDEX(Projects[AS Robots],22)</f>
        <v/>
      </c>
      <c r="F23" s="64">
        <f>INDEX(Projects[AS Tote Locations],22)</f>
        <v/>
      </c>
      <c r="G23" s="64">
        <f>INDEX(Projects[PS Shuttles],22)</f>
        <v/>
      </c>
      <c r="H23" s="64">
        <f>INDEX(Projects[PS Pallet Locations],22)</f>
        <v/>
      </c>
      <c r="I23" s="64">
        <f>INDEX(Projects[SRM Cranes],22)</f>
        <v/>
      </c>
      <c r="J23" s="64">
        <f>INDEX(Projects[SRM Pallet Locations],22)</f>
        <v/>
      </c>
      <c r="K23" s="64">
        <f>INDEX(Projects[Case Conv (m)],22)</f>
        <v/>
      </c>
      <c r="L23" s="64">
        <f>INDEX(Projects[Pallet Conv (m)],22)</f>
        <v/>
      </c>
      <c r="M23" s="64">
        <f>IF(N(DJ23)&gt;0,DD23,CW23)</f>
        <v/>
      </c>
      <c r="N23" s="64">
        <f>IF(N(DJ23)&gt;0,DE23,CX23)</f>
        <v/>
      </c>
      <c r="O23" s="64">
        <f>IF(N(DJ23)&gt;0,DF23,CY23)</f>
        <v/>
      </c>
      <c r="P23" s="64">
        <f>IF(N(DJ23)&gt;0,DG23,CZ23)</f>
        <v/>
      </c>
      <c r="Q23" s="64">
        <f>IF(N(DJ23)&gt;0,DH23,DA23)</f>
        <v/>
      </c>
      <c r="R23" s="64">
        <f>IF(N(DJ23)&gt;0,DI23,DB23)</f>
        <v/>
      </c>
      <c r="S23" s="64">
        <f>IF(N(DJ23)&gt;0,DJ23,DC23)</f>
        <v/>
      </c>
      <c r="T23" s="64">
        <f>INDEX(Projects[Currency],22)&amp;""</f>
        <v/>
      </c>
      <c r="U23" s="65">
        <f>INDEX(Projects[Sold Value (M)],22)</f>
        <v/>
      </c>
      <c r="V23" s="64">
        <f>IF('Smart Search'!B13=1,IFERROR(1/'Smart Search'!H13,0),0)</f>
        <v/>
      </c>
      <c r="W23" s="64">
        <f>IF('Smart Search'!B13=1,IFERROR(1/'Smart Search'!H13,0),0)</f>
        <v/>
      </c>
      <c r="X23" s="64">
        <f>IF('Smart Search'!C13=1,IFERROR(1/'Smart Search'!H13,0),0)</f>
        <v/>
      </c>
      <c r="Y23" s="64">
        <f>IF('Smart Search'!C13=1,IFERROR(1/'Smart Search'!H13,0),0)</f>
        <v/>
      </c>
      <c r="Z23" s="64">
        <f>IF('Smart Search'!D13=1,IFERROR(1/'Smart Search'!H13,0),0)</f>
        <v/>
      </c>
      <c r="AA23" s="64">
        <f>IF('Smart Search'!D13=1,IFERROR(1/'Smart Search'!H13,0),0)</f>
        <v/>
      </c>
      <c r="AB23" s="64">
        <f>IF('Smart Search'!E13=1,IFERROR(1/'Smart Search'!H13,0),0)</f>
        <v/>
      </c>
      <c r="AC23" s="64">
        <f>IF('Smart Search'!E13=1,IFERROR(1/'Smart Search'!H13,0),0)</f>
        <v/>
      </c>
      <c r="AD23" s="64">
        <f>IF('Smart Search'!F13=1,IFERROR(1/'Smart Search'!H13,0),0)</f>
        <v/>
      </c>
      <c r="AE23" s="64">
        <f>IF('Smart Search'!F13=1,IFERROR(1/'Smart Search'!H13,0),0)</f>
        <v/>
      </c>
      <c r="AF23" s="64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4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4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4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4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4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4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4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4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4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4">
        <f>AF23*V23</f>
        <v/>
      </c>
      <c r="AQ23" s="64">
        <f>AG23*W23</f>
        <v/>
      </c>
      <c r="AR23" s="64">
        <f>AH23*X23</f>
        <v/>
      </c>
      <c r="AS23" s="64">
        <f>AI23*Y23</f>
        <v/>
      </c>
      <c r="AT23" s="64">
        <f>AJ23*Z23</f>
        <v/>
      </c>
      <c r="AU23" s="64">
        <f>AK23*AA23</f>
        <v/>
      </c>
      <c r="AV23" s="64">
        <f>AL23*AB23</f>
        <v/>
      </c>
      <c r="AW23" s="64">
        <f>AM23*AC23</f>
        <v/>
      </c>
      <c r="AX23" s="64">
        <f>AN23*AD23</f>
        <v/>
      </c>
      <c r="AY23" s="64">
        <f>AO23*AE23</f>
        <v/>
      </c>
      <c r="AZ23" s="64">
        <f>INDEX(Projects[Automation Equipment],22)&amp;""</f>
        <v/>
      </c>
      <c r="BA23" s="64">
        <f>IF(OR(A23="",'Smart Search'!H13=0),"",MAX(0,BE23*BF23*MAX(0,1-BG23)))</f>
        <v/>
      </c>
      <c r="BB23" s="64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4">
        <f>IF('Smart Search'!G13=1,IFERROR(1/'Smart Search'!H13,0),0)</f>
        <v/>
      </c>
      <c r="BD23" s="64">
        <f>BB23*BC23</f>
        <v/>
      </c>
      <c r="BE23" s="64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IF(A23="","",N(INDEX(Projects[Act Mech Inst],22)))</f>
        <v/>
      </c>
      <c r="BK23" s="5">
        <f>IF(A23="","",N(INDEX(Projects[Act Elec Inst],22)))</f>
        <v/>
      </c>
      <c r="BL23" s="5">
        <f>IF(A23="","",N(INDEX(Projects[Act Project Management],22)))</f>
        <v/>
      </c>
      <c r="BM23" s="5">
        <f>IF(A23="","",N(INDEX(Projects[Act Systems Eng],22)))</f>
        <v/>
      </c>
      <c r="BN23" s="5">
        <f>IF(A23="","",N(INDEX(Projects[Act Mechanical Eng],22)))</f>
        <v/>
      </c>
      <c r="BO23" s="5">
        <f>IF(A23="","",N(INDEX(Projects[Act Structural Engineering],22)))</f>
        <v/>
      </c>
      <c r="BP23" s="5">
        <f>IF(A23="","",N(INDEX(Projects[Act Site Sup],22)))</f>
        <v/>
      </c>
      <c r="BQ23" s="5">
        <f>IF(A23="","",N(INDEX(Projects[Act Controls Commissioning],22)))</f>
        <v/>
      </c>
      <c r="BR23" s="5">
        <f>IF(A23="","",N(INDEX(Projects[Act Systems Commissioning],22)))</f>
        <v/>
      </c>
      <c r="BS23" s="5">
        <f>IF(A23="","",N(INDEX(Projects[Act Service Commissioning],22)))</f>
        <v/>
      </c>
      <c r="BT23" s="5">
        <f>IF(A23="","",N(INDEX(Projects[Act Controls Eng],22)))</f>
        <v/>
      </c>
      <c r="BU23" s="5">
        <f>IF(A23="","",N(INDEX(Projects[Act Controls Purchase],22)))</f>
        <v/>
      </c>
      <c r="BV23" s="5">
        <f>IF(A23="","",N(INDEX(Projects[Act Software Eng],22)))</f>
        <v/>
      </c>
      <c r="BW23" s="5">
        <f>IF(A23="","",N(INDEX(Projects[Act 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INDEX(Projects[Sold Value (USD M)],22)</f>
        <v/>
      </c>
      <c r="CE23" s="5" t="n"/>
      <c r="CF23" s="5">
        <f>IF(A23="","",N(INDEX(Projects[Est Mech Inst],22)))</f>
        <v/>
      </c>
      <c r="CG23" s="5">
        <f>IF(A23="","",N(INDEX(Projects[Est Elec Inst],22)))</f>
        <v/>
      </c>
      <c r="CH23" s="5">
        <f>IF(A23="","",N(INDEX(Projects[Est Project Management],22)))</f>
        <v/>
      </c>
      <c r="CI23" s="5">
        <f>IF(A23="","",N(INDEX(Projects[Est Systems Eng],22)))</f>
        <v/>
      </c>
      <c r="CJ23" s="5">
        <f>IF(A23="","",N(INDEX(Projects[Est Mechanical Eng],22)))</f>
        <v/>
      </c>
      <c r="CK23" s="5">
        <f>IF(A23="","",N(INDEX(Projects[Est Structural Engineering],22)))</f>
        <v/>
      </c>
      <c r="CL23" s="5">
        <f>IF(A23="","",N(INDEX(Projects[Est Site Sup],22)))</f>
        <v/>
      </c>
      <c r="CM23" s="5">
        <f>IF(A23="","",N(INDEX(Projects[Est Controls Commissioning],22)))</f>
        <v/>
      </c>
      <c r="CN23" s="5">
        <f>IF(A23="","",N(INDEX(Projects[Est Systems Commissioning],22)))</f>
        <v/>
      </c>
      <c r="CO23" s="5">
        <f>IF(A23="","",N(INDEX(Projects[Est Service Commissioning],22)))</f>
        <v/>
      </c>
      <c r="CP23" s="5">
        <f>IF(A23="","",N(INDEX(Projects[Est Controls Eng],22)))</f>
        <v/>
      </c>
      <c r="CQ23" s="5">
        <f>IF(A23="","",N(INDEX(Projects[Est Controls Purchase],22)))</f>
        <v/>
      </c>
      <c r="CR23" s="5">
        <f>IF(A23="","",N(INDEX(Projects[Est Software Eng],22)))</f>
        <v/>
      </c>
      <c r="CS23" s="5">
        <f>IF(A23="","",N(INDEX(Projects[Est Misc],22)))</f>
        <v/>
      </c>
      <c r="CT23" s="5">
        <f>IF(A23="","",SUM(CF23:CS23))</f>
        <v/>
      </c>
      <c r="CU23" s="5">
        <f>INDEX(Projects[Est Cost (M)],22)</f>
        <v/>
      </c>
      <c r="CV23" s="5">
        <f>INDEX(Projects[Act Cost (M)],22)</f>
        <v/>
      </c>
      <c r="CW23" s="5">
        <f>INDEX(Projects[Plan Mech Eng (wks)],22)</f>
        <v/>
      </c>
      <c r="CX23" s="5">
        <f>INDEX(Projects[Plan Controls Eng (wks)],22)</f>
        <v/>
      </c>
      <c r="CY23" s="5">
        <f>INDEX(Projects[Plan Systems Eng (wks)],22)</f>
        <v/>
      </c>
      <c r="CZ23" s="5">
        <f>INDEX(Projects[Plan Software Eng (wks)],22)</f>
        <v/>
      </c>
      <c r="DA23" s="5">
        <f>INDEX(Projects[Plan M&amp;E Installation (wks)],22)</f>
        <v/>
      </c>
      <c r="DB23" s="5">
        <f>INDEX(Projects[Plan Commissioning (wks)],22)</f>
        <v/>
      </c>
      <c r="DC23" s="5">
        <f>INDEX(Projects[Plan Total (wks)],22)</f>
        <v/>
      </c>
      <c r="DD23" s="5">
        <f>INDEX(Projects[Act Mech Eng (wks)],22)</f>
        <v/>
      </c>
      <c r="DE23" s="5">
        <f>INDEX(Projects[Act Controls Eng (wks)],22)</f>
        <v/>
      </c>
      <c r="DF23" s="5">
        <f>INDEX(Projects[Act Systems Eng (wks)],22)</f>
        <v/>
      </c>
      <c r="DG23" s="5">
        <f>INDEX(Projects[Act Software Eng (wks)],22)</f>
        <v/>
      </c>
      <c r="DH23" s="5">
        <f>INDEX(Projects[Act M&amp;E Installation (wks)],22)</f>
        <v/>
      </c>
      <c r="DI23" s="5">
        <f>INDEX(Projects[Act Commissioning (wks)],22)</f>
        <v/>
      </c>
      <c r="DJ23" s="5">
        <f>INDEX(Projects[Act Total (wks)],22)</f>
        <v/>
      </c>
    </row>
    <row r="24" ht="15" customHeight="1" s="82">
      <c r="A24" s="64">
        <f>INDEX(Projects[Project ID *],23)&amp;""</f>
        <v/>
      </c>
      <c r="B24" s="64">
        <f>INDEX(Projects[Project Name *],23)&amp;""</f>
        <v/>
      </c>
      <c r="C24" s="64">
        <f>INDEX(Projects[MS Shuttles],23)</f>
        <v/>
      </c>
      <c r="D24" s="64">
        <f>INDEX(Projects[MS Tote Locations],23)</f>
        <v/>
      </c>
      <c r="E24" s="64">
        <f>INDEX(Projects[AS Robots],23)</f>
        <v/>
      </c>
      <c r="F24" s="64">
        <f>INDEX(Projects[AS Tote Locations],23)</f>
        <v/>
      </c>
      <c r="G24" s="64">
        <f>INDEX(Projects[PS Shuttles],23)</f>
        <v/>
      </c>
      <c r="H24" s="64">
        <f>INDEX(Projects[PS Pallet Locations],23)</f>
        <v/>
      </c>
      <c r="I24" s="64">
        <f>INDEX(Projects[SRM Cranes],23)</f>
        <v/>
      </c>
      <c r="J24" s="64">
        <f>INDEX(Projects[SRM Pallet Locations],23)</f>
        <v/>
      </c>
      <c r="K24" s="64">
        <f>INDEX(Projects[Case Conv (m)],23)</f>
        <v/>
      </c>
      <c r="L24" s="64">
        <f>INDEX(Projects[Pallet Conv (m)],23)</f>
        <v/>
      </c>
      <c r="M24" s="64">
        <f>IF(N(DJ24)&gt;0,DD24,CW24)</f>
        <v/>
      </c>
      <c r="N24" s="64">
        <f>IF(N(DJ24)&gt;0,DE24,CX24)</f>
        <v/>
      </c>
      <c r="O24" s="64">
        <f>IF(N(DJ24)&gt;0,DF24,CY24)</f>
        <v/>
      </c>
      <c r="P24" s="64">
        <f>IF(N(DJ24)&gt;0,DG24,CZ24)</f>
        <v/>
      </c>
      <c r="Q24" s="64">
        <f>IF(N(DJ24)&gt;0,DH24,DA24)</f>
        <v/>
      </c>
      <c r="R24" s="64">
        <f>IF(N(DJ24)&gt;0,DI24,DB24)</f>
        <v/>
      </c>
      <c r="S24" s="64">
        <f>IF(N(DJ24)&gt;0,DJ24,DC24)</f>
        <v/>
      </c>
      <c r="T24" s="64">
        <f>INDEX(Projects[Currency],23)&amp;""</f>
        <v/>
      </c>
      <c r="U24" s="65">
        <f>INDEX(Projects[Sold Value (M)],23)</f>
        <v/>
      </c>
      <c r="V24" s="64">
        <f>IF('Smart Search'!B13=1,IFERROR(1/'Smart Search'!H13,0),0)</f>
        <v/>
      </c>
      <c r="W24" s="64">
        <f>IF('Smart Search'!B13=1,IFERROR(1/'Smart Search'!H13,0),0)</f>
        <v/>
      </c>
      <c r="X24" s="64">
        <f>IF('Smart Search'!C13=1,IFERROR(1/'Smart Search'!H13,0),0)</f>
        <v/>
      </c>
      <c r="Y24" s="64">
        <f>IF('Smart Search'!C13=1,IFERROR(1/'Smart Search'!H13,0),0)</f>
        <v/>
      </c>
      <c r="Z24" s="64">
        <f>IF('Smart Search'!D13=1,IFERROR(1/'Smart Search'!H13,0),0)</f>
        <v/>
      </c>
      <c r="AA24" s="64">
        <f>IF('Smart Search'!D13=1,IFERROR(1/'Smart Search'!H13,0),0)</f>
        <v/>
      </c>
      <c r="AB24" s="64">
        <f>IF('Smart Search'!E13=1,IFERROR(1/'Smart Search'!H13,0),0)</f>
        <v/>
      </c>
      <c r="AC24" s="64">
        <f>IF('Smart Search'!E13=1,IFERROR(1/'Smart Search'!H13,0),0)</f>
        <v/>
      </c>
      <c r="AD24" s="64">
        <f>IF('Smart Search'!F13=1,IFERROR(1/'Smart Search'!H13,0),0)</f>
        <v/>
      </c>
      <c r="AE24" s="64">
        <f>IF('Smart Search'!F13=1,IFERROR(1/'Smart Search'!H13,0),0)</f>
        <v/>
      </c>
      <c r="AF24" s="64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4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4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4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4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4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4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4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4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4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4">
        <f>AF24*V24</f>
        <v/>
      </c>
      <c r="AQ24" s="64">
        <f>AG24*W24</f>
        <v/>
      </c>
      <c r="AR24" s="64">
        <f>AH24*X24</f>
        <v/>
      </c>
      <c r="AS24" s="64">
        <f>AI24*Y24</f>
        <v/>
      </c>
      <c r="AT24" s="64">
        <f>AJ24*Z24</f>
        <v/>
      </c>
      <c r="AU24" s="64">
        <f>AK24*AA24</f>
        <v/>
      </c>
      <c r="AV24" s="64">
        <f>AL24*AB24</f>
        <v/>
      </c>
      <c r="AW24" s="64">
        <f>AM24*AC24</f>
        <v/>
      </c>
      <c r="AX24" s="64">
        <f>AN24*AD24</f>
        <v/>
      </c>
      <c r="AY24" s="64">
        <f>AO24*AE24</f>
        <v/>
      </c>
      <c r="AZ24" s="64">
        <f>INDEX(Projects[Automation Equipment],23)&amp;""</f>
        <v/>
      </c>
      <c r="BA24" s="64">
        <f>IF(OR(A24="",'Smart Search'!H13=0),"",MAX(0,BE24*BF24*MAX(0,1-BG24)))</f>
        <v/>
      </c>
      <c r="BB24" s="64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4">
        <f>IF('Smart Search'!G13=1,IFERROR(1/'Smart Search'!H13,0),0)</f>
        <v/>
      </c>
      <c r="BD24" s="64">
        <f>BB24*BC24</f>
        <v/>
      </c>
      <c r="BE24" s="64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IF(A24="","",N(INDEX(Projects[Act Mech Inst],23)))</f>
        <v/>
      </c>
      <c r="BK24" s="5">
        <f>IF(A24="","",N(INDEX(Projects[Act Elec Inst],23)))</f>
        <v/>
      </c>
      <c r="BL24" s="5">
        <f>IF(A24="","",N(INDEX(Projects[Act Project Management],23)))</f>
        <v/>
      </c>
      <c r="BM24" s="5">
        <f>IF(A24="","",N(INDEX(Projects[Act Systems Eng],23)))</f>
        <v/>
      </c>
      <c r="BN24" s="5">
        <f>IF(A24="","",N(INDEX(Projects[Act Mechanical Eng],23)))</f>
        <v/>
      </c>
      <c r="BO24" s="5">
        <f>IF(A24="","",N(INDEX(Projects[Act Structural Engineering],23)))</f>
        <v/>
      </c>
      <c r="BP24" s="5">
        <f>IF(A24="","",N(INDEX(Projects[Act Site Sup],23)))</f>
        <v/>
      </c>
      <c r="BQ24" s="5">
        <f>IF(A24="","",N(INDEX(Projects[Act Controls Commissioning],23)))</f>
        <v/>
      </c>
      <c r="BR24" s="5">
        <f>IF(A24="","",N(INDEX(Projects[Act Systems Commissioning],23)))</f>
        <v/>
      </c>
      <c r="BS24" s="5">
        <f>IF(A24="","",N(INDEX(Projects[Act Service Commissioning],23)))</f>
        <v/>
      </c>
      <c r="BT24" s="5">
        <f>IF(A24="","",N(INDEX(Projects[Act Controls Eng],23)))</f>
        <v/>
      </c>
      <c r="BU24" s="5">
        <f>IF(A24="","",N(INDEX(Projects[Act Controls Purchase],23)))</f>
        <v/>
      </c>
      <c r="BV24" s="5">
        <f>IF(A24="","",N(INDEX(Projects[Act Software Eng],23)))</f>
        <v/>
      </c>
      <c r="BW24" s="5">
        <f>IF(A24="","",N(INDEX(Projects[Act 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INDEX(Projects[Sold Value (USD M)],23)</f>
        <v/>
      </c>
      <c r="CE24" s="5" t="n"/>
      <c r="CF24" s="5">
        <f>IF(A24="","",N(INDEX(Projects[Est Mech Inst],23)))</f>
        <v/>
      </c>
      <c r="CG24" s="5">
        <f>IF(A24="","",N(INDEX(Projects[Est Elec Inst],23)))</f>
        <v/>
      </c>
      <c r="CH24" s="5">
        <f>IF(A24="","",N(INDEX(Projects[Est Project Management],23)))</f>
        <v/>
      </c>
      <c r="CI24" s="5">
        <f>IF(A24="","",N(INDEX(Projects[Est Systems Eng],23)))</f>
        <v/>
      </c>
      <c r="CJ24" s="5">
        <f>IF(A24="","",N(INDEX(Projects[Est Mechanical Eng],23)))</f>
        <v/>
      </c>
      <c r="CK24" s="5">
        <f>IF(A24="","",N(INDEX(Projects[Est Structural Engineering],23)))</f>
        <v/>
      </c>
      <c r="CL24" s="5">
        <f>IF(A24="","",N(INDEX(Projects[Est Site Sup],23)))</f>
        <v/>
      </c>
      <c r="CM24" s="5">
        <f>IF(A24="","",N(INDEX(Projects[Est Controls Commissioning],23)))</f>
        <v/>
      </c>
      <c r="CN24" s="5">
        <f>IF(A24="","",N(INDEX(Projects[Est Systems Commissioning],23)))</f>
        <v/>
      </c>
      <c r="CO24" s="5">
        <f>IF(A24="","",N(INDEX(Projects[Est Service Commissioning],23)))</f>
        <v/>
      </c>
      <c r="CP24" s="5">
        <f>IF(A24="","",N(INDEX(Projects[Est Controls Eng],23)))</f>
        <v/>
      </c>
      <c r="CQ24" s="5">
        <f>IF(A24="","",N(INDEX(Projects[Est Controls Purchase],23)))</f>
        <v/>
      </c>
      <c r="CR24" s="5">
        <f>IF(A24="","",N(INDEX(Projects[Est Software Eng],23)))</f>
        <v/>
      </c>
      <c r="CS24" s="5">
        <f>IF(A24="","",N(INDEX(Projects[Est Misc],23)))</f>
        <v/>
      </c>
      <c r="CT24" s="5">
        <f>IF(A24="","",SUM(CF24:CS24))</f>
        <v/>
      </c>
      <c r="CU24" s="5">
        <f>INDEX(Projects[Est Cost (M)],23)</f>
        <v/>
      </c>
      <c r="CV24" s="5">
        <f>INDEX(Projects[Act Cost (M)],23)</f>
        <v/>
      </c>
      <c r="CW24" s="5">
        <f>INDEX(Projects[Plan Mech Eng (wks)],23)</f>
        <v/>
      </c>
      <c r="CX24" s="5">
        <f>INDEX(Projects[Plan Controls Eng (wks)],23)</f>
        <v/>
      </c>
      <c r="CY24" s="5">
        <f>INDEX(Projects[Plan Systems Eng (wks)],23)</f>
        <v/>
      </c>
      <c r="CZ24" s="5">
        <f>INDEX(Projects[Plan Software Eng (wks)],23)</f>
        <v/>
      </c>
      <c r="DA24" s="5">
        <f>INDEX(Projects[Plan M&amp;E Installation (wks)],23)</f>
        <v/>
      </c>
      <c r="DB24" s="5">
        <f>INDEX(Projects[Plan Commissioning (wks)],23)</f>
        <v/>
      </c>
      <c r="DC24" s="5">
        <f>INDEX(Projects[Plan Total (wks)],23)</f>
        <v/>
      </c>
      <c r="DD24" s="5">
        <f>INDEX(Projects[Act Mech Eng (wks)],23)</f>
        <v/>
      </c>
      <c r="DE24" s="5">
        <f>INDEX(Projects[Act Controls Eng (wks)],23)</f>
        <v/>
      </c>
      <c r="DF24" s="5">
        <f>INDEX(Projects[Act Systems Eng (wks)],23)</f>
        <v/>
      </c>
      <c r="DG24" s="5">
        <f>INDEX(Projects[Act Software Eng (wks)],23)</f>
        <v/>
      </c>
      <c r="DH24" s="5">
        <f>INDEX(Projects[Act M&amp;E Installation (wks)],23)</f>
        <v/>
      </c>
      <c r="DI24" s="5">
        <f>INDEX(Projects[Act Commissioning (wks)],23)</f>
        <v/>
      </c>
      <c r="DJ24" s="5">
        <f>INDEX(Projects[Act Total (wks)],23)</f>
        <v/>
      </c>
    </row>
    <row r="25" ht="15" customHeight="1" s="82">
      <c r="A25" s="64">
        <f>INDEX(Projects[Project ID *],24)&amp;""</f>
        <v/>
      </c>
      <c r="B25" s="64">
        <f>INDEX(Projects[Project Name *],24)&amp;""</f>
        <v/>
      </c>
      <c r="C25" s="64">
        <f>INDEX(Projects[MS Shuttles],24)</f>
        <v/>
      </c>
      <c r="D25" s="64">
        <f>INDEX(Projects[MS Tote Locations],24)</f>
        <v/>
      </c>
      <c r="E25" s="64">
        <f>INDEX(Projects[AS Robots],24)</f>
        <v/>
      </c>
      <c r="F25" s="64">
        <f>INDEX(Projects[AS Tote Locations],24)</f>
        <v/>
      </c>
      <c r="G25" s="64">
        <f>INDEX(Projects[PS Shuttles],24)</f>
        <v/>
      </c>
      <c r="H25" s="64">
        <f>INDEX(Projects[PS Pallet Locations],24)</f>
        <v/>
      </c>
      <c r="I25" s="64">
        <f>INDEX(Projects[SRM Cranes],24)</f>
        <v/>
      </c>
      <c r="J25" s="64">
        <f>INDEX(Projects[SRM Pallet Locations],24)</f>
        <v/>
      </c>
      <c r="K25" s="64">
        <f>INDEX(Projects[Case Conv (m)],24)</f>
        <v/>
      </c>
      <c r="L25" s="64">
        <f>INDEX(Projects[Pallet Conv (m)],24)</f>
        <v/>
      </c>
      <c r="M25" s="64">
        <f>IF(N(DJ25)&gt;0,DD25,CW25)</f>
        <v/>
      </c>
      <c r="N25" s="64">
        <f>IF(N(DJ25)&gt;0,DE25,CX25)</f>
        <v/>
      </c>
      <c r="O25" s="64">
        <f>IF(N(DJ25)&gt;0,DF25,CY25)</f>
        <v/>
      </c>
      <c r="P25" s="64">
        <f>IF(N(DJ25)&gt;0,DG25,CZ25)</f>
        <v/>
      </c>
      <c r="Q25" s="64">
        <f>IF(N(DJ25)&gt;0,DH25,DA25)</f>
        <v/>
      </c>
      <c r="R25" s="64">
        <f>IF(N(DJ25)&gt;0,DI25,DB25)</f>
        <v/>
      </c>
      <c r="S25" s="64">
        <f>IF(N(DJ25)&gt;0,DJ25,DC25)</f>
        <v/>
      </c>
      <c r="T25" s="64">
        <f>INDEX(Projects[Currency],24)&amp;""</f>
        <v/>
      </c>
      <c r="U25" s="65">
        <f>INDEX(Projects[Sold Value (M)],24)</f>
        <v/>
      </c>
      <c r="V25" s="64">
        <f>IF('Smart Search'!B13=1,IFERROR(1/'Smart Search'!H13,0),0)</f>
        <v/>
      </c>
      <c r="W25" s="64">
        <f>IF('Smart Search'!B13=1,IFERROR(1/'Smart Search'!H13,0),0)</f>
        <v/>
      </c>
      <c r="X25" s="64">
        <f>IF('Smart Search'!C13=1,IFERROR(1/'Smart Search'!H13,0),0)</f>
        <v/>
      </c>
      <c r="Y25" s="64">
        <f>IF('Smart Search'!C13=1,IFERROR(1/'Smart Search'!H13,0),0)</f>
        <v/>
      </c>
      <c r="Z25" s="64">
        <f>IF('Smart Search'!D13=1,IFERROR(1/'Smart Search'!H13,0),0)</f>
        <v/>
      </c>
      <c r="AA25" s="64">
        <f>IF('Smart Search'!D13=1,IFERROR(1/'Smart Search'!H13,0),0)</f>
        <v/>
      </c>
      <c r="AB25" s="64">
        <f>IF('Smart Search'!E13=1,IFERROR(1/'Smart Search'!H13,0),0)</f>
        <v/>
      </c>
      <c r="AC25" s="64">
        <f>IF('Smart Search'!E13=1,IFERROR(1/'Smart Search'!H13,0),0)</f>
        <v/>
      </c>
      <c r="AD25" s="64">
        <f>IF('Smart Search'!F13=1,IFERROR(1/'Smart Search'!H13,0),0)</f>
        <v/>
      </c>
      <c r="AE25" s="64">
        <f>IF('Smart Search'!F13=1,IFERROR(1/'Smart Search'!H13,0),0)</f>
        <v/>
      </c>
      <c r="AF25" s="64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4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4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4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4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4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4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4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4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4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4">
        <f>AF25*V25</f>
        <v/>
      </c>
      <c r="AQ25" s="64">
        <f>AG25*W25</f>
        <v/>
      </c>
      <c r="AR25" s="64">
        <f>AH25*X25</f>
        <v/>
      </c>
      <c r="AS25" s="64">
        <f>AI25*Y25</f>
        <v/>
      </c>
      <c r="AT25" s="64">
        <f>AJ25*Z25</f>
        <v/>
      </c>
      <c r="AU25" s="64">
        <f>AK25*AA25</f>
        <v/>
      </c>
      <c r="AV25" s="64">
        <f>AL25*AB25</f>
        <v/>
      </c>
      <c r="AW25" s="64">
        <f>AM25*AC25</f>
        <v/>
      </c>
      <c r="AX25" s="64">
        <f>AN25*AD25</f>
        <v/>
      </c>
      <c r="AY25" s="64">
        <f>AO25*AE25</f>
        <v/>
      </c>
      <c r="AZ25" s="64">
        <f>INDEX(Projects[Automation Equipment],24)&amp;""</f>
        <v/>
      </c>
      <c r="BA25" s="64">
        <f>IF(OR(A25="",'Smart Search'!H13=0),"",MAX(0,BE25*BF25*MAX(0,1-BG25)))</f>
        <v/>
      </c>
      <c r="BB25" s="64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4">
        <f>IF('Smart Search'!G13=1,IFERROR(1/'Smart Search'!H13,0),0)</f>
        <v/>
      </c>
      <c r="BD25" s="64">
        <f>BB25*BC25</f>
        <v/>
      </c>
      <c r="BE25" s="64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IF(A25="","",N(INDEX(Projects[Act Mech Inst],24)))</f>
        <v/>
      </c>
      <c r="BK25" s="5">
        <f>IF(A25="","",N(INDEX(Projects[Act Elec Inst],24)))</f>
        <v/>
      </c>
      <c r="BL25" s="5">
        <f>IF(A25="","",N(INDEX(Projects[Act Project Management],24)))</f>
        <v/>
      </c>
      <c r="BM25" s="5">
        <f>IF(A25="","",N(INDEX(Projects[Act Systems Eng],24)))</f>
        <v/>
      </c>
      <c r="BN25" s="5">
        <f>IF(A25="","",N(INDEX(Projects[Act Mechanical Eng],24)))</f>
        <v/>
      </c>
      <c r="BO25" s="5">
        <f>IF(A25="","",N(INDEX(Projects[Act Structural Engineering],24)))</f>
        <v/>
      </c>
      <c r="BP25" s="5">
        <f>IF(A25="","",N(INDEX(Projects[Act Site Sup],24)))</f>
        <v/>
      </c>
      <c r="BQ25" s="5">
        <f>IF(A25="","",N(INDEX(Projects[Act Controls Commissioning],24)))</f>
        <v/>
      </c>
      <c r="BR25" s="5">
        <f>IF(A25="","",N(INDEX(Projects[Act Systems Commissioning],24)))</f>
        <v/>
      </c>
      <c r="BS25" s="5">
        <f>IF(A25="","",N(INDEX(Projects[Act Service Commissioning],24)))</f>
        <v/>
      </c>
      <c r="BT25" s="5">
        <f>IF(A25="","",N(INDEX(Projects[Act Controls Eng],24)))</f>
        <v/>
      </c>
      <c r="BU25" s="5">
        <f>IF(A25="","",N(INDEX(Projects[Act Controls Purchase],24)))</f>
        <v/>
      </c>
      <c r="BV25" s="5">
        <f>IF(A25="","",N(INDEX(Projects[Act Software Eng],24)))</f>
        <v/>
      </c>
      <c r="BW25" s="5">
        <f>IF(A25="","",N(INDEX(Projects[Act 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INDEX(Projects[Sold Value (USD M)],24)</f>
        <v/>
      </c>
      <c r="CE25" s="5" t="n"/>
      <c r="CF25" s="5">
        <f>IF(A25="","",N(INDEX(Projects[Est Mech Inst],24)))</f>
        <v/>
      </c>
      <c r="CG25" s="5">
        <f>IF(A25="","",N(INDEX(Projects[Est Elec Inst],24)))</f>
        <v/>
      </c>
      <c r="CH25" s="5">
        <f>IF(A25="","",N(INDEX(Projects[Est Project Management],24)))</f>
        <v/>
      </c>
      <c r="CI25" s="5">
        <f>IF(A25="","",N(INDEX(Projects[Est Systems Eng],24)))</f>
        <v/>
      </c>
      <c r="CJ25" s="5">
        <f>IF(A25="","",N(INDEX(Projects[Est Mechanical Eng],24)))</f>
        <v/>
      </c>
      <c r="CK25" s="5">
        <f>IF(A25="","",N(INDEX(Projects[Est Structural Engineering],24)))</f>
        <v/>
      </c>
      <c r="CL25" s="5">
        <f>IF(A25="","",N(INDEX(Projects[Est Site Sup],24)))</f>
        <v/>
      </c>
      <c r="CM25" s="5">
        <f>IF(A25="","",N(INDEX(Projects[Est Controls Commissioning],24)))</f>
        <v/>
      </c>
      <c r="CN25" s="5">
        <f>IF(A25="","",N(INDEX(Projects[Est Systems Commissioning],24)))</f>
        <v/>
      </c>
      <c r="CO25" s="5">
        <f>IF(A25="","",N(INDEX(Projects[Est Service Commissioning],24)))</f>
        <v/>
      </c>
      <c r="CP25" s="5">
        <f>IF(A25="","",N(INDEX(Projects[Est Controls Eng],24)))</f>
        <v/>
      </c>
      <c r="CQ25" s="5">
        <f>IF(A25="","",N(INDEX(Projects[Est Controls Purchase],24)))</f>
        <v/>
      </c>
      <c r="CR25" s="5">
        <f>IF(A25="","",N(INDEX(Projects[Est Software Eng],24)))</f>
        <v/>
      </c>
      <c r="CS25" s="5">
        <f>IF(A25="","",N(INDEX(Projects[Est Misc],24)))</f>
        <v/>
      </c>
      <c r="CT25" s="5">
        <f>IF(A25="","",SUM(CF25:CS25))</f>
        <v/>
      </c>
      <c r="CU25" s="5">
        <f>INDEX(Projects[Est Cost (M)],24)</f>
        <v/>
      </c>
      <c r="CV25" s="5">
        <f>INDEX(Projects[Act Cost (M)],24)</f>
        <v/>
      </c>
      <c r="CW25" s="5">
        <f>INDEX(Projects[Plan Mech Eng (wks)],24)</f>
        <v/>
      </c>
      <c r="CX25" s="5">
        <f>INDEX(Projects[Plan Controls Eng (wks)],24)</f>
        <v/>
      </c>
      <c r="CY25" s="5">
        <f>INDEX(Projects[Plan Systems Eng (wks)],24)</f>
        <v/>
      </c>
      <c r="CZ25" s="5">
        <f>INDEX(Projects[Plan Software Eng (wks)],24)</f>
        <v/>
      </c>
      <c r="DA25" s="5">
        <f>INDEX(Projects[Plan M&amp;E Installation (wks)],24)</f>
        <v/>
      </c>
      <c r="DB25" s="5">
        <f>INDEX(Projects[Plan Commissioning (wks)],24)</f>
        <v/>
      </c>
      <c r="DC25" s="5">
        <f>INDEX(Projects[Plan Total (wks)],24)</f>
        <v/>
      </c>
      <c r="DD25" s="5">
        <f>INDEX(Projects[Act Mech Eng (wks)],24)</f>
        <v/>
      </c>
      <c r="DE25" s="5">
        <f>INDEX(Projects[Act Controls Eng (wks)],24)</f>
        <v/>
      </c>
      <c r="DF25" s="5">
        <f>INDEX(Projects[Act Systems Eng (wks)],24)</f>
        <v/>
      </c>
      <c r="DG25" s="5">
        <f>INDEX(Projects[Act Software Eng (wks)],24)</f>
        <v/>
      </c>
      <c r="DH25" s="5">
        <f>INDEX(Projects[Act M&amp;E Installation (wks)],24)</f>
        <v/>
      </c>
      <c r="DI25" s="5">
        <f>INDEX(Projects[Act Commissioning (wks)],24)</f>
        <v/>
      </c>
      <c r="DJ25" s="5">
        <f>INDEX(Projects[Act Total (wks)],24)</f>
        <v/>
      </c>
    </row>
    <row r="26" ht="15" customHeight="1" s="82">
      <c r="A26" s="64">
        <f>INDEX(Projects[Project ID *],25)&amp;""</f>
        <v/>
      </c>
      <c r="B26" s="64">
        <f>INDEX(Projects[Project Name *],25)&amp;""</f>
        <v/>
      </c>
      <c r="C26" s="64">
        <f>INDEX(Projects[MS Shuttles],25)</f>
        <v/>
      </c>
      <c r="D26" s="64">
        <f>INDEX(Projects[MS Tote Locations],25)</f>
        <v/>
      </c>
      <c r="E26" s="64">
        <f>INDEX(Projects[AS Robots],25)</f>
        <v/>
      </c>
      <c r="F26" s="64">
        <f>INDEX(Projects[AS Tote Locations],25)</f>
        <v/>
      </c>
      <c r="G26" s="64">
        <f>INDEX(Projects[PS Shuttles],25)</f>
        <v/>
      </c>
      <c r="H26" s="64">
        <f>INDEX(Projects[PS Pallet Locations],25)</f>
        <v/>
      </c>
      <c r="I26" s="64">
        <f>INDEX(Projects[SRM Cranes],25)</f>
        <v/>
      </c>
      <c r="J26" s="64">
        <f>INDEX(Projects[SRM Pallet Locations],25)</f>
        <v/>
      </c>
      <c r="K26" s="64">
        <f>INDEX(Projects[Case Conv (m)],25)</f>
        <v/>
      </c>
      <c r="L26" s="64">
        <f>INDEX(Projects[Pallet Conv (m)],25)</f>
        <v/>
      </c>
      <c r="M26" s="64">
        <f>IF(N(DJ26)&gt;0,DD26,CW26)</f>
        <v/>
      </c>
      <c r="N26" s="64">
        <f>IF(N(DJ26)&gt;0,DE26,CX26)</f>
        <v/>
      </c>
      <c r="O26" s="64">
        <f>IF(N(DJ26)&gt;0,DF26,CY26)</f>
        <v/>
      </c>
      <c r="P26" s="64">
        <f>IF(N(DJ26)&gt;0,DG26,CZ26)</f>
        <v/>
      </c>
      <c r="Q26" s="64">
        <f>IF(N(DJ26)&gt;0,DH26,DA26)</f>
        <v/>
      </c>
      <c r="R26" s="64">
        <f>IF(N(DJ26)&gt;0,DI26,DB26)</f>
        <v/>
      </c>
      <c r="S26" s="64">
        <f>IF(N(DJ26)&gt;0,DJ26,DC26)</f>
        <v/>
      </c>
      <c r="T26" s="64">
        <f>INDEX(Projects[Currency],25)&amp;""</f>
        <v/>
      </c>
      <c r="U26" s="65">
        <f>INDEX(Projects[Sold Value (M)],25)</f>
        <v/>
      </c>
      <c r="V26" s="64">
        <f>IF('Smart Search'!B13=1,IFERROR(1/'Smart Search'!H13,0),0)</f>
        <v/>
      </c>
      <c r="W26" s="64">
        <f>IF('Smart Search'!B13=1,IFERROR(1/'Smart Search'!H13,0),0)</f>
        <v/>
      </c>
      <c r="X26" s="64">
        <f>IF('Smart Search'!C13=1,IFERROR(1/'Smart Search'!H13,0),0)</f>
        <v/>
      </c>
      <c r="Y26" s="64">
        <f>IF('Smart Search'!C13=1,IFERROR(1/'Smart Search'!H13,0),0)</f>
        <v/>
      </c>
      <c r="Z26" s="64">
        <f>IF('Smart Search'!D13=1,IFERROR(1/'Smart Search'!H13,0),0)</f>
        <v/>
      </c>
      <c r="AA26" s="64">
        <f>IF('Smart Search'!D13=1,IFERROR(1/'Smart Search'!H13,0),0)</f>
        <v/>
      </c>
      <c r="AB26" s="64">
        <f>IF('Smart Search'!E13=1,IFERROR(1/'Smart Search'!H13,0),0)</f>
        <v/>
      </c>
      <c r="AC26" s="64">
        <f>IF('Smart Search'!E13=1,IFERROR(1/'Smart Search'!H13,0),0)</f>
        <v/>
      </c>
      <c r="AD26" s="64">
        <f>IF('Smart Search'!F13=1,IFERROR(1/'Smart Search'!H13,0),0)</f>
        <v/>
      </c>
      <c r="AE26" s="64">
        <f>IF('Smart Search'!F13=1,IFERROR(1/'Smart Search'!H13,0),0)</f>
        <v/>
      </c>
      <c r="AF26" s="64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4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4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4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4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4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4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4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4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4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4">
        <f>AF26*V26</f>
        <v/>
      </c>
      <c r="AQ26" s="64">
        <f>AG26*W26</f>
        <v/>
      </c>
      <c r="AR26" s="64">
        <f>AH26*X26</f>
        <v/>
      </c>
      <c r="AS26" s="64">
        <f>AI26*Y26</f>
        <v/>
      </c>
      <c r="AT26" s="64">
        <f>AJ26*Z26</f>
        <v/>
      </c>
      <c r="AU26" s="64">
        <f>AK26*AA26</f>
        <v/>
      </c>
      <c r="AV26" s="64">
        <f>AL26*AB26</f>
        <v/>
      </c>
      <c r="AW26" s="64">
        <f>AM26*AC26</f>
        <v/>
      </c>
      <c r="AX26" s="64">
        <f>AN26*AD26</f>
        <v/>
      </c>
      <c r="AY26" s="64">
        <f>AO26*AE26</f>
        <v/>
      </c>
      <c r="AZ26" s="64">
        <f>INDEX(Projects[Automation Equipment],25)&amp;""</f>
        <v/>
      </c>
      <c r="BA26" s="64">
        <f>IF(OR(A26="",'Smart Search'!H13=0),"",MAX(0,BE26*BF26*MAX(0,1-BG26)))</f>
        <v/>
      </c>
      <c r="BB26" s="64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4">
        <f>IF('Smart Search'!G13=1,IFERROR(1/'Smart Search'!H13,0),0)</f>
        <v/>
      </c>
      <c r="BD26" s="64">
        <f>BB26*BC26</f>
        <v/>
      </c>
      <c r="BE26" s="64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IF(A26="","",N(INDEX(Projects[Act Mech Inst],25)))</f>
        <v/>
      </c>
      <c r="BK26" s="5">
        <f>IF(A26="","",N(INDEX(Projects[Act Elec Inst],25)))</f>
        <v/>
      </c>
      <c r="BL26" s="5">
        <f>IF(A26="","",N(INDEX(Projects[Act Project Management],25)))</f>
        <v/>
      </c>
      <c r="BM26" s="5">
        <f>IF(A26="","",N(INDEX(Projects[Act Systems Eng],25)))</f>
        <v/>
      </c>
      <c r="BN26" s="5">
        <f>IF(A26="","",N(INDEX(Projects[Act Mechanical Eng],25)))</f>
        <v/>
      </c>
      <c r="BO26" s="5">
        <f>IF(A26="","",N(INDEX(Projects[Act Structural Engineering],25)))</f>
        <v/>
      </c>
      <c r="BP26" s="5">
        <f>IF(A26="","",N(INDEX(Projects[Act Site Sup],25)))</f>
        <v/>
      </c>
      <c r="BQ26" s="5">
        <f>IF(A26="","",N(INDEX(Projects[Act Controls Commissioning],25)))</f>
        <v/>
      </c>
      <c r="BR26" s="5">
        <f>IF(A26="","",N(INDEX(Projects[Act Systems Commissioning],25)))</f>
        <v/>
      </c>
      <c r="BS26" s="5">
        <f>IF(A26="","",N(INDEX(Projects[Act Service Commissioning],25)))</f>
        <v/>
      </c>
      <c r="BT26" s="5">
        <f>IF(A26="","",N(INDEX(Projects[Act Controls Eng],25)))</f>
        <v/>
      </c>
      <c r="BU26" s="5">
        <f>IF(A26="","",N(INDEX(Projects[Act Controls Purchase],25)))</f>
        <v/>
      </c>
      <c r="BV26" s="5">
        <f>IF(A26="","",N(INDEX(Projects[Act Software Eng],25)))</f>
        <v/>
      </c>
      <c r="BW26" s="5">
        <f>IF(A26="","",N(INDEX(Projects[Act 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INDEX(Projects[Sold Value (USD M)],25)</f>
        <v/>
      </c>
      <c r="CE26" s="5" t="n"/>
      <c r="CF26" s="5">
        <f>IF(A26="","",N(INDEX(Projects[Est Mech Inst],25)))</f>
        <v/>
      </c>
      <c r="CG26" s="5">
        <f>IF(A26="","",N(INDEX(Projects[Est Elec Inst],25)))</f>
        <v/>
      </c>
      <c r="CH26" s="5">
        <f>IF(A26="","",N(INDEX(Projects[Est Project Management],25)))</f>
        <v/>
      </c>
      <c r="CI26" s="5">
        <f>IF(A26="","",N(INDEX(Projects[Est Systems Eng],25)))</f>
        <v/>
      </c>
      <c r="CJ26" s="5">
        <f>IF(A26="","",N(INDEX(Projects[Est Mechanical Eng],25)))</f>
        <v/>
      </c>
      <c r="CK26" s="5">
        <f>IF(A26="","",N(INDEX(Projects[Est Structural Engineering],25)))</f>
        <v/>
      </c>
      <c r="CL26" s="5">
        <f>IF(A26="","",N(INDEX(Projects[Est Site Sup],25)))</f>
        <v/>
      </c>
      <c r="CM26" s="5">
        <f>IF(A26="","",N(INDEX(Projects[Est Controls Commissioning],25)))</f>
        <v/>
      </c>
      <c r="CN26" s="5">
        <f>IF(A26="","",N(INDEX(Projects[Est Systems Commissioning],25)))</f>
        <v/>
      </c>
      <c r="CO26" s="5">
        <f>IF(A26="","",N(INDEX(Projects[Est Service Commissioning],25)))</f>
        <v/>
      </c>
      <c r="CP26" s="5">
        <f>IF(A26="","",N(INDEX(Projects[Est Controls Eng],25)))</f>
        <v/>
      </c>
      <c r="CQ26" s="5">
        <f>IF(A26="","",N(INDEX(Projects[Est Controls Purchase],25)))</f>
        <v/>
      </c>
      <c r="CR26" s="5">
        <f>IF(A26="","",N(INDEX(Projects[Est Software Eng],25)))</f>
        <v/>
      </c>
      <c r="CS26" s="5">
        <f>IF(A26="","",N(INDEX(Projects[Est Misc],25)))</f>
        <v/>
      </c>
      <c r="CT26" s="5">
        <f>IF(A26="","",SUM(CF26:CS26))</f>
        <v/>
      </c>
      <c r="CU26" s="5">
        <f>INDEX(Projects[Est Cost (M)],25)</f>
        <v/>
      </c>
      <c r="CV26" s="5">
        <f>INDEX(Projects[Act Cost (M)],25)</f>
        <v/>
      </c>
      <c r="CW26" s="5">
        <f>INDEX(Projects[Plan Mech Eng (wks)],25)</f>
        <v/>
      </c>
      <c r="CX26" s="5">
        <f>INDEX(Projects[Plan Controls Eng (wks)],25)</f>
        <v/>
      </c>
      <c r="CY26" s="5">
        <f>INDEX(Projects[Plan Systems Eng (wks)],25)</f>
        <v/>
      </c>
      <c r="CZ26" s="5">
        <f>INDEX(Projects[Plan Software Eng (wks)],25)</f>
        <v/>
      </c>
      <c r="DA26" s="5">
        <f>INDEX(Projects[Plan M&amp;E Installation (wks)],25)</f>
        <v/>
      </c>
      <c r="DB26" s="5">
        <f>INDEX(Projects[Plan Commissioning (wks)],25)</f>
        <v/>
      </c>
      <c r="DC26" s="5">
        <f>INDEX(Projects[Plan Total (wks)],25)</f>
        <v/>
      </c>
      <c r="DD26" s="5">
        <f>INDEX(Projects[Act Mech Eng (wks)],25)</f>
        <v/>
      </c>
      <c r="DE26" s="5">
        <f>INDEX(Projects[Act Controls Eng (wks)],25)</f>
        <v/>
      </c>
      <c r="DF26" s="5">
        <f>INDEX(Projects[Act Systems Eng (wks)],25)</f>
        <v/>
      </c>
      <c r="DG26" s="5">
        <f>INDEX(Projects[Act Software Eng (wks)],25)</f>
        <v/>
      </c>
      <c r="DH26" s="5">
        <f>INDEX(Projects[Act M&amp;E Installation (wks)],25)</f>
        <v/>
      </c>
      <c r="DI26" s="5">
        <f>INDEX(Projects[Act Commissioning (wks)],25)</f>
        <v/>
      </c>
      <c r="DJ26" s="5">
        <f>INDEX(Projects[Act Total (wks)],25)</f>
        <v/>
      </c>
    </row>
    <row r="27" ht="15" customHeight="1" s="82">
      <c r="A27" s="64">
        <f>INDEX(Projects[Project ID *],26)&amp;""</f>
        <v/>
      </c>
      <c r="B27" s="64">
        <f>INDEX(Projects[Project Name *],26)&amp;""</f>
        <v/>
      </c>
      <c r="C27" s="64">
        <f>INDEX(Projects[MS Shuttles],26)</f>
        <v/>
      </c>
      <c r="D27" s="64">
        <f>INDEX(Projects[MS Tote Locations],26)</f>
        <v/>
      </c>
      <c r="E27" s="64">
        <f>INDEX(Projects[AS Robots],26)</f>
        <v/>
      </c>
      <c r="F27" s="64">
        <f>INDEX(Projects[AS Tote Locations],26)</f>
        <v/>
      </c>
      <c r="G27" s="64">
        <f>INDEX(Projects[PS Shuttles],26)</f>
        <v/>
      </c>
      <c r="H27" s="64">
        <f>INDEX(Projects[PS Pallet Locations],26)</f>
        <v/>
      </c>
      <c r="I27" s="64">
        <f>INDEX(Projects[SRM Cranes],26)</f>
        <v/>
      </c>
      <c r="J27" s="64">
        <f>INDEX(Projects[SRM Pallet Locations],26)</f>
        <v/>
      </c>
      <c r="K27" s="64">
        <f>INDEX(Projects[Case Conv (m)],26)</f>
        <v/>
      </c>
      <c r="L27" s="64">
        <f>INDEX(Projects[Pallet Conv (m)],26)</f>
        <v/>
      </c>
      <c r="M27" s="64">
        <f>IF(N(DJ27)&gt;0,DD27,CW27)</f>
        <v/>
      </c>
      <c r="N27" s="64">
        <f>IF(N(DJ27)&gt;0,DE27,CX27)</f>
        <v/>
      </c>
      <c r="O27" s="64">
        <f>IF(N(DJ27)&gt;0,DF27,CY27)</f>
        <v/>
      </c>
      <c r="P27" s="64">
        <f>IF(N(DJ27)&gt;0,DG27,CZ27)</f>
        <v/>
      </c>
      <c r="Q27" s="64">
        <f>IF(N(DJ27)&gt;0,DH27,DA27)</f>
        <v/>
      </c>
      <c r="R27" s="64">
        <f>IF(N(DJ27)&gt;0,DI27,DB27)</f>
        <v/>
      </c>
      <c r="S27" s="64">
        <f>IF(N(DJ27)&gt;0,DJ27,DC27)</f>
        <v/>
      </c>
      <c r="T27" s="64">
        <f>INDEX(Projects[Currency],26)&amp;""</f>
        <v/>
      </c>
      <c r="U27" s="65">
        <f>INDEX(Projects[Sold Value (M)],26)</f>
        <v/>
      </c>
      <c r="V27" s="64">
        <f>IF('Smart Search'!B13=1,IFERROR(1/'Smart Search'!H13,0),0)</f>
        <v/>
      </c>
      <c r="W27" s="64">
        <f>IF('Smart Search'!B13=1,IFERROR(1/'Smart Search'!H13,0),0)</f>
        <v/>
      </c>
      <c r="X27" s="64">
        <f>IF('Smart Search'!C13=1,IFERROR(1/'Smart Search'!H13,0),0)</f>
        <v/>
      </c>
      <c r="Y27" s="64">
        <f>IF('Smart Search'!C13=1,IFERROR(1/'Smart Search'!H13,0),0)</f>
        <v/>
      </c>
      <c r="Z27" s="64">
        <f>IF('Smart Search'!D13=1,IFERROR(1/'Smart Search'!H13,0),0)</f>
        <v/>
      </c>
      <c r="AA27" s="64">
        <f>IF('Smart Search'!D13=1,IFERROR(1/'Smart Search'!H13,0),0)</f>
        <v/>
      </c>
      <c r="AB27" s="64">
        <f>IF('Smart Search'!E13=1,IFERROR(1/'Smart Search'!H13,0),0)</f>
        <v/>
      </c>
      <c r="AC27" s="64">
        <f>IF('Smart Search'!E13=1,IFERROR(1/'Smart Search'!H13,0),0)</f>
        <v/>
      </c>
      <c r="AD27" s="64">
        <f>IF('Smart Search'!F13=1,IFERROR(1/'Smart Search'!H13,0),0)</f>
        <v/>
      </c>
      <c r="AE27" s="64">
        <f>IF('Smart Search'!F13=1,IFERROR(1/'Smart Search'!H13,0),0)</f>
        <v/>
      </c>
      <c r="AF27" s="64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4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4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4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4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4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4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4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4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4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4">
        <f>AF27*V27</f>
        <v/>
      </c>
      <c r="AQ27" s="64">
        <f>AG27*W27</f>
        <v/>
      </c>
      <c r="AR27" s="64">
        <f>AH27*X27</f>
        <v/>
      </c>
      <c r="AS27" s="64">
        <f>AI27*Y27</f>
        <v/>
      </c>
      <c r="AT27" s="64">
        <f>AJ27*Z27</f>
        <v/>
      </c>
      <c r="AU27" s="64">
        <f>AK27*AA27</f>
        <v/>
      </c>
      <c r="AV27" s="64">
        <f>AL27*AB27</f>
        <v/>
      </c>
      <c r="AW27" s="64">
        <f>AM27*AC27</f>
        <v/>
      </c>
      <c r="AX27" s="64">
        <f>AN27*AD27</f>
        <v/>
      </c>
      <c r="AY27" s="64">
        <f>AO27*AE27</f>
        <v/>
      </c>
      <c r="AZ27" s="64">
        <f>INDEX(Projects[Automation Equipment],26)&amp;""</f>
        <v/>
      </c>
      <c r="BA27" s="64">
        <f>IF(OR(A27="",'Smart Search'!H13=0),"",MAX(0,BE27*BF27*MAX(0,1-BG27)))</f>
        <v/>
      </c>
      <c r="BB27" s="64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4">
        <f>IF('Smart Search'!G13=1,IFERROR(1/'Smart Search'!H13,0),0)</f>
        <v/>
      </c>
      <c r="BD27" s="64">
        <f>BB27*BC27</f>
        <v/>
      </c>
      <c r="BE27" s="64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IF(A27="","",N(INDEX(Projects[Act Mech Inst],26)))</f>
        <v/>
      </c>
      <c r="BK27" s="5">
        <f>IF(A27="","",N(INDEX(Projects[Act Elec Inst],26)))</f>
        <v/>
      </c>
      <c r="BL27" s="5">
        <f>IF(A27="","",N(INDEX(Projects[Act Project Management],26)))</f>
        <v/>
      </c>
      <c r="BM27" s="5">
        <f>IF(A27="","",N(INDEX(Projects[Act Systems Eng],26)))</f>
        <v/>
      </c>
      <c r="BN27" s="5">
        <f>IF(A27="","",N(INDEX(Projects[Act Mechanical Eng],26)))</f>
        <v/>
      </c>
      <c r="BO27" s="5">
        <f>IF(A27="","",N(INDEX(Projects[Act Structural Engineering],26)))</f>
        <v/>
      </c>
      <c r="BP27" s="5">
        <f>IF(A27="","",N(INDEX(Projects[Act Site Sup],26)))</f>
        <v/>
      </c>
      <c r="BQ27" s="5">
        <f>IF(A27="","",N(INDEX(Projects[Act Controls Commissioning],26)))</f>
        <v/>
      </c>
      <c r="BR27" s="5">
        <f>IF(A27="","",N(INDEX(Projects[Act Systems Commissioning],26)))</f>
        <v/>
      </c>
      <c r="BS27" s="5">
        <f>IF(A27="","",N(INDEX(Projects[Act Service Commissioning],26)))</f>
        <v/>
      </c>
      <c r="BT27" s="5">
        <f>IF(A27="","",N(INDEX(Projects[Act Controls Eng],26)))</f>
        <v/>
      </c>
      <c r="BU27" s="5">
        <f>IF(A27="","",N(INDEX(Projects[Act Controls Purchase],26)))</f>
        <v/>
      </c>
      <c r="BV27" s="5">
        <f>IF(A27="","",N(INDEX(Projects[Act Software Eng],26)))</f>
        <v/>
      </c>
      <c r="BW27" s="5">
        <f>IF(A27="","",N(INDEX(Projects[Act 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INDEX(Projects[Sold Value (USD M)],26)</f>
        <v/>
      </c>
      <c r="CE27" s="5" t="n"/>
      <c r="CF27" s="5">
        <f>IF(A27="","",N(INDEX(Projects[Est Mech Inst],26)))</f>
        <v/>
      </c>
      <c r="CG27" s="5">
        <f>IF(A27="","",N(INDEX(Projects[Est Elec Inst],26)))</f>
        <v/>
      </c>
      <c r="CH27" s="5">
        <f>IF(A27="","",N(INDEX(Projects[Est Project Management],26)))</f>
        <v/>
      </c>
      <c r="CI27" s="5">
        <f>IF(A27="","",N(INDEX(Projects[Est Systems Eng],26)))</f>
        <v/>
      </c>
      <c r="CJ27" s="5">
        <f>IF(A27="","",N(INDEX(Projects[Est Mechanical Eng],26)))</f>
        <v/>
      </c>
      <c r="CK27" s="5">
        <f>IF(A27="","",N(INDEX(Projects[Est Structural Engineering],26)))</f>
        <v/>
      </c>
      <c r="CL27" s="5">
        <f>IF(A27="","",N(INDEX(Projects[Est Site Sup],26)))</f>
        <v/>
      </c>
      <c r="CM27" s="5">
        <f>IF(A27="","",N(INDEX(Projects[Est Controls Commissioning],26)))</f>
        <v/>
      </c>
      <c r="CN27" s="5">
        <f>IF(A27="","",N(INDEX(Projects[Est Systems Commissioning],26)))</f>
        <v/>
      </c>
      <c r="CO27" s="5">
        <f>IF(A27="","",N(INDEX(Projects[Est Service Commissioning],26)))</f>
        <v/>
      </c>
      <c r="CP27" s="5">
        <f>IF(A27="","",N(INDEX(Projects[Est Controls Eng],26)))</f>
        <v/>
      </c>
      <c r="CQ27" s="5">
        <f>IF(A27="","",N(INDEX(Projects[Est Controls Purchase],26)))</f>
        <v/>
      </c>
      <c r="CR27" s="5">
        <f>IF(A27="","",N(INDEX(Projects[Est Software Eng],26)))</f>
        <v/>
      </c>
      <c r="CS27" s="5">
        <f>IF(A27="","",N(INDEX(Projects[Est Misc],26)))</f>
        <v/>
      </c>
      <c r="CT27" s="5">
        <f>IF(A27="","",SUM(CF27:CS27))</f>
        <v/>
      </c>
      <c r="CU27" s="5">
        <f>INDEX(Projects[Est Cost (M)],26)</f>
        <v/>
      </c>
      <c r="CV27" s="5">
        <f>INDEX(Projects[Act Cost (M)],26)</f>
        <v/>
      </c>
      <c r="CW27" s="5">
        <f>INDEX(Projects[Plan Mech Eng (wks)],26)</f>
        <v/>
      </c>
      <c r="CX27" s="5">
        <f>INDEX(Projects[Plan Controls Eng (wks)],26)</f>
        <v/>
      </c>
      <c r="CY27" s="5">
        <f>INDEX(Projects[Plan Systems Eng (wks)],26)</f>
        <v/>
      </c>
      <c r="CZ27" s="5">
        <f>INDEX(Projects[Plan Software Eng (wks)],26)</f>
        <v/>
      </c>
      <c r="DA27" s="5">
        <f>INDEX(Projects[Plan M&amp;E Installation (wks)],26)</f>
        <v/>
      </c>
      <c r="DB27" s="5">
        <f>INDEX(Projects[Plan Commissioning (wks)],26)</f>
        <v/>
      </c>
      <c r="DC27" s="5">
        <f>INDEX(Projects[Plan Total (wks)],26)</f>
        <v/>
      </c>
      <c r="DD27" s="5">
        <f>INDEX(Projects[Act Mech Eng (wks)],26)</f>
        <v/>
      </c>
      <c r="DE27" s="5">
        <f>INDEX(Projects[Act Controls Eng (wks)],26)</f>
        <v/>
      </c>
      <c r="DF27" s="5">
        <f>INDEX(Projects[Act Systems Eng (wks)],26)</f>
        <v/>
      </c>
      <c r="DG27" s="5">
        <f>INDEX(Projects[Act Software Eng (wks)],26)</f>
        <v/>
      </c>
      <c r="DH27" s="5">
        <f>INDEX(Projects[Act M&amp;E Installation (wks)],26)</f>
        <v/>
      </c>
      <c r="DI27" s="5">
        <f>INDEX(Projects[Act Commissioning (wks)],26)</f>
        <v/>
      </c>
      <c r="DJ27" s="5">
        <f>INDEX(Projects[Act Total (wks)],26)</f>
        <v/>
      </c>
    </row>
    <row r="28" ht="15" customHeight="1" s="82">
      <c r="A28" s="64">
        <f>INDEX(Projects[Project ID *],27)&amp;""</f>
        <v/>
      </c>
      <c r="B28" s="64">
        <f>INDEX(Projects[Project Name *],27)&amp;""</f>
        <v/>
      </c>
      <c r="C28" s="64">
        <f>INDEX(Projects[MS Shuttles],27)</f>
        <v/>
      </c>
      <c r="D28" s="64">
        <f>INDEX(Projects[MS Tote Locations],27)</f>
        <v/>
      </c>
      <c r="E28" s="64">
        <f>INDEX(Projects[AS Robots],27)</f>
        <v/>
      </c>
      <c r="F28" s="64">
        <f>INDEX(Projects[AS Tote Locations],27)</f>
        <v/>
      </c>
      <c r="G28" s="64">
        <f>INDEX(Projects[PS Shuttles],27)</f>
        <v/>
      </c>
      <c r="H28" s="64">
        <f>INDEX(Projects[PS Pallet Locations],27)</f>
        <v/>
      </c>
      <c r="I28" s="64">
        <f>INDEX(Projects[SRM Cranes],27)</f>
        <v/>
      </c>
      <c r="J28" s="64">
        <f>INDEX(Projects[SRM Pallet Locations],27)</f>
        <v/>
      </c>
      <c r="K28" s="64">
        <f>INDEX(Projects[Case Conv (m)],27)</f>
        <v/>
      </c>
      <c r="L28" s="64">
        <f>INDEX(Projects[Pallet Conv (m)],27)</f>
        <v/>
      </c>
      <c r="M28" s="64">
        <f>IF(N(DJ28)&gt;0,DD28,CW28)</f>
        <v/>
      </c>
      <c r="N28" s="64">
        <f>IF(N(DJ28)&gt;0,DE28,CX28)</f>
        <v/>
      </c>
      <c r="O28" s="64">
        <f>IF(N(DJ28)&gt;0,DF28,CY28)</f>
        <v/>
      </c>
      <c r="P28" s="64">
        <f>IF(N(DJ28)&gt;0,DG28,CZ28)</f>
        <v/>
      </c>
      <c r="Q28" s="64">
        <f>IF(N(DJ28)&gt;0,DH28,DA28)</f>
        <v/>
      </c>
      <c r="R28" s="64">
        <f>IF(N(DJ28)&gt;0,DI28,DB28)</f>
        <v/>
      </c>
      <c r="S28" s="64">
        <f>IF(N(DJ28)&gt;0,DJ28,DC28)</f>
        <v/>
      </c>
      <c r="T28" s="64">
        <f>INDEX(Projects[Currency],27)&amp;""</f>
        <v/>
      </c>
      <c r="U28" s="65">
        <f>INDEX(Projects[Sold Value (M)],27)</f>
        <v/>
      </c>
      <c r="V28" s="64">
        <f>IF('Smart Search'!B13=1,IFERROR(1/'Smart Search'!H13,0),0)</f>
        <v/>
      </c>
      <c r="W28" s="64">
        <f>IF('Smart Search'!B13=1,IFERROR(1/'Smart Search'!H13,0),0)</f>
        <v/>
      </c>
      <c r="X28" s="64">
        <f>IF('Smart Search'!C13=1,IFERROR(1/'Smart Search'!H13,0),0)</f>
        <v/>
      </c>
      <c r="Y28" s="64">
        <f>IF('Smart Search'!C13=1,IFERROR(1/'Smart Search'!H13,0),0)</f>
        <v/>
      </c>
      <c r="Z28" s="64">
        <f>IF('Smart Search'!D13=1,IFERROR(1/'Smart Search'!H13,0),0)</f>
        <v/>
      </c>
      <c r="AA28" s="64">
        <f>IF('Smart Search'!D13=1,IFERROR(1/'Smart Search'!H13,0),0)</f>
        <v/>
      </c>
      <c r="AB28" s="64">
        <f>IF('Smart Search'!E13=1,IFERROR(1/'Smart Search'!H13,0),0)</f>
        <v/>
      </c>
      <c r="AC28" s="64">
        <f>IF('Smart Search'!E13=1,IFERROR(1/'Smart Search'!H13,0),0)</f>
        <v/>
      </c>
      <c r="AD28" s="64">
        <f>IF('Smart Search'!F13=1,IFERROR(1/'Smart Search'!H13,0),0)</f>
        <v/>
      </c>
      <c r="AE28" s="64">
        <f>IF('Smart Search'!F13=1,IFERROR(1/'Smart Search'!H13,0),0)</f>
        <v/>
      </c>
      <c r="AF28" s="64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4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4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4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4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4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4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4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4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4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4">
        <f>AF28*V28</f>
        <v/>
      </c>
      <c r="AQ28" s="64">
        <f>AG28*W28</f>
        <v/>
      </c>
      <c r="AR28" s="64">
        <f>AH28*X28</f>
        <v/>
      </c>
      <c r="AS28" s="64">
        <f>AI28*Y28</f>
        <v/>
      </c>
      <c r="AT28" s="64">
        <f>AJ28*Z28</f>
        <v/>
      </c>
      <c r="AU28" s="64">
        <f>AK28*AA28</f>
        <v/>
      </c>
      <c r="AV28" s="64">
        <f>AL28*AB28</f>
        <v/>
      </c>
      <c r="AW28" s="64">
        <f>AM28*AC28</f>
        <v/>
      </c>
      <c r="AX28" s="64">
        <f>AN28*AD28</f>
        <v/>
      </c>
      <c r="AY28" s="64">
        <f>AO28*AE28</f>
        <v/>
      </c>
      <c r="AZ28" s="64">
        <f>INDEX(Projects[Automation Equipment],27)&amp;""</f>
        <v/>
      </c>
      <c r="BA28" s="64">
        <f>IF(OR(A28="",'Smart Search'!H13=0),"",MAX(0,BE28*BF28*MAX(0,1-BG28)))</f>
        <v/>
      </c>
      <c r="BB28" s="64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4">
        <f>IF('Smart Search'!G13=1,IFERROR(1/'Smart Search'!H13,0),0)</f>
        <v/>
      </c>
      <c r="BD28" s="64">
        <f>BB28*BC28</f>
        <v/>
      </c>
      <c r="BE28" s="64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IF(A28="","",N(INDEX(Projects[Act Mech Inst],27)))</f>
        <v/>
      </c>
      <c r="BK28" s="5">
        <f>IF(A28="","",N(INDEX(Projects[Act Elec Inst],27)))</f>
        <v/>
      </c>
      <c r="BL28" s="5">
        <f>IF(A28="","",N(INDEX(Projects[Act Project Management],27)))</f>
        <v/>
      </c>
      <c r="BM28" s="5">
        <f>IF(A28="","",N(INDEX(Projects[Act Systems Eng],27)))</f>
        <v/>
      </c>
      <c r="BN28" s="5">
        <f>IF(A28="","",N(INDEX(Projects[Act Mechanical Eng],27)))</f>
        <v/>
      </c>
      <c r="BO28" s="5">
        <f>IF(A28="","",N(INDEX(Projects[Act Structural Engineering],27)))</f>
        <v/>
      </c>
      <c r="BP28" s="5">
        <f>IF(A28="","",N(INDEX(Projects[Act Site Sup],27)))</f>
        <v/>
      </c>
      <c r="BQ28" s="5">
        <f>IF(A28="","",N(INDEX(Projects[Act Controls Commissioning],27)))</f>
        <v/>
      </c>
      <c r="BR28" s="5">
        <f>IF(A28="","",N(INDEX(Projects[Act Systems Commissioning],27)))</f>
        <v/>
      </c>
      <c r="BS28" s="5">
        <f>IF(A28="","",N(INDEX(Projects[Act Service Commissioning],27)))</f>
        <v/>
      </c>
      <c r="BT28" s="5">
        <f>IF(A28="","",N(INDEX(Projects[Act Controls Eng],27)))</f>
        <v/>
      </c>
      <c r="BU28" s="5">
        <f>IF(A28="","",N(INDEX(Projects[Act Controls Purchase],27)))</f>
        <v/>
      </c>
      <c r="BV28" s="5">
        <f>IF(A28="","",N(INDEX(Projects[Act Software Eng],27)))</f>
        <v/>
      </c>
      <c r="BW28" s="5">
        <f>IF(A28="","",N(INDEX(Projects[Act 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INDEX(Projects[Sold Value (USD M)],27)</f>
        <v/>
      </c>
      <c r="CE28" s="5" t="n"/>
      <c r="CF28" s="5">
        <f>IF(A28="","",N(INDEX(Projects[Est Mech Inst],27)))</f>
        <v/>
      </c>
      <c r="CG28" s="5">
        <f>IF(A28="","",N(INDEX(Projects[Est Elec Inst],27)))</f>
        <v/>
      </c>
      <c r="CH28" s="5">
        <f>IF(A28="","",N(INDEX(Projects[Est Project Management],27)))</f>
        <v/>
      </c>
      <c r="CI28" s="5">
        <f>IF(A28="","",N(INDEX(Projects[Est Systems Eng],27)))</f>
        <v/>
      </c>
      <c r="CJ28" s="5">
        <f>IF(A28="","",N(INDEX(Projects[Est Mechanical Eng],27)))</f>
        <v/>
      </c>
      <c r="CK28" s="5">
        <f>IF(A28="","",N(INDEX(Projects[Est Structural Engineering],27)))</f>
        <v/>
      </c>
      <c r="CL28" s="5">
        <f>IF(A28="","",N(INDEX(Projects[Est Site Sup],27)))</f>
        <v/>
      </c>
      <c r="CM28" s="5">
        <f>IF(A28="","",N(INDEX(Projects[Est Controls Commissioning],27)))</f>
        <v/>
      </c>
      <c r="CN28" s="5">
        <f>IF(A28="","",N(INDEX(Projects[Est Systems Commissioning],27)))</f>
        <v/>
      </c>
      <c r="CO28" s="5">
        <f>IF(A28="","",N(INDEX(Projects[Est Service Commissioning],27)))</f>
        <v/>
      </c>
      <c r="CP28" s="5">
        <f>IF(A28="","",N(INDEX(Projects[Est Controls Eng],27)))</f>
        <v/>
      </c>
      <c r="CQ28" s="5">
        <f>IF(A28="","",N(INDEX(Projects[Est Controls Purchase],27)))</f>
        <v/>
      </c>
      <c r="CR28" s="5">
        <f>IF(A28="","",N(INDEX(Projects[Est Software Eng],27)))</f>
        <v/>
      </c>
      <c r="CS28" s="5">
        <f>IF(A28="","",N(INDEX(Projects[Est Misc],27)))</f>
        <v/>
      </c>
      <c r="CT28" s="5">
        <f>IF(A28="","",SUM(CF28:CS28))</f>
        <v/>
      </c>
      <c r="CU28" s="5">
        <f>INDEX(Projects[Est Cost (M)],27)</f>
        <v/>
      </c>
      <c r="CV28" s="5">
        <f>INDEX(Projects[Act Cost (M)],27)</f>
        <v/>
      </c>
      <c r="CW28" s="5">
        <f>INDEX(Projects[Plan Mech Eng (wks)],27)</f>
        <v/>
      </c>
      <c r="CX28" s="5">
        <f>INDEX(Projects[Plan Controls Eng (wks)],27)</f>
        <v/>
      </c>
      <c r="CY28" s="5">
        <f>INDEX(Projects[Plan Systems Eng (wks)],27)</f>
        <v/>
      </c>
      <c r="CZ28" s="5">
        <f>INDEX(Projects[Plan Software Eng (wks)],27)</f>
        <v/>
      </c>
      <c r="DA28" s="5">
        <f>INDEX(Projects[Plan M&amp;E Installation (wks)],27)</f>
        <v/>
      </c>
      <c r="DB28" s="5">
        <f>INDEX(Projects[Plan Commissioning (wks)],27)</f>
        <v/>
      </c>
      <c r="DC28" s="5">
        <f>INDEX(Projects[Plan Total (wks)],27)</f>
        <v/>
      </c>
      <c r="DD28" s="5">
        <f>INDEX(Projects[Act Mech Eng (wks)],27)</f>
        <v/>
      </c>
      <c r="DE28" s="5">
        <f>INDEX(Projects[Act Controls Eng (wks)],27)</f>
        <v/>
      </c>
      <c r="DF28" s="5">
        <f>INDEX(Projects[Act Systems Eng (wks)],27)</f>
        <v/>
      </c>
      <c r="DG28" s="5">
        <f>INDEX(Projects[Act Software Eng (wks)],27)</f>
        <v/>
      </c>
      <c r="DH28" s="5">
        <f>INDEX(Projects[Act M&amp;E Installation (wks)],27)</f>
        <v/>
      </c>
      <c r="DI28" s="5">
        <f>INDEX(Projects[Act Commissioning (wks)],27)</f>
        <v/>
      </c>
      <c r="DJ28" s="5">
        <f>INDEX(Projects[Act Total (wks)],27)</f>
        <v/>
      </c>
    </row>
    <row r="29" ht="15" customHeight="1" s="82">
      <c r="A29" s="64">
        <f>INDEX(Projects[Project ID *],28)&amp;""</f>
        <v/>
      </c>
      <c r="B29" s="64">
        <f>INDEX(Projects[Project Name *],28)&amp;""</f>
        <v/>
      </c>
      <c r="C29" s="64">
        <f>INDEX(Projects[MS Shuttles],28)</f>
        <v/>
      </c>
      <c r="D29" s="64">
        <f>INDEX(Projects[MS Tote Locations],28)</f>
        <v/>
      </c>
      <c r="E29" s="64">
        <f>INDEX(Projects[AS Robots],28)</f>
        <v/>
      </c>
      <c r="F29" s="64">
        <f>INDEX(Projects[AS Tote Locations],28)</f>
        <v/>
      </c>
      <c r="G29" s="64">
        <f>INDEX(Projects[PS Shuttles],28)</f>
        <v/>
      </c>
      <c r="H29" s="64">
        <f>INDEX(Projects[PS Pallet Locations],28)</f>
        <v/>
      </c>
      <c r="I29" s="64">
        <f>INDEX(Projects[SRM Cranes],28)</f>
        <v/>
      </c>
      <c r="J29" s="64">
        <f>INDEX(Projects[SRM Pallet Locations],28)</f>
        <v/>
      </c>
      <c r="K29" s="64">
        <f>INDEX(Projects[Case Conv (m)],28)</f>
        <v/>
      </c>
      <c r="L29" s="64">
        <f>INDEX(Projects[Pallet Conv (m)],28)</f>
        <v/>
      </c>
      <c r="M29" s="64">
        <f>IF(N(DJ29)&gt;0,DD29,CW29)</f>
        <v/>
      </c>
      <c r="N29" s="64">
        <f>IF(N(DJ29)&gt;0,DE29,CX29)</f>
        <v/>
      </c>
      <c r="O29" s="64">
        <f>IF(N(DJ29)&gt;0,DF29,CY29)</f>
        <v/>
      </c>
      <c r="P29" s="64">
        <f>IF(N(DJ29)&gt;0,DG29,CZ29)</f>
        <v/>
      </c>
      <c r="Q29" s="64">
        <f>IF(N(DJ29)&gt;0,DH29,DA29)</f>
        <v/>
      </c>
      <c r="R29" s="64">
        <f>IF(N(DJ29)&gt;0,DI29,DB29)</f>
        <v/>
      </c>
      <c r="S29" s="64">
        <f>IF(N(DJ29)&gt;0,DJ29,DC29)</f>
        <v/>
      </c>
      <c r="T29" s="64">
        <f>INDEX(Projects[Currency],28)&amp;""</f>
        <v/>
      </c>
      <c r="U29" s="65">
        <f>INDEX(Projects[Sold Value (M)],28)</f>
        <v/>
      </c>
      <c r="V29" s="64">
        <f>IF('Smart Search'!B13=1,IFERROR(1/'Smart Search'!H13,0),0)</f>
        <v/>
      </c>
      <c r="W29" s="64">
        <f>IF('Smart Search'!B13=1,IFERROR(1/'Smart Search'!H13,0),0)</f>
        <v/>
      </c>
      <c r="X29" s="64">
        <f>IF('Smart Search'!C13=1,IFERROR(1/'Smart Search'!H13,0),0)</f>
        <v/>
      </c>
      <c r="Y29" s="64">
        <f>IF('Smart Search'!C13=1,IFERROR(1/'Smart Search'!H13,0),0)</f>
        <v/>
      </c>
      <c r="Z29" s="64">
        <f>IF('Smart Search'!D13=1,IFERROR(1/'Smart Search'!H13,0),0)</f>
        <v/>
      </c>
      <c r="AA29" s="64">
        <f>IF('Smart Search'!D13=1,IFERROR(1/'Smart Search'!H13,0),0)</f>
        <v/>
      </c>
      <c r="AB29" s="64">
        <f>IF('Smart Search'!E13=1,IFERROR(1/'Smart Search'!H13,0),0)</f>
        <v/>
      </c>
      <c r="AC29" s="64">
        <f>IF('Smart Search'!E13=1,IFERROR(1/'Smart Search'!H13,0),0)</f>
        <v/>
      </c>
      <c r="AD29" s="64">
        <f>IF('Smart Search'!F13=1,IFERROR(1/'Smart Search'!H13,0),0)</f>
        <v/>
      </c>
      <c r="AE29" s="64">
        <f>IF('Smart Search'!F13=1,IFERROR(1/'Smart Search'!H13,0),0)</f>
        <v/>
      </c>
      <c r="AF29" s="64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4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4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4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4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4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4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4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4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4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4">
        <f>AF29*V29</f>
        <v/>
      </c>
      <c r="AQ29" s="64">
        <f>AG29*W29</f>
        <v/>
      </c>
      <c r="AR29" s="64">
        <f>AH29*X29</f>
        <v/>
      </c>
      <c r="AS29" s="64">
        <f>AI29*Y29</f>
        <v/>
      </c>
      <c r="AT29" s="64">
        <f>AJ29*Z29</f>
        <v/>
      </c>
      <c r="AU29" s="64">
        <f>AK29*AA29</f>
        <v/>
      </c>
      <c r="AV29" s="64">
        <f>AL29*AB29</f>
        <v/>
      </c>
      <c r="AW29" s="64">
        <f>AM29*AC29</f>
        <v/>
      </c>
      <c r="AX29" s="64">
        <f>AN29*AD29</f>
        <v/>
      </c>
      <c r="AY29" s="64">
        <f>AO29*AE29</f>
        <v/>
      </c>
      <c r="AZ29" s="64">
        <f>INDEX(Projects[Automation Equipment],28)&amp;""</f>
        <v/>
      </c>
      <c r="BA29" s="64">
        <f>IF(OR(A29="",'Smart Search'!H13=0),"",MAX(0,BE29*BF29*MAX(0,1-BG29)))</f>
        <v/>
      </c>
      <c r="BB29" s="64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4">
        <f>IF('Smart Search'!G13=1,IFERROR(1/'Smart Search'!H13,0),0)</f>
        <v/>
      </c>
      <c r="BD29" s="64">
        <f>BB29*BC29</f>
        <v/>
      </c>
      <c r="BE29" s="64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IF(A29="","",N(INDEX(Projects[Act Mech Inst],28)))</f>
        <v/>
      </c>
      <c r="BK29" s="5">
        <f>IF(A29="","",N(INDEX(Projects[Act Elec Inst],28)))</f>
        <v/>
      </c>
      <c r="BL29" s="5">
        <f>IF(A29="","",N(INDEX(Projects[Act Project Management],28)))</f>
        <v/>
      </c>
      <c r="BM29" s="5">
        <f>IF(A29="","",N(INDEX(Projects[Act Systems Eng],28)))</f>
        <v/>
      </c>
      <c r="BN29" s="5">
        <f>IF(A29="","",N(INDEX(Projects[Act Mechanical Eng],28)))</f>
        <v/>
      </c>
      <c r="BO29" s="5">
        <f>IF(A29="","",N(INDEX(Projects[Act Structural Engineering],28)))</f>
        <v/>
      </c>
      <c r="BP29" s="5">
        <f>IF(A29="","",N(INDEX(Projects[Act Site Sup],28)))</f>
        <v/>
      </c>
      <c r="BQ29" s="5">
        <f>IF(A29="","",N(INDEX(Projects[Act Controls Commissioning],28)))</f>
        <v/>
      </c>
      <c r="BR29" s="5">
        <f>IF(A29="","",N(INDEX(Projects[Act Systems Commissioning],28)))</f>
        <v/>
      </c>
      <c r="BS29" s="5">
        <f>IF(A29="","",N(INDEX(Projects[Act Service Commissioning],28)))</f>
        <v/>
      </c>
      <c r="BT29" s="5">
        <f>IF(A29="","",N(INDEX(Projects[Act Controls Eng],28)))</f>
        <v/>
      </c>
      <c r="BU29" s="5">
        <f>IF(A29="","",N(INDEX(Projects[Act Controls Purchase],28)))</f>
        <v/>
      </c>
      <c r="BV29" s="5">
        <f>IF(A29="","",N(INDEX(Projects[Act Software Eng],28)))</f>
        <v/>
      </c>
      <c r="BW29" s="5">
        <f>IF(A29="","",N(INDEX(Projects[Act 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INDEX(Projects[Sold Value (USD M)],28)</f>
        <v/>
      </c>
      <c r="CE29" s="5" t="n"/>
      <c r="CF29" s="5">
        <f>IF(A29="","",N(INDEX(Projects[Est Mech Inst],28)))</f>
        <v/>
      </c>
      <c r="CG29" s="5">
        <f>IF(A29="","",N(INDEX(Projects[Est Elec Inst],28)))</f>
        <v/>
      </c>
      <c r="CH29" s="5">
        <f>IF(A29="","",N(INDEX(Projects[Est Project Management],28)))</f>
        <v/>
      </c>
      <c r="CI29" s="5">
        <f>IF(A29="","",N(INDEX(Projects[Est Systems Eng],28)))</f>
        <v/>
      </c>
      <c r="CJ29" s="5">
        <f>IF(A29="","",N(INDEX(Projects[Est Mechanical Eng],28)))</f>
        <v/>
      </c>
      <c r="CK29" s="5">
        <f>IF(A29="","",N(INDEX(Projects[Est Structural Engineering],28)))</f>
        <v/>
      </c>
      <c r="CL29" s="5">
        <f>IF(A29="","",N(INDEX(Projects[Est Site Sup],28)))</f>
        <v/>
      </c>
      <c r="CM29" s="5">
        <f>IF(A29="","",N(INDEX(Projects[Est Controls Commissioning],28)))</f>
        <v/>
      </c>
      <c r="CN29" s="5">
        <f>IF(A29="","",N(INDEX(Projects[Est Systems Commissioning],28)))</f>
        <v/>
      </c>
      <c r="CO29" s="5">
        <f>IF(A29="","",N(INDEX(Projects[Est Service Commissioning],28)))</f>
        <v/>
      </c>
      <c r="CP29" s="5">
        <f>IF(A29="","",N(INDEX(Projects[Est Controls Eng],28)))</f>
        <v/>
      </c>
      <c r="CQ29" s="5">
        <f>IF(A29="","",N(INDEX(Projects[Est Controls Purchase],28)))</f>
        <v/>
      </c>
      <c r="CR29" s="5">
        <f>IF(A29="","",N(INDEX(Projects[Est Software Eng],28)))</f>
        <v/>
      </c>
      <c r="CS29" s="5">
        <f>IF(A29="","",N(INDEX(Projects[Est Misc],28)))</f>
        <v/>
      </c>
      <c r="CT29" s="5">
        <f>IF(A29="","",SUM(CF29:CS29))</f>
        <v/>
      </c>
      <c r="CU29" s="5">
        <f>INDEX(Projects[Est Cost (M)],28)</f>
        <v/>
      </c>
      <c r="CV29" s="5">
        <f>INDEX(Projects[Act Cost (M)],28)</f>
        <v/>
      </c>
      <c r="CW29" s="5">
        <f>INDEX(Projects[Plan Mech Eng (wks)],28)</f>
        <v/>
      </c>
      <c r="CX29" s="5">
        <f>INDEX(Projects[Plan Controls Eng (wks)],28)</f>
        <v/>
      </c>
      <c r="CY29" s="5">
        <f>INDEX(Projects[Plan Systems Eng (wks)],28)</f>
        <v/>
      </c>
      <c r="CZ29" s="5">
        <f>INDEX(Projects[Plan Software Eng (wks)],28)</f>
        <v/>
      </c>
      <c r="DA29" s="5">
        <f>INDEX(Projects[Plan M&amp;E Installation (wks)],28)</f>
        <v/>
      </c>
      <c r="DB29" s="5">
        <f>INDEX(Projects[Plan Commissioning (wks)],28)</f>
        <v/>
      </c>
      <c r="DC29" s="5">
        <f>INDEX(Projects[Plan Total (wks)],28)</f>
        <v/>
      </c>
      <c r="DD29" s="5">
        <f>INDEX(Projects[Act Mech Eng (wks)],28)</f>
        <v/>
      </c>
      <c r="DE29" s="5">
        <f>INDEX(Projects[Act Controls Eng (wks)],28)</f>
        <v/>
      </c>
      <c r="DF29" s="5">
        <f>INDEX(Projects[Act Systems Eng (wks)],28)</f>
        <v/>
      </c>
      <c r="DG29" s="5">
        <f>INDEX(Projects[Act Software Eng (wks)],28)</f>
        <v/>
      </c>
      <c r="DH29" s="5">
        <f>INDEX(Projects[Act M&amp;E Installation (wks)],28)</f>
        <v/>
      </c>
      <c r="DI29" s="5">
        <f>INDEX(Projects[Act Commissioning (wks)],28)</f>
        <v/>
      </c>
      <c r="DJ29" s="5">
        <f>INDEX(Projects[Act Total (wks)],28)</f>
        <v/>
      </c>
    </row>
    <row r="30" ht="15" customHeight="1" s="82">
      <c r="A30" s="64">
        <f>INDEX(Projects[Project ID *],29)&amp;""</f>
        <v/>
      </c>
      <c r="B30" s="64">
        <f>INDEX(Projects[Project Name *],29)&amp;""</f>
        <v/>
      </c>
      <c r="C30" s="64">
        <f>INDEX(Projects[MS Shuttles],29)</f>
        <v/>
      </c>
      <c r="D30" s="64">
        <f>INDEX(Projects[MS Tote Locations],29)</f>
        <v/>
      </c>
      <c r="E30" s="64">
        <f>INDEX(Projects[AS Robots],29)</f>
        <v/>
      </c>
      <c r="F30" s="64">
        <f>INDEX(Projects[AS Tote Locations],29)</f>
        <v/>
      </c>
      <c r="G30" s="64">
        <f>INDEX(Projects[PS Shuttles],29)</f>
        <v/>
      </c>
      <c r="H30" s="64">
        <f>INDEX(Projects[PS Pallet Locations],29)</f>
        <v/>
      </c>
      <c r="I30" s="64">
        <f>INDEX(Projects[SRM Cranes],29)</f>
        <v/>
      </c>
      <c r="J30" s="64">
        <f>INDEX(Projects[SRM Pallet Locations],29)</f>
        <v/>
      </c>
      <c r="K30" s="64">
        <f>INDEX(Projects[Case Conv (m)],29)</f>
        <v/>
      </c>
      <c r="L30" s="64">
        <f>INDEX(Projects[Pallet Conv (m)],29)</f>
        <v/>
      </c>
      <c r="M30" s="64">
        <f>IF(N(DJ30)&gt;0,DD30,CW30)</f>
        <v/>
      </c>
      <c r="N30" s="64">
        <f>IF(N(DJ30)&gt;0,DE30,CX30)</f>
        <v/>
      </c>
      <c r="O30" s="64">
        <f>IF(N(DJ30)&gt;0,DF30,CY30)</f>
        <v/>
      </c>
      <c r="P30" s="64">
        <f>IF(N(DJ30)&gt;0,DG30,CZ30)</f>
        <v/>
      </c>
      <c r="Q30" s="64">
        <f>IF(N(DJ30)&gt;0,DH30,DA30)</f>
        <v/>
      </c>
      <c r="R30" s="64">
        <f>IF(N(DJ30)&gt;0,DI30,DB30)</f>
        <v/>
      </c>
      <c r="S30" s="64">
        <f>IF(N(DJ30)&gt;0,DJ30,DC30)</f>
        <v/>
      </c>
      <c r="T30" s="64">
        <f>INDEX(Projects[Currency],29)&amp;""</f>
        <v/>
      </c>
      <c r="U30" s="65">
        <f>INDEX(Projects[Sold Value (M)],29)</f>
        <v/>
      </c>
      <c r="V30" s="64">
        <f>IF('Smart Search'!B13=1,IFERROR(1/'Smart Search'!H13,0),0)</f>
        <v/>
      </c>
      <c r="W30" s="64">
        <f>IF('Smart Search'!B13=1,IFERROR(1/'Smart Search'!H13,0),0)</f>
        <v/>
      </c>
      <c r="X30" s="64">
        <f>IF('Smart Search'!C13=1,IFERROR(1/'Smart Search'!H13,0),0)</f>
        <v/>
      </c>
      <c r="Y30" s="64">
        <f>IF('Smart Search'!C13=1,IFERROR(1/'Smart Search'!H13,0),0)</f>
        <v/>
      </c>
      <c r="Z30" s="64">
        <f>IF('Smart Search'!D13=1,IFERROR(1/'Smart Search'!H13,0),0)</f>
        <v/>
      </c>
      <c r="AA30" s="64">
        <f>IF('Smart Search'!D13=1,IFERROR(1/'Smart Search'!H13,0),0)</f>
        <v/>
      </c>
      <c r="AB30" s="64">
        <f>IF('Smart Search'!E13=1,IFERROR(1/'Smart Search'!H13,0),0)</f>
        <v/>
      </c>
      <c r="AC30" s="64">
        <f>IF('Smart Search'!E13=1,IFERROR(1/'Smart Search'!H13,0),0)</f>
        <v/>
      </c>
      <c r="AD30" s="64">
        <f>IF('Smart Search'!F13=1,IFERROR(1/'Smart Search'!H13,0),0)</f>
        <v/>
      </c>
      <c r="AE30" s="64">
        <f>IF('Smart Search'!F13=1,IFERROR(1/'Smart Search'!H13,0),0)</f>
        <v/>
      </c>
      <c r="AF30" s="64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4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4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4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4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4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4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4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4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4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4">
        <f>AF30*V30</f>
        <v/>
      </c>
      <c r="AQ30" s="64">
        <f>AG30*W30</f>
        <v/>
      </c>
      <c r="AR30" s="64">
        <f>AH30*X30</f>
        <v/>
      </c>
      <c r="AS30" s="64">
        <f>AI30*Y30</f>
        <v/>
      </c>
      <c r="AT30" s="64">
        <f>AJ30*Z30</f>
        <v/>
      </c>
      <c r="AU30" s="64">
        <f>AK30*AA30</f>
        <v/>
      </c>
      <c r="AV30" s="64">
        <f>AL30*AB30</f>
        <v/>
      </c>
      <c r="AW30" s="64">
        <f>AM30*AC30</f>
        <v/>
      </c>
      <c r="AX30" s="64">
        <f>AN30*AD30</f>
        <v/>
      </c>
      <c r="AY30" s="64">
        <f>AO30*AE30</f>
        <v/>
      </c>
      <c r="AZ30" s="64">
        <f>INDEX(Projects[Automation Equipment],29)&amp;""</f>
        <v/>
      </c>
      <c r="BA30" s="64">
        <f>IF(OR(A30="",'Smart Search'!H13=0),"",MAX(0,BE30*BF30*MAX(0,1-BG30)))</f>
        <v/>
      </c>
      <c r="BB30" s="64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4">
        <f>IF('Smart Search'!G13=1,IFERROR(1/'Smart Search'!H13,0),0)</f>
        <v/>
      </c>
      <c r="BD30" s="64">
        <f>BB30*BC30</f>
        <v/>
      </c>
      <c r="BE30" s="64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IF(A30="","",N(INDEX(Projects[Act Mech Inst],29)))</f>
        <v/>
      </c>
      <c r="BK30" s="5">
        <f>IF(A30="","",N(INDEX(Projects[Act Elec Inst],29)))</f>
        <v/>
      </c>
      <c r="BL30" s="5">
        <f>IF(A30="","",N(INDEX(Projects[Act Project Management],29)))</f>
        <v/>
      </c>
      <c r="BM30" s="5">
        <f>IF(A30="","",N(INDEX(Projects[Act Systems Eng],29)))</f>
        <v/>
      </c>
      <c r="BN30" s="5">
        <f>IF(A30="","",N(INDEX(Projects[Act Mechanical Eng],29)))</f>
        <v/>
      </c>
      <c r="BO30" s="5">
        <f>IF(A30="","",N(INDEX(Projects[Act Structural Engineering],29)))</f>
        <v/>
      </c>
      <c r="BP30" s="5">
        <f>IF(A30="","",N(INDEX(Projects[Act Site Sup],29)))</f>
        <v/>
      </c>
      <c r="BQ30" s="5">
        <f>IF(A30="","",N(INDEX(Projects[Act Controls Commissioning],29)))</f>
        <v/>
      </c>
      <c r="BR30" s="5">
        <f>IF(A30="","",N(INDEX(Projects[Act Systems Commissioning],29)))</f>
        <v/>
      </c>
      <c r="BS30" s="5">
        <f>IF(A30="","",N(INDEX(Projects[Act Service Commissioning],29)))</f>
        <v/>
      </c>
      <c r="BT30" s="5">
        <f>IF(A30="","",N(INDEX(Projects[Act Controls Eng],29)))</f>
        <v/>
      </c>
      <c r="BU30" s="5">
        <f>IF(A30="","",N(INDEX(Projects[Act Controls Purchase],29)))</f>
        <v/>
      </c>
      <c r="BV30" s="5">
        <f>IF(A30="","",N(INDEX(Projects[Act Software Eng],29)))</f>
        <v/>
      </c>
      <c r="BW30" s="5">
        <f>IF(A30="","",N(INDEX(Projects[Act 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INDEX(Projects[Sold Value (USD M)],29)</f>
        <v/>
      </c>
      <c r="CE30" s="5" t="n"/>
      <c r="CF30" s="5">
        <f>IF(A30="","",N(INDEX(Projects[Est Mech Inst],29)))</f>
        <v/>
      </c>
      <c r="CG30" s="5">
        <f>IF(A30="","",N(INDEX(Projects[Est Elec Inst],29)))</f>
        <v/>
      </c>
      <c r="CH30" s="5">
        <f>IF(A30="","",N(INDEX(Projects[Est Project Management],29)))</f>
        <v/>
      </c>
      <c r="CI30" s="5">
        <f>IF(A30="","",N(INDEX(Projects[Est Systems Eng],29)))</f>
        <v/>
      </c>
      <c r="CJ30" s="5">
        <f>IF(A30="","",N(INDEX(Projects[Est Mechanical Eng],29)))</f>
        <v/>
      </c>
      <c r="CK30" s="5">
        <f>IF(A30="","",N(INDEX(Projects[Est Structural Engineering],29)))</f>
        <v/>
      </c>
      <c r="CL30" s="5">
        <f>IF(A30="","",N(INDEX(Projects[Est Site Sup],29)))</f>
        <v/>
      </c>
      <c r="CM30" s="5">
        <f>IF(A30="","",N(INDEX(Projects[Est Controls Commissioning],29)))</f>
        <v/>
      </c>
      <c r="CN30" s="5">
        <f>IF(A30="","",N(INDEX(Projects[Est Systems Commissioning],29)))</f>
        <v/>
      </c>
      <c r="CO30" s="5">
        <f>IF(A30="","",N(INDEX(Projects[Est Service Commissioning],29)))</f>
        <v/>
      </c>
      <c r="CP30" s="5">
        <f>IF(A30="","",N(INDEX(Projects[Est Controls Eng],29)))</f>
        <v/>
      </c>
      <c r="CQ30" s="5">
        <f>IF(A30="","",N(INDEX(Projects[Est Controls Purchase],29)))</f>
        <v/>
      </c>
      <c r="CR30" s="5">
        <f>IF(A30="","",N(INDEX(Projects[Est Software Eng],29)))</f>
        <v/>
      </c>
      <c r="CS30" s="5">
        <f>IF(A30="","",N(INDEX(Projects[Est Misc],29)))</f>
        <v/>
      </c>
      <c r="CT30" s="5">
        <f>IF(A30="","",SUM(CF30:CS30))</f>
        <v/>
      </c>
      <c r="CU30" s="5">
        <f>INDEX(Projects[Est Cost (M)],29)</f>
        <v/>
      </c>
      <c r="CV30" s="5">
        <f>INDEX(Projects[Act Cost (M)],29)</f>
        <v/>
      </c>
      <c r="CW30" s="5">
        <f>INDEX(Projects[Plan Mech Eng (wks)],29)</f>
        <v/>
      </c>
      <c r="CX30" s="5">
        <f>INDEX(Projects[Plan Controls Eng (wks)],29)</f>
        <v/>
      </c>
      <c r="CY30" s="5">
        <f>INDEX(Projects[Plan Systems Eng (wks)],29)</f>
        <v/>
      </c>
      <c r="CZ30" s="5">
        <f>INDEX(Projects[Plan Software Eng (wks)],29)</f>
        <v/>
      </c>
      <c r="DA30" s="5">
        <f>INDEX(Projects[Plan M&amp;E Installation (wks)],29)</f>
        <v/>
      </c>
      <c r="DB30" s="5">
        <f>INDEX(Projects[Plan Commissioning (wks)],29)</f>
        <v/>
      </c>
      <c r="DC30" s="5">
        <f>INDEX(Projects[Plan Total (wks)],29)</f>
        <v/>
      </c>
      <c r="DD30" s="5">
        <f>INDEX(Projects[Act Mech Eng (wks)],29)</f>
        <v/>
      </c>
      <c r="DE30" s="5">
        <f>INDEX(Projects[Act Controls Eng (wks)],29)</f>
        <v/>
      </c>
      <c r="DF30" s="5">
        <f>INDEX(Projects[Act Systems Eng (wks)],29)</f>
        <v/>
      </c>
      <c r="DG30" s="5">
        <f>INDEX(Projects[Act Software Eng (wks)],29)</f>
        <v/>
      </c>
      <c r="DH30" s="5">
        <f>INDEX(Projects[Act M&amp;E Installation (wks)],29)</f>
        <v/>
      </c>
      <c r="DI30" s="5">
        <f>INDEX(Projects[Act Commissioning (wks)],29)</f>
        <v/>
      </c>
      <c r="DJ30" s="5">
        <f>INDEX(Projects[Act Total (wks)],29)</f>
        <v/>
      </c>
    </row>
    <row r="31" ht="15" customHeight="1" s="82">
      <c r="A31" s="64">
        <f>INDEX(Projects[Project ID *],30)&amp;""</f>
        <v/>
      </c>
      <c r="B31" s="64">
        <f>INDEX(Projects[Project Name *],30)&amp;""</f>
        <v/>
      </c>
      <c r="C31" s="64">
        <f>INDEX(Projects[MS Shuttles],30)</f>
        <v/>
      </c>
      <c r="D31" s="64">
        <f>INDEX(Projects[MS Tote Locations],30)</f>
        <v/>
      </c>
      <c r="E31" s="64">
        <f>INDEX(Projects[AS Robots],30)</f>
        <v/>
      </c>
      <c r="F31" s="64">
        <f>INDEX(Projects[AS Tote Locations],30)</f>
        <v/>
      </c>
      <c r="G31" s="64">
        <f>INDEX(Projects[PS Shuttles],30)</f>
        <v/>
      </c>
      <c r="H31" s="64">
        <f>INDEX(Projects[PS Pallet Locations],30)</f>
        <v/>
      </c>
      <c r="I31" s="64">
        <f>INDEX(Projects[SRM Cranes],30)</f>
        <v/>
      </c>
      <c r="J31" s="64">
        <f>INDEX(Projects[SRM Pallet Locations],30)</f>
        <v/>
      </c>
      <c r="K31" s="64">
        <f>INDEX(Projects[Case Conv (m)],30)</f>
        <v/>
      </c>
      <c r="L31" s="64">
        <f>INDEX(Projects[Pallet Conv (m)],30)</f>
        <v/>
      </c>
      <c r="M31" s="64">
        <f>IF(N(DJ31)&gt;0,DD31,CW31)</f>
        <v/>
      </c>
      <c r="N31" s="64">
        <f>IF(N(DJ31)&gt;0,DE31,CX31)</f>
        <v/>
      </c>
      <c r="O31" s="64">
        <f>IF(N(DJ31)&gt;0,DF31,CY31)</f>
        <v/>
      </c>
      <c r="P31" s="64">
        <f>IF(N(DJ31)&gt;0,DG31,CZ31)</f>
        <v/>
      </c>
      <c r="Q31" s="64">
        <f>IF(N(DJ31)&gt;0,DH31,DA31)</f>
        <v/>
      </c>
      <c r="R31" s="64">
        <f>IF(N(DJ31)&gt;0,DI31,DB31)</f>
        <v/>
      </c>
      <c r="S31" s="64">
        <f>IF(N(DJ31)&gt;0,DJ31,DC31)</f>
        <v/>
      </c>
      <c r="T31" s="64">
        <f>INDEX(Projects[Currency],30)&amp;""</f>
        <v/>
      </c>
      <c r="U31" s="65">
        <f>INDEX(Projects[Sold Value (M)],30)</f>
        <v/>
      </c>
      <c r="V31" s="64">
        <f>IF('Smart Search'!B13=1,IFERROR(1/'Smart Search'!H13,0),0)</f>
        <v/>
      </c>
      <c r="W31" s="64">
        <f>IF('Smart Search'!B13=1,IFERROR(1/'Smart Search'!H13,0),0)</f>
        <v/>
      </c>
      <c r="X31" s="64">
        <f>IF('Smart Search'!C13=1,IFERROR(1/'Smart Search'!H13,0),0)</f>
        <v/>
      </c>
      <c r="Y31" s="64">
        <f>IF('Smart Search'!C13=1,IFERROR(1/'Smart Search'!H13,0),0)</f>
        <v/>
      </c>
      <c r="Z31" s="64">
        <f>IF('Smart Search'!D13=1,IFERROR(1/'Smart Search'!H13,0),0)</f>
        <v/>
      </c>
      <c r="AA31" s="64">
        <f>IF('Smart Search'!D13=1,IFERROR(1/'Smart Search'!H13,0),0)</f>
        <v/>
      </c>
      <c r="AB31" s="64">
        <f>IF('Smart Search'!E13=1,IFERROR(1/'Smart Search'!H13,0),0)</f>
        <v/>
      </c>
      <c r="AC31" s="64">
        <f>IF('Smart Search'!E13=1,IFERROR(1/'Smart Search'!H13,0),0)</f>
        <v/>
      </c>
      <c r="AD31" s="64">
        <f>IF('Smart Search'!F13=1,IFERROR(1/'Smart Search'!H13,0),0)</f>
        <v/>
      </c>
      <c r="AE31" s="64">
        <f>IF('Smart Search'!F13=1,IFERROR(1/'Smart Search'!H13,0),0)</f>
        <v/>
      </c>
      <c r="AF31" s="64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4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4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4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4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4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4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4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4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4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4">
        <f>AF31*V31</f>
        <v/>
      </c>
      <c r="AQ31" s="64">
        <f>AG31*W31</f>
        <v/>
      </c>
      <c r="AR31" s="64">
        <f>AH31*X31</f>
        <v/>
      </c>
      <c r="AS31" s="64">
        <f>AI31*Y31</f>
        <v/>
      </c>
      <c r="AT31" s="64">
        <f>AJ31*Z31</f>
        <v/>
      </c>
      <c r="AU31" s="64">
        <f>AK31*AA31</f>
        <v/>
      </c>
      <c r="AV31" s="64">
        <f>AL31*AB31</f>
        <v/>
      </c>
      <c r="AW31" s="64">
        <f>AM31*AC31</f>
        <v/>
      </c>
      <c r="AX31" s="64">
        <f>AN31*AD31</f>
        <v/>
      </c>
      <c r="AY31" s="64">
        <f>AO31*AE31</f>
        <v/>
      </c>
      <c r="AZ31" s="64">
        <f>INDEX(Projects[Automation Equipment],30)&amp;""</f>
        <v/>
      </c>
      <c r="BA31" s="64">
        <f>IF(OR(A31="",'Smart Search'!H13=0),"",MAX(0,BE31*BF31*MAX(0,1-BG31)))</f>
        <v/>
      </c>
      <c r="BB31" s="64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4">
        <f>IF('Smart Search'!G13=1,IFERROR(1/'Smart Search'!H13,0),0)</f>
        <v/>
      </c>
      <c r="BD31" s="64">
        <f>BB31*BC31</f>
        <v/>
      </c>
      <c r="BE31" s="64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IF(A31="","",N(INDEX(Projects[Act Mech Inst],30)))</f>
        <v/>
      </c>
      <c r="BK31" s="5">
        <f>IF(A31="","",N(INDEX(Projects[Act Elec Inst],30)))</f>
        <v/>
      </c>
      <c r="BL31" s="5">
        <f>IF(A31="","",N(INDEX(Projects[Act Project Management],30)))</f>
        <v/>
      </c>
      <c r="BM31" s="5">
        <f>IF(A31="","",N(INDEX(Projects[Act Systems Eng],30)))</f>
        <v/>
      </c>
      <c r="BN31" s="5">
        <f>IF(A31="","",N(INDEX(Projects[Act Mechanical Eng],30)))</f>
        <v/>
      </c>
      <c r="BO31" s="5">
        <f>IF(A31="","",N(INDEX(Projects[Act Structural Engineering],30)))</f>
        <v/>
      </c>
      <c r="BP31" s="5">
        <f>IF(A31="","",N(INDEX(Projects[Act Site Sup],30)))</f>
        <v/>
      </c>
      <c r="BQ31" s="5">
        <f>IF(A31="","",N(INDEX(Projects[Act Controls Commissioning],30)))</f>
        <v/>
      </c>
      <c r="BR31" s="5">
        <f>IF(A31="","",N(INDEX(Projects[Act Systems Commissioning],30)))</f>
        <v/>
      </c>
      <c r="BS31" s="5">
        <f>IF(A31="","",N(INDEX(Projects[Act Service Commissioning],30)))</f>
        <v/>
      </c>
      <c r="BT31" s="5">
        <f>IF(A31="","",N(INDEX(Projects[Act Controls Eng],30)))</f>
        <v/>
      </c>
      <c r="BU31" s="5">
        <f>IF(A31="","",N(INDEX(Projects[Act Controls Purchase],30)))</f>
        <v/>
      </c>
      <c r="BV31" s="5">
        <f>IF(A31="","",N(INDEX(Projects[Act Software Eng],30)))</f>
        <v/>
      </c>
      <c r="BW31" s="5">
        <f>IF(A31="","",N(INDEX(Projects[Act 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INDEX(Projects[Sold Value (USD M)],30)</f>
        <v/>
      </c>
      <c r="CE31" s="5" t="n"/>
      <c r="CF31" s="5">
        <f>IF(A31="","",N(INDEX(Projects[Est Mech Inst],30)))</f>
        <v/>
      </c>
      <c r="CG31" s="5">
        <f>IF(A31="","",N(INDEX(Projects[Est Elec Inst],30)))</f>
        <v/>
      </c>
      <c r="CH31" s="5">
        <f>IF(A31="","",N(INDEX(Projects[Est Project Management],30)))</f>
        <v/>
      </c>
      <c r="CI31" s="5">
        <f>IF(A31="","",N(INDEX(Projects[Est Systems Eng],30)))</f>
        <v/>
      </c>
      <c r="CJ31" s="5">
        <f>IF(A31="","",N(INDEX(Projects[Est Mechanical Eng],30)))</f>
        <v/>
      </c>
      <c r="CK31" s="5">
        <f>IF(A31="","",N(INDEX(Projects[Est Structural Engineering],30)))</f>
        <v/>
      </c>
      <c r="CL31" s="5">
        <f>IF(A31="","",N(INDEX(Projects[Est Site Sup],30)))</f>
        <v/>
      </c>
      <c r="CM31" s="5">
        <f>IF(A31="","",N(INDEX(Projects[Est Controls Commissioning],30)))</f>
        <v/>
      </c>
      <c r="CN31" s="5">
        <f>IF(A31="","",N(INDEX(Projects[Est Systems Commissioning],30)))</f>
        <v/>
      </c>
      <c r="CO31" s="5">
        <f>IF(A31="","",N(INDEX(Projects[Est Service Commissioning],30)))</f>
        <v/>
      </c>
      <c r="CP31" s="5">
        <f>IF(A31="","",N(INDEX(Projects[Est Controls Eng],30)))</f>
        <v/>
      </c>
      <c r="CQ31" s="5">
        <f>IF(A31="","",N(INDEX(Projects[Est Controls Purchase],30)))</f>
        <v/>
      </c>
      <c r="CR31" s="5">
        <f>IF(A31="","",N(INDEX(Projects[Est Software Eng],30)))</f>
        <v/>
      </c>
      <c r="CS31" s="5">
        <f>IF(A31="","",N(INDEX(Projects[Est Misc],30)))</f>
        <v/>
      </c>
      <c r="CT31" s="5">
        <f>IF(A31="","",SUM(CF31:CS31))</f>
        <v/>
      </c>
      <c r="CU31" s="5">
        <f>INDEX(Projects[Est Cost (M)],30)</f>
        <v/>
      </c>
      <c r="CV31" s="5">
        <f>INDEX(Projects[Act Cost (M)],30)</f>
        <v/>
      </c>
      <c r="CW31" s="5">
        <f>INDEX(Projects[Plan Mech Eng (wks)],30)</f>
        <v/>
      </c>
      <c r="CX31" s="5">
        <f>INDEX(Projects[Plan Controls Eng (wks)],30)</f>
        <v/>
      </c>
      <c r="CY31" s="5">
        <f>INDEX(Projects[Plan Systems Eng (wks)],30)</f>
        <v/>
      </c>
      <c r="CZ31" s="5">
        <f>INDEX(Projects[Plan Software Eng (wks)],30)</f>
        <v/>
      </c>
      <c r="DA31" s="5">
        <f>INDEX(Projects[Plan M&amp;E Installation (wks)],30)</f>
        <v/>
      </c>
      <c r="DB31" s="5">
        <f>INDEX(Projects[Plan Commissioning (wks)],30)</f>
        <v/>
      </c>
      <c r="DC31" s="5">
        <f>INDEX(Projects[Plan Total (wks)],30)</f>
        <v/>
      </c>
      <c r="DD31" s="5">
        <f>INDEX(Projects[Act Mech Eng (wks)],30)</f>
        <v/>
      </c>
      <c r="DE31" s="5">
        <f>INDEX(Projects[Act Controls Eng (wks)],30)</f>
        <v/>
      </c>
      <c r="DF31" s="5">
        <f>INDEX(Projects[Act Systems Eng (wks)],30)</f>
        <v/>
      </c>
      <c r="DG31" s="5">
        <f>INDEX(Projects[Act Software Eng (wks)],30)</f>
        <v/>
      </c>
      <c r="DH31" s="5">
        <f>INDEX(Projects[Act M&amp;E Installation (wks)],30)</f>
        <v/>
      </c>
      <c r="DI31" s="5">
        <f>INDEX(Projects[Act Commissioning (wks)],30)</f>
        <v/>
      </c>
      <c r="DJ31" s="5">
        <f>INDEX(Projects[Act Total (wks)],30)</f>
        <v/>
      </c>
    </row>
    <row r="32" ht="15" customHeight="1" s="82">
      <c r="A32" s="64">
        <f>INDEX(Projects[Project ID *],31)&amp;""</f>
        <v/>
      </c>
      <c r="B32" s="64">
        <f>INDEX(Projects[Project Name *],31)&amp;""</f>
        <v/>
      </c>
      <c r="C32" s="64">
        <f>INDEX(Projects[MS Shuttles],31)</f>
        <v/>
      </c>
      <c r="D32" s="64">
        <f>INDEX(Projects[MS Tote Locations],31)</f>
        <v/>
      </c>
      <c r="E32" s="64">
        <f>INDEX(Projects[AS Robots],31)</f>
        <v/>
      </c>
      <c r="F32" s="64">
        <f>INDEX(Projects[AS Tote Locations],31)</f>
        <v/>
      </c>
      <c r="G32" s="64">
        <f>INDEX(Projects[PS Shuttles],31)</f>
        <v/>
      </c>
      <c r="H32" s="64">
        <f>INDEX(Projects[PS Pallet Locations],31)</f>
        <v/>
      </c>
      <c r="I32" s="64">
        <f>INDEX(Projects[SRM Cranes],31)</f>
        <v/>
      </c>
      <c r="J32" s="64">
        <f>INDEX(Projects[SRM Pallet Locations],31)</f>
        <v/>
      </c>
      <c r="K32" s="64">
        <f>INDEX(Projects[Case Conv (m)],31)</f>
        <v/>
      </c>
      <c r="L32" s="64">
        <f>INDEX(Projects[Pallet Conv (m)],31)</f>
        <v/>
      </c>
      <c r="M32" s="64">
        <f>IF(N(DJ32)&gt;0,DD32,CW32)</f>
        <v/>
      </c>
      <c r="N32" s="64">
        <f>IF(N(DJ32)&gt;0,DE32,CX32)</f>
        <v/>
      </c>
      <c r="O32" s="64">
        <f>IF(N(DJ32)&gt;0,DF32,CY32)</f>
        <v/>
      </c>
      <c r="P32" s="64">
        <f>IF(N(DJ32)&gt;0,DG32,CZ32)</f>
        <v/>
      </c>
      <c r="Q32" s="64">
        <f>IF(N(DJ32)&gt;0,DH32,DA32)</f>
        <v/>
      </c>
      <c r="R32" s="64">
        <f>IF(N(DJ32)&gt;0,DI32,DB32)</f>
        <v/>
      </c>
      <c r="S32" s="64">
        <f>IF(N(DJ32)&gt;0,DJ32,DC32)</f>
        <v/>
      </c>
      <c r="T32" s="64">
        <f>INDEX(Projects[Currency],31)&amp;""</f>
        <v/>
      </c>
      <c r="U32" s="65">
        <f>INDEX(Projects[Sold Value (M)],31)</f>
        <v/>
      </c>
      <c r="V32" s="64">
        <f>IF('Smart Search'!B13=1,IFERROR(1/'Smart Search'!H13,0),0)</f>
        <v/>
      </c>
      <c r="W32" s="64">
        <f>IF('Smart Search'!B13=1,IFERROR(1/'Smart Search'!H13,0),0)</f>
        <v/>
      </c>
      <c r="X32" s="64">
        <f>IF('Smart Search'!C13=1,IFERROR(1/'Smart Search'!H13,0),0)</f>
        <v/>
      </c>
      <c r="Y32" s="64">
        <f>IF('Smart Search'!C13=1,IFERROR(1/'Smart Search'!H13,0),0)</f>
        <v/>
      </c>
      <c r="Z32" s="64">
        <f>IF('Smart Search'!D13=1,IFERROR(1/'Smart Search'!H13,0),0)</f>
        <v/>
      </c>
      <c r="AA32" s="64">
        <f>IF('Smart Search'!D13=1,IFERROR(1/'Smart Search'!H13,0),0)</f>
        <v/>
      </c>
      <c r="AB32" s="64">
        <f>IF('Smart Search'!E13=1,IFERROR(1/'Smart Search'!H13,0),0)</f>
        <v/>
      </c>
      <c r="AC32" s="64">
        <f>IF('Smart Search'!E13=1,IFERROR(1/'Smart Search'!H13,0),0)</f>
        <v/>
      </c>
      <c r="AD32" s="64">
        <f>IF('Smart Search'!F13=1,IFERROR(1/'Smart Search'!H13,0),0)</f>
        <v/>
      </c>
      <c r="AE32" s="64">
        <f>IF('Smart Search'!F13=1,IFERROR(1/'Smart Search'!H13,0),0)</f>
        <v/>
      </c>
      <c r="AF32" s="64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4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4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4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4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4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4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4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4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4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4">
        <f>AF32*V32</f>
        <v/>
      </c>
      <c r="AQ32" s="64">
        <f>AG32*W32</f>
        <v/>
      </c>
      <c r="AR32" s="64">
        <f>AH32*X32</f>
        <v/>
      </c>
      <c r="AS32" s="64">
        <f>AI32*Y32</f>
        <v/>
      </c>
      <c r="AT32" s="64">
        <f>AJ32*Z32</f>
        <v/>
      </c>
      <c r="AU32" s="64">
        <f>AK32*AA32</f>
        <v/>
      </c>
      <c r="AV32" s="64">
        <f>AL32*AB32</f>
        <v/>
      </c>
      <c r="AW32" s="64">
        <f>AM32*AC32</f>
        <v/>
      </c>
      <c r="AX32" s="64">
        <f>AN32*AD32</f>
        <v/>
      </c>
      <c r="AY32" s="64">
        <f>AO32*AE32</f>
        <v/>
      </c>
      <c r="AZ32" s="64">
        <f>INDEX(Projects[Automation Equipment],31)&amp;""</f>
        <v/>
      </c>
      <c r="BA32" s="64">
        <f>IF(OR(A32="",'Smart Search'!H13=0),"",MAX(0,BE32*BF32*MAX(0,1-BG32)))</f>
        <v/>
      </c>
      <c r="BB32" s="64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4">
        <f>IF('Smart Search'!G13=1,IFERROR(1/'Smart Search'!H13,0),0)</f>
        <v/>
      </c>
      <c r="BD32" s="64">
        <f>BB32*BC32</f>
        <v/>
      </c>
      <c r="BE32" s="64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IF(A32="","",N(INDEX(Projects[Act Mech Inst],31)))</f>
        <v/>
      </c>
      <c r="BK32" s="5">
        <f>IF(A32="","",N(INDEX(Projects[Act Elec Inst],31)))</f>
        <v/>
      </c>
      <c r="BL32" s="5">
        <f>IF(A32="","",N(INDEX(Projects[Act Project Management],31)))</f>
        <v/>
      </c>
      <c r="BM32" s="5">
        <f>IF(A32="","",N(INDEX(Projects[Act Systems Eng],31)))</f>
        <v/>
      </c>
      <c r="BN32" s="5">
        <f>IF(A32="","",N(INDEX(Projects[Act Mechanical Eng],31)))</f>
        <v/>
      </c>
      <c r="BO32" s="5">
        <f>IF(A32="","",N(INDEX(Projects[Act Structural Engineering],31)))</f>
        <v/>
      </c>
      <c r="BP32" s="5">
        <f>IF(A32="","",N(INDEX(Projects[Act Site Sup],31)))</f>
        <v/>
      </c>
      <c r="BQ32" s="5">
        <f>IF(A32="","",N(INDEX(Projects[Act Controls Commissioning],31)))</f>
        <v/>
      </c>
      <c r="BR32" s="5">
        <f>IF(A32="","",N(INDEX(Projects[Act Systems Commissioning],31)))</f>
        <v/>
      </c>
      <c r="BS32" s="5">
        <f>IF(A32="","",N(INDEX(Projects[Act Service Commissioning],31)))</f>
        <v/>
      </c>
      <c r="BT32" s="5">
        <f>IF(A32="","",N(INDEX(Projects[Act Controls Eng],31)))</f>
        <v/>
      </c>
      <c r="BU32" s="5">
        <f>IF(A32="","",N(INDEX(Projects[Act Controls Purchase],31)))</f>
        <v/>
      </c>
      <c r="BV32" s="5">
        <f>IF(A32="","",N(INDEX(Projects[Act Software Eng],31)))</f>
        <v/>
      </c>
      <c r="BW32" s="5">
        <f>IF(A32="","",N(INDEX(Projects[Act 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INDEX(Projects[Sold Value (USD M)],31)</f>
        <v/>
      </c>
      <c r="CE32" s="5" t="n"/>
      <c r="CF32" s="5">
        <f>IF(A32="","",N(INDEX(Projects[Est Mech Inst],31)))</f>
        <v/>
      </c>
      <c r="CG32" s="5">
        <f>IF(A32="","",N(INDEX(Projects[Est Elec Inst],31)))</f>
        <v/>
      </c>
      <c r="CH32" s="5">
        <f>IF(A32="","",N(INDEX(Projects[Est Project Management],31)))</f>
        <v/>
      </c>
      <c r="CI32" s="5">
        <f>IF(A32="","",N(INDEX(Projects[Est Systems Eng],31)))</f>
        <v/>
      </c>
      <c r="CJ32" s="5">
        <f>IF(A32="","",N(INDEX(Projects[Est Mechanical Eng],31)))</f>
        <v/>
      </c>
      <c r="CK32" s="5">
        <f>IF(A32="","",N(INDEX(Projects[Est Structural Engineering],31)))</f>
        <v/>
      </c>
      <c r="CL32" s="5">
        <f>IF(A32="","",N(INDEX(Projects[Est Site Sup],31)))</f>
        <v/>
      </c>
      <c r="CM32" s="5">
        <f>IF(A32="","",N(INDEX(Projects[Est Controls Commissioning],31)))</f>
        <v/>
      </c>
      <c r="CN32" s="5">
        <f>IF(A32="","",N(INDEX(Projects[Est Systems Commissioning],31)))</f>
        <v/>
      </c>
      <c r="CO32" s="5">
        <f>IF(A32="","",N(INDEX(Projects[Est Service Commissioning],31)))</f>
        <v/>
      </c>
      <c r="CP32" s="5">
        <f>IF(A32="","",N(INDEX(Projects[Est Controls Eng],31)))</f>
        <v/>
      </c>
      <c r="CQ32" s="5">
        <f>IF(A32="","",N(INDEX(Projects[Est Controls Purchase],31)))</f>
        <v/>
      </c>
      <c r="CR32" s="5">
        <f>IF(A32="","",N(INDEX(Projects[Est Software Eng],31)))</f>
        <v/>
      </c>
      <c r="CS32" s="5">
        <f>IF(A32="","",N(INDEX(Projects[Est Misc],31)))</f>
        <v/>
      </c>
      <c r="CT32" s="5">
        <f>IF(A32="","",SUM(CF32:CS32))</f>
        <v/>
      </c>
      <c r="CU32" s="5">
        <f>INDEX(Projects[Est Cost (M)],31)</f>
        <v/>
      </c>
      <c r="CV32" s="5">
        <f>INDEX(Projects[Act Cost (M)],31)</f>
        <v/>
      </c>
      <c r="CW32" s="5">
        <f>INDEX(Projects[Plan Mech Eng (wks)],31)</f>
        <v/>
      </c>
      <c r="CX32" s="5">
        <f>INDEX(Projects[Plan Controls Eng (wks)],31)</f>
        <v/>
      </c>
      <c r="CY32" s="5">
        <f>INDEX(Projects[Plan Systems Eng (wks)],31)</f>
        <v/>
      </c>
      <c r="CZ32" s="5">
        <f>INDEX(Projects[Plan Software Eng (wks)],31)</f>
        <v/>
      </c>
      <c r="DA32" s="5">
        <f>INDEX(Projects[Plan M&amp;E Installation (wks)],31)</f>
        <v/>
      </c>
      <c r="DB32" s="5">
        <f>INDEX(Projects[Plan Commissioning (wks)],31)</f>
        <v/>
      </c>
      <c r="DC32" s="5">
        <f>INDEX(Projects[Plan Total (wks)],31)</f>
        <v/>
      </c>
      <c r="DD32" s="5">
        <f>INDEX(Projects[Act Mech Eng (wks)],31)</f>
        <v/>
      </c>
      <c r="DE32" s="5">
        <f>INDEX(Projects[Act Controls Eng (wks)],31)</f>
        <v/>
      </c>
      <c r="DF32" s="5">
        <f>INDEX(Projects[Act Systems Eng (wks)],31)</f>
        <v/>
      </c>
      <c r="DG32" s="5">
        <f>INDEX(Projects[Act Software Eng (wks)],31)</f>
        <v/>
      </c>
      <c r="DH32" s="5">
        <f>INDEX(Projects[Act M&amp;E Installation (wks)],31)</f>
        <v/>
      </c>
      <c r="DI32" s="5">
        <f>INDEX(Projects[Act Commissioning (wks)],31)</f>
        <v/>
      </c>
      <c r="DJ32" s="5">
        <f>INDEX(Projects[Act Total (wks)],31)</f>
        <v/>
      </c>
    </row>
    <row r="33" ht="15" customHeight="1" s="82">
      <c r="A33" s="64">
        <f>INDEX(Projects[Project ID *],32)&amp;""</f>
        <v/>
      </c>
      <c r="B33" s="64">
        <f>INDEX(Projects[Project Name *],32)&amp;""</f>
        <v/>
      </c>
      <c r="C33" s="64">
        <f>INDEX(Projects[MS Shuttles],32)</f>
        <v/>
      </c>
      <c r="D33" s="64">
        <f>INDEX(Projects[MS Tote Locations],32)</f>
        <v/>
      </c>
      <c r="E33" s="64">
        <f>INDEX(Projects[AS Robots],32)</f>
        <v/>
      </c>
      <c r="F33" s="64">
        <f>INDEX(Projects[AS Tote Locations],32)</f>
        <v/>
      </c>
      <c r="G33" s="64">
        <f>INDEX(Projects[PS Shuttles],32)</f>
        <v/>
      </c>
      <c r="H33" s="64">
        <f>INDEX(Projects[PS Pallet Locations],32)</f>
        <v/>
      </c>
      <c r="I33" s="64">
        <f>INDEX(Projects[SRM Cranes],32)</f>
        <v/>
      </c>
      <c r="J33" s="64">
        <f>INDEX(Projects[SRM Pallet Locations],32)</f>
        <v/>
      </c>
      <c r="K33" s="64">
        <f>INDEX(Projects[Case Conv (m)],32)</f>
        <v/>
      </c>
      <c r="L33" s="64">
        <f>INDEX(Projects[Pallet Conv (m)],32)</f>
        <v/>
      </c>
      <c r="M33" s="64">
        <f>IF(N(DJ33)&gt;0,DD33,CW33)</f>
        <v/>
      </c>
      <c r="N33" s="64">
        <f>IF(N(DJ33)&gt;0,DE33,CX33)</f>
        <v/>
      </c>
      <c r="O33" s="64">
        <f>IF(N(DJ33)&gt;0,DF33,CY33)</f>
        <v/>
      </c>
      <c r="P33" s="64">
        <f>IF(N(DJ33)&gt;0,DG33,CZ33)</f>
        <v/>
      </c>
      <c r="Q33" s="64">
        <f>IF(N(DJ33)&gt;0,DH33,DA33)</f>
        <v/>
      </c>
      <c r="R33" s="64">
        <f>IF(N(DJ33)&gt;0,DI33,DB33)</f>
        <v/>
      </c>
      <c r="S33" s="64">
        <f>IF(N(DJ33)&gt;0,DJ33,DC33)</f>
        <v/>
      </c>
      <c r="T33" s="64">
        <f>INDEX(Projects[Currency],32)&amp;""</f>
        <v/>
      </c>
      <c r="U33" s="65">
        <f>INDEX(Projects[Sold Value (M)],32)</f>
        <v/>
      </c>
      <c r="V33" s="64">
        <f>IF('Smart Search'!B13=1,IFERROR(1/'Smart Search'!H13,0),0)</f>
        <v/>
      </c>
      <c r="W33" s="64">
        <f>IF('Smart Search'!B13=1,IFERROR(1/'Smart Search'!H13,0),0)</f>
        <v/>
      </c>
      <c r="X33" s="64">
        <f>IF('Smart Search'!C13=1,IFERROR(1/'Smart Search'!H13,0),0)</f>
        <v/>
      </c>
      <c r="Y33" s="64">
        <f>IF('Smart Search'!C13=1,IFERROR(1/'Smart Search'!H13,0),0)</f>
        <v/>
      </c>
      <c r="Z33" s="64">
        <f>IF('Smart Search'!D13=1,IFERROR(1/'Smart Search'!H13,0),0)</f>
        <v/>
      </c>
      <c r="AA33" s="64">
        <f>IF('Smart Search'!D13=1,IFERROR(1/'Smart Search'!H13,0),0)</f>
        <v/>
      </c>
      <c r="AB33" s="64">
        <f>IF('Smart Search'!E13=1,IFERROR(1/'Smart Search'!H13,0),0)</f>
        <v/>
      </c>
      <c r="AC33" s="64">
        <f>IF('Smart Search'!E13=1,IFERROR(1/'Smart Search'!H13,0),0)</f>
        <v/>
      </c>
      <c r="AD33" s="64">
        <f>IF('Smart Search'!F13=1,IFERROR(1/'Smart Search'!H13,0),0)</f>
        <v/>
      </c>
      <c r="AE33" s="64">
        <f>IF('Smart Search'!F13=1,IFERROR(1/'Smart Search'!H13,0),0)</f>
        <v/>
      </c>
      <c r="AF33" s="64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4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4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4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4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4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4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4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4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4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4">
        <f>AF33*V33</f>
        <v/>
      </c>
      <c r="AQ33" s="64">
        <f>AG33*W33</f>
        <v/>
      </c>
      <c r="AR33" s="64">
        <f>AH33*X33</f>
        <v/>
      </c>
      <c r="AS33" s="64">
        <f>AI33*Y33</f>
        <v/>
      </c>
      <c r="AT33" s="64">
        <f>AJ33*Z33</f>
        <v/>
      </c>
      <c r="AU33" s="64">
        <f>AK33*AA33</f>
        <v/>
      </c>
      <c r="AV33" s="64">
        <f>AL33*AB33</f>
        <v/>
      </c>
      <c r="AW33" s="64">
        <f>AM33*AC33</f>
        <v/>
      </c>
      <c r="AX33" s="64">
        <f>AN33*AD33</f>
        <v/>
      </c>
      <c r="AY33" s="64">
        <f>AO33*AE33</f>
        <v/>
      </c>
      <c r="AZ33" s="64">
        <f>INDEX(Projects[Automation Equipment],32)&amp;""</f>
        <v/>
      </c>
      <c r="BA33" s="64">
        <f>IF(OR(A33="",'Smart Search'!H13=0),"",MAX(0,BE33*BF33*MAX(0,1-BG33)))</f>
        <v/>
      </c>
      <c r="BB33" s="64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4">
        <f>IF('Smart Search'!G13=1,IFERROR(1/'Smart Search'!H13,0),0)</f>
        <v/>
      </c>
      <c r="BD33" s="64">
        <f>BB33*BC33</f>
        <v/>
      </c>
      <c r="BE33" s="64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IF(A33="","",N(INDEX(Projects[Act Mech Inst],32)))</f>
        <v/>
      </c>
      <c r="BK33" s="5">
        <f>IF(A33="","",N(INDEX(Projects[Act Elec Inst],32)))</f>
        <v/>
      </c>
      <c r="BL33" s="5">
        <f>IF(A33="","",N(INDEX(Projects[Act Project Management],32)))</f>
        <v/>
      </c>
      <c r="BM33" s="5">
        <f>IF(A33="","",N(INDEX(Projects[Act Systems Eng],32)))</f>
        <v/>
      </c>
      <c r="BN33" s="5">
        <f>IF(A33="","",N(INDEX(Projects[Act Mechanical Eng],32)))</f>
        <v/>
      </c>
      <c r="BO33" s="5">
        <f>IF(A33="","",N(INDEX(Projects[Act Structural Engineering],32)))</f>
        <v/>
      </c>
      <c r="BP33" s="5">
        <f>IF(A33="","",N(INDEX(Projects[Act Site Sup],32)))</f>
        <v/>
      </c>
      <c r="BQ33" s="5">
        <f>IF(A33="","",N(INDEX(Projects[Act Controls Commissioning],32)))</f>
        <v/>
      </c>
      <c r="BR33" s="5">
        <f>IF(A33="","",N(INDEX(Projects[Act Systems Commissioning],32)))</f>
        <v/>
      </c>
      <c r="BS33" s="5">
        <f>IF(A33="","",N(INDEX(Projects[Act Service Commissioning],32)))</f>
        <v/>
      </c>
      <c r="BT33" s="5">
        <f>IF(A33="","",N(INDEX(Projects[Act Controls Eng],32)))</f>
        <v/>
      </c>
      <c r="BU33" s="5">
        <f>IF(A33="","",N(INDEX(Projects[Act Controls Purchase],32)))</f>
        <v/>
      </c>
      <c r="BV33" s="5">
        <f>IF(A33="","",N(INDEX(Projects[Act Software Eng],32)))</f>
        <v/>
      </c>
      <c r="BW33" s="5">
        <f>IF(A33="","",N(INDEX(Projects[Act 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INDEX(Projects[Sold Value (USD M)],32)</f>
        <v/>
      </c>
      <c r="CE33" s="5" t="n"/>
      <c r="CF33" s="5">
        <f>IF(A33="","",N(INDEX(Projects[Est Mech Inst],32)))</f>
        <v/>
      </c>
      <c r="CG33" s="5">
        <f>IF(A33="","",N(INDEX(Projects[Est Elec Inst],32)))</f>
        <v/>
      </c>
      <c r="CH33" s="5">
        <f>IF(A33="","",N(INDEX(Projects[Est Project Management],32)))</f>
        <v/>
      </c>
      <c r="CI33" s="5">
        <f>IF(A33="","",N(INDEX(Projects[Est Systems Eng],32)))</f>
        <v/>
      </c>
      <c r="CJ33" s="5">
        <f>IF(A33="","",N(INDEX(Projects[Est Mechanical Eng],32)))</f>
        <v/>
      </c>
      <c r="CK33" s="5">
        <f>IF(A33="","",N(INDEX(Projects[Est Structural Engineering],32)))</f>
        <v/>
      </c>
      <c r="CL33" s="5">
        <f>IF(A33="","",N(INDEX(Projects[Est Site Sup],32)))</f>
        <v/>
      </c>
      <c r="CM33" s="5">
        <f>IF(A33="","",N(INDEX(Projects[Est Controls Commissioning],32)))</f>
        <v/>
      </c>
      <c r="CN33" s="5">
        <f>IF(A33="","",N(INDEX(Projects[Est Systems Commissioning],32)))</f>
        <v/>
      </c>
      <c r="CO33" s="5">
        <f>IF(A33="","",N(INDEX(Projects[Est Service Commissioning],32)))</f>
        <v/>
      </c>
      <c r="CP33" s="5">
        <f>IF(A33="","",N(INDEX(Projects[Est Controls Eng],32)))</f>
        <v/>
      </c>
      <c r="CQ33" s="5">
        <f>IF(A33="","",N(INDEX(Projects[Est Controls Purchase],32)))</f>
        <v/>
      </c>
      <c r="CR33" s="5">
        <f>IF(A33="","",N(INDEX(Projects[Est Software Eng],32)))</f>
        <v/>
      </c>
      <c r="CS33" s="5">
        <f>IF(A33="","",N(INDEX(Projects[Est Misc],32)))</f>
        <v/>
      </c>
      <c r="CT33" s="5">
        <f>IF(A33="","",SUM(CF33:CS33))</f>
        <v/>
      </c>
      <c r="CU33" s="5">
        <f>INDEX(Projects[Est Cost (M)],32)</f>
        <v/>
      </c>
      <c r="CV33" s="5">
        <f>INDEX(Projects[Act Cost (M)],32)</f>
        <v/>
      </c>
      <c r="CW33" s="5">
        <f>INDEX(Projects[Plan Mech Eng (wks)],32)</f>
        <v/>
      </c>
      <c r="CX33" s="5">
        <f>INDEX(Projects[Plan Controls Eng (wks)],32)</f>
        <v/>
      </c>
      <c r="CY33" s="5">
        <f>INDEX(Projects[Plan Systems Eng (wks)],32)</f>
        <v/>
      </c>
      <c r="CZ33" s="5">
        <f>INDEX(Projects[Plan Software Eng (wks)],32)</f>
        <v/>
      </c>
      <c r="DA33" s="5">
        <f>INDEX(Projects[Plan M&amp;E Installation (wks)],32)</f>
        <v/>
      </c>
      <c r="DB33" s="5">
        <f>INDEX(Projects[Plan Commissioning (wks)],32)</f>
        <v/>
      </c>
      <c r="DC33" s="5">
        <f>INDEX(Projects[Plan Total (wks)],32)</f>
        <v/>
      </c>
      <c r="DD33" s="5">
        <f>INDEX(Projects[Act Mech Eng (wks)],32)</f>
        <v/>
      </c>
      <c r="DE33" s="5">
        <f>INDEX(Projects[Act Controls Eng (wks)],32)</f>
        <v/>
      </c>
      <c r="DF33" s="5">
        <f>INDEX(Projects[Act Systems Eng (wks)],32)</f>
        <v/>
      </c>
      <c r="DG33" s="5">
        <f>INDEX(Projects[Act Software Eng (wks)],32)</f>
        <v/>
      </c>
      <c r="DH33" s="5">
        <f>INDEX(Projects[Act M&amp;E Installation (wks)],32)</f>
        <v/>
      </c>
      <c r="DI33" s="5">
        <f>INDEX(Projects[Act Commissioning (wks)],32)</f>
        <v/>
      </c>
      <c r="DJ33" s="5">
        <f>INDEX(Projects[Act Total (wks)],32)</f>
        <v/>
      </c>
    </row>
    <row r="34" ht="15" customHeight="1" s="82">
      <c r="A34" s="64">
        <f>INDEX(Projects[Project ID *],33)&amp;""</f>
        <v/>
      </c>
      <c r="B34" s="64">
        <f>INDEX(Projects[Project Name *],33)&amp;""</f>
        <v/>
      </c>
      <c r="C34" s="64">
        <f>INDEX(Projects[MS Shuttles],33)</f>
        <v/>
      </c>
      <c r="D34" s="64">
        <f>INDEX(Projects[MS Tote Locations],33)</f>
        <v/>
      </c>
      <c r="E34" s="64">
        <f>INDEX(Projects[AS Robots],33)</f>
        <v/>
      </c>
      <c r="F34" s="64">
        <f>INDEX(Projects[AS Tote Locations],33)</f>
        <v/>
      </c>
      <c r="G34" s="64">
        <f>INDEX(Projects[PS Shuttles],33)</f>
        <v/>
      </c>
      <c r="H34" s="64">
        <f>INDEX(Projects[PS Pallet Locations],33)</f>
        <v/>
      </c>
      <c r="I34" s="64">
        <f>INDEX(Projects[SRM Cranes],33)</f>
        <v/>
      </c>
      <c r="J34" s="64">
        <f>INDEX(Projects[SRM Pallet Locations],33)</f>
        <v/>
      </c>
      <c r="K34" s="64">
        <f>INDEX(Projects[Case Conv (m)],33)</f>
        <v/>
      </c>
      <c r="L34" s="64">
        <f>INDEX(Projects[Pallet Conv (m)],33)</f>
        <v/>
      </c>
      <c r="M34" s="64">
        <f>IF(N(DJ34)&gt;0,DD34,CW34)</f>
        <v/>
      </c>
      <c r="N34" s="64">
        <f>IF(N(DJ34)&gt;0,DE34,CX34)</f>
        <v/>
      </c>
      <c r="O34" s="64">
        <f>IF(N(DJ34)&gt;0,DF34,CY34)</f>
        <v/>
      </c>
      <c r="P34" s="64">
        <f>IF(N(DJ34)&gt;0,DG34,CZ34)</f>
        <v/>
      </c>
      <c r="Q34" s="64">
        <f>IF(N(DJ34)&gt;0,DH34,DA34)</f>
        <v/>
      </c>
      <c r="R34" s="64">
        <f>IF(N(DJ34)&gt;0,DI34,DB34)</f>
        <v/>
      </c>
      <c r="S34" s="64">
        <f>IF(N(DJ34)&gt;0,DJ34,DC34)</f>
        <v/>
      </c>
      <c r="T34" s="64">
        <f>INDEX(Projects[Currency],33)&amp;""</f>
        <v/>
      </c>
      <c r="U34" s="65">
        <f>INDEX(Projects[Sold Value (M)],33)</f>
        <v/>
      </c>
      <c r="V34" s="64">
        <f>IF('Smart Search'!B13=1,IFERROR(1/'Smart Search'!H13,0),0)</f>
        <v/>
      </c>
      <c r="W34" s="64">
        <f>IF('Smart Search'!B13=1,IFERROR(1/'Smart Search'!H13,0),0)</f>
        <v/>
      </c>
      <c r="X34" s="64">
        <f>IF('Smart Search'!C13=1,IFERROR(1/'Smart Search'!H13,0),0)</f>
        <v/>
      </c>
      <c r="Y34" s="64">
        <f>IF('Smart Search'!C13=1,IFERROR(1/'Smart Search'!H13,0),0)</f>
        <v/>
      </c>
      <c r="Z34" s="64">
        <f>IF('Smart Search'!D13=1,IFERROR(1/'Smart Search'!H13,0),0)</f>
        <v/>
      </c>
      <c r="AA34" s="64">
        <f>IF('Smart Search'!D13=1,IFERROR(1/'Smart Search'!H13,0),0)</f>
        <v/>
      </c>
      <c r="AB34" s="64">
        <f>IF('Smart Search'!E13=1,IFERROR(1/'Smart Search'!H13,0),0)</f>
        <v/>
      </c>
      <c r="AC34" s="64">
        <f>IF('Smart Search'!E13=1,IFERROR(1/'Smart Search'!H13,0),0)</f>
        <v/>
      </c>
      <c r="AD34" s="64">
        <f>IF('Smart Search'!F13=1,IFERROR(1/'Smart Search'!H13,0),0)</f>
        <v/>
      </c>
      <c r="AE34" s="64">
        <f>IF('Smart Search'!F13=1,IFERROR(1/'Smart Search'!H13,0),0)</f>
        <v/>
      </c>
      <c r="AF34" s="64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4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4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4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4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4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4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4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4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4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4">
        <f>AF34*V34</f>
        <v/>
      </c>
      <c r="AQ34" s="64">
        <f>AG34*W34</f>
        <v/>
      </c>
      <c r="AR34" s="64">
        <f>AH34*X34</f>
        <v/>
      </c>
      <c r="AS34" s="64">
        <f>AI34*Y34</f>
        <v/>
      </c>
      <c r="AT34" s="64">
        <f>AJ34*Z34</f>
        <v/>
      </c>
      <c r="AU34" s="64">
        <f>AK34*AA34</f>
        <v/>
      </c>
      <c r="AV34" s="64">
        <f>AL34*AB34</f>
        <v/>
      </c>
      <c r="AW34" s="64">
        <f>AM34*AC34</f>
        <v/>
      </c>
      <c r="AX34" s="64">
        <f>AN34*AD34</f>
        <v/>
      </c>
      <c r="AY34" s="64">
        <f>AO34*AE34</f>
        <v/>
      </c>
      <c r="AZ34" s="64">
        <f>INDEX(Projects[Automation Equipment],33)&amp;""</f>
        <v/>
      </c>
      <c r="BA34" s="64">
        <f>IF(OR(A34="",'Smart Search'!H13=0),"",MAX(0,BE34*BF34*MAX(0,1-BG34)))</f>
        <v/>
      </c>
      <c r="BB34" s="64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4">
        <f>IF('Smart Search'!G13=1,IFERROR(1/'Smart Search'!H13,0),0)</f>
        <v/>
      </c>
      <c r="BD34" s="64">
        <f>BB34*BC34</f>
        <v/>
      </c>
      <c r="BE34" s="64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IF(A34="","",N(INDEX(Projects[Act Mech Inst],33)))</f>
        <v/>
      </c>
      <c r="BK34" s="5">
        <f>IF(A34="","",N(INDEX(Projects[Act Elec Inst],33)))</f>
        <v/>
      </c>
      <c r="BL34" s="5">
        <f>IF(A34="","",N(INDEX(Projects[Act Project Management],33)))</f>
        <v/>
      </c>
      <c r="BM34" s="5">
        <f>IF(A34="","",N(INDEX(Projects[Act Systems Eng],33)))</f>
        <v/>
      </c>
      <c r="BN34" s="5">
        <f>IF(A34="","",N(INDEX(Projects[Act Mechanical Eng],33)))</f>
        <v/>
      </c>
      <c r="BO34" s="5">
        <f>IF(A34="","",N(INDEX(Projects[Act Structural Engineering],33)))</f>
        <v/>
      </c>
      <c r="BP34" s="5">
        <f>IF(A34="","",N(INDEX(Projects[Act Site Sup],33)))</f>
        <v/>
      </c>
      <c r="BQ34" s="5">
        <f>IF(A34="","",N(INDEX(Projects[Act Controls Commissioning],33)))</f>
        <v/>
      </c>
      <c r="BR34" s="5">
        <f>IF(A34="","",N(INDEX(Projects[Act Systems Commissioning],33)))</f>
        <v/>
      </c>
      <c r="BS34" s="5">
        <f>IF(A34="","",N(INDEX(Projects[Act Service Commissioning],33)))</f>
        <v/>
      </c>
      <c r="BT34" s="5">
        <f>IF(A34="","",N(INDEX(Projects[Act Controls Eng],33)))</f>
        <v/>
      </c>
      <c r="BU34" s="5">
        <f>IF(A34="","",N(INDEX(Projects[Act Controls Purchase],33)))</f>
        <v/>
      </c>
      <c r="BV34" s="5">
        <f>IF(A34="","",N(INDEX(Projects[Act Software Eng],33)))</f>
        <v/>
      </c>
      <c r="BW34" s="5">
        <f>IF(A34="","",N(INDEX(Projects[Act 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INDEX(Projects[Sold Value (USD M)],33)</f>
        <v/>
      </c>
      <c r="CE34" s="5" t="n"/>
      <c r="CF34" s="5">
        <f>IF(A34="","",N(INDEX(Projects[Est Mech Inst],33)))</f>
        <v/>
      </c>
      <c r="CG34" s="5">
        <f>IF(A34="","",N(INDEX(Projects[Est Elec Inst],33)))</f>
        <v/>
      </c>
      <c r="CH34" s="5">
        <f>IF(A34="","",N(INDEX(Projects[Est Project Management],33)))</f>
        <v/>
      </c>
      <c r="CI34" s="5">
        <f>IF(A34="","",N(INDEX(Projects[Est Systems Eng],33)))</f>
        <v/>
      </c>
      <c r="CJ34" s="5">
        <f>IF(A34="","",N(INDEX(Projects[Est Mechanical Eng],33)))</f>
        <v/>
      </c>
      <c r="CK34" s="5">
        <f>IF(A34="","",N(INDEX(Projects[Est Structural Engineering],33)))</f>
        <v/>
      </c>
      <c r="CL34" s="5">
        <f>IF(A34="","",N(INDEX(Projects[Est Site Sup],33)))</f>
        <v/>
      </c>
      <c r="CM34" s="5">
        <f>IF(A34="","",N(INDEX(Projects[Est Controls Commissioning],33)))</f>
        <v/>
      </c>
      <c r="CN34" s="5">
        <f>IF(A34="","",N(INDEX(Projects[Est Systems Commissioning],33)))</f>
        <v/>
      </c>
      <c r="CO34" s="5">
        <f>IF(A34="","",N(INDEX(Projects[Est Service Commissioning],33)))</f>
        <v/>
      </c>
      <c r="CP34" s="5">
        <f>IF(A34="","",N(INDEX(Projects[Est Controls Eng],33)))</f>
        <v/>
      </c>
      <c r="CQ34" s="5">
        <f>IF(A34="","",N(INDEX(Projects[Est Controls Purchase],33)))</f>
        <v/>
      </c>
      <c r="CR34" s="5">
        <f>IF(A34="","",N(INDEX(Projects[Est Software Eng],33)))</f>
        <v/>
      </c>
      <c r="CS34" s="5">
        <f>IF(A34="","",N(INDEX(Projects[Est Misc],33)))</f>
        <v/>
      </c>
      <c r="CT34" s="5">
        <f>IF(A34="","",SUM(CF34:CS34))</f>
        <v/>
      </c>
      <c r="CU34" s="5">
        <f>INDEX(Projects[Est Cost (M)],33)</f>
        <v/>
      </c>
      <c r="CV34" s="5">
        <f>INDEX(Projects[Act Cost (M)],33)</f>
        <v/>
      </c>
      <c r="CW34" s="5">
        <f>INDEX(Projects[Plan Mech Eng (wks)],33)</f>
        <v/>
      </c>
      <c r="CX34" s="5">
        <f>INDEX(Projects[Plan Controls Eng (wks)],33)</f>
        <v/>
      </c>
      <c r="CY34" s="5">
        <f>INDEX(Projects[Plan Systems Eng (wks)],33)</f>
        <v/>
      </c>
      <c r="CZ34" s="5">
        <f>INDEX(Projects[Plan Software Eng (wks)],33)</f>
        <v/>
      </c>
      <c r="DA34" s="5">
        <f>INDEX(Projects[Plan M&amp;E Installation (wks)],33)</f>
        <v/>
      </c>
      <c r="DB34" s="5">
        <f>INDEX(Projects[Plan Commissioning (wks)],33)</f>
        <v/>
      </c>
      <c r="DC34" s="5">
        <f>INDEX(Projects[Plan Total (wks)],33)</f>
        <v/>
      </c>
      <c r="DD34" s="5">
        <f>INDEX(Projects[Act Mech Eng (wks)],33)</f>
        <v/>
      </c>
      <c r="DE34" s="5">
        <f>INDEX(Projects[Act Controls Eng (wks)],33)</f>
        <v/>
      </c>
      <c r="DF34" s="5">
        <f>INDEX(Projects[Act Systems Eng (wks)],33)</f>
        <v/>
      </c>
      <c r="DG34" s="5">
        <f>INDEX(Projects[Act Software Eng (wks)],33)</f>
        <v/>
      </c>
      <c r="DH34" s="5">
        <f>INDEX(Projects[Act M&amp;E Installation (wks)],33)</f>
        <v/>
      </c>
      <c r="DI34" s="5">
        <f>INDEX(Projects[Act Commissioning (wks)],33)</f>
        <v/>
      </c>
      <c r="DJ34" s="5">
        <f>INDEX(Projects[Act Total (wks)],33)</f>
        <v/>
      </c>
    </row>
    <row r="35" ht="15" customHeight="1" s="82">
      <c r="A35" s="64">
        <f>INDEX(Projects[Project ID *],34)&amp;""</f>
        <v/>
      </c>
      <c r="B35" s="64">
        <f>INDEX(Projects[Project Name *],34)&amp;""</f>
        <v/>
      </c>
      <c r="C35" s="64">
        <f>INDEX(Projects[MS Shuttles],34)</f>
        <v/>
      </c>
      <c r="D35" s="64">
        <f>INDEX(Projects[MS Tote Locations],34)</f>
        <v/>
      </c>
      <c r="E35" s="64">
        <f>INDEX(Projects[AS Robots],34)</f>
        <v/>
      </c>
      <c r="F35" s="64">
        <f>INDEX(Projects[AS Tote Locations],34)</f>
        <v/>
      </c>
      <c r="G35" s="64">
        <f>INDEX(Projects[PS Shuttles],34)</f>
        <v/>
      </c>
      <c r="H35" s="64">
        <f>INDEX(Projects[PS Pallet Locations],34)</f>
        <v/>
      </c>
      <c r="I35" s="64">
        <f>INDEX(Projects[SRM Cranes],34)</f>
        <v/>
      </c>
      <c r="J35" s="64">
        <f>INDEX(Projects[SRM Pallet Locations],34)</f>
        <v/>
      </c>
      <c r="K35" s="64">
        <f>INDEX(Projects[Case Conv (m)],34)</f>
        <v/>
      </c>
      <c r="L35" s="64">
        <f>INDEX(Projects[Pallet Conv (m)],34)</f>
        <v/>
      </c>
      <c r="M35" s="64">
        <f>IF(N(DJ35)&gt;0,DD35,CW35)</f>
        <v/>
      </c>
      <c r="N35" s="64">
        <f>IF(N(DJ35)&gt;0,DE35,CX35)</f>
        <v/>
      </c>
      <c r="O35" s="64">
        <f>IF(N(DJ35)&gt;0,DF35,CY35)</f>
        <v/>
      </c>
      <c r="P35" s="64">
        <f>IF(N(DJ35)&gt;0,DG35,CZ35)</f>
        <v/>
      </c>
      <c r="Q35" s="64">
        <f>IF(N(DJ35)&gt;0,DH35,DA35)</f>
        <v/>
      </c>
      <c r="R35" s="64">
        <f>IF(N(DJ35)&gt;0,DI35,DB35)</f>
        <v/>
      </c>
      <c r="S35" s="64">
        <f>IF(N(DJ35)&gt;0,DJ35,DC35)</f>
        <v/>
      </c>
      <c r="T35" s="64">
        <f>INDEX(Projects[Currency],34)&amp;""</f>
        <v/>
      </c>
      <c r="U35" s="65">
        <f>INDEX(Projects[Sold Value (M)],34)</f>
        <v/>
      </c>
      <c r="V35" s="64">
        <f>IF('Smart Search'!B13=1,IFERROR(1/'Smart Search'!H13,0),0)</f>
        <v/>
      </c>
      <c r="W35" s="64">
        <f>IF('Smart Search'!B13=1,IFERROR(1/'Smart Search'!H13,0),0)</f>
        <v/>
      </c>
      <c r="X35" s="64">
        <f>IF('Smart Search'!C13=1,IFERROR(1/'Smart Search'!H13,0),0)</f>
        <v/>
      </c>
      <c r="Y35" s="64">
        <f>IF('Smart Search'!C13=1,IFERROR(1/'Smart Search'!H13,0),0)</f>
        <v/>
      </c>
      <c r="Z35" s="64">
        <f>IF('Smart Search'!D13=1,IFERROR(1/'Smart Search'!H13,0),0)</f>
        <v/>
      </c>
      <c r="AA35" s="64">
        <f>IF('Smart Search'!D13=1,IFERROR(1/'Smart Search'!H13,0),0)</f>
        <v/>
      </c>
      <c r="AB35" s="64">
        <f>IF('Smart Search'!E13=1,IFERROR(1/'Smart Search'!H13,0),0)</f>
        <v/>
      </c>
      <c r="AC35" s="64">
        <f>IF('Smart Search'!E13=1,IFERROR(1/'Smart Search'!H13,0),0)</f>
        <v/>
      </c>
      <c r="AD35" s="64">
        <f>IF('Smart Search'!F13=1,IFERROR(1/'Smart Search'!H13,0),0)</f>
        <v/>
      </c>
      <c r="AE35" s="64">
        <f>IF('Smart Search'!F13=1,IFERROR(1/'Smart Search'!H13,0),0)</f>
        <v/>
      </c>
      <c r="AF35" s="64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4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4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4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4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4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4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4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4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4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4">
        <f>AF35*V35</f>
        <v/>
      </c>
      <c r="AQ35" s="64">
        <f>AG35*W35</f>
        <v/>
      </c>
      <c r="AR35" s="64">
        <f>AH35*X35</f>
        <v/>
      </c>
      <c r="AS35" s="64">
        <f>AI35*Y35</f>
        <v/>
      </c>
      <c r="AT35" s="64">
        <f>AJ35*Z35</f>
        <v/>
      </c>
      <c r="AU35" s="64">
        <f>AK35*AA35</f>
        <v/>
      </c>
      <c r="AV35" s="64">
        <f>AL35*AB35</f>
        <v/>
      </c>
      <c r="AW35" s="64">
        <f>AM35*AC35</f>
        <v/>
      </c>
      <c r="AX35" s="64">
        <f>AN35*AD35</f>
        <v/>
      </c>
      <c r="AY35" s="64">
        <f>AO35*AE35</f>
        <v/>
      </c>
      <c r="AZ35" s="64">
        <f>INDEX(Projects[Automation Equipment],34)&amp;""</f>
        <v/>
      </c>
      <c r="BA35" s="64">
        <f>IF(OR(A35="",'Smart Search'!H13=0),"",MAX(0,BE35*BF35*MAX(0,1-BG35)))</f>
        <v/>
      </c>
      <c r="BB35" s="64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4">
        <f>IF('Smart Search'!G13=1,IFERROR(1/'Smart Search'!H13,0),0)</f>
        <v/>
      </c>
      <c r="BD35" s="64">
        <f>BB35*BC35</f>
        <v/>
      </c>
      <c r="BE35" s="64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IF(A35="","",N(INDEX(Projects[Act Mech Inst],34)))</f>
        <v/>
      </c>
      <c r="BK35" s="5">
        <f>IF(A35="","",N(INDEX(Projects[Act Elec Inst],34)))</f>
        <v/>
      </c>
      <c r="BL35" s="5">
        <f>IF(A35="","",N(INDEX(Projects[Act Project Management],34)))</f>
        <v/>
      </c>
      <c r="BM35" s="5">
        <f>IF(A35="","",N(INDEX(Projects[Act Systems Eng],34)))</f>
        <v/>
      </c>
      <c r="BN35" s="5">
        <f>IF(A35="","",N(INDEX(Projects[Act Mechanical Eng],34)))</f>
        <v/>
      </c>
      <c r="BO35" s="5">
        <f>IF(A35="","",N(INDEX(Projects[Act Structural Engineering],34)))</f>
        <v/>
      </c>
      <c r="BP35" s="5">
        <f>IF(A35="","",N(INDEX(Projects[Act Site Sup],34)))</f>
        <v/>
      </c>
      <c r="BQ35" s="5">
        <f>IF(A35="","",N(INDEX(Projects[Act Controls Commissioning],34)))</f>
        <v/>
      </c>
      <c r="BR35" s="5">
        <f>IF(A35="","",N(INDEX(Projects[Act Systems Commissioning],34)))</f>
        <v/>
      </c>
      <c r="BS35" s="5">
        <f>IF(A35="","",N(INDEX(Projects[Act Service Commissioning],34)))</f>
        <v/>
      </c>
      <c r="BT35" s="5">
        <f>IF(A35="","",N(INDEX(Projects[Act Controls Eng],34)))</f>
        <v/>
      </c>
      <c r="BU35" s="5">
        <f>IF(A35="","",N(INDEX(Projects[Act Controls Purchase],34)))</f>
        <v/>
      </c>
      <c r="BV35" s="5">
        <f>IF(A35="","",N(INDEX(Projects[Act Software Eng],34)))</f>
        <v/>
      </c>
      <c r="BW35" s="5">
        <f>IF(A35="","",N(INDEX(Projects[Act 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INDEX(Projects[Sold Value (USD M)],34)</f>
        <v/>
      </c>
      <c r="CE35" s="5" t="n"/>
      <c r="CF35" s="5">
        <f>IF(A35="","",N(INDEX(Projects[Est Mech Inst],34)))</f>
        <v/>
      </c>
      <c r="CG35" s="5">
        <f>IF(A35="","",N(INDEX(Projects[Est Elec Inst],34)))</f>
        <v/>
      </c>
      <c r="CH35" s="5">
        <f>IF(A35="","",N(INDEX(Projects[Est Project Management],34)))</f>
        <v/>
      </c>
      <c r="CI35" s="5">
        <f>IF(A35="","",N(INDEX(Projects[Est Systems Eng],34)))</f>
        <v/>
      </c>
      <c r="CJ35" s="5">
        <f>IF(A35="","",N(INDEX(Projects[Est Mechanical Eng],34)))</f>
        <v/>
      </c>
      <c r="CK35" s="5">
        <f>IF(A35="","",N(INDEX(Projects[Est Structural Engineering],34)))</f>
        <v/>
      </c>
      <c r="CL35" s="5">
        <f>IF(A35="","",N(INDEX(Projects[Est Site Sup],34)))</f>
        <v/>
      </c>
      <c r="CM35" s="5">
        <f>IF(A35="","",N(INDEX(Projects[Est Controls Commissioning],34)))</f>
        <v/>
      </c>
      <c r="CN35" s="5">
        <f>IF(A35="","",N(INDEX(Projects[Est Systems Commissioning],34)))</f>
        <v/>
      </c>
      <c r="CO35" s="5">
        <f>IF(A35="","",N(INDEX(Projects[Est Service Commissioning],34)))</f>
        <v/>
      </c>
      <c r="CP35" s="5">
        <f>IF(A35="","",N(INDEX(Projects[Est Controls Eng],34)))</f>
        <v/>
      </c>
      <c r="CQ35" s="5">
        <f>IF(A35="","",N(INDEX(Projects[Est Controls Purchase],34)))</f>
        <v/>
      </c>
      <c r="CR35" s="5">
        <f>IF(A35="","",N(INDEX(Projects[Est Software Eng],34)))</f>
        <v/>
      </c>
      <c r="CS35" s="5">
        <f>IF(A35="","",N(INDEX(Projects[Est Misc],34)))</f>
        <v/>
      </c>
      <c r="CT35" s="5">
        <f>IF(A35="","",SUM(CF35:CS35))</f>
        <v/>
      </c>
      <c r="CU35" s="5">
        <f>INDEX(Projects[Est Cost (M)],34)</f>
        <v/>
      </c>
      <c r="CV35" s="5">
        <f>INDEX(Projects[Act Cost (M)],34)</f>
        <v/>
      </c>
      <c r="CW35" s="5">
        <f>INDEX(Projects[Plan Mech Eng (wks)],34)</f>
        <v/>
      </c>
      <c r="CX35" s="5">
        <f>INDEX(Projects[Plan Controls Eng (wks)],34)</f>
        <v/>
      </c>
      <c r="CY35" s="5">
        <f>INDEX(Projects[Plan Systems Eng (wks)],34)</f>
        <v/>
      </c>
      <c r="CZ35" s="5">
        <f>INDEX(Projects[Plan Software Eng (wks)],34)</f>
        <v/>
      </c>
      <c r="DA35" s="5">
        <f>INDEX(Projects[Plan M&amp;E Installation (wks)],34)</f>
        <v/>
      </c>
      <c r="DB35" s="5">
        <f>INDEX(Projects[Plan Commissioning (wks)],34)</f>
        <v/>
      </c>
      <c r="DC35" s="5">
        <f>INDEX(Projects[Plan Total (wks)],34)</f>
        <v/>
      </c>
      <c r="DD35" s="5">
        <f>INDEX(Projects[Act Mech Eng (wks)],34)</f>
        <v/>
      </c>
      <c r="DE35" s="5">
        <f>INDEX(Projects[Act Controls Eng (wks)],34)</f>
        <v/>
      </c>
      <c r="DF35" s="5">
        <f>INDEX(Projects[Act Systems Eng (wks)],34)</f>
        <v/>
      </c>
      <c r="DG35" s="5">
        <f>INDEX(Projects[Act Software Eng (wks)],34)</f>
        <v/>
      </c>
      <c r="DH35" s="5">
        <f>INDEX(Projects[Act M&amp;E Installation (wks)],34)</f>
        <v/>
      </c>
      <c r="DI35" s="5">
        <f>INDEX(Projects[Act Commissioning (wks)],34)</f>
        <v/>
      </c>
      <c r="DJ35" s="5">
        <f>INDEX(Projects[Act Total (wks)],34)</f>
        <v/>
      </c>
    </row>
    <row r="36" ht="15" customHeight="1" s="82">
      <c r="A36" s="64">
        <f>INDEX(Projects[Project ID *],35)&amp;""</f>
        <v/>
      </c>
      <c r="B36" s="64">
        <f>INDEX(Projects[Project Name *],35)&amp;""</f>
        <v/>
      </c>
      <c r="C36" s="64">
        <f>INDEX(Projects[MS Shuttles],35)</f>
        <v/>
      </c>
      <c r="D36" s="64">
        <f>INDEX(Projects[MS Tote Locations],35)</f>
        <v/>
      </c>
      <c r="E36" s="64">
        <f>INDEX(Projects[AS Robots],35)</f>
        <v/>
      </c>
      <c r="F36" s="64">
        <f>INDEX(Projects[AS Tote Locations],35)</f>
        <v/>
      </c>
      <c r="G36" s="64">
        <f>INDEX(Projects[PS Shuttles],35)</f>
        <v/>
      </c>
      <c r="H36" s="64">
        <f>INDEX(Projects[PS Pallet Locations],35)</f>
        <v/>
      </c>
      <c r="I36" s="64">
        <f>INDEX(Projects[SRM Cranes],35)</f>
        <v/>
      </c>
      <c r="J36" s="64">
        <f>INDEX(Projects[SRM Pallet Locations],35)</f>
        <v/>
      </c>
      <c r="K36" s="64">
        <f>INDEX(Projects[Case Conv (m)],35)</f>
        <v/>
      </c>
      <c r="L36" s="64">
        <f>INDEX(Projects[Pallet Conv (m)],35)</f>
        <v/>
      </c>
      <c r="M36" s="64">
        <f>IF(N(DJ36)&gt;0,DD36,CW36)</f>
        <v/>
      </c>
      <c r="N36" s="64">
        <f>IF(N(DJ36)&gt;0,DE36,CX36)</f>
        <v/>
      </c>
      <c r="O36" s="64">
        <f>IF(N(DJ36)&gt;0,DF36,CY36)</f>
        <v/>
      </c>
      <c r="P36" s="64">
        <f>IF(N(DJ36)&gt;0,DG36,CZ36)</f>
        <v/>
      </c>
      <c r="Q36" s="64">
        <f>IF(N(DJ36)&gt;0,DH36,DA36)</f>
        <v/>
      </c>
      <c r="R36" s="64">
        <f>IF(N(DJ36)&gt;0,DI36,DB36)</f>
        <v/>
      </c>
      <c r="S36" s="64">
        <f>IF(N(DJ36)&gt;0,DJ36,DC36)</f>
        <v/>
      </c>
      <c r="T36" s="64">
        <f>INDEX(Projects[Currency],35)&amp;""</f>
        <v/>
      </c>
      <c r="U36" s="65">
        <f>INDEX(Projects[Sold Value (M)],35)</f>
        <v/>
      </c>
      <c r="V36" s="64">
        <f>IF('Smart Search'!B13=1,IFERROR(1/'Smart Search'!H13,0),0)</f>
        <v/>
      </c>
      <c r="W36" s="64">
        <f>IF('Smart Search'!B13=1,IFERROR(1/'Smart Search'!H13,0),0)</f>
        <v/>
      </c>
      <c r="X36" s="64">
        <f>IF('Smart Search'!C13=1,IFERROR(1/'Smart Search'!H13,0),0)</f>
        <v/>
      </c>
      <c r="Y36" s="64">
        <f>IF('Smart Search'!C13=1,IFERROR(1/'Smart Search'!H13,0),0)</f>
        <v/>
      </c>
      <c r="Z36" s="64">
        <f>IF('Smart Search'!D13=1,IFERROR(1/'Smart Search'!H13,0),0)</f>
        <v/>
      </c>
      <c r="AA36" s="64">
        <f>IF('Smart Search'!D13=1,IFERROR(1/'Smart Search'!H13,0),0)</f>
        <v/>
      </c>
      <c r="AB36" s="64">
        <f>IF('Smart Search'!E13=1,IFERROR(1/'Smart Search'!H13,0),0)</f>
        <v/>
      </c>
      <c r="AC36" s="64">
        <f>IF('Smart Search'!E13=1,IFERROR(1/'Smart Search'!H13,0),0)</f>
        <v/>
      </c>
      <c r="AD36" s="64">
        <f>IF('Smart Search'!F13=1,IFERROR(1/'Smart Search'!H13,0),0)</f>
        <v/>
      </c>
      <c r="AE36" s="64">
        <f>IF('Smart Search'!F13=1,IFERROR(1/'Smart Search'!H13,0),0)</f>
        <v/>
      </c>
      <c r="AF36" s="64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4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4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4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4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4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4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4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4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4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4">
        <f>AF36*V36</f>
        <v/>
      </c>
      <c r="AQ36" s="64">
        <f>AG36*W36</f>
        <v/>
      </c>
      <c r="AR36" s="64">
        <f>AH36*X36</f>
        <v/>
      </c>
      <c r="AS36" s="64">
        <f>AI36*Y36</f>
        <v/>
      </c>
      <c r="AT36" s="64">
        <f>AJ36*Z36</f>
        <v/>
      </c>
      <c r="AU36" s="64">
        <f>AK36*AA36</f>
        <v/>
      </c>
      <c r="AV36" s="64">
        <f>AL36*AB36</f>
        <v/>
      </c>
      <c r="AW36" s="64">
        <f>AM36*AC36</f>
        <v/>
      </c>
      <c r="AX36" s="64">
        <f>AN36*AD36</f>
        <v/>
      </c>
      <c r="AY36" s="64">
        <f>AO36*AE36</f>
        <v/>
      </c>
      <c r="AZ36" s="64">
        <f>INDEX(Projects[Automation Equipment],35)&amp;""</f>
        <v/>
      </c>
      <c r="BA36" s="64">
        <f>IF(OR(A36="",'Smart Search'!H13=0),"",MAX(0,BE36*BF36*MAX(0,1-BG36)))</f>
        <v/>
      </c>
      <c r="BB36" s="64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4">
        <f>IF('Smart Search'!G13=1,IFERROR(1/'Smart Search'!H13,0),0)</f>
        <v/>
      </c>
      <c r="BD36" s="64">
        <f>BB36*BC36</f>
        <v/>
      </c>
      <c r="BE36" s="64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IF(A36="","",N(INDEX(Projects[Act Mech Inst],35)))</f>
        <v/>
      </c>
      <c r="BK36" s="5">
        <f>IF(A36="","",N(INDEX(Projects[Act Elec Inst],35)))</f>
        <v/>
      </c>
      <c r="BL36" s="5">
        <f>IF(A36="","",N(INDEX(Projects[Act Project Management],35)))</f>
        <v/>
      </c>
      <c r="BM36" s="5">
        <f>IF(A36="","",N(INDEX(Projects[Act Systems Eng],35)))</f>
        <v/>
      </c>
      <c r="BN36" s="5">
        <f>IF(A36="","",N(INDEX(Projects[Act Mechanical Eng],35)))</f>
        <v/>
      </c>
      <c r="BO36" s="5">
        <f>IF(A36="","",N(INDEX(Projects[Act Structural Engineering],35)))</f>
        <v/>
      </c>
      <c r="BP36" s="5">
        <f>IF(A36="","",N(INDEX(Projects[Act Site Sup],35)))</f>
        <v/>
      </c>
      <c r="BQ36" s="5">
        <f>IF(A36="","",N(INDEX(Projects[Act Controls Commissioning],35)))</f>
        <v/>
      </c>
      <c r="BR36" s="5">
        <f>IF(A36="","",N(INDEX(Projects[Act Systems Commissioning],35)))</f>
        <v/>
      </c>
      <c r="BS36" s="5">
        <f>IF(A36="","",N(INDEX(Projects[Act Service Commissioning],35)))</f>
        <v/>
      </c>
      <c r="BT36" s="5">
        <f>IF(A36="","",N(INDEX(Projects[Act Controls Eng],35)))</f>
        <v/>
      </c>
      <c r="BU36" s="5">
        <f>IF(A36="","",N(INDEX(Projects[Act Controls Purchase],35)))</f>
        <v/>
      </c>
      <c r="BV36" s="5">
        <f>IF(A36="","",N(INDEX(Projects[Act Software Eng],35)))</f>
        <v/>
      </c>
      <c r="BW36" s="5">
        <f>IF(A36="","",N(INDEX(Projects[Act 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INDEX(Projects[Sold Value (USD M)],35)</f>
        <v/>
      </c>
      <c r="CE36" s="5" t="n"/>
      <c r="CF36" s="5">
        <f>IF(A36="","",N(INDEX(Projects[Est Mech Inst],35)))</f>
        <v/>
      </c>
      <c r="CG36" s="5">
        <f>IF(A36="","",N(INDEX(Projects[Est Elec Inst],35)))</f>
        <v/>
      </c>
      <c r="CH36" s="5">
        <f>IF(A36="","",N(INDEX(Projects[Est Project Management],35)))</f>
        <v/>
      </c>
      <c r="CI36" s="5">
        <f>IF(A36="","",N(INDEX(Projects[Est Systems Eng],35)))</f>
        <v/>
      </c>
      <c r="CJ36" s="5">
        <f>IF(A36="","",N(INDEX(Projects[Est Mechanical Eng],35)))</f>
        <v/>
      </c>
      <c r="CK36" s="5">
        <f>IF(A36="","",N(INDEX(Projects[Est Structural Engineering],35)))</f>
        <v/>
      </c>
      <c r="CL36" s="5">
        <f>IF(A36="","",N(INDEX(Projects[Est Site Sup],35)))</f>
        <v/>
      </c>
      <c r="CM36" s="5">
        <f>IF(A36="","",N(INDEX(Projects[Est Controls Commissioning],35)))</f>
        <v/>
      </c>
      <c r="CN36" s="5">
        <f>IF(A36="","",N(INDEX(Projects[Est Systems Commissioning],35)))</f>
        <v/>
      </c>
      <c r="CO36" s="5">
        <f>IF(A36="","",N(INDEX(Projects[Est Service Commissioning],35)))</f>
        <v/>
      </c>
      <c r="CP36" s="5">
        <f>IF(A36="","",N(INDEX(Projects[Est Controls Eng],35)))</f>
        <v/>
      </c>
      <c r="CQ36" s="5">
        <f>IF(A36="","",N(INDEX(Projects[Est Controls Purchase],35)))</f>
        <v/>
      </c>
      <c r="CR36" s="5">
        <f>IF(A36="","",N(INDEX(Projects[Est Software Eng],35)))</f>
        <v/>
      </c>
      <c r="CS36" s="5">
        <f>IF(A36="","",N(INDEX(Projects[Est Misc],35)))</f>
        <v/>
      </c>
      <c r="CT36" s="5">
        <f>IF(A36="","",SUM(CF36:CS36))</f>
        <v/>
      </c>
      <c r="CU36" s="5">
        <f>INDEX(Projects[Est Cost (M)],35)</f>
        <v/>
      </c>
      <c r="CV36" s="5">
        <f>INDEX(Projects[Act Cost (M)],35)</f>
        <v/>
      </c>
      <c r="CW36" s="5">
        <f>INDEX(Projects[Plan Mech Eng (wks)],35)</f>
        <v/>
      </c>
      <c r="CX36" s="5">
        <f>INDEX(Projects[Plan Controls Eng (wks)],35)</f>
        <v/>
      </c>
      <c r="CY36" s="5">
        <f>INDEX(Projects[Plan Systems Eng (wks)],35)</f>
        <v/>
      </c>
      <c r="CZ36" s="5">
        <f>INDEX(Projects[Plan Software Eng (wks)],35)</f>
        <v/>
      </c>
      <c r="DA36" s="5">
        <f>INDEX(Projects[Plan M&amp;E Installation (wks)],35)</f>
        <v/>
      </c>
      <c r="DB36" s="5">
        <f>INDEX(Projects[Plan Commissioning (wks)],35)</f>
        <v/>
      </c>
      <c r="DC36" s="5">
        <f>INDEX(Projects[Plan Total (wks)],35)</f>
        <v/>
      </c>
      <c r="DD36" s="5">
        <f>INDEX(Projects[Act Mech Eng (wks)],35)</f>
        <v/>
      </c>
      <c r="DE36" s="5">
        <f>INDEX(Projects[Act Controls Eng (wks)],35)</f>
        <v/>
      </c>
      <c r="DF36" s="5">
        <f>INDEX(Projects[Act Systems Eng (wks)],35)</f>
        <v/>
      </c>
      <c r="DG36" s="5">
        <f>INDEX(Projects[Act Software Eng (wks)],35)</f>
        <v/>
      </c>
      <c r="DH36" s="5">
        <f>INDEX(Projects[Act M&amp;E Installation (wks)],35)</f>
        <v/>
      </c>
      <c r="DI36" s="5">
        <f>INDEX(Projects[Act Commissioning (wks)],35)</f>
        <v/>
      </c>
      <c r="DJ36" s="5">
        <f>INDEX(Projects[Act Total (wks)],35)</f>
        <v/>
      </c>
    </row>
    <row r="37" ht="15" customHeight="1" s="82">
      <c r="A37" s="64">
        <f>INDEX(Projects[Project ID *],36)&amp;""</f>
        <v/>
      </c>
      <c r="B37" s="64">
        <f>INDEX(Projects[Project Name *],36)&amp;""</f>
        <v/>
      </c>
      <c r="C37" s="64">
        <f>INDEX(Projects[MS Shuttles],36)</f>
        <v/>
      </c>
      <c r="D37" s="64">
        <f>INDEX(Projects[MS Tote Locations],36)</f>
        <v/>
      </c>
      <c r="E37" s="64">
        <f>INDEX(Projects[AS Robots],36)</f>
        <v/>
      </c>
      <c r="F37" s="64">
        <f>INDEX(Projects[AS Tote Locations],36)</f>
        <v/>
      </c>
      <c r="G37" s="64">
        <f>INDEX(Projects[PS Shuttles],36)</f>
        <v/>
      </c>
      <c r="H37" s="64">
        <f>INDEX(Projects[PS Pallet Locations],36)</f>
        <v/>
      </c>
      <c r="I37" s="64">
        <f>INDEX(Projects[SRM Cranes],36)</f>
        <v/>
      </c>
      <c r="J37" s="64">
        <f>INDEX(Projects[SRM Pallet Locations],36)</f>
        <v/>
      </c>
      <c r="K37" s="64">
        <f>INDEX(Projects[Case Conv (m)],36)</f>
        <v/>
      </c>
      <c r="L37" s="64">
        <f>INDEX(Projects[Pallet Conv (m)],36)</f>
        <v/>
      </c>
      <c r="M37" s="64">
        <f>IF(N(DJ37)&gt;0,DD37,CW37)</f>
        <v/>
      </c>
      <c r="N37" s="64">
        <f>IF(N(DJ37)&gt;0,DE37,CX37)</f>
        <v/>
      </c>
      <c r="O37" s="64">
        <f>IF(N(DJ37)&gt;0,DF37,CY37)</f>
        <v/>
      </c>
      <c r="P37" s="64">
        <f>IF(N(DJ37)&gt;0,DG37,CZ37)</f>
        <v/>
      </c>
      <c r="Q37" s="64">
        <f>IF(N(DJ37)&gt;0,DH37,DA37)</f>
        <v/>
      </c>
      <c r="R37" s="64">
        <f>IF(N(DJ37)&gt;0,DI37,DB37)</f>
        <v/>
      </c>
      <c r="S37" s="64">
        <f>IF(N(DJ37)&gt;0,DJ37,DC37)</f>
        <v/>
      </c>
      <c r="T37" s="64">
        <f>INDEX(Projects[Currency],36)&amp;""</f>
        <v/>
      </c>
      <c r="U37" s="65">
        <f>INDEX(Projects[Sold Value (M)],36)</f>
        <v/>
      </c>
      <c r="V37" s="64">
        <f>IF('Smart Search'!B13=1,IFERROR(1/'Smart Search'!H13,0),0)</f>
        <v/>
      </c>
      <c r="W37" s="64">
        <f>IF('Smart Search'!B13=1,IFERROR(1/'Smart Search'!H13,0),0)</f>
        <v/>
      </c>
      <c r="X37" s="64">
        <f>IF('Smart Search'!C13=1,IFERROR(1/'Smart Search'!H13,0),0)</f>
        <v/>
      </c>
      <c r="Y37" s="64">
        <f>IF('Smart Search'!C13=1,IFERROR(1/'Smart Search'!H13,0),0)</f>
        <v/>
      </c>
      <c r="Z37" s="64">
        <f>IF('Smart Search'!D13=1,IFERROR(1/'Smart Search'!H13,0),0)</f>
        <v/>
      </c>
      <c r="AA37" s="64">
        <f>IF('Smart Search'!D13=1,IFERROR(1/'Smart Search'!H13,0),0)</f>
        <v/>
      </c>
      <c r="AB37" s="64">
        <f>IF('Smart Search'!E13=1,IFERROR(1/'Smart Search'!H13,0),0)</f>
        <v/>
      </c>
      <c r="AC37" s="64">
        <f>IF('Smart Search'!E13=1,IFERROR(1/'Smart Search'!H13,0),0)</f>
        <v/>
      </c>
      <c r="AD37" s="64">
        <f>IF('Smart Search'!F13=1,IFERROR(1/'Smart Search'!H13,0),0)</f>
        <v/>
      </c>
      <c r="AE37" s="64">
        <f>IF('Smart Search'!F13=1,IFERROR(1/'Smart Search'!H13,0),0)</f>
        <v/>
      </c>
      <c r="AF37" s="64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4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4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4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4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4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4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4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4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4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4">
        <f>AF37*V37</f>
        <v/>
      </c>
      <c r="AQ37" s="64">
        <f>AG37*W37</f>
        <v/>
      </c>
      <c r="AR37" s="64">
        <f>AH37*X37</f>
        <v/>
      </c>
      <c r="AS37" s="64">
        <f>AI37*Y37</f>
        <v/>
      </c>
      <c r="AT37" s="64">
        <f>AJ37*Z37</f>
        <v/>
      </c>
      <c r="AU37" s="64">
        <f>AK37*AA37</f>
        <v/>
      </c>
      <c r="AV37" s="64">
        <f>AL37*AB37</f>
        <v/>
      </c>
      <c r="AW37" s="64">
        <f>AM37*AC37</f>
        <v/>
      </c>
      <c r="AX37" s="64">
        <f>AN37*AD37</f>
        <v/>
      </c>
      <c r="AY37" s="64">
        <f>AO37*AE37</f>
        <v/>
      </c>
      <c r="AZ37" s="64">
        <f>INDEX(Projects[Automation Equipment],36)&amp;""</f>
        <v/>
      </c>
      <c r="BA37" s="64">
        <f>IF(OR(A37="",'Smart Search'!H13=0),"",MAX(0,BE37*BF37*MAX(0,1-BG37)))</f>
        <v/>
      </c>
      <c r="BB37" s="64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4">
        <f>IF('Smart Search'!G13=1,IFERROR(1/'Smart Search'!H13,0),0)</f>
        <v/>
      </c>
      <c r="BD37" s="64">
        <f>BB37*BC37</f>
        <v/>
      </c>
      <c r="BE37" s="64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IF(A37="","",N(INDEX(Projects[Act Mech Inst],36)))</f>
        <v/>
      </c>
      <c r="BK37" s="5">
        <f>IF(A37="","",N(INDEX(Projects[Act Elec Inst],36)))</f>
        <v/>
      </c>
      <c r="BL37" s="5">
        <f>IF(A37="","",N(INDEX(Projects[Act Project Management],36)))</f>
        <v/>
      </c>
      <c r="BM37" s="5">
        <f>IF(A37="","",N(INDEX(Projects[Act Systems Eng],36)))</f>
        <v/>
      </c>
      <c r="BN37" s="5">
        <f>IF(A37="","",N(INDEX(Projects[Act Mechanical Eng],36)))</f>
        <v/>
      </c>
      <c r="BO37" s="5">
        <f>IF(A37="","",N(INDEX(Projects[Act Structural Engineering],36)))</f>
        <v/>
      </c>
      <c r="BP37" s="5">
        <f>IF(A37="","",N(INDEX(Projects[Act Site Sup],36)))</f>
        <v/>
      </c>
      <c r="BQ37" s="5">
        <f>IF(A37="","",N(INDEX(Projects[Act Controls Commissioning],36)))</f>
        <v/>
      </c>
      <c r="BR37" s="5">
        <f>IF(A37="","",N(INDEX(Projects[Act Systems Commissioning],36)))</f>
        <v/>
      </c>
      <c r="BS37" s="5">
        <f>IF(A37="","",N(INDEX(Projects[Act Service Commissioning],36)))</f>
        <v/>
      </c>
      <c r="BT37" s="5">
        <f>IF(A37="","",N(INDEX(Projects[Act Controls Eng],36)))</f>
        <v/>
      </c>
      <c r="BU37" s="5">
        <f>IF(A37="","",N(INDEX(Projects[Act Controls Purchase],36)))</f>
        <v/>
      </c>
      <c r="BV37" s="5">
        <f>IF(A37="","",N(INDEX(Projects[Act Software Eng],36)))</f>
        <v/>
      </c>
      <c r="BW37" s="5">
        <f>IF(A37="","",N(INDEX(Projects[Act 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INDEX(Projects[Sold Value (USD M)],36)</f>
        <v/>
      </c>
      <c r="CE37" s="5" t="n"/>
      <c r="CF37" s="5">
        <f>IF(A37="","",N(INDEX(Projects[Est Mech Inst],36)))</f>
        <v/>
      </c>
      <c r="CG37" s="5">
        <f>IF(A37="","",N(INDEX(Projects[Est Elec Inst],36)))</f>
        <v/>
      </c>
      <c r="CH37" s="5">
        <f>IF(A37="","",N(INDEX(Projects[Est Project Management],36)))</f>
        <v/>
      </c>
      <c r="CI37" s="5">
        <f>IF(A37="","",N(INDEX(Projects[Est Systems Eng],36)))</f>
        <v/>
      </c>
      <c r="CJ37" s="5">
        <f>IF(A37="","",N(INDEX(Projects[Est Mechanical Eng],36)))</f>
        <v/>
      </c>
      <c r="CK37" s="5">
        <f>IF(A37="","",N(INDEX(Projects[Est Structural Engineering],36)))</f>
        <v/>
      </c>
      <c r="CL37" s="5">
        <f>IF(A37="","",N(INDEX(Projects[Est Site Sup],36)))</f>
        <v/>
      </c>
      <c r="CM37" s="5">
        <f>IF(A37="","",N(INDEX(Projects[Est Controls Commissioning],36)))</f>
        <v/>
      </c>
      <c r="CN37" s="5">
        <f>IF(A37="","",N(INDEX(Projects[Est Systems Commissioning],36)))</f>
        <v/>
      </c>
      <c r="CO37" s="5">
        <f>IF(A37="","",N(INDEX(Projects[Est Service Commissioning],36)))</f>
        <v/>
      </c>
      <c r="CP37" s="5">
        <f>IF(A37="","",N(INDEX(Projects[Est Controls Eng],36)))</f>
        <v/>
      </c>
      <c r="CQ37" s="5">
        <f>IF(A37="","",N(INDEX(Projects[Est Controls Purchase],36)))</f>
        <v/>
      </c>
      <c r="CR37" s="5">
        <f>IF(A37="","",N(INDEX(Projects[Est Software Eng],36)))</f>
        <v/>
      </c>
      <c r="CS37" s="5">
        <f>IF(A37="","",N(INDEX(Projects[Est Misc],36)))</f>
        <v/>
      </c>
      <c r="CT37" s="5">
        <f>IF(A37="","",SUM(CF37:CS37))</f>
        <v/>
      </c>
      <c r="CU37" s="5">
        <f>INDEX(Projects[Est Cost (M)],36)</f>
        <v/>
      </c>
      <c r="CV37" s="5">
        <f>INDEX(Projects[Act Cost (M)],36)</f>
        <v/>
      </c>
      <c r="CW37" s="5">
        <f>INDEX(Projects[Plan Mech Eng (wks)],36)</f>
        <v/>
      </c>
      <c r="CX37" s="5">
        <f>INDEX(Projects[Plan Controls Eng (wks)],36)</f>
        <v/>
      </c>
      <c r="CY37" s="5">
        <f>INDEX(Projects[Plan Systems Eng (wks)],36)</f>
        <v/>
      </c>
      <c r="CZ37" s="5">
        <f>INDEX(Projects[Plan Software Eng (wks)],36)</f>
        <v/>
      </c>
      <c r="DA37" s="5">
        <f>INDEX(Projects[Plan M&amp;E Installation (wks)],36)</f>
        <v/>
      </c>
      <c r="DB37" s="5">
        <f>INDEX(Projects[Plan Commissioning (wks)],36)</f>
        <v/>
      </c>
      <c r="DC37" s="5">
        <f>INDEX(Projects[Plan Total (wks)],36)</f>
        <v/>
      </c>
      <c r="DD37" s="5">
        <f>INDEX(Projects[Act Mech Eng (wks)],36)</f>
        <v/>
      </c>
      <c r="DE37" s="5">
        <f>INDEX(Projects[Act Controls Eng (wks)],36)</f>
        <v/>
      </c>
      <c r="DF37" s="5">
        <f>INDEX(Projects[Act Systems Eng (wks)],36)</f>
        <v/>
      </c>
      <c r="DG37" s="5">
        <f>INDEX(Projects[Act Software Eng (wks)],36)</f>
        <v/>
      </c>
      <c r="DH37" s="5">
        <f>INDEX(Projects[Act M&amp;E Installation (wks)],36)</f>
        <v/>
      </c>
      <c r="DI37" s="5">
        <f>INDEX(Projects[Act Commissioning (wks)],36)</f>
        <v/>
      </c>
      <c r="DJ37" s="5">
        <f>INDEX(Projects[Act Total (wks)],36)</f>
        <v/>
      </c>
    </row>
    <row r="38" ht="15" customHeight="1" s="82">
      <c r="A38" s="64">
        <f>INDEX(Projects[Project ID *],37)&amp;""</f>
        <v/>
      </c>
      <c r="B38" s="64">
        <f>INDEX(Projects[Project Name *],37)&amp;""</f>
        <v/>
      </c>
      <c r="C38" s="64">
        <f>INDEX(Projects[MS Shuttles],37)</f>
        <v/>
      </c>
      <c r="D38" s="64">
        <f>INDEX(Projects[MS Tote Locations],37)</f>
        <v/>
      </c>
      <c r="E38" s="64">
        <f>INDEX(Projects[AS Robots],37)</f>
        <v/>
      </c>
      <c r="F38" s="64">
        <f>INDEX(Projects[AS Tote Locations],37)</f>
        <v/>
      </c>
      <c r="G38" s="64">
        <f>INDEX(Projects[PS Shuttles],37)</f>
        <v/>
      </c>
      <c r="H38" s="64">
        <f>INDEX(Projects[PS Pallet Locations],37)</f>
        <v/>
      </c>
      <c r="I38" s="64">
        <f>INDEX(Projects[SRM Cranes],37)</f>
        <v/>
      </c>
      <c r="J38" s="64">
        <f>INDEX(Projects[SRM Pallet Locations],37)</f>
        <v/>
      </c>
      <c r="K38" s="64">
        <f>INDEX(Projects[Case Conv (m)],37)</f>
        <v/>
      </c>
      <c r="L38" s="64">
        <f>INDEX(Projects[Pallet Conv (m)],37)</f>
        <v/>
      </c>
      <c r="M38" s="64">
        <f>IF(N(DJ38)&gt;0,DD38,CW38)</f>
        <v/>
      </c>
      <c r="N38" s="64">
        <f>IF(N(DJ38)&gt;0,DE38,CX38)</f>
        <v/>
      </c>
      <c r="O38" s="64">
        <f>IF(N(DJ38)&gt;0,DF38,CY38)</f>
        <v/>
      </c>
      <c r="P38" s="64">
        <f>IF(N(DJ38)&gt;0,DG38,CZ38)</f>
        <v/>
      </c>
      <c r="Q38" s="64">
        <f>IF(N(DJ38)&gt;0,DH38,DA38)</f>
        <v/>
      </c>
      <c r="R38" s="64">
        <f>IF(N(DJ38)&gt;0,DI38,DB38)</f>
        <v/>
      </c>
      <c r="S38" s="64">
        <f>IF(N(DJ38)&gt;0,DJ38,DC38)</f>
        <v/>
      </c>
      <c r="T38" s="64">
        <f>INDEX(Projects[Currency],37)&amp;""</f>
        <v/>
      </c>
      <c r="U38" s="65">
        <f>INDEX(Projects[Sold Value (M)],37)</f>
        <v/>
      </c>
      <c r="V38" s="64">
        <f>IF('Smart Search'!B13=1,IFERROR(1/'Smart Search'!H13,0),0)</f>
        <v/>
      </c>
      <c r="W38" s="64">
        <f>IF('Smart Search'!B13=1,IFERROR(1/'Smart Search'!H13,0),0)</f>
        <v/>
      </c>
      <c r="X38" s="64">
        <f>IF('Smart Search'!C13=1,IFERROR(1/'Smart Search'!H13,0),0)</f>
        <v/>
      </c>
      <c r="Y38" s="64">
        <f>IF('Smart Search'!C13=1,IFERROR(1/'Smart Search'!H13,0),0)</f>
        <v/>
      </c>
      <c r="Z38" s="64">
        <f>IF('Smart Search'!D13=1,IFERROR(1/'Smart Search'!H13,0),0)</f>
        <v/>
      </c>
      <c r="AA38" s="64">
        <f>IF('Smart Search'!D13=1,IFERROR(1/'Smart Search'!H13,0),0)</f>
        <v/>
      </c>
      <c r="AB38" s="64">
        <f>IF('Smart Search'!E13=1,IFERROR(1/'Smart Search'!H13,0),0)</f>
        <v/>
      </c>
      <c r="AC38" s="64">
        <f>IF('Smart Search'!E13=1,IFERROR(1/'Smart Search'!H13,0),0)</f>
        <v/>
      </c>
      <c r="AD38" s="64">
        <f>IF('Smart Search'!F13=1,IFERROR(1/'Smart Search'!H13,0),0)</f>
        <v/>
      </c>
      <c r="AE38" s="64">
        <f>IF('Smart Search'!F13=1,IFERROR(1/'Smart Search'!H13,0),0)</f>
        <v/>
      </c>
      <c r="AF38" s="64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4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4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4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4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4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4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4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4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4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4">
        <f>AF38*V38</f>
        <v/>
      </c>
      <c r="AQ38" s="64">
        <f>AG38*W38</f>
        <v/>
      </c>
      <c r="AR38" s="64">
        <f>AH38*X38</f>
        <v/>
      </c>
      <c r="AS38" s="64">
        <f>AI38*Y38</f>
        <v/>
      </c>
      <c r="AT38" s="64">
        <f>AJ38*Z38</f>
        <v/>
      </c>
      <c r="AU38" s="64">
        <f>AK38*AA38</f>
        <v/>
      </c>
      <c r="AV38" s="64">
        <f>AL38*AB38</f>
        <v/>
      </c>
      <c r="AW38" s="64">
        <f>AM38*AC38</f>
        <v/>
      </c>
      <c r="AX38" s="64">
        <f>AN38*AD38</f>
        <v/>
      </c>
      <c r="AY38" s="64">
        <f>AO38*AE38</f>
        <v/>
      </c>
      <c r="AZ38" s="64">
        <f>INDEX(Projects[Automation Equipment],37)&amp;""</f>
        <v/>
      </c>
      <c r="BA38" s="64">
        <f>IF(OR(A38="",'Smart Search'!H13=0),"",MAX(0,BE38*BF38*MAX(0,1-BG38)))</f>
        <v/>
      </c>
      <c r="BB38" s="64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4">
        <f>IF('Smart Search'!G13=1,IFERROR(1/'Smart Search'!H13,0),0)</f>
        <v/>
      </c>
      <c r="BD38" s="64">
        <f>BB38*BC38</f>
        <v/>
      </c>
      <c r="BE38" s="64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IF(A38="","",N(INDEX(Projects[Act Mech Inst],37)))</f>
        <v/>
      </c>
      <c r="BK38" s="5">
        <f>IF(A38="","",N(INDEX(Projects[Act Elec Inst],37)))</f>
        <v/>
      </c>
      <c r="BL38" s="5">
        <f>IF(A38="","",N(INDEX(Projects[Act Project Management],37)))</f>
        <v/>
      </c>
      <c r="BM38" s="5">
        <f>IF(A38="","",N(INDEX(Projects[Act Systems Eng],37)))</f>
        <v/>
      </c>
      <c r="BN38" s="5">
        <f>IF(A38="","",N(INDEX(Projects[Act Mechanical Eng],37)))</f>
        <v/>
      </c>
      <c r="BO38" s="5">
        <f>IF(A38="","",N(INDEX(Projects[Act Structural Engineering],37)))</f>
        <v/>
      </c>
      <c r="BP38" s="5">
        <f>IF(A38="","",N(INDEX(Projects[Act Site Sup],37)))</f>
        <v/>
      </c>
      <c r="BQ38" s="5">
        <f>IF(A38="","",N(INDEX(Projects[Act Controls Commissioning],37)))</f>
        <v/>
      </c>
      <c r="BR38" s="5">
        <f>IF(A38="","",N(INDEX(Projects[Act Systems Commissioning],37)))</f>
        <v/>
      </c>
      <c r="BS38" s="5">
        <f>IF(A38="","",N(INDEX(Projects[Act Service Commissioning],37)))</f>
        <v/>
      </c>
      <c r="BT38" s="5">
        <f>IF(A38="","",N(INDEX(Projects[Act Controls Eng],37)))</f>
        <v/>
      </c>
      <c r="BU38" s="5">
        <f>IF(A38="","",N(INDEX(Projects[Act Controls Purchase],37)))</f>
        <v/>
      </c>
      <c r="BV38" s="5">
        <f>IF(A38="","",N(INDEX(Projects[Act Software Eng],37)))</f>
        <v/>
      </c>
      <c r="BW38" s="5">
        <f>IF(A38="","",N(INDEX(Projects[Act 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INDEX(Projects[Sold Value (USD M)],37)</f>
        <v/>
      </c>
      <c r="CE38" s="5" t="n"/>
      <c r="CF38" s="5">
        <f>IF(A38="","",N(INDEX(Projects[Est Mech Inst],37)))</f>
        <v/>
      </c>
      <c r="CG38" s="5">
        <f>IF(A38="","",N(INDEX(Projects[Est Elec Inst],37)))</f>
        <v/>
      </c>
      <c r="CH38" s="5">
        <f>IF(A38="","",N(INDEX(Projects[Est Project Management],37)))</f>
        <v/>
      </c>
      <c r="CI38" s="5">
        <f>IF(A38="","",N(INDEX(Projects[Est Systems Eng],37)))</f>
        <v/>
      </c>
      <c r="CJ38" s="5">
        <f>IF(A38="","",N(INDEX(Projects[Est Mechanical Eng],37)))</f>
        <v/>
      </c>
      <c r="CK38" s="5">
        <f>IF(A38="","",N(INDEX(Projects[Est Structural Engineering],37)))</f>
        <v/>
      </c>
      <c r="CL38" s="5">
        <f>IF(A38="","",N(INDEX(Projects[Est Site Sup],37)))</f>
        <v/>
      </c>
      <c r="CM38" s="5">
        <f>IF(A38="","",N(INDEX(Projects[Est Controls Commissioning],37)))</f>
        <v/>
      </c>
      <c r="CN38" s="5">
        <f>IF(A38="","",N(INDEX(Projects[Est Systems Commissioning],37)))</f>
        <v/>
      </c>
      <c r="CO38" s="5">
        <f>IF(A38="","",N(INDEX(Projects[Est Service Commissioning],37)))</f>
        <v/>
      </c>
      <c r="CP38" s="5">
        <f>IF(A38="","",N(INDEX(Projects[Est Controls Eng],37)))</f>
        <v/>
      </c>
      <c r="CQ38" s="5">
        <f>IF(A38="","",N(INDEX(Projects[Est Controls Purchase],37)))</f>
        <v/>
      </c>
      <c r="CR38" s="5">
        <f>IF(A38="","",N(INDEX(Projects[Est Software Eng],37)))</f>
        <v/>
      </c>
      <c r="CS38" s="5">
        <f>IF(A38="","",N(INDEX(Projects[Est Misc],37)))</f>
        <v/>
      </c>
      <c r="CT38" s="5">
        <f>IF(A38="","",SUM(CF38:CS38))</f>
        <v/>
      </c>
      <c r="CU38" s="5">
        <f>INDEX(Projects[Est Cost (M)],37)</f>
        <v/>
      </c>
      <c r="CV38" s="5">
        <f>INDEX(Projects[Act Cost (M)],37)</f>
        <v/>
      </c>
      <c r="CW38" s="5">
        <f>INDEX(Projects[Plan Mech Eng (wks)],37)</f>
        <v/>
      </c>
      <c r="CX38" s="5">
        <f>INDEX(Projects[Plan Controls Eng (wks)],37)</f>
        <v/>
      </c>
      <c r="CY38" s="5">
        <f>INDEX(Projects[Plan Systems Eng (wks)],37)</f>
        <v/>
      </c>
      <c r="CZ38" s="5">
        <f>INDEX(Projects[Plan Software Eng (wks)],37)</f>
        <v/>
      </c>
      <c r="DA38" s="5">
        <f>INDEX(Projects[Plan M&amp;E Installation (wks)],37)</f>
        <v/>
      </c>
      <c r="DB38" s="5">
        <f>INDEX(Projects[Plan Commissioning (wks)],37)</f>
        <v/>
      </c>
      <c r="DC38" s="5">
        <f>INDEX(Projects[Plan Total (wks)],37)</f>
        <v/>
      </c>
      <c r="DD38" s="5">
        <f>INDEX(Projects[Act Mech Eng (wks)],37)</f>
        <v/>
      </c>
      <c r="DE38" s="5">
        <f>INDEX(Projects[Act Controls Eng (wks)],37)</f>
        <v/>
      </c>
      <c r="DF38" s="5">
        <f>INDEX(Projects[Act Systems Eng (wks)],37)</f>
        <v/>
      </c>
      <c r="DG38" s="5">
        <f>INDEX(Projects[Act Software Eng (wks)],37)</f>
        <v/>
      </c>
      <c r="DH38" s="5">
        <f>INDEX(Projects[Act M&amp;E Installation (wks)],37)</f>
        <v/>
      </c>
      <c r="DI38" s="5">
        <f>INDEX(Projects[Act Commissioning (wks)],37)</f>
        <v/>
      </c>
      <c r="DJ38" s="5">
        <f>INDEX(Projects[Act Total (wks)],37)</f>
        <v/>
      </c>
    </row>
    <row r="39" ht="15" customHeight="1" s="82">
      <c r="A39" s="64">
        <f>INDEX(Projects[Project ID *],38)&amp;""</f>
        <v/>
      </c>
      <c r="B39" s="64">
        <f>INDEX(Projects[Project Name *],38)&amp;""</f>
        <v/>
      </c>
      <c r="C39" s="64">
        <f>INDEX(Projects[MS Shuttles],38)</f>
        <v/>
      </c>
      <c r="D39" s="64">
        <f>INDEX(Projects[MS Tote Locations],38)</f>
        <v/>
      </c>
      <c r="E39" s="64">
        <f>INDEX(Projects[AS Robots],38)</f>
        <v/>
      </c>
      <c r="F39" s="64">
        <f>INDEX(Projects[AS Tote Locations],38)</f>
        <v/>
      </c>
      <c r="G39" s="64">
        <f>INDEX(Projects[PS Shuttles],38)</f>
        <v/>
      </c>
      <c r="H39" s="64">
        <f>INDEX(Projects[PS Pallet Locations],38)</f>
        <v/>
      </c>
      <c r="I39" s="64">
        <f>INDEX(Projects[SRM Cranes],38)</f>
        <v/>
      </c>
      <c r="J39" s="64">
        <f>INDEX(Projects[SRM Pallet Locations],38)</f>
        <v/>
      </c>
      <c r="K39" s="64">
        <f>INDEX(Projects[Case Conv (m)],38)</f>
        <v/>
      </c>
      <c r="L39" s="64">
        <f>INDEX(Projects[Pallet Conv (m)],38)</f>
        <v/>
      </c>
      <c r="M39" s="64">
        <f>IF(N(DJ39)&gt;0,DD39,CW39)</f>
        <v/>
      </c>
      <c r="N39" s="64">
        <f>IF(N(DJ39)&gt;0,DE39,CX39)</f>
        <v/>
      </c>
      <c r="O39" s="64">
        <f>IF(N(DJ39)&gt;0,DF39,CY39)</f>
        <v/>
      </c>
      <c r="P39" s="64">
        <f>IF(N(DJ39)&gt;0,DG39,CZ39)</f>
        <v/>
      </c>
      <c r="Q39" s="64">
        <f>IF(N(DJ39)&gt;0,DH39,DA39)</f>
        <v/>
      </c>
      <c r="R39" s="64">
        <f>IF(N(DJ39)&gt;0,DI39,DB39)</f>
        <v/>
      </c>
      <c r="S39" s="64">
        <f>IF(N(DJ39)&gt;0,DJ39,DC39)</f>
        <v/>
      </c>
      <c r="T39" s="64">
        <f>INDEX(Projects[Currency],38)&amp;""</f>
        <v/>
      </c>
      <c r="U39" s="65">
        <f>INDEX(Projects[Sold Value (M)],38)</f>
        <v/>
      </c>
      <c r="V39" s="64">
        <f>IF('Smart Search'!B13=1,IFERROR(1/'Smart Search'!H13,0),0)</f>
        <v/>
      </c>
      <c r="W39" s="64">
        <f>IF('Smart Search'!B13=1,IFERROR(1/'Smart Search'!H13,0),0)</f>
        <v/>
      </c>
      <c r="X39" s="64">
        <f>IF('Smart Search'!C13=1,IFERROR(1/'Smart Search'!H13,0),0)</f>
        <v/>
      </c>
      <c r="Y39" s="64">
        <f>IF('Smart Search'!C13=1,IFERROR(1/'Smart Search'!H13,0),0)</f>
        <v/>
      </c>
      <c r="Z39" s="64">
        <f>IF('Smart Search'!D13=1,IFERROR(1/'Smart Search'!H13,0),0)</f>
        <v/>
      </c>
      <c r="AA39" s="64">
        <f>IF('Smart Search'!D13=1,IFERROR(1/'Smart Search'!H13,0),0)</f>
        <v/>
      </c>
      <c r="AB39" s="64">
        <f>IF('Smart Search'!E13=1,IFERROR(1/'Smart Search'!H13,0),0)</f>
        <v/>
      </c>
      <c r="AC39" s="64">
        <f>IF('Smart Search'!E13=1,IFERROR(1/'Smart Search'!H13,0),0)</f>
        <v/>
      </c>
      <c r="AD39" s="64">
        <f>IF('Smart Search'!F13=1,IFERROR(1/'Smart Search'!H13,0),0)</f>
        <v/>
      </c>
      <c r="AE39" s="64">
        <f>IF('Smart Search'!F13=1,IFERROR(1/'Smart Search'!H13,0),0)</f>
        <v/>
      </c>
      <c r="AF39" s="64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4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4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4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4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4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4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4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4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4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4">
        <f>AF39*V39</f>
        <v/>
      </c>
      <c r="AQ39" s="64">
        <f>AG39*W39</f>
        <v/>
      </c>
      <c r="AR39" s="64">
        <f>AH39*X39</f>
        <v/>
      </c>
      <c r="AS39" s="64">
        <f>AI39*Y39</f>
        <v/>
      </c>
      <c r="AT39" s="64">
        <f>AJ39*Z39</f>
        <v/>
      </c>
      <c r="AU39" s="64">
        <f>AK39*AA39</f>
        <v/>
      </c>
      <c r="AV39" s="64">
        <f>AL39*AB39</f>
        <v/>
      </c>
      <c r="AW39" s="64">
        <f>AM39*AC39</f>
        <v/>
      </c>
      <c r="AX39" s="64">
        <f>AN39*AD39</f>
        <v/>
      </c>
      <c r="AY39" s="64">
        <f>AO39*AE39</f>
        <v/>
      </c>
      <c r="AZ39" s="64">
        <f>INDEX(Projects[Automation Equipment],38)&amp;""</f>
        <v/>
      </c>
      <c r="BA39" s="64">
        <f>IF(OR(A39="",'Smart Search'!H13=0),"",MAX(0,BE39*BF39*MAX(0,1-BG39)))</f>
        <v/>
      </c>
      <c r="BB39" s="64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4">
        <f>IF('Smart Search'!G13=1,IFERROR(1/'Smart Search'!H13,0),0)</f>
        <v/>
      </c>
      <c r="BD39" s="64">
        <f>BB39*BC39</f>
        <v/>
      </c>
      <c r="BE39" s="64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IF(A39="","",N(INDEX(Projects[Act Mech Inst],38)))</f>
        <v/>
      </c>
      <c r="BK39" s="5">
        <f>IF(A39="","",N(INDEX(Projects[Act Elec Inst],38)))</f>
        <v/>
      </c>
      <c r="BL39" s="5">
        <f>IF(A39="","",N(INDEX(Projects[Act Project Management],38)))</f>
        <v/>
      </c>
      <c r="BM39" s="5">
        <f>IF(A39="","",N(INDEX(Projects[Act Systems Eng],38)))</f>
        <v/>
      </c>
      <c r="BN39" s="5">
        <f>IF(A39="","",N(INDEX(Projects[Act Mechanical Eng],38)))</f>
        <v/>
      </c>
      <c r="BO39" s="5">
        <f>IF(A39="","",N(INDEX(Projects[Act Structural Engineering],38)))</f>
        <v/>
      </c>
      <c r="BP39" s="5">
        <f>IF(A39="","",N(INDEX(Projects[Act Site Sup],38)))</f>
        <v/>
      </c>
      <c r="BQ39" s="5">
        <f>IF(A39="","",N(INDEX(Projects[Act Controls Commissioning],38)))</f>
        <v/>
      </c>
      <c r="BR39" s="5">
        <f>IF(A39="","",N(INDEX(Projects[Act Systems Commissioning],38)))</f>
        <v/>
      </c>
      <c r="BS39" s="5">
        <f>IF(A39="","",N(INDEX(Projects[Act Service Commissioning],38)))</f>
        <v/>
      </c>
      <c r="BT39" s="5">
        <f>IF(A39="","",N(INDEX(Projects[Act Controls Eng],38)))</f>
        <v/>
      </c>
      <c r="BU39" s="5">
        <f>IF(A39="","",N(INDEX(Projects[Act Controls Purchase],38)))</f>
        <v/>
      </c>
      <c r="BV39" s="5">
        <f>IF(A39="","",N(INDEX(Projects[Act Software Eng],38)))</f>
        <v/>
      </c>
      <c r="BW39" s="5">
        <f>IF(A39="","",N(INDEX(Projects[Act 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INDEX(Projects[Sold Value (USD M)],38)</f>
        <v/>
      </c>
      <c r="CE39" s="5" t="n"/>
      <c r="CF39" s="5">
        <f>IF(A39="","",N(INDEX(Projects[Est Mech Inst],38)))</f>
        <v/>
      </c>
      <c r="CG39" s="5">
        <f>IF(A39="","",N(INDEX(Projects[Est Elec Inst],38)))</f>
        <v/>
      </c>
      <c r="CH39" s="5">
        <f>IF(A39="","",N(INDEX(Projects[Est Project Management],38)))</f>
        <v/>
      </c>
      <c r="CI39" s="5">
        <f>IF(A39="","",N(INDEX(Projects[Est Systems Eng],38)))</f>
        <v/>
      </c>
      <c r="CJ39" s="5">
        <f>IF(A39="","",N(INDEX(Projects[Est Mechanical Eng],38)))</f>
        <v/>
      </c>
      <c r="CK39" s="5">
        <f>IF(A39="","",N(INDEX(Projects[Est Structural Engineering],38)))</f>
        <v/>
      </c>
      <c r="CL39" s="5">
        <f>IF(A39="","",N(INDEX(Projects[Est Site Sup],38)))</f>
        <v/>
      </c>
      <c r="CM39" s="5">
        <f>IF(A39="","",N(INDEX(Projects[Est Controls Commissioning],38)))</f>
        <v/>
      </c>
      <c r="CN39" s="5">
        <f>IF(A39="","",N(INDEX(Projects[Est Systems Commissioning],38)))</f>
        <v/>
      </c>
      <c r="CO39" s="5">
        <f>IF(A39="","",N(INDEX(Projects[Est Service Commissioning],38)))</f>
        <v/>
      </c>
      <c r="CP39" s="5">
        <f>IF(A39="","",N(INDEX(Projects[Est Controls Eng],38)))</f>
        <v/>
      </c>
      <c r="CQ39" s="5">
        <f>IF(A39="","",N(INDEX(Projects[Est Controls Purchase],38)))</f>
        <v/>
      </c>
      <c r="CR39" s="5">
        <f>IF(A39="","",N(INDEX(Projects[Est Software Eng],38)))</f>
        <v/>
      </c>
      <c r="CS39" s="5">
        <f>IF(A39="","",N(INDEX(Projects[Est Misc],38)))</f>
        <v/>
      </c>
      <c r="CT39" s="5">
        <f>IF(A39="","",SUM(CF39:CS39))</f>
        <v/>
      </c>
      <c r="CU39" s="5">
        <f>INDEX(Projects[Est Cost (M)],38)</f>
        <v/>
      </c>
      <c r="CV39" s="5">
        <f>INDEX(Projects[Act Cost (M)],38)</f>
        <v/>
      </c>
      <c r="CW39" s="5">
        <f>INDEX(Projects[Plan Mech Eng (wks)],38)</f>
        <v/>
      </c>
      <c r="CX39" s="5">
        <f>INDEX(Projects[Plan Controls Eng (wks)],38)</f>
        <v/>
      </c>
      <c r="CY39" s="5">
        <f>INDEX(Projects[Plan Systems Eng (wks)],38)</f>
        <v/>
      </c>
      <c r="CZ39" s="5">
        <f>INDEX(Projects[Plan Software Eng (wks)],38)</f>
        <v/>
      </c>
      <c r="DA39" s="5">
        <f>INDEX(Projects[Plan M&amp;E Installation (wks)],38)</f>
        <v/>
      </c>
      <c r="DB39" s="5">
        <f>INDEX(Projects[Plan Commissioning (wks)],38)</f>
        <v/>
      </c>
      <c r="DC39" s="5">
        <f>INDEX(Projects[Plan Total (wks)],38)</f>
        <v/>
      </c>
      <c r="DD39" s="5">
        <f>INDEX(Projects[Act Mech Eng (wks)],38)</f>
        <v/>
      </c>
      <c r="DE39" s="5">
        <f>INDEX(Projects[Act Controls Eng (wks)],38)</f>
        <v/>
      </c>
      <c r="DF39" s="5">
        <f>INDEX(Projects[Act Systems Eng (wks)],38)</f>
        <v/>
      </c>
      <c r="DG39" s="5">
        <f>INDEX(Projects[Act Software Eng (wks)],38)</f>
        <v/>
      </c>
      <c r="DH39" s="5">
        <f>INDEX(Projects[Act M&amp;E Installation (wks)],38)</f>
        <v/>
      </c>
      <c r="DI39" s="5">
        <f>INDEX(Projects[Act Commissioning (wks)],38)</f>
        <v/>
      </c>
      <c r="DJ39" s="5">
        <f>INDEX(Projects[Act Total (wks)],38)</f>
        <v/>
      </c>
    </row>
    <row r="40" ht="15" customHeight="1" s="82">
      <c r="A40" s="64">
        <f>INDEX(Projects[Project ID *],39)&amp;""</f>
        <v/>
      </c>
      <c r="B40" s="64">
        <f>INDEX(Projects[Project Name *],39)&amp;""</f>
        <v/>
      </c>
      <c r="C40" s="64">
        <f>INDEX(Projects[MS Shuttles],39)</f>
        <v/>
      </c>
      <c r="D40" s="64">
        <f>INDEX(Projects[MS Tote Locations],39)</f>
        <v/>
      </c>
      <c r="E40" s="64">
        <f>INDEX(Projects[AS Robots],39)</f>
        <v/>
      </c>
      <c r="F40" s="64">
        <f>INDEX(Projects[AS Tote Locations],39)</f>
        <v/>
      </c>
      <c r="G40" s="64">
        <f>INDEX(Projects[PS Shuttles],39)</f>
        <v/>
      </c>
      <c r="H40" s="64">
        <f>INDEX(Projects[PS Pallet Locations],39)</f>
        <v/>
      </c>
      <c r="I40" s="64">
        <f>INDEX(Projects[SRM Cranes],39)</f>
        <v/>
      </c>
      <c r="J40" s="64">
        <f>INDEX(Projects[SRM Pallet Locations],39)</f>
        <v/>
      </c>
      <c r="K40" s="64">
        <f>INDEX(Projects[Case Conv (m)],39)</f>
        <v/>
      </c>
      <c r="L40" s="64">
        <f>INDEX(Projects[Pallet Conv (m)],39)</f>
        <v/>
      </c>
      <c r="M40" s="64">
        <f>IF(N(DJ40)&gt;0,DD40,CW40)</f>
        <v/>
      </c>
      <c r="N40" s="64">
        <f>IF(N(DJ40)&gt;0,DE40,CX40)</f>
        <v/>
      </c>
      <c r="O40" s="64">
        <f>IF(N(DJ40)&gt;0,DF40,CY40)</f>
        <v/>
      </c>
      <c r="P40" s="64">
        <f>IF(N(DJ40)&gt;0,DG40,CZ40)</f>
        <v/>
      </c>
      <c r="Q40" s="64">
        <f>IF(N(DJ40)&gt;0,DH40,DA40)</f>
        <v/>
      </c>
      <c r="R40" s="64">
        <f>IF(N(DJ40)&gt;0,DI40,DB40)</f>
        <v/>
      </c>
      <c r="S40" s="64">
        <f>IF(N(DJ40)&gt;0,DJ40,DC40)</f>
        <v/>
      </c>
      <c r="T40" s="64">
        <f>INDEX(Projects[Currency],39)&amp;""</f>
        <v/>
      </c>
      <c r="U40" s="65">
        <f>INDEX(Projects[Sold Value (M)],39)</f>
        <v/>
      </c>
      <c r="V40" s="64">
        <f>IF('Smart Search'!B13=1,IFERROR(1/'Smart Search'!H13,0),0)</f>
        <v/>
      </c>
      <c r="W40" s="64">
        <f>IF('Smart Search'!B13=1,IFERROR(1/'Smart Search'!H13,0),0)</f>
        <v/>
      </c>
      <c r="X40" s="64">
        <f>IF('Smart Search'!C13=1,IFERROR(1/'Smart Search'!H13,0),0)</f>
        <v/>
      </c>
      <c r="Y40" s="64">
        <f>IF('Smart Search'!C13=1,IFERROR(1/'Smart Search'!H13,0),0)</f>
        <v/>
      </c>
      <c r="Z40" s="64">
        <f>IF('Smart Search'!D13=1,IFERROR(1/'Smart Search'!H13,0),0)</f>
        <v/>
      </c>
      <c r="AA40" s="64">
        <f>IF('Smart Search'!D13=1,IFERROR(1/'Smart Search'!H13,0),0)</f>
        <v/>
      </c>
      <c r="AB40" s="64">
        <f>IF('Smart Search'!E13=1,IFERROR(1/'Smart Search'!H13,0),0)</f>
        <v/>
      </c>
      <c r="AC40" s="64">
        <f>IF('Smart Search'!E13=1,IFERROR(1/'Smart Search'!H13,0),0)</f>
        <v/>
      </c>
      <c r="AD40" s="64">
        <f>IF('Smart Search'!F13=1,IFERROR(1/'Smart Search'!H13,0),0)</f>
        <v/>
      </c>
      <c r="AE40" s="64">
        <f>IF('Smart Search'!F13=1,IFERROR(1/'Smart Search'!H13,0),0)</f>
        <v/>
      </c>
      <c r="AF40" s="64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4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4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4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4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4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4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4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4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4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4">
        <f>AF40*V40</f>
        <v/>
      </c>
      <c r="AQ40" s="64">
        <f>AG40*W40</f>
        <v/>
      </c>
      <c r="AR40" s="64">
        <f>AH40*X40</f>
        <v/>
      </c>
      <c r="AS40" s="64">
        <f>AI40*Y40</f>
        <v/>
      </c>
      <c r="AT40" s="64">
        <f>AJ40*Z40</f>
        <v/>
      </c>
      <c r="AU40" s="64">
        <f>AK40*AA40</f>
        <v/>
      </c>
      <c r="AV40" s="64">
        <f>AL40*AB40</f>
        <v/>
      </c>
      <c r="AW40" s="64">
        <f>AM40*AC40</f>
        <v/>
      </c>
      <c r="AX40" s="64">
        <f>AN40*AD40</f>
        <v/>
      </c>
      <c r="AY40" s="64">
        <f>AO40*AE40</f>
        <v/>
      </c>
      <c r="AZ40" s="64">
        <f>INDEX(Projects[Automation Equipment],39)&amp;""</f>
        <v/>
      </c>
      <c r="BA40" s="64">
        <f>IF(OR(A40="",'Smart Search'!H13=0),"",MAX(0,BE40*BF40*MAX(0,1-BG40)))</f>
        <v/>
      </c>
      <c r="BB40" s="64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4">
        <f>IF('Smart Search'!G13=1,IFERROR(1/'Smart Search'!H13,0),0)</f>
        <v/>
      </c>
      <c r="BD40" s="64">
        <f>BB40*BC40</f>
        <v/>
      </c>
      <c r="BE40" s="64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IF(A40="","",N(INDEX(Projects[Act Mech Inst],39)))</f>
        <v/>
      </c>
      <c r="BK40" s="5">
        <f>IF(A40="","",N(INDEX(Projects[Act Elec Inst],39)))</f>
        <v/>
      </c>
      <c r="BL40" s="5">
        <f>IF(A40="","",N(INDEX(Projects[Act Project Management],39)))</f>
        <v/>
      </c>
      <c r="BM40" s="5">
        <f>IF(A40="","",N(INDEX(Projects[Act Systems Eng],39)))</f>
        <v/>
      </c>
      <c r="BN40" s="5">
        <f>IF(A40="","",N(INDEX(Projects[Act Mechanical Eng],39)))</f>
        <v/>
      </c>
      <c r="BO40" s="5">
        <f>IF(A40="","",N(INDEX(Projects[Act Structural Engineering],39)))</f>
        <v/>
      </c>
      <c r="BP40" s="5">
        <f>IF(A40="","",N(INDEX(Projects[Act Site Sup],39)))</f>
        <v/>
      </c>
      <c r="BQ40" s="5">
        <f>IF(A40="","",N(INDEX(Projects[Act Controls Commissioning],39)))</f>
        <v/>
      </c>
      <c r="BR40" s="5">
        <f>IF(A40="","",N(INDEX(Projects[Act Systems Commissioning],39)))</f>
        <v/>
      </c>
      <c r="BS40" s="5">
        <f>IF(A40="","",N(INDEX(Projects[Act Service Commissioning],39)))</f>
        <v/>
      </c>
      <c r="BT40" s="5">
        <f>IF(A40="","",N(INDEX(Projects[Act Controls Eng],39)))</f>
        <v/>
      </c>
      <c r="BU40" s="5">
        <f>IF(A40="","",N(INDEX(Projects[Act Controls Purchase],39)))</f>
        <v/>
      </c>
      <c r="BV40" s="5">
        <f>IF(A40="","",N(INDEX(Projects[Act Software Eng],39)))</f>
        <v/>
      </c>
      <c r="BW40" s="5">
        <f>IF(A40="","",N(INDEX(Projects[Act 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INDEX(Projects[Sold Value (USD M)],39)</f>
        <v/>
      </c>
      <c r="CE40" s="5" t="n"/>
      <c r="CF40" s="5">
        <f>IF(A40="","",N(INDEX(Projects[Est Mech Inst],39)))</f>
        <v/>
      </c>
      <c r="CG40" s="5">
        <f>IF(A40="","",N(INDEX(Projects[Est Elec Inst],39)))</f>
        <v/>
      </c>
      <c r="CH40" s="5">
        <f>IF(A40="","",N(INDEX(Projects[Est Project Management],39)))</f>
        <v/>
      </c>
      <c r="CI40" s="5">
        <f>IF(A40="","",N(INDEX(Projects[Est Systems Eng],39)))</f>
        <v/>
      </c>
      <c r="CJ40" s="5">
        <f>IF(A40="","",N(INDEX(Projects[Est Mechanical Eng],39)))</f>
        <v/>
      </c>
      <c r="CK40" s="5">
        <f>IF(A40="","",N(INDEX(Projects[Est Structural Engineering],39)))</f>
        <v/>
      </c>
      <c r="CL40" s="5">
        <f>IF(A40="","",N(INDEX(Projects[Est Site Sup],39)))</f>
        <v/>
      </c>
      <c r="CM40" s="5">
        <f>IF(A40="","",N(INDEX(Projects[Est Controls Commissioning],39)))</f>
        <v/>
      </c>
      <c r="CN40" s="5">
        <f>IF(A40="","",N(INDEX(Projects[Est Systems Commissioning],39)))</f>
        <v/>
      </c>
      <c r="CO40" s="5">
        <f>IF(A40="","",N(INDEX(Projects[Est Service Commissioning],39)))</f>
        <v/>
      </c>
      <c r="CP40" s="5">
        <f>IF(A40="","",N(INDEX(Projects[Est Controls Eng],39)))</f>
        <v/>
      </c>
      <c r="CQ40" s="5">
        <f>IF(A40="","",N(INDEX(Projects[Est Controls Purchase],39)))</f>
        <v/>
      </c>
      <c r="CR40" s="5">
        <f>IF(A40="","",N(INDEX(Projects[Est Software Eng],39)))</f>
        <v/>
      </c>
      <c r="CS40" s="5">
        <f>IF(A40="","",N(INDEX(Projects[Est Misc],39)))</f>
        <v/>
      </c>
      <c r="CT40" s="5">
        <f>IF(A40="","",SUM(CF40:CS40))</f>
        <v/>
      </c>
      <c r="CU40" s="5">
        <f>INDEX(Projects[Est Cost (M)],39)</f>
        <v/>
      </c>
      <c r="CV40" s="5">
        <f>INDEX(Projects[Act Cost (M)],39)</f>
        <v/>
      </c>
      <c r="CW40" s="5">
        <f>INDEX(Projects[Plan Mech Eng (wks)],39)</f>
        <v/>
      </c>
      <c r="CX40" s="5">
        <f>INDEX(Projects[Plan Controls Eng (wks)],39)</f>
        <v/>
      </c>
      <c r="CY40" s="5">
        <f>INDEX(Projects[Plan Systems Eng (wks)],39)</f>
        <v/>
      </c>
      <c r="CZ40" s="5">
        <f>INDEX(Projects[Plan Software Eng (wks)],39)</f>
        <v/>
      </c>
      <c r="DA40" s="5">
        <f>INDEX(Projects[Plan M&amp;E Installation (wks)],39)</f>
        <v/>
      </c>
      <c r="DB40" s="5">
        <f>INDEX(Projects[Plan Commissioning (wks)],39)</f>
        <v/>
      </c>
      <c r="DC40" s="5">
        <f>INDEX(Projects[Plan Total (wks)],39)</f>
        <v/>
      </c>
      <c r="DD40" s="5">
        <f>INDEX(Projects[Act Mech Eng (wks)],39)</f>
        <v/>
      </c>
      <c r="DE40" s="5">
        <f>INDEX(Projects[Act Controls Eng (wks)],39)</f>
        <v/>
      </c>
      <c r="DF40" s="5">
        <f>INDEX(Projects[Act Systems Eng (wks)],39)</f>
        <v/>
      </c>
      <c r="DG40" s="5">
        <f>INDEX(Projects[Act Software Eng (wks)],39)</f>
        <v/>
      </c>
      <c r="DH40" s="5">
        <f>INDEX(Projects[Act M&amp;E Installation (wks)],39)</f>
        <v/>
      </c>
      <c r="DI40" s="5">
        <f>INDEX(Projects[Act Commissioning (wks)],39)</f>
        <v/>
      </c>
      <c r="DJ40" s="5">
        <f>INDEX(Projects[Act Total (wks)],39)</f>
        <v/>
      </c>
    </row>
    <row r="41" ht="15" customHeight="1" s="82">
      <c r="A41" s="64">
        <f>INDEX(Projects[Project ID *],40)&amp;""</f>
        <v/>
      </c>
      <c r="B41" s="64">
        <f>INDEX(Projects[Project Name *],40)&amp;""</f>
        <v/>
      </c>
      <c r="C41" s="64">
        <f>INDEX(Projects[MS Shuttles],40)</f>
        <v/>
      </c>
      <c r="D41" s="64">
        <f>INDEX(Projects[MS Tote Locations],40)</f>
        <v/>
      </c>
      <c r="E41" s="64">
        <f>INDEX(Projects[AS Robots],40)</f>
        <v/>
      </c>
      <c r="F41" s="64">
        <f>INDEX(Projects[AS Tote Locations],40)</f>
        <v/>
      </c>
      <c r="G41" s="64">
        <f>INDEX(Projects[PS Shuttles],40)</f>
        <v/>
      </c>
      <c r="H41" s="64">
        <f>INDEX(Projects[PS Pallet Locations],40)</f>
        <v/>
      </c>
      <c r="I41" s="64">
        <f>INDEX(Projects[SRM Cranes],40)</f>
        <v/>
      </c>
      <c r="J41" s="64">
        <f>INDEX(Projects[SRM Pallet Locations],40)</f>
        <v/>
      </c>
      <c r="K41" s="64">
        <f>INDEX(Projects[Case Conv (m)],40)</f>
        <v/>
      </c>
      <c r="L41" s="64">
        <f>INDEX(Projects[Pallet Conv (m)],40)</f>
        <v/>
      </c>
      <c r="M41" s="64">
        <f>IF(N(DJ41)&gt;0,DD41,CW41)</f>
        <v/>
      </c>
      <c r="N41" s="64">
        <f>IF(N(DJ41)&gt;0,DE41,CX41)</f>
        <v/>
      </c>
      <c r="O41" s="64">
        <f>IF(N(DJ41)&gt;0,DF41,CY41)</f>
        <v/>
      </c>
      <c r="P41" s="64">
        <f>IF(N(DJ41)&gt;0,DG41,CZ41)</f>
        <v/>
      </c>
      <c r="Q41" s="64">
        <f>IF(N(DJ41)&gt;0,DH41,DA41)</f>
        <v/>
      </c>
      <c r="R41" s="64">
        <f>IF(N(DJ41)&gt;0,DI41,DB41)</f>
        <v/>
      </c>
      <c r="S41" s="64">
        <f>IF(N(DJ41)&gt;0,DJ41,DC41)</f>
        <v/>
      </c>
      <c r="T41" s="64">
        <f>INDEX(Projects[Currency],40)&amp;""</f>
        <v/>
      </c>
      <c r="U41" s="65">
        <f>INDEX(Projects[Sold Value (M)],40)</f>
        <v/>
      </c>
      <c r="V41" s="64">
        <f>IF('Smart Search'!B13=1,IFERROR(1/'Smart Search'!H13,0),0)</f>
        <v/>
      </c>
      <c r="W41" s="64">
        <f>IF('Smart Search'!B13=1,IFERROR(1/'Smart Search'!H13,0),0)</f>
        <v/>
      </c>
      <c r="X41" s="64">
        <f>IF('Smart Search'!C13=1,IFERROR(1/'Smart Search'!H13,0),0)</f>
        <v/>
      </c>
      <c r="Y41" s="64">
        <f>IF('Smart Search'!C13=1,IFERROR(1/'Smart Search'!H13,0),0)</f>
        <v/>
      </c>
      <c r="Z41" s="64">
        <f>IF('Smart Search'!D13=1,IFERROR(1/'Smart Search'!H13,0),0)</f>
        <v/>
      </c>
      <c r="AA41" s="64">
        <f>IF('Smart Search'!D13=1,IFERROR(1/'Smart Search'!H13,0),0)</f>
        <v/>
      </c>
      <c r="AB41" s="64">
        <f>IF('Smart Search'!E13=1,IFERROR(1/'Smart Search'!H13,0),0)</f>
        <v/>
      </c>
      <c r="AC41" s="64">
        <f>IF('Smart Search'!E13=1,IFERROR(1/'Smart Search'!H13,0),0)</f>
        <v/>
      </c>
      <c r="AD41" s="64">
        <f>IF('Smart Search'!F13=1,IFERROR(1/'Smart Search'!H13,0),0)</f>
        <v/>
      </c>
      <c r="AE41" s="64">
        <f>IF('Smart Search'!F13=1,IFERROR(1/'Smart Search'!H13,0),0)</f>
        <v/>
      </c>
      <c r="AF41" s="64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4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4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4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4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4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4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4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4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4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4">
        <f>AF41*V41</f>
        <v/>
      </c>
      <c r="AQ41" s="64">
        <f>AG41*W41</f>
        <v/>
      </c>
      <c r="AR41" s="64">
        <f>AH41*X41</f>
        <v/>
      </c>
      <c r="AS41" s="64">
        <f>AI41*Y41</f>
        <v/>
      </c>
      <c r="AT41" s="64">
        <f>AJ41*Z41</f>
        <v/>
      </c>
      <c r="AU41" s="64">
        <f>AK41*AA41</f>
        <v/>
      </c>
      <c r="AV41" s="64">
        <f>AL41*AB41</f>
        <v/>
      </c>
      <c r="AW41" s="64">
        <f>AM41*AC41</f>
        <v/>
      </c>
      <c r="AX41" s="64">
        <f>AN41*AD41</f>
        <v/>
      </c>
      <c r="AY41" s="64">
        <f>AO41*AE41</f>
        <v/>
      </c>
      <c r="AZ41" s="64">
        <f>INDEX(Projects[Automation Equipment],40)&amp;""</f>
        <v/>
      </c>
      <c r="BA41" s="64">
        <f>IF(OR(A41="",'Smart Search'!H13=0),"",MAX(0,BE41*BF41*MAX(0,1-BG41)))</f>
        <v/>
      </c>
      <c r="BB41" s="64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4">
        <f>IF('Smart Search'!G13=1,IFERROR(1/'Smart Search'!H13,0),0)</f>
        <v/>
      </c>
      <c r="BD41" s="64">
        <f>BB41*BC41</f>
        <v/>
      </c>
      <c r="BE41" s="64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IF(A41="","",N(INDEX(Projects[Act Mech Inst],40)))</f>
        <v/>
      </c>
      <c r="BK41" s="5">
        <f>IF(A41="","",N(INDEX(Projects[Act Elec Inst],40)))</f>
        <v/>
      </c>
      <c r="BL41" s="5">
        <f>IF(A41="","",N(INDEX(Projects[Act Project Management],40)))</f>
        <v/>
      </c>
      <c r="BM41" s="5">
        <f>IF(A41="","",N(INDEX(Projects[Act Systems Eng],40)))</f>
        <v/>
      </c>
      <c r="BN41" s="5">
        <f>IF(A41="","",N(INDEX(Projects[Act Mechanical Eng],40)))</f>
        <v/>
      </c>
      <c r="BO41" s="5">
        <f>IF(A41="","",N(INDEX(Projects[Act Structural Engineering],40)))</f>
        <v/>
      </c>
      <c r="BP41" s="5">
        <f>IF(A41="","",N(INDEX(Projects[Act Site Sup],40)))</f>
        <v/>
      </c>
      <c r="BQ41" s="5">
        <f>IF(A41="","",N(INDEX(Projects[Act Controls Commissioning],40)))</f>
        <v/>
      </c>
      <c r="BR41" s="5">
        <f>IF(A41="","",N(INDEX(Projects[Act Systems Commissioning],40)))</f>
        <v/>
      </c>
      <c r="BS41" s="5">
        <f>IF(A41="","",N(INDEX(Projects[Act Service Commissioning],40)))</f>
        <v/>
      </c>
      <c r="BT41" s="5">
        <f>IF(A41="","",N(INDEX(Projects[Act Controls Eng],40)))</f>
        <v/>
      </c>
      <c r="BU41" s="5">
        <f>IF(A41="","",N(INDEX(Projects[Act Controls Purchase],40)))</f>
        <v/>
      </c>
      <c r="BV41" s="5">
        <f>IF(A41="","",N(INDEX(Projects[Act Software Eng],40)))</f>
        <v/>
      </c>
      <c r="BW41" s="5">
        <f>IF(A41="","",N(INDEX(Projects[Act 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INDEX(Projects[Sold Value (USD M)],40)</f>
        <v/>
      </c>
      <c r="CE41" s="5" t="n"/>
      <c r="CF41" s="5">
        <f>IF(A41="","",N(INDEX(Projects[Est Mech Inst],40)))</f>
        <v/>
      </c>
      <c r="CG41" s="5">
        <f>IF(A41="","",N(INDEX(Projects[Est Elec Inst],40)))</f>
        <v/>
      </c>
      <c r="CH41" s="5">
        <f>IF(A41="","",N(INDEX(Projects[Est Project Management],40)))</f>
        <v/>
      </c>
      <c r="CI41" s="5">
        <f>IF(A41="","",N(INDEX(Projects[Est Systems Eng],40)))</f>
        <v/>
      </c>
      <c r="CJ41" s="5">
        <f>IF(A41="","",N(INDEX(Projects[Est Mechanical Eng],40)))</f>
        <v/>
      </c>
      <c r="CK41" s="5">
        <f>IF(A41="","",N(INDEX(Projects[Est Structural Engineering],40)))</f>
        <v/>
      </c>
      <c r="CL41" s="5">
        <f>IF(A41="","",N(INDEX(Projects[Est Site Sup],40)))</f>
        <v/>
      </c>
      <c r="CM41" s="5">
        <f>IF(A41="","",N(INDEX(Projects[Est Controls Commissioning],40)))</f>
        <v/>
      </c>
      <c r="CN41" s="5">
        <f>IF(A41="","",N(INDEX(Projects[Est Systems Commissioning],40)))</f>
        <v/>
      </c>
      <c r="CO41" s="5">
        <f>IF(A41="","",N(INDEX(Projects[Est Service Commissioning],40)))</f>
        <v/>
      </c>
      <c r="CP41" s="5">
        <f>IF(A41="","",N(INDEX(Projects[Est Controls Eng],40)))</f>
        <v/>
      </c>
      <c r="CQ41" s="5">
        <f>IF(A41="","",N(INDEX(Projects[Est Controls Purchase],40)))</f>
        <v/>
      </c>
      <c r="CR41" s="5">
        <f>IF(A41="","",N(INDEX(Projects[Est Software Eng],40)))</f>
        <v/>
      </c>
      <c r="CS41" s="5">
        <f>IF(A41="","",N(INDEX(Projects[Est Misc],40)))</f>
        <v/>
      </c>
      <c r="CT41" s="5">
        <f>IF(A41="","",SUM(CF41:CS41))</f>
        <v/>
      </c>
      <c r="CU41" s="5">
        <f>INDEX(Projects[Est Cost (M)],40)</f>
        <v/>
      </c>
      <c r="CV41" s="5">
        <f>INDEX(Projects[Act Cost (M)],40)</f>
        <v/>
      </c>
      <c r="CW41" s="5">
        <f>INDEX(Projects[Plan Mech Eng (wks)],40)</f>
        <v/>
      </c>
      <c r="CX41" s="5">
        <f>INDEX(Projects[Plan Controls Eng (wks)],40)</f>
        <v/>
      </c>
      <c r="CY41" s="5">
        <f>INDEX(Projects[Plan Systems Eng (wks)],40)</f>
        <v/>
      </c>
      <c r="CZ41" s="5">
        <f>INDEX(Projects[Plan Software Eng (wks)],40)</f>
        <v/>
      </c>
      <c r="DA41" s="5">
        <f>INDEX(Projects[Plan M&amp;E Installation (wks)],40)</f>
        <v/>
      </c>
      <c r="DB41" s="5">
        <f>INDEX(Projects[Plan Commissioning (wks)],40)</f>
        <v/>
      </c>
      <c r="DC41" s="5">
        <f>INDEX(Projects[Plan Total (wks)],40)</f>
        <v/>
      </c>
      <c r="DD41" s="5">
        <f>INDEX(Projects[Act Mech Eng (wks)],40)</f>
        <v/>
      </c>
      <c r="DE41" s="5">
        <f>INDEX(Projects[Act Controls Eng (wks)],40)</f>
        <v/>
      </c>
      <c r="DF41" s="5">
        <f>INDEX(Projects[Act Systems Eng (wks)],40)</f>
        <v/>
      </c>
      <c r="DG41" s="5">
        <f>INDEX(Projects[Act Software Eng (wks)],40)</f>
        <v/>
      </c>
      <c r="DH41" s="5">
        <f>INDEX(Projects[Act M&amp;E Installation (wks)],40)</f>
        <v/>
      </c>
      <c r="DI41" s="5">
        <f>INDEX(Projects[Act Commissioning (wks)],40)</f>
        <v/>
      </c>
      <c r="DJ41" s="5">
        <f>INDEX(Projects[Act Total (wks)],40)</f>
        <v/>
      </c>
    </row>
    <row r="42" ht="15" customHeight="1" s="82">
      <c r="A42" s="64">
        <f>INDEX(Projects[Project ID *],41)&amp;""</f>
        <v/>
      </c>
      <c r="B42" s="64">
        <f>INDEX(Projects[Project Name *],41)&amp;""</f>
        <v/>
      </c>
      <c r="C42" s="64">
        <f>INDEX(Projects[MS Shuttles],41)</f>
        <v/>
      </c>
      <c r="D42" s="64">
        <f>INDEX(Projects[MS Tote Locations],41)</f>
        <v/>
      </c>
      <c r="E42" s="64">
        <f>INDEX(Projects[AS Robots],41)</f>
        <v/>
      </c>
      <c r="F42" s="64">
        <f>INDEX(Projects[AS Tote Locations],41)</f>
        <v/>
      </c>
      <c r="G42" s="64">
        <f>INDEX(Projects[PS Shuttles],41)</f>
        <v/>
      </c>
      <c r="H42" s="64">
        <f>INDEX(Projects[PS Pallet Locations],41)</f>
        <v/>
      </c>
      <c r="I42" s="64">
        <f>INDEX(Projects[SRM Cranes],41)</f>
        <v/>
      </c>
      <c r="J42" s="64">
        <f>INDEX(Projects[SRM Pallet Locations],41)</f>
        <v/>
      </c>
      <c r="K42" s="64">
        <f>INDEX(Projects[Case Conv (m)],41)</f>
        <v/>
      </c>
      <c r="L42" s="64">
        <f>INDEX(Projects[Pallet Conv (m)],41)</f>
        <v/>
      </c>
      <c r="M42" s="64">
        <f>IF(N(DJ42)&gt;0,DD42,CW42)</f>
        <v/>
      </c>
      <c r="N42" s="64">
        <f>IF(N(DJ42)&gt;0,DE42,CX42)</f>
        <v/>
      </c>
      <c r="O42" s="64">
        <f>IF(N(DJ42)&gt;0,DF42,CY42)</f>
        <v/>
      </c>
      <c r="P42" s="64">
        <f>IF(N(DJ42)&gt;0,DG42,CZ42)</f>
        <v/>
      </c>
      <c r="Q42" s="64">
        <f>IF(N(DJ42)&gt;0,DH42,DA42)</f>
        <v/>
      </c>
      <c r="R42" s="64">
        <f>IF(N(DJ42)&gt;0,DI42,DB42)</f>
        <v/>
      </c>
      <c r="S42" s="64">
        <f>IF(N(DJ42)&gt;0,DJ42,DC42)</f>
        <v/>
      </c>
      <c r="T42" s="64">
        <f>INDEX(Projects[Currency],41)&amp;""</f>
        <v/>
      </c>
      <c r="U42" s="65">
        <f>INDEX(Projects[Sold Value (M)],41)</f>
        <v/>
      </c>
      <c r="V42" s="64">
        <f>IF('Smart Search'!B13=1,IFERROR(1/'Smart Search'!H13,0),0)</f>
        <v/>
      </c>
      <c r="W42" s="64">
        <f>IF('Smart Search'!B13=1,IFERROR(1/'Smart Search'!H13,0),0)</f>
        <v/>
      </c>
      <c r="X42" s="64">
        <f>IF('Smart Search'!C13=1,IFERROR(1/'Smart Search'!H13,0),0)</f>
        <v/>
      </c>
      <c r="Y42" s="64">
        <f>IF('Smart Search'!C13=1,IFERROR(1/'Smart Search'!H13,0),0)</f>
        <v/>
      </c>
      <c r="Z42" s="64">
        <f>IF('Smart Search'!D13=1,IFERROR(1/'Smart Search'!H13,0),0)</f>
        <v/>
      </c>
      <c r="AA42" s="64">
        <f>IF('Smart Search'!D13=1,IFERROR(1/'Smart Search'!H13,0),0)</f>
        <v/>
      </c>
      <c r="AB42" s="64">
        <f>IF('Smart Search'!E13=1,IFERROR(1/'Smart Search'!H13,0),0)</f>
        <v/>
      </c>
      <c r="AC42" s="64">
        <f>IF('Smart Search'!E13=1,IFERROR(1/'Smart Search'!H13,0),0)</f>
        <v/>
      </c>
      <c r="AD42" s="64">
        <f>IF('Smart Search'!F13=1,IFERROR(1/'Smart Search'!H13,0),0)</f>
        <v/>
      </c>
      <c r="AE42" s="64">
        <f>IF('Smart Search'!F13=1,IFERROR(1/'Smart Search'!H13,0),0)</f>
        <v/>
      </c>
      <c r="AF42" s="64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4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4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4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4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4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4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4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4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4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4">
        <f>AF42*V42</f>
        <v/>
      </c>
      <c r="AQ42" s="64">
        <f>AG42*W42</f>
        <v/>
      </c>
      <c r="AR42" s="64">
        <f>AH42*X42</f>
        <v/>
      </c>
      <c r="AS42" s="64">
        <f>AI42*Y42</f>
        <v/>
      </c>
      <c r="AT42" s="64">
        <f>AJ42*Z42</f>
        <v/>
      </c>
      <c r="AU42" s="64">
        <f>AK42*AA42</f>
        <v/>
      </c>
      <c r="AV42" s="64">
        <f>AL42*AB42</f>
        <v/>
      </c>
      <c r="AW42" s="64">
        <f>AM42*AC42</f>
        <v/>
      </c>
      <c r="AX42" s="64">
        <f>AN42*AD42</f>
        <v/>
      </c>
      <c r="AY42" s="64">
        <f>AO42*AE42</f>
        <v/>
      </c>
      <c r="AZ42" s="64">
        <f>INDEX(Projects[Automation Equipment],41)&amp;""</f>
        <v/>
      </c>
      <c r="BA42" s="64">
        <f>IF(OR(A42="",'Smart Search'!H13=0),"",MAX(0,BE42*BF42*MAX(0,1-BG42)))</f>
        <v/>
      </c>
      <c r="BB42" s="64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4">
        <f>IF('Smart Search'!G13=1,IFERROR(1/'Smart Search'!H13,0),0)</f>
        <v/>
      </c>
      <c r="BD42" s="64">
        <f>BB42*BC42</f>
        <v/>
      </c>
      <c r="BE42" s="64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IF(A42="","",N(INDEX(Projects[Act Mech Inst],41)))</f>
        <v/>
      </c>
      <c r="BK42" s="5">
        <f>IF(A42="","",N(INDEX(Projects[Act Elec Inst],41)))</f>
        <v/>
      </c>
      <c r="BL42" s="5">
        <f>IF(A42="","",N(INDEX(Projects[Act Project Management],41)))</f>
        <v/>
      </c>
      <c r="BM42" s="5">
        <f>IF(A42="","",N(INDEX(Projects[Act Systems Eng],41)))</f>
        <v/>
      </c>
      <c r="BN42" s="5">
        <f>IF(A42="","",N(INDEX(Projects[Act Mechanical Eng],41)))</f>
        <v/>
      </c>
      <c r="BO42" s="5">
        <f>IF(A42="","",N(INDEX(Projects[Act Structural Engineering],41)))</f>
        <v/>
      </c>
      <c r="BP42" s="5">
        <f>IF(A42="","",N(INDEX(Projects[Act Site Sup],41)))</f>
        <v/>
      </c>
      <c r="BQ42" s="5">
        <f>IF(A42="","",N(INDEX(Projects[Act Controls Commissioning],41)))</f>
        <v/>
      </c>
      <c r="BR42" s="5">
        <f>IF(A42="","",N(INDEX(Projects[Act Systems Commissioning],41)))</f>
        <v/>
      </c>
      <c r="BS42" s="5">
        <f>IF(A42="","",N(INDEX(Projects[Act Service Commissioning],41)))</f>
        <v/>
      </c>
      <c r="BT42" s="5">
        <f>IF(A42="","",N(INDEX(Projects[Act Controls Eng],41)))</f>
        <v/>
      </c>
      <c r="BU42" s="5">
        <f>IF(A42="","",N(INDEX(Projects[Act Controls Purchase],41)))</f>
        <v/>
      </c>
      <c r="BV42" s="5">
        <f>IF(A42="","",N(INDEX(Projects[Act Software Eng],41)))</f>
        <v/>
      </c>
      <c r="BW42" s="5">
        <f>IF(A42="","",N(INDEX(Projects[Act 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INDEX(Projects[Sold Value (USD M)],41)</f>
        <v/>
      </c>
      <c r="CE42" s="5" t="n"/>
      <c r="CF42" s="5">
        <f>IF(A42="","",N(INDEX(Projects[Est Mech Inst],41)))</f>
        <v/>
      </c>
      <c r="CG42" s="5">
        <f>IF(A42="","",N(INDEX(Projects[Est Elec Inst],41)))</f>
        <v/>
      </c>
      <c r="CH42" s="5">
        <f>IF(A42="","",N(INDEX(Projects[Est Project Management],41)))</f>
        <v/>
      </c>
      <c r="CI42" s="5">
        <f>IF(A42="","",N(INDEX(Projects[Est Systems Eng],41)))</f>
        <v/>
      </c>
      <c r="CJ42" s="5">
        <f>IF(A42="","",N(INDEX(Projects[Est Mechanical Eng],41)))</f>
        <v/>
      </c>
      <c r="CK42" s="5">
        <f>IF(A42="","",N(INDEX(Projects[Est Structural Engineering],41)))</f>
        <v/>
      </c>
      <c r="CL42" s="5">
        <f>IF(A42="","",N(INDEX(Projects[Est Site Sup],41)))</f>
        <v/>
      </c>
      <c r="CM42" s="5">
        <f>IF(A42="","",N(INDEX(Projects[Est Controls Commissioning],41)))</f>
        <v/>
      </c>
      <c r="CN42" s="5">
        <f>IF(A42="","",N(INDEX(Projects[Est Systems Commissioning],41)))</f>
        <v/>
      </c>
      <c r="CO42" s="5">
        <f>IF(A42="","",N(INDEX(Projects[Est Service Commissioning],41)))</f>
        <v/>
      </c>
      <c r="CP42" s="5">
        <f>IF(A42="","",N(INDEX(Projects[Est Controls Eng],41)))</f>
        <v/>
      </c>
      <c r="CQ42" s="5">
        <f>IF(A42="","",N(INDEX(Projects[Est Controls Purchase],41)))</f>
        <v/>
      </c>
      <c r="CR42" s="5">
        <f>IF(A42="","",N(INDEX(Projects[Est Software Eng],41)))</f>
        <v/>
      </c>
      <c r="CS42" s="5">
        <f>IF(A42="","",N(INDEX(Projects[Est Misc],41)))</f>
        <v/>
      </c>
      <c r="CT42" s="5">
        <f>IF(A42="","",SUM(CF42:CS42))</f>
        <v/>
      </c>
      <c r="CU42" s="5">
        <f>INDEX(Projects[Est Cost (M)],41)</f>
        <v/>
      </c>
      <c r="CV42" s="5">
        <f>INDEX(Projects[Act Cost (M)],41)</f>
        <v/>
      </c>
      <c r="CW42" s="5">
        <f>INDEX(Projects[Plan Mech Eng (wks)],41)</f>
        <v/>
      </c>
      <c r="CX42" s="5">
        <f>INDEX(Projects[Plan Controls Eng (wks)],41)</f>
        <v/>
      </c>
      <c r="CY42" s="5">
        <f>INDEX(Projects[Plan Systems Eng (wks)],41)</f>
        <v/>
      </c>
      <c r="CZ42" s="5">
        <f>INDEX(Projects[Plan Software Eng (wks)],41)</f>
        <v/>
      </c>
      <c r="DA42" s="5">
        <f>INDEX(Projects[Plan M&amp;E Installation (wks)],41)</f>
        <v/>
      </c>
      <c r="DB42" s="5">
        <f>INDEX(Projects[Plan Commissioning (wks)],41)</f>
        <v/>
      </c>
      <c r="DC42" s="5">
        <f>INDEX(Projects[Plan Total (wks)],41)</f>
        <v/>
      </c>
      <c r="DD42" s="5">
        <f>INDEX(Projects[Act Mech Eng (wks)],41)</f>
        <v/>
      </c>
      <c r="DE42" s="5">
        <f>INDEX(Projects[Act Controls Eng (wks)],41)</f>
        <v/>
      </c>
      <c r="DF42" s="5">
        <f>INDEX(Projects[Act Systems Eng (wks)],41)</f>
        <v/>
      </c>
      <c r="DG42" s="5">
        <f>INDEX(Projects[Act Software Eng (wks)],41)</f>
        <v/>
      </c>
      <c r="DH42" s="5">
        <f>INDEX(Projects[Act M&amp;E Installation (wks)],41)</f>
        <v/>
      </c>
      <c r="DI42" s="5">
        <f>INDEX(Projects[Act Commissioning (wks)],41)</f>
        <v/>
      </c>
      <c r="DJ42" s="5">
        <f>INDEX(Projects[Act Total (wks)],41)</f>
        <v/>
      </c>
    </row>
    <row r="43" ht="15" customHeight="1" s="82">
      <c r="A43" s="64">
        <f>INDEX(Projects[Project ID *],42)&amp;""</f>
        <v/>
      </c>
      <c r="B43" s="64">
        <f>INDEX(Projects[Project Name *],42)&amp;""</f>
        <v/>
      </c>
      <c r="C43" s="64">
        <f>INDEX(Projects[MS Shuttles],42)</f>
        <v/>
      </c>
      <c r="D43" s="64">
        <f>INDEX(Projects[MS Tote Locations],42)</f>
        <v/>
      </c>
      <c r="E43" s="64">
        <f>INDEX(Projects[AS Robots],42)</f>
        <v/>
      </c>
      <c r="F43" s="64">
        <f>INDEX(Projects[AS Tote Locations],42)</f>
        <v/>
      </c>
      <c r="G43" s="64">
        <f>INDEX(Projects[PS Shuttles],42)</f>
        <v/>
      </c>
      <c r="H43" s="64">
        <f>INDEX(Projects[PS Pallet Locations],42)</f>
        <v/>
      </c>
      <c r="I43" s="64">
        <f>INDEX(Projects[SRM Cranes],42)</f>
        <v/>
      </c>
      <c r="J43" s="64">
        <f>INDEX(Projects[SRM Pallet Locations],42)</f>
        <v/>
      </c>
      <c r="K43" s="64">
        <f>INDEX(Projects[Case Conv (m)],42)</f>
        <v/>
      </c>
      <c r="L43" s="64">
        <f>INDEX(Projects[Pallet Conv (m)],42)</f>
        <v/>
      </c>
      <c r="M43" s="64">
        <f>IF(N(DJ43)&gt;0,DD43,CW43)</f>
        <v/>
      </c>
      <c r="N43" s="64">
        <f>IF(N(DJ43)&gt;0,DE43,CX43)</f>
        <v/>
      </c>
      <c r="O43" s="64">
        <f>IF(N(DJ43)&gt;0,DF43,CY43)</f>
        <v/>
      </c>
      <c r="P43" s="64">
        <f>IF(N(DJ43)&gt;0,DG43,CZ43)</f>
        <v/>
      </c>
      <c r="Q43" s="64">
        <f>IF(N(DJ43)&gt;0,DH43,DA43)</f>
        <v/>
      </c>
      <c r="R43" s="64">
        <f>IF(N(DJ43)&gt;0,DI43,DB43)</f>
        <v/>
      </c>
      <c r="S43" s="64">
        <f>IF(N(DJ43)&gt;0,DJ43,DC43)</f>
        <v/>
      </c>
      <c r="T43" s="64">
        <f>INDEX(Projects[Currency],42)&amp;""</f>
        <v/>
      </c>
      <c r="U43" s="65">
        <f>INDEX(Projects[Sold Value (M)],42)</f>
        <v/>
      </c>
      <c r="V43" s="64">
        <f>IF('Smart Search'!B13=1,IFERROR(1/'Smart Search'!H13,0),0)</f>
        <v/>
      </c>
      <c r="W43" s="64">
        <f>IF('Smart Search'!B13=1,IFERROR(1/'Smart Search'!H13,0),0)</f>
        <v/>
      </c>
      <c r="X43" s="64">
        <f>IF('Smart Search'!C13=1,IFERROR(1/'Smart Search'!H13,0),0)</f>
        <v/>
      </c>
      <c r="Y43" s="64">
        <f>IF('Smart Search'!C13=1,IFERROR(1/'Smart Search'!H13,0),0)</f>
        <v/>
      </c>
      <c r="Z43" s="64">
        <f>IF('Smart Search'!D13=1,IFERROR(1/'Smart Search'!H13,0),0)</f>
        <v/>
      </c>
      <c r="AA43" s="64">
        <f>IF('Smart Search'!D13=1,IFERROR(1/'Smart Search'!H13,0),0)</f>
        <v/>
      </c>
      <c r="AB43" s="64">
        <f>IF('Smart Search'!E13=1,IFERROR(1/'Smart Search'!H13,0),0)</f>
        <v/>
      </c>
      <c r="AC43" s="64">
        <f>IF('Smart Search'!E13=1,IFERROR(1/'Smart Search'!H13,0),0)</f>
        <v/>
      </c>
      <c r="AD43" s="64">
        <f>IF('Smart Search'!F13=1,IFERROR(1/'Smart Search'!H13,0),0)</f>
        <v/>
      </c>
      <c r="AE43" s="64">
        <f>IF('Smart Search'!F13=1,IFERROR(1/'Smart Search'!H13,0),0)</f>
        <v/>
      </c>
      <c r="AF43" s="64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4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4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4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4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4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4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4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4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4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4">
        <f>AF43*V43</f>
        <v/>
      </c>
      <c r="AQ43" s="64">
        <f>AG43*W43</f>
        <v/>
      </c>
      <c r="AR43" s="64">
        <f>AH43*X43</f>
        <v/>
      </c>
      <c r="AS43" s="64">
        <f>AI43*Y43</f>
        <v/>
      </c>
      <c r="AT43" s="64">
        <f>AJ43*Z43</f>
        <v/>
      </c>
      <c r="AU43" s="64">
        <f>AK43*AA43</f>
        <v/>
      </c>
      <c r="AV43" s="64">
        <f>AL43*AB43</f>
        <v/>
      </c>
      <c r="AW43" s="64">
        <f>AM43*AC43</f>
        <v/>
      </c>
      <c r="AX43" s="64">
        <f>AN43*AD43</f>
        <v/>
      </c>
      <c r="AY43" s="64">
        <f>AO43*AE43</f>
        <v/>
      </c>
      <c r="AZ43" s="64">
        <f>INDEX(Projects[Automation Equipment],42)&amp;""</f>
        <v/>
      </c>
      <c r="BA43" s="64">
        <f>IF(OR(A43="",'Smart Search'!H13=0),"",MAX(0,BE43*BF43*MAX(0,1-BG43)))</f>
        <v/>
      </c>
      <c r="BB43" s="64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4">
        <f>IF('Smart Search'!G13=1,IFERROR(1/'Smart Search'!H13,0),0)</f>
        <v/>
      </c>
      <c r="BD43" s="64">
        <f>BB43*BC43</f>
        <v/>
      </c>
      <c r="BE43" s="64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IF(A43="","",N(INDEX(Projects[Act Mech Inst],42)))</f>
        <v/>
      </c>
      <c r="BK43" s="5">
        <f>IF(A43="","",N(INDEX(Projects[Act Elec Inst],42)))</f>
        <v/>
      </c>
      <c r="BL43" s="5">
        <f>IF(A43="","",N(INDEX(Projects[Act Project Management],42)))</f>
        <v/>
      </c>
      <c r="BM43" s="5">
        <f>IF(A43="","",N(INDEX(Projects[Act Systems Eng],42)))</f>
        <v/>
      </c>
      <c r="BN43" s="5">
        <f>IF(A43="","",N(INDEX(Projects[Act Mechanical Eng],42)))</f>
        <v/>
      </c>
      <c r="BO43" s="5">
        <f>IF(A43="","",N(INDEX(Projects[Act Structural Engineering],42)))</f>
        <v/>
      </c>
      <c r="BP43" s="5">
        <f>IF(A43="","",N(INDEX(Projects[Act Site Sup],42)))</f>
        <v/>
      </c>
      <c r="BQ43" s="5">
        <f>IF(A43="","",N(INDEX(Projects[Act Controls Commissioning],42)))</f>
        <v/>
      </c>
      <c r="BR43" s="5">
        <f>IF(A43="","",N(INDEX(Projects[Act Systems Commissioning],42)))</f>
        <v/>
      </c>
      <c r="BS43" s="5">
        <f>IF(A43="","",N(INDEX(Projects[Act Service Commissioning],42)))</f>
        <v/>
      </c>
      <c r="BT43" s="5">
        <f>IF(A43="","",N(INDEX(Projects[Act Controls Eng],42)))</f>
        <v/>
      </c>
      <c r="BU43" s="5">
        <f>IF(A43="","",N(INDEX(Projects[Act Controls Purchase],42)))</f>
        <v/>
      </c>
      <c r="BV43" s="5">
        <f>IF(A43="","",N(INDEX(Projects[Act Software Eng],42)))</f>
        <v/>
      </c>
      <c r="BW43" s="5">
        <f>IF(A43="","",N(INDEX(Projects[Act 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INDEX(Projects[Sold Value (USD M)],42)</f>
        <v/>
      </c>
      <c r="CE43" s="5" t="n"/>
      <c r="CF43" s="5">
        <f>IF(A43="","",N(INDEX(Projects[Est Mech Inst],42)))</f>
        <v/>
      </c>
      <c r="CG43" s="5">
        <f>IF(A43="","",N(INDEX(Projects[Est Elec Inst],42)))</f>
        <v/>
      </c>
      <c r="CH43" s="5">
        <f>IF(A43="","",N(INDEX(Projects[Est Project Management],42)))</f>
        <v/>
      </c>
      <c r="CI43" s="5">
        <f>IF(A43="","",N(INDEX(Projects[Est Systems Eng],42)))</f>
        <v/>
      </c>
      <c r="CJ43" s="5">
        <f>IF(A43="","",N(INDEX(Projects[Est Mechanical Eng],42)))</f>
        <v/>
      </c>
      <c r="CK43" s="5">
        <f>IF(A43="","",N(INDEX(Projects[Est Structural Engineering],42)))</f>
        <v/>
      </c>
      <c r="CL43" s="5">
        <f>IF(A43="","",N(INDEX(Projects[Est Site Sup],42)))</f>
        <v/>
      </c>
      <c r="CM43" s="5">
        <f>IF(A43="","",N(INDEX(Projects[Est Controls Commissioning],42)))</f>
        <v/>
      </c>
      <c r="CN43" s="5">
        <f>IF(A43="","",N(INDEX(Projects[Est Systems Commissioning],42)))</f>
        <v/>
      </c>
      <c r="CO43" s="5">
        <f>IF(A43="","",N(INDEX(Projects[Est Service Commissioning],42)))</f>
        <v/>
      </c>
      <c r="CP43" s="5">
        <f>IF(A43="","",N(INDEX(Projects[Est Controls Eng],42)))</f>
        <v/>
      </c>
      <c r="CQ43" s="5">
        <f>IF(A43="","",N(INDEX(Projects[Est Controls Purchase],42)))</f>
        <v/>
      </c>
      <c r="CR43" s="5">
        <f>IF(A43="","",N(INDEX(Projects[Est Software Eng],42)))</f>
        <v/>
      </c>
      <c r="CS43" s="5">
        <f>IF(A43="","",N(INDEX(Projects[Est Misc],42)))</f>
        <v/>
      </c>
      <c r="CT43" s="5">
        <f>IF(A43="","",SUM(CF43:CS43))</f>
        <v/>
      </c>
      <c r="CU43" s="5">
        <f>INDEX(Projects[Est Cost (M)],42)</f>
        <v/>
      </c>
      <c r="CV43" s="5">
        <f>INDEX(Projects[Act Cost (M)],42)</f>
        <v/>
      </c>
      <c r="CW43" s="5">
        <f>INDEX(Projects[Plan Mech Eng (wks)],42)</f>
        <v/>
      </c>
      <c r="CX43" s="5">
        <f>INDEX(Projects[Plan Controls Eng (wks)],42)</f>
        <v/>
      </c>
      <c r="CY43" s="5">
        <f>INDEX(Projects[Plan Systems Eng (wks)],42)</f>
        <v/>
      </c>
      <c r="CZ43" s="5">
        <f>INDEX(Projects[Plan Software Eng (wks)],42)</f>
        <v/>
      </c>
      <c r="DA43" s="5">
        <f>INDEX(Projects[Plan M&amp;E Installation (wks)],42)</f>
        <v/>
      </c>
      <c r="DB43" s="5">
        <f>INDEX(Projects[Plan Commissioning (wks)],42)</f>
        <v/>
      </c>
      <c r="DC43" s="5">
        <f>INDEX(Projects[Plan Total (wks)],42)</f>
        <v/>
      </c>
      <c r="DD43" s="5">
        <f>INDEX(Projects[Act Mech Eng (wks)],42)</f>
        <v/>
      </c>
      <c r="DE43" s="5">
        <f>INDEX(Projects[Act Controls Eng (wks)],42)</f>
        <v/>
      </c>
      <c r="DF43" s="5">
        <f>INDEX(Projects[Act Systems Eng (wks)],42)</f>
        <v/>
      </c>
      <c r="DG43" s="5">
        <f>INDEX(Projects[Act Software Eng (wks)],42)</f>
        <v/>
      </c>
      <c r="DH43" s="5">
        <f>INDEX(Projects[Act M&amp;E Installation (wks)],42)</f>
        <v/>
      </c>
      <c r="DI43" s="5">
        <f>INDEX(Projects[Act Commissioning (wks)],42)</f>
        <v/>
      </c>
      <c r="DJ43" s="5">
        <f>INDEX(Projects[Act Total (wks)],42)</f>
        <v/>
      </c>
    </row>
    <row r="44" ht="15" customHeight="1" s="82">
      <c r="A44" s="64">
        <f>INDEX(Projects[Project ID *],43)&amp;""</f>
        <v/>
      </c>
      <c r="B44" s="64">
        <f>INDEX(Projects[Project Name *],43)&amp;""</f>
        <v/>
      </c>
      <c r="C44" s="64">
        <f>INDEX(Projects[MS Shuttles],43)</f>
        <v/>
      </c>
      <c r="D44" s="64">
        <f>INDEX(Projects[MS Tote Locations],43)</f>
        <v/>
      </c>
      <c r="E44" s="64">
        <f>INDEX(Projects[AS Robots],43)</f>
        <v/>
      </c>
      <c r="F44" s="64">
        <f>INDEX(Projects[AS Tote Locations],43)</f>
        <v/>
      </c>
      <c r="G44" s="64">
        <f>INDEX(Projects[PS Shuttles],43)</f>
        <v/>
      </c>
      <c r="H44" s="64">
        <f>INDEX(Projects[PS Pallet Locations],43)</f>
        <v/>
      </c>
      <c r="I44" s="64">
        <f>INDEX(Projects[SRM Cranes],43)</f>
        <v/>
      </c>
      <c r="J44" s="64">
        <f>INDEX(Projects[SRM Pallet Locations],43)</f>
        <v/>
      </c>
      <c r="K44" s="64">
        <f>INDEX(Projects[Case Conv (m)],43)</f>
        <v/>
      </c>
      <c r="L44" s="64">
        <f>INDEX(Projects[Pallet Conv (m)],43)</f>
        <v/>
      </c>
      <c r="M44" s="64">
        <f>IF(N(DJ44)&gt;0,DD44,CW44)</f>
        <v/>
      </c>
      <c r="N44" s="64">
        <f>IF(N(DJ44)&gt;0,DE44,CX44)</f>
        <v/>
      </c>
      <c r="O44" s="64">
        <f>IF(N(DJ44)&gt;0,DF44,CY44)</f>
        <v/>
      </c>
      <c r="P44" s="64">
        <f>IF(N(DJ44)&gt;0,DG44,CZ44)</f>
        <v/>
      </c>
      <c r="Q44" s="64">
        <f>IF(N(DJ44)&gt;0,DH44,DA44)</f>
        <v/>
      </c>
      <c r="R44" s="64">
        <f>IF(N(DJ44)&gt;0,DI44,DB44)</f>
        <v/>
      </c>
      <c r="S44" s="64">
        <f>IF(N(DJ44)&gt;0,DJ44,DC44)</f>
        <v/>
      </c>
      <c r="T44" s="64">
        <f>INDEX(Projects[Currency],43)&amp;""</f>
        <v/>
      </c>
      <c r="U44" s="65">
        <f>INDEX(Projects[Sold Value (M)],43)</f>
        <v/>
      </c>
      <c r="V44" s="64">
        <f>IF('Smart Search'!B13=1,IFERROR(1/'Smart Search'!H13,0),0)</f>
        <v/>
      </c>
      <c r="W44" s="64">
        <f>IF('Smart Search'!B13=1,IFERROR(1/'Smart Search'!H13,0),0)</f>
        <v/>
      </c>
      <c r="X44" s="64">
        <f>IF('Smart Search'!C13=1,IFERROR(1/'Smart Search'!H13,0),0)</f>
        <v/>
      </c>
      <c r="Y44" s="64">
        <f>IF('Smart Search'!C13=1,IFERROR(1/'Smart Search'!H13,0),0)</f>
        <v/>
      </c>
      <c r="Z44" s="64">
        <f>IF('Smart Search'!D13=1,IFERROR(1/'Smart Search'!H13,0),0)</f>
        <v/>
      </c>
      <c r="AA44" s="64">
        <f>IF('Smart Search'!D13=1,IFERROR(1/'Smart Search'!H13,0),0)</f>
        <v/>
      </c>
      <c r="AB44" s="64">
        <f>IF('Smart Search'!E13=1,IFERROR(1/'Smart Search'!H13,0),0)</f>
        <v/>
      </c>
      <c r="AC44" s="64">
        <f>IF('Smart Search'!E13=1,IFERROR(1/'Smart Search'!H13,0),0)</f>
        <v/>
      </c>
      <c r="AD44" s="64">
        <f>IF('Smart Search'!F13=1,IFERROR(1/'Smart Search'!H13,0),0)</f>
        <v/>
      </c>
      <c r="AE44" s="64">
        <f>IF('Smart Search'!F13=1,IFERROR(1/'Smart Search'!H13,0),0)</f>
        <v/>
      </c>
      <c r="AF44" s="64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4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4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4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4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4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4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4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4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4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4">
        <f>AF44*V44</f>
        <v/>
      </c>
      <c r="AQ44" s="64">
        <f>AG44*W44</f>
        <v/>
      </c>
      <c r="AR44" s="64">
        <f>AH44*X44</f>
        <v/>
      </c>
      <c r="AS44" s="64">
        <f>AI44*Y44</f>
        <v/>
      </c>
      <c r="AT44" s="64">
        <f>AJ44*Z44</f>
        <v/>
      </c>
      <c r="AU44" s="64">
        <f>AK44*AA44</f>
        <v/>
      </c>
      <c r="AV44" s="64">
        <f>AL44*AB44</f>
        <v/>
      </c>
      <c r="AW44" s="64">
        <f>AM44*AC44</f>
        <v/>
      </c>
      <c r="AX44" s="64">
        <f>AN44*AD44</f>
        <v/>
      </c>
      <c r="AY44" s="64">
        <f>AO44*AE44</f>
        <v/>
      </c>
      <c r="AZ44" s="64">
        <f>INDEX(Projects[Automation Equipment],43)&amp;""</f>
        <v/>
      </c>
      <c r="BA44" s="64">
        <f>IF(OR(A44="",'Smart Search'!H13=0),"",MAX(0,BE44*BF44*MAX(0,1-BG44)))</f>
        <v/>
      </c>
      <c r="BB44" s="64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4">
        <f>IF('Smart Search'!G13=1,IFERROR(1/'Smart Search'!H13,0),0)</f>
        <v/>
      </c>
      <c r="BD44" s="64">
        <f>BB44*BC44</f>
        <v/>
      </c>
      <c r="BE44" s="64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IF(A44="","",N(INDEX(Projects[Act Mech Inst],43)))</f>
        <v/>
      </c>
      <c r="BK44" s="5">
        <f>IF(A44="","",N(INDEX(Projects[Act Elec Inst],43)))</f>
        <v/>
      </c>
      <c r="BL44" s="5">
        <f>IF(A44="","",N(INDEX(Projects[Act Project Management],43)))</f>
        <v/>
      </c>
      <c r="BM44" s="5">
        <f>IF(A44="","",N(INDEX(Projects[Act Systems Eng],43)))</f>
        <v/>
      </c>
      <c r="BN44" s="5">
        <f>IF(A44="","",N(INDEX(Projects[Act Mechanical Eng],43)))</f>
        <v/>
      </c>
      <c r="BO44" s="5">
        <f>IF(A44="","",N(INDEX(Projects[Act Structural Engineering],43)))</f>
        <v/>
      </c>
      <c r="BP44" s="5">
        <f>IF(A44="","",N(INDEX(Projects[Act Site Sup],43)))</f>
        <v/>
      </c>
      <c r="BQ44" s="5">
        <f>IF(A44="","",N(INDEX(Projects[Act Controls Commissioning],43)))</f>
        <v/>
      </c>
      <c r="BR44" s="5">
        <f>IF(A44="","",N(INDEX(Projects[Act Systems Commissioning],43)))</f>
        <v/>
      </c>
      <c r="BS44" s="5">
        <f>IF(A44="","",N(INDEX(Projects[Act Service Commissioning],43)))</f>
        <v/>
      </c>
      <c r="BT44" s="5">
        <f>IF(A44="","",N(INDEX(Projects[Act Controls Eng],43)))</f>
        <v/>
      </c>
      <c r="BU44" s="5">
        <f>IF(A44="","",N(INDEX(Projects[Act Controls Purchase],43)))</f>
        <v/>
      </c>
      <c r="BV44" s="5">
        <f>IF(A44="","",N(INDEX(Projects[Act Software Eng],43)))</f>
        <v/>
      </c>
      <c r="BW44" s="5">
        <f>IF(A44="","",N(INDEX(Projects[Act 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INDEX(Projects[Sold Value (USD M)],43)</f>
        <v/>
      </c>
      <c r="CE44" s="5" t="n"/>
      <c r="CF44" s="5">
        <f>IF(A44="","",N(INDEX(Projects[Est Mech Inst],43)))</f>
        <v/>
      </c>
      <c r="CG44" s="5">
        <f>IF(A44="","",N(INDEX(Projects[Est Elec Inst],43)))</f>
        <v/>
      </c>
      <c r="CH44" s="5">
        <f>IF(A44="","",N(INDEX(Projects[Est Project Management],43)))</f>
        <v/>
      </c>
      <c r="CI44" s="5">
        <f>IF(A44="","",N(INDEX(Projects[Est Systems Eng],43)))</f>
        <v/>
      </c>
      <c r="CJ44" s="5">
        <f>IF(A44="","",N(INDEX(Projects[Est Mechanical Eng],43)))</f>
        <v/>
      </c>
      <c r="CK44" s="5">
        <f>IF(A44="","",N(INDEX(Projects[Est Structural Engineering],43)))</f>
        <v/>
      </c>
      <c r="CL44" s="5">
        <f>IF(A44="","",N(INDEX(Projects[Est Site Sup],43)))</f>
        <v/>
      </c>
      <c r="CM44" s="5">
        <f>IF(A44="","",N(INDEX(Projects[Est Controls Commissioning],43)))</f>
        <v/>
      </c>
      <c r="CN44" s="5">
        <f>IF(A44="","",N(INDEX(Projects[Est Systems Commissioning],43)))</f>
        <v/>
      </c>
      <c r="CO44" s="5">
        <f>IF(A44="","",N(INDEX(Projects[Est Service Commissioning],43)))</f>
        <v/>
      </c>
      <c r="CP44" s="5">
        <f>IF(A44="","",N(INDEX(Projects[Est Controls Eng],43)))</f>
        <v/>
      </c>
      <c r="CQ44" s="5">
        <f>IF(A44="","",N(INDEX(Projects[Est Controls Purchase],43)))</f>
        <v/>
      </c>
      <c r="CR44" s="5">
        <f>IF(A44="","",N(INDEX(Projects[Est Software Eng],43)))</f>
        <v/>
      </c>
      <c r="CS44" s="5">
        <f>IF(A44="","",N(INDEX(Projects[Est Misc],43)))</f>
        <v/>
      </c>
      <c r="CT44" s="5">
        <f>IF(A44="","",SUM(CF44:CS44))</f>
        <v/>
      </c>
      <c r="CU44" s="5">
        <f>INDEX(Projects[Est Cost (M)],43)</f>
        <v/>
      </c>
      <c r="CV44" s="5">
        <f>INDEX(Projects[Act Cost (M)],43)</f>
        <v/>
      </c>
      <c r="CW44" s="5">
        <f>INDEX(Projects[Plan Mech Eng (wks)],43)</f>
        <v/>
      </c>
      <c r="CX44" s="5">
        <f>INDEX(Projects[Plan Controls Eng (wks)],43)</f>
        <v/>
      </c>
      <c r="CY44" s="5">
        <f>INDEX(Projects[Plan Systems Eng (wks)],43)</f>
        <v/>
      </c>
      <c r="CZ44" s="5">
        <f>INDEX(Projects[Plan Software Eng (wks)],43)</f>
        <v/>
      </c>
      <c r="DA44" s="5">
        <f>INDEX(Projects[Plan M&amp;E Installation (wks)],43)</f>
        <v/>
      </c>
      <c r="DB44" s="5">
        <f>INDEX(Projects[Plan Commissioning (wks)],43)</f>
        <v/>
      </c>
      <c r="DC44" s="5">
        <f>INDEX(Projects[Plan Total (wks)],43)</f>
        <v/>
      </c>
      <c r="DD44" s="5">
        <f>INDEX(Projects[Act Mech Eng (wks)],43)</f>
        <v/>
      </c>
      <c r="DE44" s="5">
        <f>INDEX(Projects[Act Controls Eng (wks)],43)</f>
        <v/>
      </c>
      <c r="DF44" s="5">
        <f>INDEX(Projects[Act Systems Eng (wks)],43)</f>
        <v/>
      </c>
      <c r="DG44" s="5">
        <f>INDEX(Projects[Act Software Eng (wks)],43)</f>
        <v/>
      </c>
      <c r="DH44" s="5">
        <f>INDEX(Projects[Act M&amp;E Installation (wks)],43)</f>
        <v/>
      </c>
      <c r="DI44" s="5">
        <f>INDEX(Projects[Act Commissioning (wks)],43)</f>
        <v/>
      </c>
      <c r="DJ44" s="5">
        <f>INDEX(Projects[Act Total (wks)],43)</f>
        <v/>
      </c>
    </row>
    <row r="45" ht="15" customHeight="1" s="82">
      <c r="A45" s="64">
        <f>INDEX(Projects[Project ID *],44)&amp;""</f>
        <v/>
      </c>
      <c r="B45" s="64">
        <f>INDEX(Projects[Project Name *],44)&amp;""</f>
        <v/>
      </c>
      <c r="C45" s="64">
        <f>INDEX(Projects[MS Shuttles],44)</f>
        <v/>
      </c>
      <c r="D45" s="64">
        <f>INDEX(Projects[MS Tote Locations],44)</f>
        <v/>
      </c>
      <c r="E45" s="64">
        <f>INDEX(Projects[AS Robots],44)</f>
        <v/>
      </c>
      <c r="F45" s="64">
        <f>INDEX(Projects[AS Tote Locations],44)</f>
        <v/>
      </c>
      <c r="G45" s="64">
        <f>INDEX(Projects[PS Shuttles],44)</f>
        <v/>
      </c>
      <c r="H45" s="64">
        <f>INDEX(Projects[PS Pallet Locations],44)</f>
        <v/>
      </c>
      <c r="I45" s="64">
        <f>INDEX(Projects[SRM Cranes],44)</f>
        <v/>
      </c>
      <c r="J45" s="64">
        <f>INDEX(Projects[SRM Pallet Locations],44)</f>
        <v/>
      </c>
      <c r="K45" s="64">
        <f>INDEX(Projects[Case Conv (m)],44)</f>
        <v/>
      </c>
      <c r="L45" s="64">
        <f>INDEX(Projects[Pallet Conv (m)],44)</f>
        <v/>
      </c>
      <c r="M45" s="64">
        <f>IF(N(DJ45)&gt;0,DD45,CW45)</f>
        <v/>
      </c>
      <c r="N45" s="64">
        <f>IF(N(DJ45)&gt;0,DE45,CX45)</f>
        <v/>
      </c>
      <c r="O45" s="64">
        <f>IF(N(DJ45)&gt;0,DF45,CY45)</f>
        <v/>
      </c>
      <c r="P45" s="64">
        <f>IF(N(DJ45)&gt;0,DG45,CZ45)</f>
        <v/>
      </c>
      <c r="Q45" s="64">
        <f>IF(N(DJ45)&gt;0,DH45,DA45)</f>
        <v/>
      </c>
      <c r="R45" s="64">
        <f>IF(N(DJ45)&gt;0,DI45,DB45)</f>
        <v/>
      </c>
      <c r="S45" s="64">
        <f>IF(N(DJ45)&gt;0,DJ45,DC45)</f>
        <v/>
      </c>
      <c r="T45" s="64">
        <f>INDEX(Projects[Currency],44)&amp;""</f>
        <v/>
      </c>
      <c r="U45" s="65">
        <f>INDEX(Projects[Sold Value (M)],44)</f>
        <v/>
      </c>
      <c r="V45" s="64">
        <f>IF('Smart Search'!B13=1,IFERROR(1/'Smart Search'!H13,0),0)</f>
        <v/>
      </c>
      <c r="W45" s="64">
        <f>IF('Smart Search'!B13=1,IFERROR(1/'Smart Search'!H13,0),0)</f>
        <v/>
      </c>
      <c r="X45" s="64">
        <f>IF('Smart Search'!C13=1,IFERROR(1/'Smart Search'!H13,0),0)</f>
        <v/>
      </c>
      <c r="Y45" s="64">
        <f>IF('Smart Search'!C13=1,IFERROR(1/'Smart Search'!H13,0),0)</f>
        <v/>
      </c>
      <c r="Z45" s="64">
        <f>IF('Smart Search'!D13=1,IFERROR(1/'Smart Search'!H13,0),0)</f>
        <v/>
      </c>
      <c r="AA45" s="64">
        <f>IF('Smart Search'!D13=1,IFERROR(1/'Smart Search'!H13,0),0)</f>
        <v/>
      </c>
      <c r="AB45" s="64">
        <f>IF('Smart Search'!E13=1,IFERROR(1/'Smart Search'!H13,0),0)</f>
        <v/>
      </c>
      <c r="AC45" s="64">
        <f>IF('Smart Search'!E13=1,IFERROR(1/'Smart Search'!H13,0),0)</f>
        <v/>
      </c>
      <c r="AD45" s="64">
        <f>IF('Smart Search'!F13=1,IFERROR(1/'Smart Search'!H13,0),0)</f>
        <v/>
      </c>
      <c r="AE45" s="64">
        <f>IF('Smart Search'!F13=1,IFERROR(1/'Smart Search'!H13,0),0)</f>
        <v/>
      </c>
      <c r="AF45" s="64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4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4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4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4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4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4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4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4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4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4">
        <f>AF45*V45</f>
        <v/>
      </c>
      <c r="AQ45" s="64">
        <f>AG45*W45</f>
        <v/>
      </c>
      <c r="AR45" s="64">
        <f>AH45*X45</f>
        <v/>
      </c>
      <c r="AS45" s="64">
        <f>AI45*Y45</f>
        <v/>
      </c>
      <c r="AT45" s="64">
        <f>AJ45*Z45</f>
        <v/>
      </c>
      <c r="AU45" s="64">
        <f>AK45*AA45</f>
        <v/>
      </c>
      <c r="AV45" s="64">
        <f>AL45*AB45</f>
        <v/>
      </c>
      <c r="AW45" s="64">
        <f>AM45*AC45</f>
        <v/>
      </c>
      <c r="AX45" s="64">
        <f>AN45*AD45</f>
        <v/>
      </c>
      <c r="AY45" s="64">
        <f>AO45*AE45</f>
        <v/>
      </c>
      <c r="AZ45" s="64">
        <f>INDEX(Projects[Automation Equipment],44)&amp;""</f>
        <v/>
      </c>
      <c r="BA45" s="64">
        <f>IF(OR(A45="",'Smart Search'!H13=0),"",MAX(0,BE45*BF45*MAX(0,1-BG45)))</f>
        <v/>
      </c>
      <c r="BB45" s="64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4">
        <f>IF('Smart Search'!G13=1,IFERROR(1/'Smart Search'!H13,0),0)</f>
        <v/>
      </c>
      <c r="BD45" s="64">
        <f>BB45*BC45</f>
        <v/>
      </c>
      <c r="BE45" s="64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IF(A45="","",N(INDEX(Projects[Act Mech Inst],44)))</f>
        <v/>
      </c>
      <c r="BK45" s="5">
        <f>IF(A45="","",N(INDEX(Projects[Act Elec Inst],44)))</f>
        <v/>
      </c>
      <c r="BL45" s="5">
        <f>IF(A45="","",N(INDEX(Projects[Act Project Management],44)))</f>
        <v/>
      </c>
      <c r="BM45" s="5">
        <f>IF(A45="","",N(INDEX(Projects[Act Systems Eng],44)))</f>
        <v/>
      </c>
      <c r="BN45" s="5">
        <f>IF(A45="","",N(INDEX(Projects[Act Mechanical Eng],44)))</f>
        <v/>
      </c>
      <c r="BO45" s="5">
        <f>IF(A45="","",N(INDEX(Projects[Act Structural Engineering],44)))</f>
        <v/>
      </c>
      <c r="BP45" s="5">
        <f>IF(A45="","",N(INDEX(Projects[Act Site Sup],44)))</f>
        <v/>
      </c>
      <c r="BQ45" s="5">
        <f>IF(A45="","",N(INDEX(Projects[Act Controls Commissioning],44)))</f>
        <v/>
      </c>
      <c r="BR45" s="5">
        <f>IF(A45="","",N(INDEX(Projects[Act Systems Commissioning],44)))</f>
        <v/>
      </c>
      <c r="BS45" s="5">
        <f>IF(A45="","",N(INDEX(Projects[Act Service Commissioning],44)))</f>
        <v/>
      </c>
      <c r="BT45" s="5">
        <f>IF(A45="","",N(INDEX(Projects[Act Controls Eng],44)))</f>
        <v/>
      </c>
      <c r="BU45" s="5">
        <f>IF(A45="","",N(INDEX(Projects[Act Controls Purchase],44)))</f>
        <v/>
      </c>
      <c r="BV45" s="5">
        <f>IF(A45="","",N(INDEX(Projects[Act Software Eng],44)))</f>
        <v/>
      </c>
      <c r="BW45" s="5">
        <f>IF(A45="","",N(INDEX(Projects[Act 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INDEX(Projects[Sold Value (USD M)],44)</f>
        <v/>
      </c>
      <c r="CE45" s="5" t="n"/>
      <c r="CF45" s="5">
        <f>IF(A45="","",N(INDEX(Projects[Est Mech Inst],44)))</f>
        <v/>
      </c>
      <c r="CG45" s="5">
        <f>IF(A45="","",N(INDEX(Projects[Est Elec Inst],44)))</f>
        <v/>
      </c>
      <c r="CH45" s="5">
        <f>IF(A45="","",N(INDEX(Projects[Est Project Management],44)))</f>
        <v/>
      </c>
      <c r="CI45" s="5">
        <f>IF(A45="","",N(INDEX(Projects[Est Systems Eng],44)))</f>
        <v/>
      </c>
      <c r="CJ45" s="5">
        <f>IF(A45="","",N(INDEX(Projects[Est Mechanical Eng],44)))</f>
        <v/>
      </c>
      <c r="CK45" s="5">
        <f>IF(A45="","",N(INDEX(Projects[Est Structural Engineering],44)))</f>
        <v/>
      </c>
      <c r="CL45" s="5">
        <f>IF(A45="","",N(INDEX(Projects[Est Site Sup],44)))</f>
        <v/>
      </c>
      <c r="CM45" s="5">
        <f>IF(A45="","",N(INDEX(Projects[Est Controls Commissioning],44)))</f>
        <v/>
      </c>
      <c r="CN45" s="5">
        <f>IF(A45="","",N(INDEX(Projects[Est Systems Commissioning],44)))</f>
        <v/>
      </c>
      <c r="CO45" s="5">
        <f>IF(A45="","",N(INDEX(Projects[Est Service Commissioning],44)))</f>
        <v/>
      </c>
      <c r="CP45" s="5">
        <f>IF(A45="","",N(INDEX(Projects[Est Controls Eng],44)))</f>
        <v/>
      </c>
      <c r="CQ45" s="5">
        <f>IF(A45="","",N(INDEX(Projects[Est Controls Purchase],44)))</f>
        <v/>
      </c>
      <c r="CR45" s="5">
        <f>IF(A45="","",N(INDEX(Projects[Est Software Eng],44)))</f>
        <v/>
      </c>
      <c r="CS45" s="5">
        <f>IF(A45="","",N(INDEX(Projects[Est Misc],44)))</f>
        <v/>
      </c>
      <c r="CT45" s="5">
        <f>IF(A45="","",SUM(CF45:CS45))</f>
        <v/>
      </c>
      <c r="CU45" s="5">
        <f>INDEX(Projects[Est Cost (M)],44)</f>
        <v/>
      </c>
      <c r="CV45" s="5">
        <f>INDEX(Projects[Act Cost (M)],44)</f>
        <v/>
      </c>
      <c r="CW45" s="5">
        <f>INDEX(Projects[Plan Mech Eng (wks)],44)</f>
        <v/>
      </c>
      <c r="CX45" s="5">
        <f>INDEX(Projects[Plan Controls Eng (wks)],44)</f>
        <v/>
      </c>
      <c r="CY45" s="5">
        <f>INDEX(Projects[Plan Systems Eng (wks)],44)</f>
        <v/>
      </c>
      <c r="CZ45" s="5">
        <f>INDEX(Projects[Plan Software Eng (wks)],44)</f>
        <v/>
      </c>
      <c r="DA45" s="5">
        <f>INDEX(Projects[Plan M&amp;E Installation (wks)],44)</f>
        <v/>
      </c>
      <c r="DB45" s="5">
        <f>INDEX(Projects[Plan Commissioning (wks)],44)</f>
        <v/>
      </c>
      <c r="DC45" s="5">
        <f>INDEX(Projects[Plan Total (wks)],44)</f>
        <v/>
      </c>
      <c r="DD45" s="5">
        <f>INDEX(Projects[Act Mech Eng (wks)],44)</f>
        <v/>
      </c>
      <c r="DE45" s="5">
        <f>INDEX(Projects[Act Controls Eng (wks)],44)</f>
        <v/>
      </c>
      <c r="DF45" s="5">
        <f>INDEX(Projects[Act Systems Eng (wks)],44)</f>
        <v/>
      </c>
      <c r="DG45" s="5">
        <f>INDEX(Projects[Act Software Eng (wks)],44)</f>
        <v/>
      </c>
      <c r="DH45" s="5">
        <f>INDEX(Projects[Act M&amp;E Installation (wks)],44)</f>
        <v/>
      </c>
      <c r="DI45" s="5">
        <f>INDEX(Projects[Act Commissioning (wks)],44)</f>
        <v/>
      </c>
      <c r="DJ45" s="5">
        <f>INDEX(Projects[Act Total (wks)],44)</f>
        <v/>
      </c>
    </row>
    <row r="46" ht="15" customHeight="1" s="82">
      <c r="A46" s="64">
        <f>INDEX(Projects[Project ID *],45)&amp;""</f>
        <v/>
      </c>
      <c r="B46" s="64">
        <f>INDEX(Projects[Project Name *],45)&amp;""</f>
        <v/>
      </c>
      <c r="C46" s="64">
        <f>INDEX(Projects[MS Shuttles],45)</f>
        <v/>
      </c>
      <c r="D46" s="64">
        <f>INDEX(Projects[MS Tote Locations],45)</f>
        <v/>
      </c>
      <c r="E46" s="64">
        <f>INDEX(Projects[AS Robots],45)</f>
        <v/>
      </c>
      <c r="F46" s="64">
        <f>INDEX(Projects[AS Tote Locations],45)</f>
        <v/>
      </c>
      <c r="G46" s="64">
        <f>INDEX(Projects[PS Shuttles],45)</f>
        <v/>
      </c>
      <c r="H46" s="64">
        <f>INDEX(Projects[PS Pallet Locations],45)</f>
        <v/>
      </c>
      <c r="I46" s="64">
        <f>INDEX(Projects[SRM Cranes],45)</f>
        <v/>
      </c>
      <c r="J46" s="64">
        <f>INDEX(Projects[SRM Pallet Locations],45)</f>
        <v/>
      </c>
      <c r="K46" s="64">
        <f>INDEX(Projects[Case Conv (m)],45)</f>
        <v/>
      </c>
      <c r="L46" s="64">
        <f>INDEX(Projects[Pallet Conv (m)],45)</f>
        <v/>
      </c>
      <c r="M46" s="64">
        <f>IF(N(DJ46)&gt;0,DD46,CW46)</f>
        <v/>
      </c>
      <c r="N46" s="64">
        <f>IF(N(DJ46)&gt;0,DE46,CX46)</f>
        <v/>
      </c>
      <c r="O46" s="64">
        <f>IF(N(DJ46)&gt;0,DF46,CY46)</f>
        <v/>
      </c>
      <c r="P46" s="64">
        <f>IF(N(DJ46)&gt;0,DG46,CZ46)</f>
        <v/>
      </c>
      <c r="Q46" s="64">
        <f>IF(N(DJ46)&gt;0,DH46,DA46)</f>
        <v/>
      </c>
      <c r="R46" s="64">
        <f>IF(N(DJ46)&gt;0,DI46,DB46)</f>
        <v/>
      </c>
      <c r="S46" s="64">
        <f>IF(N(DJ46)&gt;0,DJ46,DC46)</f>
        <v/>
      </c>
      <c r="T46" s="64">
        <f>INDEX(Projects[Currency],45)&amp;""</f>
        <v/>
      </c>
      <c r="U46" s="65">
        <f>INDEX(Projects[Sold Value (M)],45)</f>
        <v/>
      </c>
      <c r="V46" s="64">
        <f>IF('Smart Search'!B13=1,IFERROR(1/'Smart Search'!H13,0),0)</f>
        <v/>
      </c>
      <c r="W46" s="64">
        <f>IF('Smart Search'!B13=1,IFERROR(1/'Smart Search'!H13,0),0)</f>
        <v/>
      </c>
      <c r="X46" s="64">
        <f>IF('Smart Search'!C13=1,IFERROR(1/'Smart Search'!H13,0),0)</f>
        <v/>
      </c>
      <c r="Y46" s="64">
        <f>IF('Smart Search'!C13=1,IFERROR(1/'Smart Search'!H13,0),0)</f>
        <v/>
      </c>
      <c r="Z46" s="64">
        <f>IF('Smart Search'!D13=1,IFERROR(1/'Smart Search'!H13,0),0)</f>
        <v/>
      </c>
      <c r="AA46" s="64">
        <f>IF('Smart Search'!D13=1,IFERROR(1/'Smart Search'!H13,0),0)</f>
        <v/>
      </c>
      <c r="AB46" s="64">
        <f>IF('Smart Search'!E13=1,IFERROR(1/'Smart Search'!H13,0),0)</f>
        <v/>
      </c>
      <c r="AC46" s="64">
        <f>IF('Smart Search'!E13=1,IFERROR(1/'Smart Search'!H13,0),0)</f>
        <v/>
      </c>
      <c r="AD46" s="64">
        <f>IF('Smart Search'!F13=1,IFERROR(1/'Smart Search'!H13,0),0)</f>
        <v/>
      </c>
      <c r="AE46" s="64">
        <f>IF('Smart Search'!F13=1,IFERROR(1/'Smart Search'!H13,0),0)</f>
        <v/>
      </c>
      <c r="AF46" s="64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4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4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4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4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4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4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4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4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4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4">
        <f>AF46*V46</f>
        <v/>
      </c>
      <c r="AQ46" s="64">
        <f>AG46*W46</f>
        <v/>
      </c>
      <c r="AR46" s="64">
        <f>AH46*X46</f>
        <v/>
      </c>
      <c r="AS46" s="64">
        <f>AI46*Y46</f>
        <v/>
      </c>
      <c r="AT46" s="64">
        <f>AJ46*Z46</f>
        <v/>
      </c>
      <c r="AU46" s="64">
        <f>AK46*AA46</f>
        <v/>
      </c>
      <c r="AV46" s="64">
        <f>AL46*AB46</f>
        <v/>
      </c>
      <c r="AW46" s="64">
        <f>AM46*AC46</f>
        <v/>
      </c>
      <c r="AX46" s="64">
        <f>AN46*AD46</f>
        <v/>
      </c>
      <c r="AY46" s="64">
        <f>AO46*AE46</f>
        <v/>
      </c>
      <c r="AZ46" s="64">
        <f>INDEX(Projects[Automation Equipment],45)&amp;""</f>
        <v/>
      </c>
      <c r="BA46" s="64">
        <f>IF(OR(A46="",'Smart Search'!H13=0),"",MAX(0,BE46*BF46*MAX(0,1-BG46)))</f>
        <v/>
      </c>
      <c r="BB46" s="64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4">
        <f>IF('Smart Search'!G13=1,IFERROR(1/'Smart Search'!H13,0),0)</f>
        <v/>
      </c>
      <c r="BD46" s="64">
        <f>BB46*BC46</f>
        <v/>
      </c>
      <c r="BE46" s="64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IF(A46="","",N(INDEX(Projects[Act Mech Inst],45)))</f>
        <v/>
      </c>
      <c r="BK46" s="5">
        <f>IF(A46="","",N(INDEX(Projects[Act Elec Inst],45)))</f>
        <v/>
      </c>
      <c r="BL46" s="5">
        <f>IF(A46="","",N(INDEX(Projects[Act Project Management],45)))</f>
        <v/>
      </c>
      <c r="BM46" s="5">
        <f>IF(A46="","",N(INDEX(Projects[Act Systems Eng],45)))</f>
        <v/>
      </c>
      <c r="BN46" s="5">
        <f>IF(A46="","",N(INDEX(Projects[Act Mechanical Eng],45)))</f>
        <v/>
      </c>
      <c r="BO46" s="5">
        <f>IF(A46="","",N(INDEX(Projects[Act Structural Engineering],45)))</f>
        <v/>
      </c>
      <c r="BP46" s="5">
        <f>IF(A46="","",N(INDEX(Projects[Act Site Sup],45)))</f>
        <v/>
      </c>
      <c r="BQ46" s="5">
        <f>IF(A46="","",N(INDEX(Projects[Act Controls Commissioning],45)))</f>
        <v/>
      </c>
      <c r="BR46" s="5">
        <f>IF(A46="","",N(INDEX(Projects[Act Systems Commissioning],45)))</f>
        <v/>
      </c>
      <c r="BS46" s="5">
        <f>IF(A46="","",N(INDEX(Projects[Act Service Commissioning],45)))</f>
        <v/>
      </c>
      <c r="BT46" s="5">
        <f>IF(A46="","",N(INDEX(Projects[Act Controls Eng],45)))</f>
        <v/>
      </c>
      <c r="BU46" s="5">
        <f>IF(A46="","",N(INDEX(Projects[Act Controls Purchase],45)))</f>
        <v/>
      </c>
      <c r="BV46" s="5">
        <f>IF(A46="","",N(INDEX(Projects[Act Software Eng],45)))</f>
        <v/>
      </c>
      <c r="BW46" s="5">
        <f>IF(A46="","",N(INDEX(Projects[Act 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INDEX(Projects[Sold Value (USD M)],45)</f>
        <v/>
      </c>
      <c r="CE46" s="5" t="n"/>
      <c r="CF46" s="5">
        <f>IF(A46="","",N(INDEX(Projects[Est Mech Inst],45)))</f>
        <v/>
      </c>
      <c r="CG46" s="5">
        <f>IF(A46="","",N(INDEX(Projects[Est Elec Inst],45)))</f>
        <v/>
      </c>
      <c r="CH46" s="5">
        <f>IF(A46="","",N(INDEX(Projects[Est Project Management],45)))</f>
        <v/>
      </c>
      <c r="CI46" s="5">
        <f>IF(A46="","",N(INDEX(Projects[Est Systems Eng],45)))</f>
        <v/>
      </c>
      <c r="CJ46" s="5">
        <f>IF(A46="","",N(INDEX(Projects[Est Mechanical Eng],45)))</f>
        <v/>
      </c>
      <c r="CK46" s="5">
        <f>IF(A46="","",N(INDEX(Projects[Est Structural Engineering],45)))</f>
        <v/>
      </c>
      <c r="CL46" s="5">
        <f>IF(A46="","",N(INDEX(Projects[Est Site Sup],45)))</f>
        <v/>
      </c>
      <c r="CM46" s="5">
        <f>IF(A46="","",N(INDEX(Projects[Est Controls Commissioning],45)))</f>
        <v/>
      </c>
      <c r="CN46" s="5">
        <f>IF(A46="","",N(INDEX(Projects[Est Systems Commissioning],45)))</f>
        <v/>
      </c>
      <c r="CO46" s="5">
        <f>IF(A46="","",N(INDEX(Projects[Est Service Commissioning],45)))</f>
        <v/>
      </c>
      <c r="CP46" s="5">
        <f>IF(A46="","",N(INDEX(Projects[Est Controls Eng],45)))</f>
        <v/>
      </c>
      <c r="CQ46" s="5">
        <f>IF(A46="","",N(INDEX(Projects[Est Controls Purchase],45)))</f>
        <v/>
      </c>
      <c r="CR46" s="5">
        <f>IF(A46="","",N(INDEX(Projects[Est Software Eng],45)))</f>
        <v/>
      </c>
      <c r="CS46" s="5">
        <f>IF(A46="","",N(INDEX(Projects[Est Misc],45)))</f>
        <v/>
      </c>
      <c r="CT46" s="5">
        <f>IF(A46="","",SUM(CF46:CS46))</f>
        <v/>
      </c>
      <c r="CU46" s="5">
        <f>INDEX(Projects[Est Cost (M)],45)</f>
        <v/>
      </c>
      <c r="CV46" s="5">
        <f>INDEX(Projects[Act Cost (M)],45)</f>
        <v/>
      </c>
      <c r="CW46" s="5">
        <f>INDEX(Projects[Plan Mech Eng (wks)],45)</f>
        <v/>
      </c>
      <c r="CX46" s="5">
        <f>INDEX(Projects[Plan Controls Eng (wks)],45)</f>
        <v/>
      </c>
      <c r="CY46" s="5">
        <f>INDEX(Projects[Plan Systems Eng (wks)],45)</f>
        <v/>
      </c>
      <c r="CZ46" s="5">
        <f>INDEX(Projects[Plan Software Eng (wks)],45)</f>
        <v/>
      </c>
      <c r="DA46" s="5">
        <f>INDEX(Projects[Plan M&amp;E Installation (wks)],45)</f>
        <v/>
      </c>
      <c r="DB46" s="5">
        <f>INDEX(Projects[Plan Commissioning (wks)],45)</f>
        <v/>
      </c>
      <c r="DC46" s="5">
        <f>INDEX(Projects[Plan Total (wks)],45)</f>
        <v/>
      </c>
      <c r="DD46" s="5">
        <f>INDEX(Projects[Act Mech Eng (wks)],45)</f>
        <v/>
      </c>
      <c r="DE46" s="5">
        <f>INDEX(Projects[Act Controls Eng (wks)],45)</f>
        <v/>
      </c>
      <c r="DF46" s="5">
        <f>INDEX(Projects[Act Systems Eng (wks)],45)</f>
        <v/>
      </c>
      <c r="DG46" s="5">
        <f>INDEX(Projects[Act Software Eng (wks)],45)</f>
        <v/>
      </c>
      <c r="DH46" s="5">
        <f>INDEX(Projects[Act M&amp;E Installation (wks)],45)</f>
        <v/>
      </c>
      <c r="DI46" s="5">
        <f>INDEX(Projects[Act Commissioning (wks)],45)</f>
        <v/>
      </c>
      <c r="DJ46" s="5">
        <f>INDEX(Projects[Act Total (wks)],45)</f>
        <v/>
      </c>
    </row>
    <row r="47" ht="15" customHeight="1" s="82">
      <c r="A47" s="64">
        <f>INDEX(Projects[Project ID *],46)&amp;""</f>
        <v/>
      </c>
      <c r="B47" s="64">
        <f>INDEX(Projects[Project Name *],46)&amp;""</f>
        <v/>
      </c>
      <c r="C47" s="64">
        <f>INDEX(Projects[MS Shuttles],46)</f>
        <v/>
      </c>
      <c r="D47" s="64">
        <f>INDEX(Projects[MS Tote Locations],46)</f>
        <v/>
      </c>
      <c r="E47" s="64">
        <f>INDEX(Projects[AS Robots],46)</f>
        <v/>
      </c>
      <c r="F47" s="64">
        <f>INDEX(Projects[AS Tote Locations],46)</f>
        <v/>
      </c>
      <c r="G47" s="64">
        <f>INDEX(Projects[PS Shuttles],46)</f>
        <v/>
      </c>
      <c r="H47" s="64">
        <f>INDEX(Projects[PS Pallet Locations],46)</f>
        <v/>
      </c>
      <c r="I47" s="64">
        <f>INDEX(Projects[SRM Cranes],46)</f>
        <v/>
      </c>
      <c r="J47" s="64">
        <f>INDEX(Projects[SRM Pallet Locations],46)</f>
        <v/>
      </c>
      <c r="K47" s="64">
        <f>INDEX(Projects[Case Conv (m)],46)</f>
        <v/>
      </c>
      <c r="L47" s="64">
        <f>INDEX(Projects[Pallet Conv (m)],46)</f>
        <v/>
      </c>
      <c r="M47" s="64">
        <f>IF(N(DJ47)&gt;0,DD47,CW47)</f>
        <v/>
      </c>
      <c r="N47" s="64">
        <f>IF(N(DJ47)&gt;0,DE47,CX47)</f>
        <v/>
      </c>
      <c r="O47" s="64">
        <f>IF(N(DJ47)&gt;0,DF47,CY47)</f>
        <v/>
      </c>
      <c r="P47" s="64">
        <f>IF(N(DJ47)&gt;0,DG47,CZ47)</f>
        <v/>
      </c>
      <c r="Q47" s="64">
        <f>IF(N(DJ47)&gt;0,DH47,DA47)</f>
        <v/>
      </c>
      <c r="R47" s="64">
        <f>IF(N(DJ47)&gt;0,DI47,DB47)</f>
        <v/>
      </c>
      <c r="S47" s="64">
        <f>IF(N(DJ47)&gt;0,DJ47,DC47)</f>
        <v/>
      </c>
      <c r="T47" s="64">
        <f>INDEX(Projects[Currency],46)&amp;""</f>
        <v/>
      </c>
      <c r="U47" s="65">
        <f>INDEX(Projects[Sold Value (M)],46)</f>
        <v/>
      </c>
      <c r="V47" s="64">
        <f>IF('Smart Search'!B13=1,IFERROR(1/'Smart Search'!H13,0),0)</f>
        <v/>
      </c>
      <c r="W47" s="64">
        <f>IF('Smart Search'!B13=1,IFERROR(1/'Smart Search'!H13,0),0)</f>
        <v/>
      </c>
      <c r="X47" s="64">
        <f>IF('Smart Search'!C13=1,IFERROR(1/'Smart Search'!H13,0),0)</f>
        <v/>
      </c>
      <c r="Y47" s="64">
        <f>IF('Smart Search'!C13=1,IFERROR(1/'Smart Search'!H13,0),0)</f>
        <v/>
      </c>
      <c r="Z47" s="64">
        <f>IF('Smart Search'!D13=1,IFERROR(1/'Smart Search'!H13,0),0)</f>
        <v/>
      </c>
      <c r="AA47" s="64">
        <f>IF('Smart Search'!D13=1,IFERROR(1/'Smart Search'!H13,0),0)</f>
        <v/>
      </c>
      <c r="AB47" s="64">
        <f>IF('Smart Search'!E13=1,IFERROR(1/'Smart Search'!H13,0),0)</f>
        <v/>
      </c>
      <c r="AC47" s="64">
        <f>IF('Smart Search'!E13=1,IFERROR(1/'Smart Search'!H13,0),0)</f>
        <v/>
      </c>
      <c r="AD47" s="64">
        <f>IF('Smart Search'!F13=1,IFERROR(1/'Smart Search'!H13,0),0)</f>
        <v/>
      </c>
      <c r="AE47" s="64">
        <f>IF('Smart Search'!F13=1,IFERROR(1/'Smart Search'!H13,0),0)</f>
        <v/>
      </c>
      <c r="AF47" s="64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4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4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4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4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4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4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4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4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4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4">
        <f>AF47*V47</f>
        <v/>
      </c>
      <c r="AQ47" s="64">
        <f>AG47*W47</f>
        <v/>
      </c>
      <c r="AR47" s="64">
        <f>AH47*X47</f>
        <v/>
      </c>
      <c r="AS47" s="64">
        <f>AI47*Y47</f>
        <v/>
      </c>
      <c r="AT47" s="64">
        <f>AJ47*Z47</f>
        <v/>
      </c>
      <c r="AU47" s="64">
        <f>AK47*AA47</f>
        <v/>
      </c>
      <c r="AV47" s="64">
        <f>AL47*AB47</f>
        <v/>
      </c>
      <c r="AW47" s="64">
        <f>AM47*AC47</f>
        <v/>
      </c>
      <c r="AX47" s="64">
        <f>AN47*AD47</f>
        <v/>
      </c>
      <c r="AY47" s="64">
        <f>AO47*AE47</f>
        <v/>
      </c>
      <c r="AZ47" s="64">
        <f>INDEX(Projects[Automation Equipment],46)&amp;""</f>
        <v/>
      </c>
      <c r="BA47" s="64">
        <f>IF(OR(A47="",'Smart Search'!H13=0),"",MAX(0,BE47*BF47*MAX(0,1-BG47)))</f>
        <v/>
      </c>
      <c r="BB47" s="64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4">
        <f>IF('Smart Search'!G13=1,IFERROR(1/'Smart Search'!H13,0),0)</f>
        <v/>
      </c>
      <c r="BD47" s="64">
        <f>BB47*BC47</f>
        <v/>
      </c>
      <c r="BE47" s="64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IF(A47="","",N(INDEX(Projects[Act Mech Inst],46)))</f>
        <v/>
      </c>
      <c r="BK47" s="5">
        <f>IF(A47="","",N(INDEX(Projects[Act Elec Inst],46)))</f>
        <v/>
      </c>
      <c r="BL47" s="5">
        <f>IF(A47="","",N(INDEX(Projects[Act Project Management],46)))</f>
        <v/>
      </c>
      <c r="BM47" s="5">
        <f>IF(A47="","",N(INDEX(Projects[Act Systems Eng],46)))</f>
        <v/>
      </c>
      <c r="BN47" s="5">
        <f>IF(A47="","",N(INDEX(Projects[Act Mechanical Eng],46)))</f>
        <v/>
      </c>
      <c r="BO47" s="5">
        <f>IF(A47="","",N(INDEX(Projects[Act Structural Engineering],46)))</f>
        <v/>
      </c>
      <c r="BP47" s="5">
        <f>IF(A47="","",N(INDEX(Projects[Act Site Sup],46)))</f>
        <v/>
      </c>
      <c r="BQ47" s="5">
        <f>IF(A47="","",N(INDEX(Projects[Act Controls Commissioning],46)))</f>
        <v/>
      </c>
      <c r="BR47" s="5">
        <f>IF(A47="","",N(INDEX(Projects[Act Systems Commissioning],46)))</f>
        <v/>
      </c>
      <c r="BS47" s="5">
        <f>IF(A47="","",N(INDEX(Projects[Act Service Commissioning],46)))</f>
        <v/>
      </c>
      <c r="BT47" s="5">
        <f>IF(A47="","",N(INDEX(Projects[Act Controls Eng],46)))</f>
        <v/>
      </c>
      <c r="BU47" s="5">
        <f>IF(A47="","",N(INDEX(Projects[Act Controls Purchase],46)))</f>
        <v/>
      </c>
      <c r="BV47" s="5">
        <f>IF(A47="","",N(INDEX(Projects[Act Software Eng],46)))</f>
        <v/>
      </c>
      <c r="BW47" s="5">
        <f>IF(A47="","",N(INDEX(Projects[Act 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INDEX(Projects[Sold Value (USD M)],46)</f>
        <v/>
      </c>
      <c r="CE47" s="5" t="n"/>
      <c r="CF47" s="5">
        <f>IF(A47="","",N(INDEX(Projects[Est Mech Inst],46)))</f>
        <v/>
      </c>
      <c r="CG47" s="5">
        <f>IF(A47="","",N(INDEX(Projects[Est Elec Inst],46)))</f>
        <v/>
      </c>
      <c r="CH47" s="5">
        <f>IF(A47="","",N(INDEX(Projects[Est Project Management],46)))</f>
        <v/>
      </c>
      <c r="CI47" s="5">
        <f>IF(A47="","",N(INDEX(Projects[Est Systems Eng],46)))</f>
        <v/>
      </c>
      <c r="CJ47" s="5">
        <f>IF(A47="","",N(INDEX(Projects[Est Mechanical Eng],46)))</f>
        <v/>
      </c>
      <c r="CK47" s="5">
        <f>IF(A47="","",N(INDEX(Projects[Est Structural Engineering],46)))</f>
        <v/>
      </c>
      <c r="CL47" s="5">
        <f>IF(A47="","",N(INDEX(Projects[Est Site Sup],46)))</f>
        <v/>
      </c>
      <c r="CM47" s="5">
        <f>IF(A47="","",N(INDEX(Projects[Est Controls Commissioning],46)))</f>
        <v/>
      </c>
      <c r="CN47" s="5">
        <f>IF(A47="","",N(INDEX(Projects[Est Systems Commissioning],46)))</f>
        <v/>
      </c>
      <c r="CO47" s="5">
        <f>IF(A47="","",N(INDEX(Projects[Est Service Commissioning],46)))</f>
        <v/>
      </c>
      <c r="CP47" s="5">
        <f>IF(A47="","",N(INDEX(Projects[Est Controls Eng],46)))</f>
        <v/>
      </c>
      <c r="CQ47" s="5">
        <f>IF(A47="","",N(INDEX(Projects[Est Controls Purchase],46)))</f>
        <v/>
      </c>
      <c r="CR47" s="5">
        <f>IF(A47="","",N(INDEX(Projects[Est Software Eng],46)))</f>
        <v/>
      </c>
      <c r="CS47" s="5">
        <f>IF(A47="","",N(INDEX(Projects[Est Misc],46)))</f>
        <v/>
      </c>
      <c r="CT47" s="5">
        <f>IF(A47="","",SUM(CF47:CS47))</f>
        <v/>
      </c>
      <c r="CU47" s="5">
        <f>INDEX(Projects[Est Cost (M)],46)</f>
        <v/>
      </c>
      <c r="CV47" s="5">
        <f>INDEX(Projects[Act Cost (M)],46)</f>
        <v/>
      </c>
      <c r="CW47" s="5">
        <f>INDEX(Projects[Plan Mech Eng (wks)],46)</f>
        <v/>
      </c>
      <c r="CX47" s="5">
        <f>INDEX(Projects[Plan Controls Eng (wks)],46)</f>
        <v/>
      </c>
      <c r="CY47" s="5">
        <f>INDEX(Projects[Plan Systems Eng (wks)],46)</f>
        <v/>
      </c>
      <c r="CZ47" s="5">
        <f>INDEX(Projects[Plan Software Eng (wks)],46)</f>
        <v/>
      </c>
      <c r="DA47" s="5">
        <f>INDEX(Projects[Plan M&amp;E Installation (wks)],46)</f>
        <v/>
      </c>
      <c r="DB47" s="5">
        <f>INDEX(Projects[Plan Commissioning (wks)],46)</f>
        <v/>
      </c>
      <c r="DC47" s="5">
        <f>INDEX(Projects[Plan Total (wks)],46)</f>
        <v/>
      </c>
      <c r="DD47" s="5">
        <f>INDEX(Projects[Act Mech Eng (wks)],46)</f>
        <v/>
      </c>
      <c r="DE47" s="5">
        <f>INDEX(Projects[Act Controls Eng (wks)],46)</f>
        <v/>
      </c>
      <c r="DF47" s="5">
        <f>INDEX(Projects[Act Systems Eng (wks)],46)</f>
        <v/>
      </c>
      <c r="DG47" s="5">
        <f>INDEX(Projects[Act Software Eng (wks)],46)</f>
        <v/>
      </c>
      <c r="DH47" s="5">
        <f>INDEX(Projects[Act M&amp;E Installation (wks)],46)</f>
        <v/>
      </c>
      <c r="DI47" s="5">
        <f>INDEX(Projects[Act Commissioning (wks)],46)</f>
        <v/>
      </c>
      <c r="DJ47" s="5">
        <f>INDEX(Projects[Act Total (wks)],46)</f>
        <v/>
      </c>
    </row>
    <row r="48" ht="15" customHeight="1" s="82">
      <c r="A48" s="64">
        <f>INDEX(Projects[Project ID *],47)&amp;""</f>
        <v/>
      </c>
      <c r="B48" s="64">
        <f>INDEX(Projects[Project Name *],47)&amp;""</f>
        <v/>
      </c>
      <c r="C48" s="64">
        <f>INDEX(Projects[MS Shuttles],47)</f>
        <v/>
      </c>
      <c r="D48" s="64">
        <f>INDEX(Projects[MS Tote Locations],47)</f>
        <v/>
      </c>
      <c r="E48" s="64">
        <f>INDEX(Projects[AS Robots],47)</f>
        <v/>
      </c>
      <c r="F48" s="64">
        <f>INDEX(Projects[AS Tote Locations],47)</f>
        <v/>
      </c>
      <c r="G48" s="64">
        <f>INDEX(Projects[PS Shuttles],47)</f>
        <v/>
      </c>
      <c r="H48" s="64">
        <f>INDEX(Projects[PS Pallet Locations],47)</f>
        <v/>
      </c>
      <c r="I48" s="64">
        <f>INDEX(Projects[SRM Cranes],47)</f>
        <v/>
      </c>
      <c r="J48" s="64">
        <f>INDEX(Projects[SRM Pallet Locations],47)</f>
        <v/>
      </c>
      <c r="K48" s="64">
        <f>INDEX(Projects[Case Conv (m)],47)</f>
        <v/>
      </c>
      <c r="L48" s="64">
        <f>INDEX(Projects[Pallet Conv (m)],47)</f>
        <v/>
      </c>
      <c r="M48" s="64">
        <f>IF(N(DJ48)&gt;0,DD48,CW48)</f>
        <v/>
      </c>
      <c r="N48" s="64">
        <f>IF(N(DJ48)&gt;0,DE48,CX48)</f>
        <v/>
      </c>
      <c r="O48" s="64">
        <f>IF(N(DJ48)&gt;0,DF48,CY48)</f>
        <v/>
      </c>
      <c r="P48" s="64">
        <f>IF(N(DJ48)&gt;0,DG48,CZ48)</f>
        <v/>
      </c>
      <c r="Q48" s="64">
        <f>IF(N(DJ48)&gt;0,DH48,DA48)</f>
        <v/>
      </c>
      <c r="R48" s="64">
        <f>IF(N(DJ48)&gt;0,DI48,DB48)</f>
        <v/>
      </c>
      <c r="S48" s="64">
        <f>IF(N(DJ48)&gt;0,DJ48,DC48)</f>
        <v/>
      </c>
      <c r="T48" s="64">
        <f>INDEX(Projects[Currency],47)&amp;""</f>
        <v/>
      </c>
      <c r="U48" s="65">
        <f>INDEX(Projects[Sold Value (M)],47)</f>
        <v/>
      </c>
      <c r="V48" s="64">
        <f>IF('Smart Search'!B13=1,IFERROR(1/'Smart Search'!H13,0),0)</f>
        <v/>
      </c>
      <c r="W48" s="64">
        <f>IF('Smart Search'!B13=1,IFERROR(1/'Smart Search'!H13,0),0)</f>
        <v/>
      </c>
      <c r="X48" s="64">
        <f>IF('Smart Search'!C13=1,IFERROR(1/'Smart Search'!H13,0),0)</f>
        <v/>
      </c>
      <c r="Y48" s="64">
        <f>IF('Smart Search'!C13=1,IFERROR(1/'Smart Search'!H13,0),0)</f>
        <v/>
      </c>
      <c r="Z48" s="64">
        <f>IF('Smart Search'!D13=1,IFERROR(1/'Smart Search'!H13,0),0)</f>
        <v/>
      </c>
      <c r="AA48" s="64">
        <f>IF('Smart Search'!D13=1,IFERROR(1/'Smart Search'!H13,0),0)</f>
        <v/>
      </c>
      <c r="AB48" s="64">
        <f>IF('Smart Search'!E13=1,IFERROR(1/'Smart Search'!H13,0),0)</f>
        <v/>
      </c>
      <c r="AC48" s="64">
        <f>IF('Smart Search'!E13=1,IFERROR(1/'Smart Search'!H13,0),0)</f>
        <v/>
      </c>
      <c r="AD48" s="64">
        <f>IF('Smart Search'!F13=1,IFERROR(1/'Smart Search'!H13,0),0)</f>
        <v/>
      </c>
      <c r="AE48" s="64">
        <f>IF('Smart Search'!F13=1,IFERROR(1/'Smart Search'!H13,0),0)</f>
        <v/>
      </c>
      <c r="AF48" s="64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4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4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4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4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4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4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4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4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4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4">
        <f>AF48*V48</f>
        <v/>
      </c>
      <c r="AQ48" s="64">
        <f>AG48*W48</f>
        <v/>
      </c>
      <c r="AR48" s="64">
        <f>AH48*X48</f>
        <v/>
      </c>
      <c r="AS48" s="64">
        <f>AI48*Y48</f>
        <v/>
      </c>
      <c r="AT48" s="64">
        <f>AJ48*Z48</f>
        <v/>
      </c>
      <c r="AU48" s="64">
        <f>AK48*AA48</f>
        <v/>
      </c>
      <c r="AV48" s="64">
        <f>AL48*AB48</f>
        <v/>
      </c>
      <c r="AW48" s="64">
        <f>AM48*AC48</f>
        <v/>
      </c>
      <c r="AX48" s="64">
        <f>AN48*AD48</f>
        <v/>
      </c>
      <c r="AY48" s="64">
        <f>AO48*AE48</f>
        <v/>
      </c>
      <c r="AZ48" s="64">
        <f>INDEX(Projects[Automation Equipment],47)&amp;""</f>
        <v/>
      </c>
      <c r="BA48" s="64">
        <f>IF(OR(A48="",'Smart Search'!H13=0),"",MAX(0,BE48*BF48*MAX(0,1-BG48)))</f>
        <v/>
      </c>
      <c r="BB48" s="64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4">
        <f>IF('Smart Search'!G13=1,IFERROR(1/'Smart Search'!H13,0),0)</f>
        <v/>
      </c>
      <c r="BD48" s="64">
        <f>BB48*BC48</f>
        <v/>
      </c>
      <c r="BE48" s="64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IF(A48="","",N(INDEX(Projects[Act Mech Inst],47)))</f>
        <v/>
      </c>
      <c r="BK48" s="5">
        <f>IF(A48="","",N(INDEX(Projects[Act Elec Inst],47)))</f>
        <v/>
      </c>
      <c r="BL48" s="5">
        <f>IF(A48="","",N(INDEX(Projects[Act Project Management],47)))</f>
        <v/>
      </c>
      <c r="BM48" s="5">
        <f>IF(A48="","",N(INDEX(Projects[Act Systems Eng],47)))</f>
        <v/>
      </c>
      <c r="BN48" s="5">
        <f>IF(A48="","",N(INDEX(Projects[Act Mechanical Eng],47)))</f>
        <v/>
      </c>
      <c r="BO48" s="5">
        <f>IF(A48="","",N(INDEX(Projects[Act Structural Engineering],47)))</f>
        <v/>
      </c>
      <c r="BP48" s="5">
        <f>IF(A48="","",N(INDEX(Projects[Act Site Sup],47)))</f>
        <v/>
      </c>
      <c r="BQ48" s="5">
        <f>IF(A48="","",N(INDEX(Projects[Act Controls Commissioning],47)))</f>
        <v/>
      </c>
      <c r="BR48" s="5">
        <f>IF(A48="","",N(INDEX(Projects[Act Systems Commissioning],47)))</f>
        <v/>
      </c>
      <c r="BS48" s="5">
        <f>IF(A48="","",N(INDEX(Projects[Act Service Commissioning],47)))</f>
        <v/>
      </c>
      <c r="BT48" s="5">
        <f>IF(A48="","",N(INDEX(Projects[Act Controls Eng],47)))</f>
        <v/>
      </c>
      <c r="BU48" s="5">
        <f>IF(A48="","",N(INDEX(Projects[Act Controls Purchase],47)))</f>
        <v/>
      </c>
      <c r="BV48" s="5">
        <f>IF(A48="","",N(INDEX(Projects[Act Software Eng],47)))</f>
        <v/>
      </c>
      <c r="BW48" s="5">
        <f>IF(A48="","",N(INDEX(Projects[Act 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INDEX(Projects[Sold Value (USD M)],47)</f>
        <v/>
      </c>
      <c r="CE48" s="5" t="n"/>
      <c r="CF48" s="5">
        <f>IF(A48="","",N(INDEX(Projects[Est Mech Inst],47)))</f>
        <v/>
      </c>
      <c r="CG48" s="5">
        <f>IF(A48="","",N(INDEX(Projects[Est Elec Inst],47)))</f>
        <v/>
      </c>
      <c r="CH48" s="5">
        <f>IF(A48="","",N(INDEX(Projects[Est Project Management],47)))</f>
        <v/>
      </c>
      <c r="CI48" s="5">
        <f>IF(A48="","",N(INDEX(Projects[Est Systems Eng],47)))</f>
        <v/>
      </c>
      <c r="CJ48" s="5">
        <f>IF(A48="","",N(INDEX(Projects[Est Mechanical Eng],47)))</f>
        <v/>
      </c>
      <c r="CK48" s="5">
        <f>IF(A48="","",N(INDEX(Projects[Est Structural Engineering],47)))</f>
        <v/>
      </c>
      <c r="CL48" s="5">
        <f>IF(A48="","",N(INDEX(Projects[Est Site Sup],47)))</f>
        <v/>
      </c>
      <c r="CM48" s="5">
        <f>IF(A48="","",N(INDEX(Projects[Est Controls Commissioning],47)))</f>
        <v/>
      </c>
      <c r="CN48" s="5">
        <f>IF(A48="","",N(INDEX(Projects[Est Systems Commissioning],47)))</f>
        <v/>
      </c>
      <c r="CO48" s="5">
        <f>IF(A48="","",N(INDEX(Projects[Est Service Commissioning],47)))</f>
        <v/>
      </c>
      <c r="CP48" s="5">
        <f>IF(A48="","",N(INDEX(Projects[Est Controls Eng],47)))</f>
        <v/>
      </c>
      <c r="CQ48" s="5">
        <f>IF(A48="","",N(INDEX(Projects[Est Controls Purchase],47)))</f>
        <v/>
      </c>
      <c r="CR48" s="5">
        <f>IF(A48="","",N(INDEX(Projects[Est Software Eng],47)))</f>
        <v/>
      </c>
      <c r="CS48" s="5">
        <f>IF(A48="","",N(INDEX(Projects[Est Misc],47)))</f>
        <v/>
      </c>
      <c r="CT48" s="5">
        <f>IF(A48="","",SUM(CF48:CS48))</f>
        <v/>
      </c>
      <c r="CU48" s="5">
        <f>INDEX(Projects[Est Cost (M)],47)</f>
        <v/>
      </c>
      <c r="CV48" s="5">
        <f>INDEX(Projects[Act Cost (M)],47)</f>
        <v/>
      </c>
      <c r="CW48" s="5">
        <f>INDEX(Projects[Plan Mech Eng (wks)],47)</f>
        <v/>
      </c>
      <c r="CX48" s="5">
        <f>INDEX(Projects[Plan Controls Eng (wks)],47)</f>
        <v/>
      </c>
      <c r="CY48" s="5">
        <f>INDEX(Projects[Plan Systems Eng (wks)],47)</f>
        <v/>
      </c>
      <c r="CZ48" s="5">
        <f>INDEX(Projects[Plan Software Eng (wks)],47)</f>
        <v/>
      </c>
      <c r="DA48" s="5">
        <f>INDEX(Projects[Plan M&amp;E Installation (wks)],47)</f>
        <v/>
      </c>
      <c r="DB48" s="5">
        <f>INDEX(Projects[Plan Commissioning (wks)],47)</f>
        <v/>
      </c>
      <c r="DC48" s="5">
        <f>INDEX(Projects[Plan Total (wks)],47)</f>
        <v/>
      </c>
      <c r="DD48" s="5">
        <f>INDEX(Projects[Act Mech Eng (wks)],47)</f>
        <v/>
      </c>
      <c r="DE48" s="5">
        <f>INDEX(Projects[Act Controls Eng (wks)],47)</f>
        <v/>
      </c>
      <c r="DF48" s="5">
        <f>INDEX(Projects[Act Systems Eng (wks)],47)</f>
        <v/>
      </c>
      <c r="DG48" s="5">
        <f>INDEX(Projects[Act Software Eng (wks)],47)</f>
        <v/>
      </c>
      <c r="DH48" s="5">
        <f>INDEX(Projects[Act M&amp;E Installation (wks)],47)</f>
        <v/>
      </c>
      <c r="DI48" s="5">
        <f>INDEX(Projects[Act Commissioning (wks)],47)</f>
        <v/>
      </c>
      <c r="DJ48" s="5">
        <f>INDEX(Projects[Act Total (wks)],47)</f>
        <v/>
      </c>
    </row>
    <row r="49" ht="15" customHeight="1" s="82">
      <c r="A49" s="64">
        <f>INDEX(Projects[Project ID *],48)&amp;""</f>
        <v/>
      </c>
      <c r="B49" s="64">
        <f>INDEX(Projects[Project Name *],48)&amp;""</f>
        <v/>
      </c>
      <c r="C49" s="64">
        <f>INDEX(Projects[MS Shuttles],48)</f>
        <v/>
      </c>
      <c r="D49" s="64">
        <f>INDEX(Projects[MS Tote Locations],48)</f>
        <v/>
      </c>
      <c r="E49" s="64">
        <f>INDEX(Projects[AS Robots],48)</f>
        <v/>
      </c>
      <c r="F49" s="64">
        <f>INDEX(Projects[AS Tote Locations],48)</f>
        <v/>
      </c>
      <c r="G49" s="64">
        <f>INDEX(Projects[PS Shuttles],48)</f>
        <v/>
      </c>
      <c r="H49" s="64">
        <f>INDEX(Projects[PS Pallet Locations],48)</f>
        <v/>
      </c>
      <c r="I49" s="64">
        <f>INDEX(Projects[SRM Cranes],48)</f>
        <v/>
      </c>
      <c r="J49" s="64">
        <f>INDEX(Projects[SRM Pallet Locations],48)</f>
        <v/>
      </c>
      <c r="K49" s="64">
        <f>INDEX(Projects[Case Conv (m)],48)</f>
        <v/>
      </c>
      <c r="L49" s="64">
        <f>INDEX(Projects[Pallet Conv (m)],48)</f>
        <v/>
      </c>
      <c r="M49" s="64">
        <f>IF(N(DJ49)&gt;0,DD49,CW49)</f>
        <v/>
      </c>
      <c r="N49" s="64">
        <f>IF(N(DJ49)&gt;0,DE49,CX49)</f>
        <v/>
      </c>
      <c r="O49" s="64">
        <f>IF(N(DJ49)&gt;0,DF49,CY49)</f>
        <v/>
      </c>
      <c r="P49" s="64">
        <f>IF(N(DJ49)&gt;0,DG49,CZ49)</f>
        <v/>
      </c>
      <c r="Q49" s="64">
        <f>IF(N(DJ49)&gt;0,DH49,DA49)</f>
        <v/>
      </c>
      <c r="R49" s="64">
        <f>IF(N(DJ49)&gt;0,DI49,DB49)</f>
        <v/>
      </c>
      <c r="S49" s="64">
        <f>IF(N(DJ49)&gt;0,DJ49,DC49)</f>
        <v/>
      </c>
      <c r="T49" s="64">
        <f>INDEX(Projects[Currency],48)&amp;""</f>
        <v/>
      </c>
      <c r="U49" s="65">
        <f>INDEX(Projects[Sold Value (M)],48)</f>
        <v/>
      </c>
      <c r="V49" s="64">
        <f>IF('Smart Search'!B13=1,IFERROR(1/'Smart Search'!H13,0),0)</f>
        <v/>
      </c>
      <c r="W49" s="64">
        <f>IF('Smart Search'!B13=1,IFERROR(1/'Smart Search'!H13,0),0)</f>
        <v/>
      </c>
      <c r="X49" s="64">
        <f>IF('Smart Search'!C13=1,IFERROR(1/'Smart Search'!H13,0),0)</f>
        <v/>
      </c>
      <c r="Y49" s="64">
        <f>IF('Smart Search'!C13=1,IFERROR(1/'Smart Search'!H13,0),0)</f>
        <v/>
      </c>
      <c r="Z49" s="64">
        <f>IF('Smart Search'!D13=1,IFERROR(1/'Smart Search'!H13,0),0)</f>
        <v/>
      </c>
      <c r="AA49" s="64">
        <f>IF('Smart Search'!D13=1,IFERROR(1/'Smart Search'!H13,0),0)</f>
        <v/>
      </c>
      <c r="AB49" s="64">
        <f>IF('Smart Search'!E13=1,IFERROR(1/'Smart Search'!H13,0),0)</f>
        <v/>
      </c>
      <c r="AC49" s="64">
        <f>IF('Smart Search'!E13=1,IFERROR(1/'Smart Search'!H13,0),0)</f>
        <v/>
      </c>
      <c r="AD49" s="64">
        <f>IF('Smart Search'!F13=1,IFERROR(1/'Smart Search'!H13,0),0)</f>
        <v/>
      </c>
      <c r="AE49" s="64">
        <f>IF('Smart Search'!F13=1,IFERROR(1/'Smart Search'!H13,0),0)</f>
        <v/>
      </c>
      <c r="AF49" s="64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4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4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4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4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4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4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4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4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4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4">
        <f>AF49*V49</f>
        <v/>
      </c>
      <c r="AQ49" s="64">
        <f>AG49*W49</f>
        <v/>
      </c>
      <c r="AR49" s="64">
        <f>AH49*X49</f>
        <v/>
      </c>
      <c r="AS49" s="64">
        <f>AI49*Y49</f>
        <v/>
      </c>
      <c r="AT49" s="64">
        <f>AJ49*Z49</f>
        <v/>
      </c>
      <c r="AU49" s="64">
        <f>AK49*AA49</f>
        <v/>
      </c>
      <c r="AV49" s="64">
        <f>AL49*AB49</f>
        <v/>
      </c>
      <c r="AW49" s="64">
        <f>AM49*AC49</f>
        <v/>
      </c>
      <c r="AX49" s="64">
        <f>AN49*AD49</f>
        <v/>
      </c>
      <c r="AY49" s="64">
        <f>AO49*AE49</f>
        <v/>
      </c>
      <c r="AZ49" s="64">
        <f>INDEX(Projects[Automation Equipment],48)&amp;""</f>
        <v/>
      </c>
      <c r="BA49" s="64">
        <f>IF(OR(A49="",'Smart Search'!H13=0),"",MAX(0,BE49*BF49*MAX(0,1-BG49)))</f>
        <v/>
      </c>
      <c r="BB49" s="64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4">
        <f>IF('Smart Search'!G13=1,IFERROR(1/'Smart Search'!H13,0),0)</f>
        <v/>
      </c>
      <c r="BD49" s="64">
        <f>BB49*BC49</f>
        <v/>
      </c>
      <c r="BE49" s="64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IF(A49="","",N(INDEX(Projects[Act Mech Inst],48)))</f>
        <v/>
      </c>
      <c r="BK49" s="5">
        <f>IF(A49="","",N(INDEX(Projects[Act Elec Inst],48)))</f>
        <v/>
      </c>
      <c r="BL49" s="5">
        <f>IF(A49="","",N(INDEX(Projects[Act Project Management],48)))</f>
        <v/>
      </c>
      <c r="BM49" s="5">
        <f>IF(A49="","",N(INDEX(Projects[Act Systems Eng],48)))</f>
        <v/>
      </c>
      <c r="BN49" s="5">
        <f>IF(A49="","",N(INDEX(Projects[Act Mechanical Eng],48)))</f>
        <v/>
      </c>
      <c r="BO49" s="5">
        <f>IF(A49="","",N(INDEX(Projects[Act Structural Engineering],48)))</f>
        <v/>
      </c>
      <c r="BP49" s="5">
        <f>IF(A49="","",N(INDEX(Projects[Act Site Sup],48)))</f>
        <v/>
      </c>
      <c r="BQ49" s="5">
        <f>IF(A49="","",N(INDEX(Projects[Act Controls Commissioning],48)))</f>
        <v/>
      </c>
      <c r="BR49" s="5">
        <f>IF(A49="","",N(INDEX(Projects[Act Systems Commissioning],48)))</f>
        <v/>
      </c>
      <c r="BS49" s="5">
        <f>IF(A49="","",N(INDEX(Projects[Act Service Commissioning],48)))</f>
        <v/>
      </c>
      <c r="BT49" s="5">
        <f>IF(A49="","",N(INDEX(Projects[Act Controls Eng],48)))</f>
        <v/>
      </c>
      <c r="BU49" s="5">
        <f>IF(A49="","",N(INDEX(Projects[Act Controls Purchase],48)))</f>
        <v/>
      </c>
      <c r="BV49" s="5">
        <f>IF(A49="","",N(INDEX(Projects[Act Software Eng],48)))</f>
        <v/>
      </c>
      <c r="BW49" s="5">
        <f>IF(A49="","",N(INDEX(Projects[Act 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INDEX(Projects[Sold Value (USD M)],48)</f>
        <v/>
      </c>
      <c r="CE49" s="5" t="n"/>
      <c r="CF49" s="5">
        <f>IF(A49="","",N(INDEX(Projects[Est Mech Inst],48)))</f>
        <v/>
      </c>
      <c r="CG49" s="5">
        <f>IF(A49="","",N(INDEX(Projects[Est Elec Inst],48)))</f>
        <v/>
      </c>
      <c r="CH49" s="5">
        <f>IF(A49="","",N(INDEX(Projects[Est Project Management],48)))</f>
        <v/>
      </c>
      <c r="CI49" s="5">
        <f>IF(A49="","",N(INDEX(Projects[Est Systems Eng],48)))</f>
        <v/>
      </c>
      <c r="CJ49" s="5">
        <f>IF(A49="","",N(INDEX(Projects[Est Mechanical Eng],48)))</f>
        <v/>
      </c>
      <c r="CK49" s="5">
        <f>IF(A49="","",N(INDEX(Projects[Est Structural Engineering],48)))</f>
        <v/>
      </c>
      <c r="CL49" s="5">
        <f>IF(A49="","",N(INDEX(Projects[Est Site Sup],48)))</f>
        <v/>
      </c>
      <c r="CM49" s="5">
        <f>IF(A49="","",N(INDEX(Projects[Est Controls Commissioning],48)))</f>
        <v/>
      </c>
      <c r="CN49" s="5">
        <f>IF(A49="","",N(INDEX(Projects[Est Systems Commissioning],48)))</f>
        <v/>
      </c>
      <c r="CO49" s="5">
        <f>IF(A49="","",N(INDEX(Projects[Est Service Commissioning],48)))</f>
        <v/>
      </c>
      <c r="CP49" s="5">
        <f>IF(A49="","",N(INDEX(Projects[Est Controls Eng],48)))</f>
        <v/>
      </c>
      <c r="CQ49" s="5">
        <f>IF(A49="","",N(INDEX(Projects[Est Controls Purchase],48)))</f>
        <v/>
      </c>
      <c r="CR49" s="5">
        <f>IF(A49="","",N(INDEX(Projects[Est Software Eng],48)))</f>
        <v/>
      </c>
      <c r="CS49" s="5">
        <f>IF(A49="","",N(INDEX(Projects[Est Misc],48)))</f>
        <v/>
      </c>
      <c r="CT49" s="5">
        <f>IF(A49="","",SUM(CF49:CS49))</f>
        <v/>
      </c>
      <c r="CU49" s="5">
        <f>INDEX(Projects[Est Cost (M)],48)</f>
        <v/>
      </c>
      <c r="CV49" s="5">
        <f>INDEX(Projects[Act Cost (M)],48)</f>
        <v/>
      </c>
      <c r="CW49" s="5">
        <f>INDEX(Projects[Plan Mech Eng (wks)],48)</f>
        <v/>
      </c>
      <c r="CX49" s="5">
        <f>INDEX(Projects[Plan Controls Eng (wks)],48)</f>
        <v/>
      </c>
      <c r="CY49" s="5">
        <f>INDEX(Projects[Plan Systems Eng (wks)],48)</f>
        <v/>
      </c>
      <c r="CZ49" s="5">
        <f>INDEX(Projects[Plan Software Eng (wks)],48)</f>
        <v/>
      </c>
      <c r="DA49" s="5">
        <f>INDEX(Projects[Plan M&amp;E Installation (wks)],48)</f>
        <v/>
      </c>
      <c r="DB49" s="5">
        <f>INDEX(Projects[Plan Commissioning (wks)],48)</f>
        <v/>
      </c>
      <c r="DC49" s="5">
        <f>INDEX(Projects[Plan Total (wks)],48)</f>
        <v/>
      </c>
      <c r="DD49" s="5">
        <f>INDEX(Projects[Act Mech Eng (wks)],48)</f>
        <v/>
      </c>
      <c r="DE49" s="5">
        <f>INDEX(Projects[Act Controls Eng (wks)],48)</f>
        <v/>
      </c>
      <c r="DF49" s="5">
        <f>INDEX(Projects[Act Systems Eng (wks)],48)</f>
        <v/>
      </c>
      <c r="DG49" s="5">
        <f>INDEX(Projects[Act Software Eng (wks)],48)</f>
        <v/>
      </c>
      <c r="DH49" s="5">
        <f>INDEX(Projects[Act M&amp;E Installation (wks)],48)</f>
        <v/>
      </c>
      <c r="DI49" s="5">
        <f>INDEX(Projects[Act Commissioning (wks)],48)</f>
        <v/>
      </c>
      <c r="DJ49" s="5">
        <f>INDEX(Projects[Act Total (wks)],48)</f>
        <v/>
      </c>
    </row>
    <row r="50" ht="15" customHeight="1" s="82">
      <c r="A50" s="64">
        <f>INDEX(Projects[Project ID *],49)&amp;""</f>
        <v/>
      </c>
      <c r="B50" s="64">
        <f>INDEX(Projects[Project Name *],49)&amp;""</f>
        <v/>
      </c>
      <c r="C50" s="64">
        <f>INDEX(Projects[MS Shuttles],49)</f>
        <v/>
      </c>
      <c r="D50" s="64">
        <f>INDEX(Projects[MS Tote Locations],49)</f>
        <v/>
      </c>
      <c r="E50" s="64">
        <f>INDEX(Projects[AS Robots],49)</f>
        <v/>
      </c>
      <c r="F50" s="64">
        <f>INDEX(Projects[AS Tote Locations],49)</f>
        <v/>
      </c>
      <c r="G50" s="64">
        <f>INDEX(Projects[PS Shuttles],49)</f>
        <v/>
      </c>
      <c r="H50" s="64">
        <f>INDEX(Projects[PS Pallet Locations],49)</f>
        <v/>
      </c>
      <c r="I50" s="64">
        <f>INDEX(Projects[SRM Cranes],49)</f>
        <v/>
      </c>
      <c r="J50" s="64">
        <f>INDEX(Projects[SRM Pallet Locations],49)</f>
        <v/>
      </c>
      <c r="K50" s="64">
        <f>INDEX(Projects[Case Conv (m)],49)</f>
        <v/>
      </c>
      <c r="L50" s="64">
        <f>INDEX(Projects[Pallet Conv (m)],49)</f>
        <v/>
      </c>
      <c r="M50" s="64">
        <f>IF(N(DJ50)&gt;0,DD50,CW50)</f>
        <v/>
      </c>
      <c r="N50" s="64">
        <f>IF(N(DJ50)&gt;0,DE50,CX50)</f>
        <v/>
      </c>
      <c r="O50" s="64">
        <f>IF(N(DJ50)&gt;0,DF50,CY50)</f>
        <v/>
      </c>
      <c r="P50" s="64">
        <f>IF(N(DJ50)&gt;0,DG50,CZ50)</f>
        <v/>
      </c>
      <c r="Q50" s="64">
        <f>IF(N(DJ50)&gt;0,DH50,DA50)</f>
        <v/>
      </c>
      <c r="R50" s="64">
        <f>IF(N(DJ50)&gt;0,DI50,DB50)</f>
        <v/>
      </c>
      <c r="S50" s="64">
        <f>IF(N(DJ50)&gt;0,DJ50,DC50)</f>
        <v/>
      </c>
      <c r="T50" s="64">
        <f>INDEX(Projects[Currency],49)&amp;""</f>
        <v/>
      </c>
      <c r="U50" s="65">
        <f>INDEX(Projects[Sold Value (M)],49)</f>
        <v/>
      </c>
      <c r="V50" s="64">
        <f>IF('Smart Search'!B13=1,IFERROR(1/'Smart Search'!H13,0),0)</f>
        <v/>
      </c>
      <c r="W50" s="64">
        <f>IF('Smart Search'!B13=1,IFERROR(1/'Smart Search'!H13,0),0)</f>
        <v/>
      </c>
      <c r="X50" s="64">
        <f>IF('Smart Search'!C13=1,IFERROR(1/'Smart Search'!H13,0),0)</f>
        <v/>
      </c>
      <c r="Y50" s="64">
        <f>IF('Smart Search'!C13=1,IFERROR(1/'Smart Search'!H13,0),0)</f>
        <v/>
      </c>
      <c r="Z50" s="64">
        <f>IF('Smart Search'!D13=1,IFERROR(1/'Smart Search'!H13,0),0)</f>
        <v/>
      </c>
      <c r="AA50" s="64">
        <f>IF('Smart Search'!D13=1,IFERROR(1/'Smart Search'!H13,0),0)</f>
        <v/>
      </c>
      <c r="AB50" s="64">
        <f>IF('Smart Search'!E13=1,IFERROR(1/'Smart Search'!H13,0),0)</f>
        <v/>
      </c>
      <c r="AC50" s="64">
        <f>IF('Smart Search'!E13=1,IFERROR(1/'Smart Search'!H13,0),0)</f>
        <v/>
      </c>
      <c r="AD50" s="64">
        <f>IF('Smart Search'!F13=1,IFERROR(1/'Smart Search'!H13,0),0)</f>
        <v/>
      </c>
      <c r="AE50" s="64">
        <f>IF('Smart Search'!F13=1,IFERROR(1/'Smart Search'!H13,0),0)</f>
        <v/>
      </c>
      <c r="AF50" s="64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4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4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4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4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4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4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4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4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4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4">
        <f>AF50*V50</f>
        <v/>
      </c>
      <c r="AQ50" s="64">
        <f>AG50*W50</f>
        <v/>
      </c>
      <c r="AR50" s="64">
        <f>AH50*X50</f>
        <v/>
      </c>
      <c r="AS50" s="64">
        <f>AI50*Y50</f>
        <v/>
      </c>
      <c r="AT50" s="64">
        <f>AJ50*Z50</f>
        <v/>
      </c>
      <c r="AU50" s="64">
        <f>AK50*AA50</f>
        <v/>
      </c>
      <c r="AV50" s="64">
        <f>AL50*AB50</f>
        <v/>
      </c>
      <c r="AW50" s="64">
        <f>AM50*AC50</f>
        <v/>
      </c>
      <c r="AX50" s="64">
        <f>AN50*AD50</f>
        <v/>
      </c>
      <c r="AY50" s="64">
        <f>AO50*AE50</f>
        <v/>
      </c>
      <c r="AZ50" s="64">
        <f>INDEX(Projects[Automation Equipment],49)&amp;""</f>
        <v/>
      </c>
      <c r="BA50" s="64">
        <f>IF(OR(A50="",'Smart Search'!H13=0),"",MAX(0,BE50*BF50*MAX(0,1-BG50)))</f>
        <v/>
      </c>
      <c r="BB50" s="64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4">
        <f>IF('Smart Search'!G13=1,IFERROR(1/'Smart Search'!H13,0),0)</f>
        <v/>
      </c>
      <c r="BD50" s="64">
        <f>BB50*BC50</f>
        <v/>
      </c>
      <c r="BE50" s="64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IF(A50="","",N(INDEX(Projects[Act Mech Inst],49)))</f>
        <v/>
      </c>
      <c r="BK50" s="5">
        <f>IF(A50="","",N(INDEX(Projects[Act Elec Inst],49)))</f>
        <v/>
      </c>
      <c r="BL50" s="5">
        <f>IF(A50="","",N(INDEX(Projects[Act Project Management],49)))</f>
        <v/>
      </c>
      <c r="BM50" s="5">
        <f>IF(A50="","",N(INDEX(Projects[Act Systems Eng],49)))</f>
        <v/>
      </c>
      <c r="BN50" s="5">
        <f>IF(A50="","",N(INDEX(Projects[Act Mechanical Eng],49)))</f>
        <v/>
      </c>
      <c r="BO50" s="5">
        <f>IF(A50="","",N(INDEX(Projects[Act Structural Engineering],49)))</f>
        <v/>
      </c>
      <c r="BP50" s="5">
        <f>IF(A50="","",N(INDEX(Projects[Act Site Sup],49)))</f>
        <v/>
      </c>
      <c r="BQ50" s="5">
        <f>IF(A50="","",N(INDEX(Projects[Act Controls Commissioning],49)))</f>
        <v/>
      </c>
      <c r="BR50" s="5">
        <f>IF(A50="","",N(INDEX(Projects[Act Systems Commissioning],49)))</f>
        <v/>
      </c>
      <c r="BS50" s="5">
        <f>IF(A50="","",N(INDEX(Projects[Act Service Commissioning],49)))</f>
        <v/>
      </c>
      <c r="BT50" s="5">
        <f>IF(A50="","",N(INDEX(Projects[Act Controls Eng],49)))</f>
        <v/>
      </c>
      <c r="BU50" s="5">
        <f>IF(A50="","",N(INDEX(Projects[Act Controls Purchase],49)))</f>
        <v/>
      </c>
      <c r="BV50" s="5">
        <f>IF(A50="","",N(INDEX(Projects[Act Software Eng],49)))</f>
        <v/>
      </c>
      <c r="BW50" s="5">
        <f>IF(A50="","",N(INDEX(Projects[Act 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INDEX(Projects[Sold Value (USD M)],49)</f>
        <v/>
      </c>
      <c r="CE50" s="5" t="n"/>
      <c r="CF50" s="5">
        <f>IF(A50="","",N(INDEX(Projects[Est Mech Inst],49)))</f>
        <v/>
      </c>
      <c r="CG50" s="5">
        <f>IF(A50="","",N(INDEX(Projects[Est Elec Inst],49)))</f>
        <v/>
      </c>
      <c r="CH50" s="5">
        <f>IF(A50="","",N(INDEX(Projects[Est Project Management],49)))</f>
        <v/>
      </c>
      <c r="CI50" s="5">
        <f>IF(A50="","",N(INDEX(Projects[Est Systems Eng],49)))</f>
        <v/>
      </c>
      <c r="CJ50" s="5">
        <f>IF(A50="","",N(INDEX(Projects[Est Mechanical Eng],49)))</f>
        <v/>
      </c>
      <c r="CK50" s="5">
        <f>IF(A50="","",N(INDEX(Projects[Est Structural Engineering],49)))</f>
        <v/>
      </c>
      <c r="CL50" s="5">
        <f>IF(A50="","",N(INDEX(Projects[Est Site Sup],49)))</f>
        <v/>
      </c>
      <c r="CM50" s="5">
        <f>IF(A50="","",N(INDEX(Projects[Est Controls Commissioning],49)))</f>
        <v/>
      </c>
      <c r="CN50" s="5">
        <f>IF(A50="","",N(INDEX(Projects[Est Systems Commissioning],49)))</f>
        <v/>
      </c>
      <c r="CO50" s="5">
        <f>IF(A50="","",N(INDEX(Projects[Est Service Commissioning],49)))</f>
        <v/>
      </c>
      <c r="CP50" s="5">
        <f>IF(A50="","",N(INDEX(Projects[Est Controls Eng],49)))</f>
        <v/>
      </c>
      <c r="CQ50" s="5">
        <f>IF(A50="","",N(INDEX(Projects[Est Controls Purchase],49)))</f>
        <v/>
      </c>
      <c r="CR50" s="5">
        <f>IF(A50="","",N(INDEX(Projects[Est Software Eng],49)))</f>
        <v/>
      </c>
      <c r="CS50" s="5">
        <f>IF(A50="","",N(INDEX(Projects[Est Misc],49)))</f>
        <v/>
      </c>
      <c r="CT50" s="5">
        <f>IF(A50="","",SUM(CF50:CS50))</f>
        <v/>
      </c>
      <c r="CU50" s="5">
        <f>INDEX(Projects[Est Cost (M)],49)</f>
        <v/>
      </c>
      <c r="CV50" s="5">
        <f>INDEX(Projects[Act Cost (M)],49)</f>
        <v/>
      </c>
      <c r="CW50" s="5">
        <f>INDEX(Projects[Plan Mech Eng (wks)],49)</f>
        <v/>
      </c>
      <c r="CX50" s="5">
        <f>INDEX(Projects[Plan Controls Eng (wks)],49)</f>
        <v/>
      </c>
      <c r="CY50" s="5">
        <f>INDEX(Projects[Plan Systems Eng (wks)],49)</f>
        <v/>
      </c>
      <c r="CZ50" s="5">
        <f>INDEX(Projects[Plan Software Eng (wks)],49)</f>
        <v/>
      </c>
      <c r="DA50" s="5">
        <f>INDEX(Projects[Plan M&amp;E Installation (wks)],49)</f>
        <v/>
      </c>
      <c r="DB50" s="5">
        <f>INDEX(Projects[Plan Commissioning (wks)],49)</f>
        <v/>
      </c>
      <c r="DC50" s="5">
        <f>INDEX(Projects[Plan Total (wks)],49)</f>
        <v/>
      </c>
      <c r="DD50" s="5">
        <f>INDEX(Projects[Act Mech Eng (wks)],49)</f>
        <v/>
      </c>
      <c r="DE50" s="5">
        <f>INDEX(Projects[Act Controls Eng (wks)],49)</f>
        <v/>
      </c>
      <c r="DF50" s="5">
        <f>INDEX(Projects[Act Systems Eng (wks)],49)</f>
        <v/>
      </c>
      <c r="DG50" s="5">
        <f>INDEX(Projects[Act Software Eng (wks)],49)</f>
        <v/>
      </c>
      <c r="DH50" s="5">
        <f>INDEX(Projects[Act M&amp;E Installation (wks)],49)</f>
        <v/>
      </c>
      <c r="DI50" s="5">
        <f>INDEX(Projects[Act Commissioning (wks)],49)</f>
        <v/>
      </c>
      <c r="DJ50" s="5">
        <f>INDEX(Projects[Act Total (wks)],49)</f>
        <v/>
      </c>
    </row>
    <row r="51" ht="15" customHeight="1" s="82">
      <c r="A51" s="64">
        <f>INDEX(Projects[Project ID *],50)&amp;""</f>
        <v/>
      </c>
      <c r="B51" s="64">
        <f>INDEX(Projects[Project Name *],50)&amp;""</f>
        <v/>
      </c>
      <c r="C51" s="64">
        <f>INDEX(Projects[MS Shuttles],50)</f>
        <v/>
      </c>
      <c r="D51" s="64">
        <f>INDEX(Projects[MS Tote Locations],50)</f>
        <v/>
      </c>
      <c r="E51" s="64">
        <f>INDEX(Projects[AS Robots],50)</f>
        <v/>
      </c>
      <c r="F51" s="64">
        <f>INDEX(Projects[AS Tote Locations],50)</f>
        <v/>
      </c>
      <c r="G51" s="64">
        <f>INDEX(Projects[PS Shuttles],50)</f>
        <v/>
      </c>
      <c r="H51" s="64">
        <f>INDEX(Projects[PS Pallet Locations],50)</f>
        <v/>
      </c>
      <c r="I51" s="64">
        <f>INDEX(Projects[SRM Cranes],50)</f>
        <v/>
      </c>
      <c r="J51" s="64">
        <f>INDEX(Projects[SRM Pallet Locations],50)</f>
        <v/>
      </c>
      <c r="K51" s="64">
        <f>INDEX(Projects[Case Conv (m)],50)</f>
        <v/>
      </c>
      <c r="L51" s="64">
        <f>INDEX(Projects[Pallet Conv (m)],50)</f>
        <v/>
      </c>
      <c r="M51" s="64">
        <f>IF(N(DJ51)&gt;0,DD51,CW51)</f>
        <v/>
      </c>
      <c r="N51" s="64">
        <f>IF(N(DJ51)&gt;0,DE51,CX51)</f>
        <v/>
      </c>
      <c r="O51" s="64">
        <f>IF(N(DJ51)&gt;0,DF51,CY51)</f>
        <v/>
      </c>
      <c r="P51" s="64">
        <f>IF(N(DJ51)&gt;0,DG51,CZ51)</f>
        <v/>
      </c>
      <c r="Q51" s="64">
        <f>IF(N(DJ51)&gt;0,DH51,DA51)</f>
        <v/>
      </c>
      <c r="R51" s="64">
        <f>IF(N(DJ51)&gt;0,DI51,DB51)</f>
        <v/>
      </c>
      <c r="S51" s="64">
        <f>IF(N(DJ51)&gt;0,DJ51,DC51)</f>
        <v/>
      </c>
      <c r="T51" s="64">
        <f>INDEX(Projects[Currency],50)&amp;""</f>
        <v/>
      </c>
      <c r="U51" s="65">
        <f>INDEX(Projects[Sold Value (M)],50)</f>
        <v/>
      </c>
      <c r="V51" s="64">
        <f>IF('Smart Search'!B13=1,IFERROR(1/'Smart Search'!H13,0),0)</f>
        <v/>
      </c>
      <c r="W51" s="64">
        <f>IF('Smart Search'!B13=1,IFERROR(1/'Smart Search'!H13,0),0)</f>
        <v/>
      </c>
      <c r="X51" s="64">
        <f>IF('Smart Search'!C13=1,IFERROR(1/'Smart Search'!H13,0),0)</f>
        <v/>
      </c>
      <c r="Y51" s="64">
        <f>IF('Smart Search'!C13=1,IFERROR(1/'Smart Search'!H13,0),0)</f>
        <v/>
      </c>
      <c r="Z51" s="64">
        <f>IF('Smart Search'!D13=1,IFERROR(1/'Smart Search'!H13,0),0)</f>
        <v/>
      </c>
      <c r="AA51" s="64">
        <f>IF('Smart Search'!D13=1,IFERROR(1/'Smart Search'!H13,0),0)</f>
        <v/>
      </c>
      <c r="AB51" s="64">
        <f>IF('Smart Search'!E13=1,IFERROR(1/'Smart Search'!H13,0),0)</f>
        <v/>
      </c>
      <c r="AC51" s="64">
        <f>IF('Smart Search'!E13=1,IFERROR(1/'Smart Search'!H13,0),0)</f>
        <v/>
      </c>
      <c r="AD51" s="64">
        <f>IF('Smart Search'!F13=1,IFERROR(1/'Smart Search'!H13,0),0)</f>
        <v/>
      </c>
      <c r="AE51" s="64">
        <f>IF('Smart Search'!F13=1,IFERROR(1/'Smart Search'!H13,0),0)</f>
        <v/>
      </c>
      <c r="AF51" s="64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4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4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4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4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4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4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4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4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4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4">
        <f>AF51*V51</f>
        <v/>
      </c>
      <c r="AQ51" s="64">
        <f>AG51*W51</f>
        <v/>
      </c>
      <c r="AR51" s="64">
        <f>AH51*X51</f>
        <v/>
      </c>
      <c r="AS51" s="64">
        <f>AI51*Y51</f>
        <v/>
      </c>
      <c r="AT51" s="64">
        <f>AJ51*Z51</f>
        <v/>
      </c>
      <c r="AU51" s="64">
        <f>AK51*AA51</f>
        <v/>
      </c>
      <c r="AV51" s="64">
        <f>AL51*AB51</f>
        <v/>
      </c>
      <c r="AW51" s="64">
        <f>AM51*AC51</f>
        <v/>
      </c>
      <c r="AX51" s="64">
        <f>AN51*AD51</f>
        <v/>
      </c>
      <c r="AY51" s="64">
        <f>AO51*AE51</f>
        <v/>
      </c>
      <c r="AZ51" s="64">
        <f>INDEX(Projects[Automation Equipment],50)&amp;""</f>
        <v/>
      </c>
      <c r="BA51" s="64">
        <f>IF(OR(A51="",'Smart Search'!H13=0),"",MAX(0,BE51*BF51*MAX(0,1-BG51)))</f>
        <v/>
      </c>
      <c r="BB51" s="64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4">
        <f>IF('Smart Search'!G13=1,IFERROR(1/'Smart Search'!H13,0),0)</f>
        <v/>
      </c>
      <c r="BD51" s="64">
        <f>BB51*BC51</f>
        <v/>
      </c>
      <c r="BE51" s="64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IF(A51="","",N(INDEX(Projects[Act Mech Inst],50)))</f>
        <v/>
      </c>
      <c r="BK51" s="5">
        <f>IF(A51="","",N(INDEX(Projects[Act Elec Inst],50)))</f>
        <v/>
      </c>
      <c r="BL51" s="5">
        <f>IF(A51="","",N(INDEX(Projects[Act Project Management],50)))</f>
        <v/>
      </c>
      <c r="BM51" s="5">
        <f>IF(A51="","",N(INDEX(Projects[Act Systems Eng],50)))</f>
        <v/>
      </c>
      <c r="BN51" s="5">
        <f>IF(A51="","",N(INDEX(Projects[Act Mechanical Eng],50)))</f>
        <v/>
      </c>
      <c r="BO51" s="5">
        <f>IF(A51="","",N(INDEX(Projects[Act Structural Engineering],50)))</f>
        <v/>
      </c>
      <c r="BP51" s="5">
        <f>IF(A51="","",N(INDEX(Projects[Act Site Sup],50)))</f>
        <v/>
      </c>
      <c r="BQ51" s="5">
        <f>IF(A51="","",N(INDEX(Projects[Act Controls Commissioning],50)))</f>
        <v/>
      </c>
      <c r="BR51" s="5">
        <f>IF(A51="","",N(INDEX(Projects[Act Systems Commissioning],50)))</f>
        <v/>
      </c>
      <c r="BS51" s="5">
        <f>IF(A51="","",N(INDEX(Projects[Act Service Commissioning],50)))</f>
        <v/>
      </c>
      <c r="BT51" s="5">
        <f>IF(A51="","",N(INDEX(Projects[Act Controls Eng],50)))</f>
        <v/>
      </c>
      <c r="BU51" s="5">
        <f>IF(A51="","",N(INDEX(Projects[Act Controls Purchase],50)))</f>
        <v/>
      </c>
      <c r="BV51" s="5">
        <f>IF(A51="","",N(INDEX(Projects[Act Software Eng],50)))</f>
        <v/>
      </c>
      <c r="BW51" s="5">
        <f>IF(A51="","",N(INDEX(Projects[Act 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INDEX(Projects[Sold Value (USD M)],50)</f>
        <v/>
      </c>
      <c r="CE51" s="5" t="n"/>
      <c r="CF51" s="5">
        <f>IF(A51="","",N(INDEX(Projects[Est Mech Inst],50)))</f>
        <v/>
      </c>
      <c r="CG51" s="5">
        <f>IF(A51="","",N(INDEX(Projects[Est Elec Inst],50)))</f>
        <v/>
      </c>
      <c r="CH51" s="5">
        <f>IF(A51="","",N(INDEX(Projects[Est Project Management],50)))</f>
        <v/>
      </c>
      <c r="CI51" s="5">
        <f>IF(A51="","",N(INDEX(Projects[Est Systems Eng],50)))</f>
        <v/>
      </c>
      <c r="CJ51" s="5">
        <f>IF(A51="","",N(INDEX(Projects[Est Mechanical Eng],50)))</f>
        <v/>
      </c>
      <c r="CK51" s="5">
        <f>IF(A51="","",N(INDEX(Projects[Est Structural Engineering],50)))</f>
        <v/>
      </c>
      <c r="CL51" s="5">
        <f>IF(A51="","",N(INDEX(Projects[Est Site Sup],50)))</f>
        <v/>
      </c>
      <c r="CM51" s="5">
        <f>IF(A51="","",N(INDEX(Projects[Est Controls Commissioning],50)))</f>
        <v/>
      </c>
      <c r="CN51" s="5">
        <f>IF(A51="","",N(INDEX(Projects[Est Systems Commissioning],50)))</f>
        <v/>
      </c>
      <c r="CO51" s="5">
        <f>IF(A51="","",N(INDEX(Projects[Est Service Commissioning],50)))</f>
        <v/>
      </c>
      <c r="CP51" s="5">
        <f>IF(A51="","",N(INDEX(Projects[Est Controls Eng],50)))</f>
        <v/>
      </c>
      <c r="CQ51" s="5">
        <f>IF(A51="","",N(INDEX(Projects[Est Controls Purchase],50)))</f>
        <v/>
      </c>
      <c r="CR51" s="5">
        <f>IF(A51="","",N(INDEX(Projects[Est Software Eng],50)))</f>
        <v/>
      </c>
      <c r="CS51" s="5">
        <f>IF(A51="","",N(INDEX(Projects[Est Misc],50)))</f>
        <v/>
      </c>
      <c r="CT51" s="5">
        <f>IF(A51="","",SUM(CF51:CS51))</f>
        <v/>
      </c>
      <c r="CU51" s="5">
        <f>INDEX(Projects[Est Cost (M)],50)</f>
        <v/>
      </c>
      <c r="CV51" s="5">
        <f>INDEX(Projects[Act Cost (M)],50)</f>
        <v/>
      </c>
      <c r="CW51" s="5">
        <f>INDEX(Projects[Plan Mech Eng (wks)],50)</f>
        <v/>
      </c>
      <c r="CX51" s="5">
        <f>INDEX(Projects[Plan Controls Eng (wks)],50)</f>
        <v/>
      </c>
      <c r="CY51" s="5">
        <f>INDEX(Projects[Plan Systems Eng (wks)],50)</f>
        <v/>
      </c>
      <c r="CZ51" s="5">
        <f>INDEX(Projects[Plan Software Eng (wks)],50)</f>
        <v/>
      </c>
      <c r="DA51" s="5">
        <f>INDEX(Projects[Plan M&amp;E Installation (wks)],50)</f>
        <v/>
      </c>
      <c r="DB51" s="5">
        <f>INDEX(Projects[Plan Commissioning (wks)],50)</f>
        <v/>
      </c>
      <c r="DC51" s="5">
        <f>INDEX(Projects[Plan Total (wks)],50)</f>
        <v/>
      </c>
      <c r="DD51" s="5">
        <f>INDEX(Projects[Act Mech Eng (wks)],50)</f>
        <v/>
      </c>
      <c r="DE51" s="5">
        <f>INDEX(Projects[Act Controls Eng (wks)],50)</f>
        <v/>
      </c>
      <c r="DF51" s="5">
        <f>INDEX(Projects[Act Systems Eng (wks)],50)</f>
        <v/>
      </c>
      <c r="DG51" s="5">
        <f>INDEX(Projects[Act Software Eng (wks)],50)</f>
        <v/>
      </c>
      <c r="DH51" s="5">
        <f>INDEX(Projects[Act M&amp;E Installation (wks)],50)</f>
        <v/>
      </c>
      <c r="DI51" s="5">
        <f>INDEX(Projects[Act Commissioning (wks)],50)</f>
        <v/>
      </c>
      <c r="DJ51" s="5">
        <f>INDEX(Projects[Act Total (wks)],50)</f>
        <v/>
      </c>
    </row>
    <row r="52" ht="15" customHeight="1" s="82">
      <c r="A52" s="64">
        <f>INDEX(Projects[Project ID *],51)&amp;""</f>
        <v/>
      </c>
      <c r="B52" s="64">
        <f>INDEX(Projects[Project Name *],51)&amp;""</f>
        <v/>
      </c>
      <c r="C52" s="64">
        <f>INDEX(Projects[MS Shuttles],51)</f>
        <v/>
      </c>
      <c r="D52" s="64">
        <f>INDEX(Projects[MS Tote Locations],51)</f>
        <v/>
      </c>
      <c r="E52" s="64">
        <f>INDEX(Projects[AS Robots],51)</f>
        <v/>
      </c>
      <c r="F52" s="64">
        <f>INDEX(Projects[AS Tote Locations],51)</f>
        <v/>
      </c>
      <c r="G52" s="64">
        <f>INDEX(Projects[PS Shuttles],51)</f>
        <v/>
      </c>
      <c r="H52" s="64">
        <f>INDEX(Projects[PS Pallet Locations],51)</f>
        <v/>
      </c>
      <c r="I52" s="64">
        <f>INDEX(Projects[SRM Cranes],51)</f>
        <v/>
      </c>
      <c r="J52" s="64">
        <f>INDEX(Projects[SRM Pallet Locations],51)</f>
        <v/>
      </c>
      <c r="K52" s="64">
        <f>INDEX(Projects[Case Conv (m)],51)</f>
        <v/>
      </c>
      <c r="L52" s="64">
        <f>INDEX(Projects[Pallet Conv (m)],51)</f>
        <v/>
      </c>
      <c r="M52" s="64">
        <f>IF(N(DJ52)&gt;0,DD52,CW52)</f>
        <v/>
      </c>
      <c r="N52" s="64">
        <f>IF(N(DJ52)&gt;0,DE52,CX52)</f>
        <v/>
      </c>
      <c r="O52" s="64">
        <f>IF(N(DJ52)&gt;0,DF52,CY52)</f>
        <v/>
      </c>
      <c r="P52" s="64">
        <f>IF(N(DJ52)&gt;0,DG52,CZ52)</f>
        <v/>
      </c>
      <c r="Q52" s="64">
        <f>IF(N(DJ52)&gt;0,DH52,DA52)</f>
        <v/>
      </c>
      <c r="R52" s="64">
        <f>IF(N(DJ52)&gt;0,DI52,DB52)</f>
        <v/>
      </c>
      <c r="S52" s="64">
        <f>IF(N(DJ52)&gt;0,DJ52,DC52)</f>
        <v/>
      </c>
      <c r="T52" s="64">
        <f>INDEX(Projects[Currency],51)&amp;""</f>
        <v/>
      </c>
      <c r="U52" s="65">
        <f>INDEX(Projects[Sold Value (M)],51)</f>
        <v/>
      </c>
      <c r="V52" s="64">
        <f>IF('Smart Search'!B13=1,IFERROR(1/'Smart Search'!H13,0),0)</f>
        <v/>
      </c>
      <c r="W52" s="64">
        <f>IF('Smart Search'!B13=1,IFERROR(1/'Smart Search'!H13,0),0)</f>
        <v/>
      </c>
      <c r="X52" s="64">
        <f>IF('Smart Search'!C13=1,IFERROR(1/'Smart Search'!H13,0),0)</f>
        <v/>
      </c>
      <c r="Y52" s="64">
        <f>IF('Smart Search'!C13=1,IFERROR(1/'Smart Search'!H13,0),0)</f>
        <v/>
      </c>
      <c r="Z52" s="64">
        <f>IF('Smart Search'!D13=1,IFERROR(1/'Smart Search'!H13,0),0)</f>
        <v/>
      </c>
      <c r="AA52" s="64">
        <f>IF('Smart Search'!D13=1,IFERROR(1/'Smart Search'!H13,0),0)</f>
        <v/>
      </c>
      <c r="AB52" s="64">
        <f>IF('Smart Search'!E13=1,IFERROR(1/'Smart Search'!H13,0),0)</f>
        <v/>
      </c>
      <c r="AC52" s="64">
        <f>IF('Smart Search'!E13=1,IFERROR(1/'Smart Search'!H13,0),0)</f>
        <v/>
      </c>
      <c r="AD52" s="64">
        <f>IF('Smart Search'!F13=1,IFERROR(1/'Smart Search'!H13,0),0)</f>
        <v/>
      </c>
      <c r="AE52" s="64">
        <f>IF('Smart Search'!F13=1,IFERROR(1/'Smart Search'!H13,0),0)</f>
        <v/>
      </c>
      <c r="AF52" s="64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4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4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4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4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4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4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4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4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4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4">
        <f>AF52*V52</f>
        <v/>
      </c>
      <c r="AQ52" s="64">
        <f>AG52*W52</f>
        <v/>
      </c>
      <c r="AR52" s="64">
        <f>AH52*X52</f>
        <v/>
      </c>
      <c r="AS52" s="64">
        <f>AI52*Y52</f>
        <v/>
      </c>
      <c r="AT52" s="64">
        <f>AJ52*Z52</f>
        <v/>
      </c>
      <c r="AU52" s="64">
        <f>AK52*AA52</f>
        <v/>
      </c>
      <c r="AV52" s="64">
        <f>AL52*AB52</f>
        <v/>
      </c>
      <c r="AW52" s="64">
        <f>AM52*AC52</f>
        <v/>
      </c>
      <c r="AX52" s="64">
        <f>AN52*AD52</f>
        <v/>
      </c>
      <c r="AY52" s="64">
        <f>AO52*AE52</f>
        <v/>
      </c>
      <c r="AZ52" s="64">
        <f>INDEX(Projects[Automation Equipment],51)&amp;""</f>
        <v/>
      </c>
      <c r="BA52" s="64">
        <f>IF(OR(A52="",'Smart Search'!H13=0),"",MAX(0,BE52*BF52*MAX(0,1-BG52)))</f>
        <v/>
      </c>
      <c r="BB52" s="64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4">
        <f>IF('Smart Search'!G13=1,IFERROR(1/'Smart Search'!H13,0),0)</f>
        <v/>
      </c>
      <c r="BD52" s="64">
        <f>BB52*BC52</f>
        <v/>
      </c>
      <c r="BE52" s="64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IF(A52="","",N(INDEX(Projects[Act Mech Inst],51)))</f>
        <v/>
      </c>
      <c r="BK52" s="5">
        <f>IF(A52="","",N(INDEX(Projects[Act Elec Inst],51)))</f>
        <v/>
      </c>
      <c r="BL52" s="5">
        <f>IF(A52="","",N(INDEX(Projects[Act Project Management],51)))</f>
        <v/>
      </c>
      <c r="BM52" s="5">
        <f>IF(A52="","",N(INDEX(Projects[Act Systems Eng],51)))</f>
        <v/>
      </c>
      <c r="BN52" s="5">
        <f>IF(A52="","",N(INDEX(Projects[Act Mechanical Eng],51)))</f>
        <v/>
      </c>
      <c r="BO52" s="5">
        <f>IF(A52="","",N(INDEX(Projects[Act Structural Engineering],51)))</f>
        <v/>
      </c>
      <c r="BP52" s="5">
        <f>IF(A52="","",N(INDEX(Projects[Act Site Sup],51)))</f>
        <v/>
      </c>
      <c r="BQ52" s="5">
        <f>IF(A52="","",N(INDEX(Projects[Act Controls Commissioning],51)))</f>
        <v/>
      </c>
      <c r="BR52" s="5">
        <f>IF(A52="","",N(INDEX(Projects[Act Systems Commissioning],51)))</f>
        <v/>
      </c>
      <c r="BS52" s="5">
        <f>IF(A52="","",N(INDEX(Projects[Act Service Commissioning],51)))</f>
        <v/>
      </c>
      <c r="BT52" s="5">
        <f>IF(A52="","",N(INDEX(Projects[Act Controls Eng],51)))</f>
        <v/>
      </c>
      <c r="BU52" s="5">
        <f>IF(A52="","",N(INDEX(Projects[Act Controls Purchase],51)))</f>
        <v/>
      </c>
      <c r="BV52" s="5">
        <f>IF(A52="","",N(INDEX(Projects[Act Software Eng],51)))</f>
        <v/>
      </c>
      <c r="BW52" s="5">
        <f>IF(A52="","",N(INDEX(Projects[Act 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INDEX(Projects[Sold Value (USD M)],51)</f>
        <v/>
      </c>
      <c r="CE52" s="5" t="n"/>
      <c r="CF52" s="5">
        <f>IF(A52="","",N(INDEX(Projects[Est Mech Inst],51)))</f>
        <v/>
      </c>
      <c r="CG52" s="5">
        <f>IF(A52="","",N(INDEX(Projects[Est Elec Inst],51)))</f>
        <v/>
      </c>
      <c r="CH52" s="5">
        <f>IF(A52="","",N(INDEX(Projects[Est Project Management],51)))</f>
        <v/>
      </c>
      <c r="CI52" s="5">
        <f>IF(A52="","",N(INDEX(Projects[Est Systems Eng],51)))</f>
        <v/>
      </c>
      <c r="CJ52" s="5">
        <f>IF(A52="","",N(INDEX(Projects[Est Mechanical Eng],51)))</f>
        <v/>
      </c>
      <c r="CK52" s="5">
        <f>IF(A52="","",N(INDEX(Projects[Est Structural Engineering],51)))</f>
        <v/>
      </c>
      <c r="CL52" s="5">
        <f>IF(A52="","",N(INDEX(Projects[Est Site Sup],51)))</f>
        <v/>
      </c>
      <c r="CM52" s="5">
        <f>IF(A52="","",N(INDEX(Projects[Est Controls Commissioning],51)))</f>
        <v/>
      </c>
      <c r="CN52" s="5">
        <f>IF(A52="","",N(INDEX(Projects[Est Systems Commissioning],51)))</f>
        <v/>
      </c>
      <c r="CO52" s="5">
        <f>IF(A52="","",N(INDEX(Projects[Est Service Commissioning],51)))</f>
        <v/>
      </c>
      <c r="CP52" s="5">
        <f>IF(A52="","",N(INDEX(Projects[Est Controls Eng],51)))</f>
        <v/>
      </c>
      <c r="CQ52" s="5">
        <f>IF(A52="","",N(INDEX(Projects[Est Controls Purchase],51)))</f>
        <v/>
      </c>
      <c r="CR52" s="5">
        <f>IF(A52="","",N(INDEX(Projects[Est Software Eng],51)))</f>
        <v/>
      </c>
      <c r="CS52" s="5">
        <f>IF(A52="","",N(INDEX(Projects[Est Misc],51)))</f>
        <v/>
      </c>
      <c r="CT52" s="5">
        <f>IF(A52="","",SUM(CF52:CS52))</f>
        <v/>
      </c>
      <c r="CU52" s="5">
        <f>INDEX(Projects[Est Cost (M)],51)</f>
        <v/>
      </c>
      <c r="CV52" s="5">
        <f>INDEX(Projects[Act Cost (M)],51)</f>
        <v/>
      </c>
      <c r="CW52" s="5">
        <f>INDEX(Projects[Plan Mech Eng (wks)],51)</f>
        <v/>
      </c>
      <c r="CX52" s="5">
        <f>INDEX(Projects[Plan Controls Eng (wks)],51)</f>
        <v/>
      </c>
      <c r="CY52" s="5">
        <f>INDEX(Projects[Plan Systems Eng (wks)],51)</f>
        <v/>
      </c>
      <c r="CZ52" s="5">
        <f>INDEX(Projects[Plan Software Eng (wks)],51)</f>
        <v/>
      </c>
      <c r="DA52" s="5">
        <f>INDEX(Projects[Plan M&amp;E Installation (wks)],51)</f>
        <v/>
      </c>
      <c r="DB52" s="5">
        <f>INDEX(Projects[Plan Commissioning (wks)],51)</f>
        <v/>
      </c>
      <c r="DC52" s="5">
        <f>INDEX(Projects[Plan Total (wks)],51)</f>
        <v/>
      </c>
      <c r="DD52" s="5">
        <f>INDEX(Projects[Act Mech Eng (wks)],51)</f>
        <v/>
      </c>
      <c r="DE52" s="5">
        <f>INDEX(Projects[Act Controls Eng (wks)],51)</f>
        <v/>
      </c>
      <c r="DF52" s="5">
        <f>INDEX(Projects[Act Systems Eng (wks)],51)</f>
        <v/>
      </c>
      <c r="DG52" s="5">
        <f>INDEX(Projects[Act Software Eng (wks)],51)</f>
        <v/>
      </c>
      <c r="DH52" s="5">
        <f>INDEX(Projects[Act M&amp;E Installation (wks)],51)</f>
        <v/>
      </c>
      <c r="DI52" s="5">
        <f>INDEX(Projects[Act Commissioning (wks)],51)</f>
        <v/>
      </c>
      <c r="DJ52" s="5">
        <f>INDEX(Projects[Act Total (wks)],51)</f>
        <v/>
      </c>
    </row>
    <row r="53" ht="15" customHeight="1" s="82">
      <c r="A53" s="64">
        <f>INDEX(Projects[Project ID *],52)&amp;""</f>
        <v/>
      </c>
      <c r="B53" s="64">
        <f>INDEX(Projects[Project Name *],52)&amp;""</f>
        <v/>
      </c>
      <c r="C53" s="64">
        <f>INDEX(Projects[MS Shuttles],52)</f>
        <v/>
      </c>
      <c r="D53" s="64">
        <f>INDEX(Projects[MS Tote Locations],52)</f>
        <v/>
      </c>
      <c r="E53" s="64">
        <f>INDEX(Projects[AS Robots],52)</f>
        <v/>
      </c>
      <c r="F53" s="64">
        <f>INDEX(Projects[AS Tote Locations],52)</f>
        <v/>
      </c>
      <c r="G53" s="64">
        <f>INDEX(Projects[PS Shuttles],52)</f>
        <v/>
      </c>
      <c r="H53" s="64">
        <f>INDEX(Projects[PS Pallet Locations],52)</f>
        <v/>
      </c>
      <c r="I53" s="64">
        <f>INDEX(Projects[SRM Cranes],52)</f>
        <v/>
      </c>
      <c r="J53" s="64">
        <f>INDEX(Projects[SRM Pallet Locations],52)</f>
        <v/>
      </c>
      <c r="K53" s="64">
        <f>INDEX(Projects[Case Conv (m)],52)</f>
        <v/>
      </c>
      <c r="L53" s="64">
        <f>INDEX(Projects[Pallet Conv (m)],52)</f>
        <v/>
      </c>
      <c r="M53" s="64">
        <f>IF(N(DJ53)&gt;0,DD53,CW53)</f>
        <v/>
      </c>
      <c r="N53" s="64">
        <f>IF(N(DJ53)&gt;0,DE53,CX53)</f>
        <v/>
      </c>
      <c r="O53" s="64">
        <f>IF(N(DJ53)&gt;0,DF53,CY53)</f>
        <v/>
      </c>
      <c r="P53" s="64">
        <f>IF(N(DJ53)&gt;0,DG53,CZ53)</f>
        <v/>
      </c>
      <c r="Q53" s="64">
        <f>IF(N(DJ53)&gt;0,DH53,DA53)</f>
        <v/>
      </c>
      <c r="R53" s="64">
        <f>IF(N(DJ53)&gt;0,DI53,DB53)</f>
        <v/>
      </c>
      <c r="S53" s="64">
        <f>IF(N(DJ53)&gt;0,DJ53,DC53)</f>
        <v/>
      </c>
      <c r="T53" s="64">
        <f>INDEX(Projects[Currency],52)&amp;""</f>
        <v/>
      </c>
      <c r="U53" s="65">
        <f>INDEX(Projects[Sold Value (M)],52)</f>
        <v/>
      </c>
      <c r="V53" s="64">
        <f>IF('Smart Search'!B13=1,IFERROR(1/'Smart Search'!H13,0),0)</f>
        <v/>
      </c>
      <c r="W53" s="64">
        <f>IF('Smart Search'!B13=1,IFERROR(1/'Smart Search'!H13,0),0)</f>
        <v/>
      </c>
      <c r="X53" s="64">
        <f>IF('Smart Search'!C13=1,IFERROR(1/'Smart Search'!H13,0),0)</f>
        <v/>
      </c>
      <c r="Y53" s="64">
        <f>IF('Smart Search'!C13=1,IFERROR(1/'Smart Search'!H13,0),0)</f>
        <v/>
      </c>
      <c r="Z53" s="64">
        <f>IF('Smart Search'!D13=1,IFERROR(1/'Smart Search'!H13,0),0)</f>
        <v/>
      </c>
      <c r="AA53" s="64">
        <f>IF('Smart Search'!D13=1,IFERROR(1/'Smart Search'!H13,0),0)</f>
        <v/>
      </c>
      <c r="AB53" s="64">
        <f>IF('Smart Search'!E13=1,IFERROR(1/'Smart Search'!H13,0),0)</f>
        <v/>
      </c>
      <c r="AC53" s="64">
        <f>IF('Smart Search'!E13=1,IFERROR(1/'Smart Search'!H13,0),0)</f>
        <v/>
      </c>
      <c r="AD53" s="64">
        <f>IF('Smart Search'!F13=1,IFERROR(1/'Smart Search'!H13,0),0)</f>
        <v/>
      </c>
      <c r="AE53" s="64">
        <f>IF('Smart Search'!F13=1,IFERROR(1/'Smart Search'!H13,0),0)</f>
        <v/>
      </c>
      <c r="AF53" s="64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4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4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4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4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4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4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4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4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4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4">
        <f>AF53*V53</f>
        <v/>
      </c>
      <c r="AQ53" s="64">
        <f>AG53*W53</f>
        <v/>
      </c>
      <c r="AR53" s="64">
        <f>AH53*X53</f>
        <v/>
      </c>
      <c r="AS53" s="64">
        <f>AI53*Y53</f>
        <v/>
      </c>
      <c r="AT53" s="64">
        <f>AJ53*Z53</f>
        <v/>
      </c>
      <c r="AU53" s="64">
        <f>AK53*AA53</f>
        <v/>
      </c>
      <c r="AV53" s="64">
        <f>AL53*AB53</f>
        <v/>
      </c>
      <c r="AW53" s="64">
        <f>AM53*AC53</f>
        <v/>
      </c>
      <c r="AX53" s="64">
        <f>AN53*AD53</f>
        <v/>
      </c>
      <c r="AY53" s="64">
        <f>AO53*AE53</f>
        <v/>
      </c>
      <c r="AZ53" s="64">
        <f>INDEX(Projects[Automation Equipment],52)&amp;""</f>
        <v/>
      </c>
      <c r="BA53" s="64">
        <f>IF(OR(A53="",'Smart Search'!H13=0),"",MAX(0,BE53*BF53*MAX(0,1-BG53)))</f>
        <v/>
      </c>
      <c r="BB53" s="64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4">
        <f>IF('Smart Search'!G13=1,IFERROR(1/'Smart Search'!H13,0),0)</f>
        <v/>
      </c>
      <c r="BD53" s="64">
        <f>BB53*BC53</f>
        <v/>
      </c>
      <c r="BE53" s="64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IF(A53="","",N(INDEX(Projects[Act Mech Inst],52)))</f>
        <v/>
      </c>
      <c r="BK53" s="5">
        <f>IF(A53="","",N(INDEX(Projects[Act Elec Inst],52)))</f>
        <v/>
      </c>
      <c r="BL53" s="5">
        <f>IF(A53="","",N(INDEX(Projects[Act Project Management],52)))</f>
        <v/>
      </c>
      <c r="BM53" s="5">
        <f>IF(A53="","",N(INDEX(Projects[Act Systems Eng],52)))</f>
        <v/>
      </c>
      <c r="BN53" s="5">
        <f>IF(A53="","",N(INDEX(Projects[Act Mechanical Eng],52)))</f>
        <v/>
      </c>
      <c r="BO53" s="5">
        <f>IF(A53="","",N(INDEX(Projects[Act Structural Engineering],52)))</f>
        <v/>
      </c>
      <c r="BP53" s="5">
        <f>IF(A53="","",N(INDEX(Projects[Act Site Sup],52)))</f>
        <v/>
      </c>
      <c r="BQ53" s="5">
        <f>IF(A53="","",N(INDEX(Projects[Act Controls Commissioning],52)))</f>
        <v/>
      </c>
      <c r="BR53" s="5">
        <f>IF(A53="","",N(INDEX(Projects[Act Systems Commissioning],52)))</f>
        <v/>
      </c>
      <c r="BS53" s="5">
        <f>IF(A53="","",N(INDEX(Projects[Act Service Commissioning],52)))</f>
        <v/>
      </c>
      <c r="BT53" s="5">
        <f>IF(A53="","",N(INDEX(Projects[Act Controls Eng],52)))</f>
        <v/>
      </c>
      <c r="BU53" s="5">
        <f>IF(A53="","",N(INDEX(Projects[Act Controls Purchase],52)))</f>
        <v/>
      </c>
      <c r="BV53" s="5">
        <f>IF(A53="","",N(INDEX(Projects[Act Software Eng],52)))</f>
        <v/>
      </c>
      <c r="BW53" s="5">
        <f>IF(A53="","",N(INDEX(Projects[Act 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INDEX(Projects[Sold Value (USD M)],52)</f>
        <v/>
      </c>
      <c r="CE53" s="5" t="n"/>
      <c r="CF53" s="5">
        <f>IF(A53="","",N(INDEX(Projects[Est Mech Inst],52)))</f>
        <v/>
      </c>
      <c r="CG53" s="5">
        <f>IF(A53="","",N(INDEX(Projects[Est Elec Inst],52)))</f>
        <v/>
      </c>
      <c r="CH53" s="5">
        <f>IF(A53="","",N(INDEX(Projects[Est Project Management],52)))</f>
        <v/>
      </c>
      <c r="CI53" s="5">
        <f>IF(A53="","",N(INDEX(Projects[Est Systems Eng],52)))</f>
        <v/>
      </c>
      <c r="CJ53" s="5">
        <f>IF(A53="","",N(INDEX(Projects[Est Mechanical Eng],52)))</f>
        <v/>
      </c>
      <c r="CK53" s="5">
        <f>IF(A53="","",N(INDEX(Projects[Est Structural Engineering],52)))</f>
        <v/>
      </c>
      <c r="CL53" s="5">
        <f>IF(A53="","",N(INDEX(Projects[Est Site Sup],52)))</f>
        <v/>
      </c>
      <c r="CM53" s="5">
        <f>IF(A53="","",N(INDEX(Projects[Est Controls Commissioning],52)))</f>
        <v/>
      </c>
      <c r="CN53" s="5">
        <f>IF(A53="","",N(INDEX(Projects[Est Systems Commissioning],52)))</f>
        <v/>
      </c>
      <c r="CO53" s="5">
        <f>IF(A53="","",N(INDEX(Projects[Est Service Commissioning],52)))</f>
        <v/>
      </c>
      <c r="CP53" s="5">
        <f>IF(A53="","",N(INDEX(Projects[Est Controls Eng],52)))</f>
        <v/>
      </c>
      <c r="CQ53" s="5">
        <f>IF(A53="","",N(INDEX(Projects[Est Controls Purchase],52)))</f>
        <v/>
      </c>
      <c r="CR53" s="5">
        <f>IF(A53="","",N(INDEX(Projects[Est Software Eng],52)))</f>
        <v/>
      </c>
      <c r="CS53" s="5">
        <f>IF(A53="","",N(INDEX(Projects[Est Misc],52)))</f>
        <v/>
      </c>
      <c r="CT53" s="5">
        <f>IF(A53="","",SUM(CF53:CS53))</f>
        <v/>
      </c>
      <c r="CU53" s="5">
        <f>INDEX(Projects[Est Cost (M)],52)</f>
        <v/>
      </c>
      <c r="CV53" s="5">
        <f>INDEX(Projects[Act Cost (M)],52)</f>
        <v/>
      </c>
      <c r="CW53" s="5">
        <f>INDEX(Projects[Plan Mech Eng (wks)],52)</f>
        <v/>
      </c>
      <c r="CX53" s="5">
        <f>INDEX(Projects[Plan Controls Eng (wks)],52)</f>
        <v/>
      </c>
      <c r="CY53" s="5">
        <f>INDEX(Projects[Plan Systems Eng (wks)],52)</f>
        <v/>
      </c>
      <c r="CZ53" s="5">
        <f>INDEX(Projects[Plan Software Eng (wks)],52)</f>
        <v/>
      </c>
      <c r="DA53" s="5">
        <f>INDEX(Projects[Plan M&amp;E Installation (wks)],52)</f>
        <v/>
      </c>
      <c r="DB53" s="5">
        <f>INDEX(Projects[Plan Commissioning (wks)],52)</f>
        <v/>
      </c>
      <c r="DC53" s="5">
        <f>INDEX(Projects[Plan Total (wks)],52)</f>
        <v/>
      </c>
      <c r="DD53" s="5">
        <f>INDEX(Projects[Act Mech Eng (wks)],52)</f>
        <v/>
      </c>
      <c r="DE53" s="5">
        <f>INDEX(Projects[Act Controls Eng (wks)],52)</f>
        <v/>
      </c>
      <c r="DF53" s="5">
        <f>INDEX(Projects[Act Systems Eng (wks)],52)</f>
        <v/>
      </c>
      <c r="DG53" s="5">
        <f>INDEX(Projects[Act Software Eng (wks)],52)</f>
        <v/>
      </c>
      <c r="DH53" s="5">
        <f>INDEX(Projects[Act M&amp;E Installation (wks)],52)</f>
        <v/>
      </c>
      <c r="DI53" s="5">
        <f>INDEX(Projects[Act Commissioning (wks)],52)</f>
        <v/>
      </c>
      <c r="DJ53" s="5">
        <f>INDEX(Projects[Act Total (wks)],52)</f>
        <v/>
      </c>
    </row>
    <row r="54" ht="15" customHeight="1" s="82">
      <c r="A54" s="64">
        <f>INDEX(Projects[Project ID *],53)&amp;""</f>
        <v/>
      </c>
      <c r="B54" s="64">
        <f>INDEX(Projects[Project Name *],53)&amp;""</f>
        <v/>
      </c>
      <c r="C54" s="64">
        <f>INDEX(Projects[MS Shuttles],53)</f>
        <v/>
      </c>
      <c r="D54" s="64">
        <f>INDEX(Projects[MS Tote Locations],53)</f>
        <v/>
      </c>
      <c r="E54" s="64">
        <f>INDEX(Projects[AS Robots],53)</f>
        <v/>
      </c>
      <c r="F54" s="64">
        <f>INDEX(Projects[AS Tote Locations],53)</f>
        <v/>
      </c>
      <c r="G54" s="64">
        <f>INDEX(Projects[PS Shuttles],53)</f>
        <v/>
      </c>
      <c r="H54" s="64">
        <f>INDEX(Projects[PS Pallet Locations],53)</f>
        <v/>
      </c>
      <c r="I54" s="64">
        <f>INDEX(Projects[SRM Cranes],53)</f>
        <v/>
      </c>
      <c r="J54" s="64">
        <f>INDEX(Projects[SRM Pallet Locations],53)</f>
        <v/>
      </c>
      <c r="K54" s="64">
        <f>INDEX(Projects[Case Conv (m)],53)</f>
        <v/>
      </c>
      <c r="L54" s="64">
        <f>INDEX(Projects[Pallet Conv (m)],53)</f>
        <v/>
      </c>
      <c r="M54" s="64">
        <f>IF(N(DJ54)&gt;0,DD54,CW54)</f>
        <v/>
      </c>
      <c r="N54" s="64">
        <f>IF(N(DJ54)&gt;0,DE54,CX54)</f>
        <v/>
      </c>
      <c r="O54" s="64">
        <f>IF(N(DJ54)&gt;0,DF54,CY54)</f>
        <v/>
      </c>
      <c r="P54" s="64">
        <f>IF(N(DJ54)&gt;0,DG54,CZ54)</f>
        <v/>
      </c>
      <c r="Q54" s="64">
        <f>IF(N(DJ54)&gt;0,DH54,DA54)</f>
        <v/>
      </c>
      <c r="R54" s="64">
        <f>IF(N(DJ54)&gt;0,DI54,DB54)</f>
        <v/>
      </c>
      <c r="S54" s="64">
        <f>IF(N(DJ54)&gt;0,DJ54,DC54)</f>
        <v/>
      </c>
      <c r="T54" s="64">
        <f>INDEX(Projects[Currency],53)&amp;""</f>
        <v/>
      </c>
      <c r="U54" s="65">
        <f>INDEX(Projects[Sold Value (M)],53)</f>
        <v/>
      </c>
      <c r="V54" s="64">
        <f>IF('Smart Search'!B13=1,IFERROR(1/'Smart Search'!H13,0),0)</f>
        <v/>
      </c>
      <c r="W54" s="64">
        <f>IF('Smart Search'!B13=1,IFERROR(1/'Smart Search'!H13,0),0)</f>
        <v/>
      </c>
      <c r="X54" s="64">
        <f>IF('Smart Search'!C13=1,IFERROR(1/'Smart Search'!H13,0),0)</f>
        <v/>
      </c>
      <c r="Y54" s="64">
        <f>IF('Smart Search'!C13=1,IFERROR(1/'Smart Search'!H13,0),0)</f>
        <v/>
      </c>
      <c r="Z54" s="64">
        <f>IF('Smart Search'!D13=1,IFERROR(1/'Smart Search'!H13,0),0)</f>
        <v/>
      </c>
      <c r="AA54" s="64">
        <f>IF('Smart Search'!D13=1,IFERROR(1/'Smart Search'!H13,0),0)</f>
        <v/>
      </c>
      <c r="AB54" s="64">
        <f>IF('Smart Search'!E13=1,IFERROR(1/'Smart Search'!H13,0),0)</f>
        <v/>
      </c>
      <c r="AC54" s="64">
        <f>IF('Smart Search'!E13=1,IFERROR(1/'Smart Search'!H13,0),0)</f>
        <v/>
      </c>
      <c r="AD54" s="64">
        <f>IF('Smart Search'!F13=1,IFERROR(1/'Smart Search'!H13,0),0)</f>
        <v/>
      </c>
      <c r="AE54" s="64">
        <f>IF('Smart Search'!F13=1,IFERROR(1/'Smart Search'!H13,0),0)</f>
        <v/>
      </c>
      <c r="AF54" s="64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4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4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4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4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4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4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4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4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4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4">
        <f>AF54*V54</f>
        <v/>
      </c>
      <c r="AQ54" s="64">
        <f>AG54*W54</f>
        <v/>
      </c>
      <c r="AR54" s="64">
        <f>AH54*X54</f>
        <v/>
      </c>
      <c r="AS54" s="64">
        <f>AI54*Y54</f>
        <v/>
      </c>
      <c r="AT54" s="64">
        <f>AJ54*Z54</f>
        <v/>
      </c>
      <c r="AU54" s="64">
        <f>AK54*AA54</f>
        <v/>
      </c>
      <c r="AV54" s="64">
        <f>AL54*AB54</f>
        <v/>
      </c>
      <c r="AW54" s="64">
        <f>AM54*AC54</f>
        <v/>
      </c>
      <c r="AX54" s="64">
        <f>AN54*AD54</f>
        <v/>
      </c>
      <c r="AY54" s="64">
        <f>AO54*AE54</f>
        <v/>
      </c>
      <c r="AZ54" s="64">
        <f>INDEX(Projects[Automation Equipment],53)&amp;""</f>
        <v/>
      </c>
      <c r="BA54" s="64">
        <f>IF(OR(A54="",'Smart Search'!H13=0),"",MAX(0,BE54*BF54*MAX(0,1-BG54)))</f>
        <v/>
      </c>
      <c r="BB54" s="64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4">
        <f>IF('Smart Search'!G13=1,IFERROR(1/'Smart Search'!H13,0),0)</f>
        <v/>
      </c>
      <c r="BD54" s="64">
        <f>BB54*BC54</f>
        <v/>
      </c>
      <c r="BE54" s="64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IF(A54="","",N(INDEX(Projects[Act Mech Inst],53)))</f>
        <v/>
      </c>
      <c r="BK54" s="5">
        <f>IF(A54="","",N(INDEX(Projects[Act Elec Inst],53)))</f>
        <v/>
      </c>
      <c r="BL54" s="5">
        <f>IF(A54="","",N(INDEX(Projects[Act Project Management],53)))</f>
        <v/>
      </c>
      <c r="BM54" s="5">
        <f>IF(A54="","",N(INDEX(Projects[Act Systems Eng],53)))</f>
        <v/>
      </c>
      <c r="BN54" s="5">
        <f>IF(A54="","",N(INDEX(Projects[Act Mechanical Eng],53)))</f>
        <v/>
      </c>
      <c r="BO54" s="5">
        <f>IF(A54="","",N(INDEX(Projects[Act Structural Engineering],53)))</f>
        <v/>
      </c>
      <c r="BP54" s="5">
        <f>IF(A54="","",N(INDEX(Projects[Act Site Sup],53)))</f>
        <v/>
      </c>
      <c r="BQ54" s="5">
        <f>IF(A54="","",N(INDEX(Projects[Act Controls Commissioning],53)))</f>
        <v/>
      </c>
      <c r="BR54" s="5">
        <f>IF(A54="","",N(INDEX(Projects[Act Systems Commissioning],53)))</f>
        <v/>
      </c>
      <c r="BS54" s="5">
        <f>IF(A54="","",N(INDEX(Projects[Act Service Commissioning],53)))</f>
        <v/>
      </c>
      <c r="BT54" s="5">
        <f>IF(A54="","",N(INDEX(Projects[Act Controls Eng],53)))</f>
        <v/>
      </c>
      <c r="BU54" s="5">
        <f>IF(A54="","",N(INDEX(Projects[Act Controls Purchase],53)))</f>
        <v/>
      </c>
      <c r="BV54" s="5">
        <f>IF(A54="","",N(INDEX(Projects[Act Software Eng],53)))</f>
        <v/>
      </c>
      <c r="BW54" s="5">
        <f>IF(A54="","",N(INDEX(Projects[Act 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INDEX(Projects[Sold Value (USD M)],53)</f>
        <v/>
      </c>
      <c r="CE54" s="5" t="n"/>
      <c r="CF54" s="5">
        <f>IF(A54="","",N(INDEX(Projects[Est Mech Inst],53)))</f>
        <v/>
      </c>
      <c r="CG54" s="5">
        <f>IF(A54="","",N(INDEX(Projects[Est Elec Inst],53)))</f>
        <v/>
      </c>
      <c r="CH54" s="5">
        <f>IF(A54="","",N(INDEX(Projects[Est Project Management],53)))</f>
        <v/>
      </c>
      <c r="CI54" s="5">
        <f>IF(A54="","",N(INDEX(Projects[Est Systems Eng],53)))</f>
        <v/>
      </c>
      <c r="CJ54" s="5">
        <f>IF(A54="","",N(INDEX(Projects[Est Mechanical Eng],53)))</f>
        <v/>
      </c>
      <c r="CK54" s="5">
        <f>IF(A54="","",N(INDEX(Projects[Est Structural Engineering],53)))</f>
        <v/>
      </c>
      <c r="CL54" s="5">
        <f>IF(A54="","",N(INDEX(Projects[Est Site Sup],53)))</f>
        <v/>
      </c>
      <c r="CM54" s="5">
        <f>IF(A54="","",N(INDEX(Projects[Est Controls Commissioning],53)))</f>
        <v/>
      </c>
      <c r="CN54" s="5">
        <f>IF(A54="","",N(INDEX(Projects[Est Systems Commissioning],53)))</f>
        <v/>
      </c>
      <c r="CO54" s="5">
        <f>IF(A54="","",N(INDEX(Projects[Est Service Commissioning],53)))</f>
        <v/>
      </c>
      <c r="CP54" s="5">
        <f>IF(A54="","",N(INDEX(Projects[Est Controls Eng],53)))</f>
        <v/>
      </c>
      <c r="CQ54" s="5">
        <f>IF(A54="","",N(INDEX(Projects[Est Controls Purchase],53)))</f>
        <v/>
      </c>
      <c r="CR54" s="5">
        <f>IF(A54="","",N(INDEX(Projects[Est Software Eng],53)))</f>
        <v/>
      </c>
      <c r="CS54" s="5">
        <f>IF(A54="","",N(INDEX(Projects[Est Misc],53)))</f>
        <v/>
      </c>
      <c r="CT54" s="5">
        <f>IF(A54="","",SUM(CF54:CS54))</f>
        <v/>
      </c>
      <c r="CU54" s="5">
        <f>INDEX(Projects[Est Cost (M)],53)</f>
        <v/>
      </c>
      <c r="CV54" s="5">
        <f>INDEX(Projects[Act Cost (M)],53)</f>
        <v/>
      </c>
      <c r="CW54" s="5">
        <f>INDEX(Projects[Plan Mech Eng (wks)],53)</f>
        <v/>
      </c>
      <c r="CX54" s="5">
        <f>INDEX(Projects[Plan Controls Eng (wks)],53)</f>
        <v/>
      </c>
      <c r="CY54" s="5">
        <f>INDEX(Projects[Plan Systems Eng (wks)],53)</f>
        <v/>
      </c>
      <c r="CZ54" s="5">
        <f>INDEX(Projects[Plan Software Eng (wks)],53)</f>
        <v/>
      </c>
      <c r="DA54" s="5">
        <f>INDEX(Projects[Plan M&amp;E Installation (wks)],53)</f>
        <v/>
      </c>
      <c r="DB54" s="5">
        <f>INDEX(Projects[Plan Commissioning (wks)],53)</f>
        <v/>
      </c>
      <c r="DC54" s="5">
        <f>INDEX(Projects[Plan Total (wks)],53)</f>
        <v/>
      </c>
      <c r="DD54" s="5">
        <f>INDEX(Projects[Act Mech Eng (wks)],53)</f>
        <v/>
      </c>
      <c r="DE54" s="5">
        <f>INDEX(Projects[Act Controls Eng (wks)],53)</f>
        <v/>
      </c>
      <c r="DF54" s="5">
        <f>INDEX(Projects[Act Systems Eng (wks)],53)</f>
        <v/>
      </c>
      <c r="DG54" s="5">
        <f>INDEX(Projects[Act Software Eng (wks)],53)</f>
        <v/>
      </c>
      <c r="DH54" s="5">
        <f>INDEX(Projects[Act M&amp;E Installation (wks)],53)</f>
        <v/>
      </c>
      <c r="DI54" s="5">
        <f>INDEX(Projects[Act Commissioning (wks)],53)</f>
        <v/>
      </c>
      <c r="DJ54" s="5">
        <f>INDEX(Projects[Act Total (wks)],53)</f>
        <v/>
      </c>
    </row>
    <row r="55" ht="15" customHeight="1" s="82">
      <c r="A55" s="64">
        <f>INDEX(Projects[Project ID *],54)&amp;""</f>
        <v/>
      </c>
      <c r="B55" s="64">
        <f>INDEX(Projects[Project Name *],54)&amp;""</f>
        <v/>
      </c>
      <c r="C55" s="64">
        <f>INDEX(Projects[MS Shuttles],54)</f>
        <v/>
      </c>
      <c r="D55" s="64">
        <f>INDEX(Projects[MS Tote Locations],54)</f>
        <v/>
      </c>
      <c r="E55" s="64">
        <f>INDEX(Projects[AS Robots],54)</f>
        <v/>
      </c>
      <c r="F55" s="64">
        <f>INDEX(Projects[AS Tote Locations],54)</f>
        <v/>
      </c>
      <c r="G55" s="64">
        <f>INDEX(Projects[PS Shuttles],54)</f>
        <v/>
      </c>
      <c r="H55" s="64">
        <f>INDEX(Projects[PS Pallet Locations],54)</f>
        <v/>
      </c>
      <c r="I55" s="64">
        <f>INDEX(Projects[SRM Cranes],54)</f>
        <v/>
      </c>
      <c r="J55" s="64">
        <f>INDEX(Projects[SRM Pallet Locations],54)</f>
        <v/>
      </c>
      <c r="K55" s="64">
        <f>INDEX(Projects[Case Conv (m)],54)</f>
        <v/>
      </c>
      <c r="L55" s="64">
        <f>INDEX(Projects[Pallet Conv (m)],54)</f>
        <v/>
      </c>
      <c r="M55" s="64">
        <f>IF(N(DJ55)&gt;0,DD55,CW55)</f>
        <v/>
      </c>
      <c r="N55" s="64">
        <f>IF(N(DJ55)&gt;0,DE55,CX55)</f>
        <v/>
      </c>
      <c r="O55" s="64">
        <f>IF(N(DJ55)&gt;0,DF55,CY55)</f>
        <v/>
      </c>
      <c r="P55" s="64">
        <f>IF(N(DJ55)&gt;0,DG55,CZ55)</f>
        <v/>
      </c>
      <c r="Q55" s="64">
        <f>IF(N(DJ55)&gt;0,DH55,DA55)</f>
        <v/>
      </c>
      <c r="R55" s="64">
        <f>IF(N(DJ55)&gt;0,DI55,DB55)</f>
        <v/>
      </c>
      <c r="S55" s="64">
        <f>IF(N(DJ55)&gt;0,DJ55,DC55)</f>
        <v/>
      </c>
      <c r="T55" s="64">
        <f>INDEX(Projects[Currency],54)&amp;""</f>
        <v/>
      </c>
      <c r="U55" s="65">
        <f>INDEX(Projects[Sold Value (M)],54)</f>
        <v/>
      </c>
      <c r="V55" s="64">
        <f>IF('Smart Search'!B13=1,IFERROR(1/'Smart Search'!H13,0),0)</f>
        <v/>
      </c>
      <c r="W55" s="64">
        <f>IF('Smart Search'!B13=1,IFERROR(1/'Smart Search'!H13,0),0)</f>
        <v/>
      </c>
      <c r="X55" s="64">
        <f>IF('Smart Search'!C13=1,IFERROR(1/'Smart Search'!H13,0),0)</f>
        <v/>
      </c>
      <c r="Y55" s="64">
        <f>IF('Smart Search'!C13=1,IFERROR(1/'Smart Search'!H13,0),0)</f>
        <v/>
      </c>
      <c r="Z55" s="64">
        <f>IF('Smart Search'!D13=1,IFERROR(1/'Smart Search'!H13,0),0)</f>
        <v/>
      </c>
      <c r="AA55" s="64">
        <f>IF('Smart Search'!D13=1,IFERROR(1/'Smart Search'!H13,0),0)</f>
        <v/>
      </c>
      <c r="AB55" s="64">
        <f>IF('Smart Search'!E13=1,IFERROR(1/'Smart Search'!H13,0),0)</f>
        <v/>
      </c>
      <c r="AC55" s="64">
        <f>IF('Smart Search'!E13=1,IFERROR(1/'Smart Search'!H13,0),0)</f>
        <v/>
      </c>
      <c r="AD55" s="64">
        <f>IF('Smart Search'!F13=1,IFERROR(1/'Smart Search'!H13,0),0)</f>
        <v/>
      </c>
      <c r="AE55" s="64">
        <f>IF('Smart Search'!F13=1,IFERROR(1/'Smart Search'!H13,0),0)</f>
        <v/>
      </c>
      <c r="AF55" s="64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4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4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4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4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4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4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4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4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4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4">
        <f>AF55*V55</f>
        <v/>
      </c>
      <c r="AQ55" s="64">
        <f>AG55*W55</f>
        <v/>
      </c>
      <c r="AR55" s="64">
        <f>AH55*X55</f>
        <v/>
      </c>
      <c r="AS55" s="64">
        <f>AI55*Y55</f>
        <v/>
      </c>
      <c r="AT55" s="64">
        <f>AJ55*Z55</f>
        <v/>
      </c>
      <c r="AU55" s="64">
        <f>AK55*AA55</f>
        <v/>
      </c>
      <c r="AV55" s="64">
        <f>AL55*AB55</f>
        <v/>
      </c>
      <c r="AW55" s="64">
        <f>AM55*AC55</f>
        <v/>
      </c>
      <c r="AX55" s="64">
        <f>AN55*AD55</f>
        <v/>
      </c>
      <c r="AY55" s="64">
        <f>AO55*AE55</f>
        <v/>
      </c>
      <c r="AZ55" s="64">
        <f>INDEX(Projects[Automation Equipment],54)&amp;""</f>
        <v/>
      </c>
      <c r="BA55" s="64">
        <f>IF(OR(A55="",'Smart Search'!H13=0),"",MAX(0,BE55*BF55*MAX(0,1-BG55)))</f>
        <v/>
      </c>
      <c r="BB55" s="64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4">
        <f>IF('Smart Search'!G13=1,IFERROR(1/'Smart Search'!H13,0),0)</f>
        <v/>
      </c>
      <c r="BD55" s="64">
        <f>BB55*BC55</f>
        <v/>
      </c>
      <c r="BE55" s="64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IF(A55="","",N(INDEX(Projects[Act Mech Inst],54)))</f>
        <v/>
      </c>
      <c r="BK55" s="5">
        <f>IF(A55="","",N(INDEX(Projects[Act Elec Inst],54)))</f>
        <v/>
      </c>
      <c r="BL55" s="5">
        <f>IF(A55="","",N(INDEX(Projects[Act Project Management],54)))</f>
        <v/>
      </c>
      <c r="BM55" s="5">
        <f>IF(A55="","",N(INDEX(Projects[Act Systems Eng],54)))</f>
        <v/>
      </c>
      <c r="BN55" s="5">
        <f>IF(A55="","",N(INDEX(Projects[Act Mechanical Eng],54)))</f>
        <v/>
      </c>
      <c r="BO55" s="5">
        <f>IF(A55="","",N(INDEX(Projects[Act Structural Engineering],54)))</f>
        <v/>
      </c>
      <c r="BP55" s="5">
        <f>IF(A55="","",N(INDEX(Projects[Act Site Sup],54)))</f>
        <v/>
      </c>
      <c r="BQ55" s="5">
        <f>IF(A55="","",N(INDEX(Projects[Act Controls Commissioning],54)))</f>
        <v/>
      </c>
      <c r="BR55" s="5">
        <f>IF(A55="","",N(INDEX(Projects[Act Systems Commissioning],54)))</f>
        <v/>
      </c>
      <c r="BS55" s="5">
        <f>IF(A55="","",N(INDEX(Projects[Act Service Commissioning],54)))</f>
        <v/>
      </c>
      <c r="BT55" s="5">
        <f>IF(A55="","",N(INDEX(Projects[Act Controls Eng],54)))</f>
        <v/>
      </c>
      <c r="BU55" s="5">
        <f>IF(A55="","",N(INDEX(Projects[Act Controls Purchase],54)))</f>
        <v/>
      </c>
      <c r="BV55" s="5">
        <f>IF(A55="","",N(INDEX(Projects[Act Software Eng],54)))</f>
        <v/>
      </c>
      <c r="BW55" s="5">
        <f>IF(A55="","",N(INDEX(Projects[Act 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INDEX(Projects[Sold Value (USD M)],54)</f>
        <v/>
      </c>
      <c r="CE55" s="5" t="n"/>
      <c r="CF55" s="5">
        <f>IF(A55="","",N(INDEX(Projects[Est Mech Inst],54)))</f>
        <v/>
      </c>
      <c r="CG55" s="5">
        <f>IF(A55="","",N(INDEX(Projects[Est Elec Inst],54)))</f>
        <v/>
      </c>
      <c r="CH55" s="5">
        <f>IF(A55="","",N(INDEX(Projects[Est Project Management],54)))</f>
        <v/>
      </c>
      <c r="CI55" s="5">
        <f>IF(A55="","",N(INDEX(Projects[Est Systems Eng],54)))</f>
        <v/>
      </c>
      <c r="CJ55" s="5">
        <f>IF(A55="","",N(INDEX(Projects[Est Mechanical Eng],54)))</f>
        <v/>
      </c>
      <c r="CK55" s="5">
        <f>IF(A55="","",N(INDEX(Projects[Est Structural Engineering],54)))</f>
        <v/>
      </c>
      <c r="CL55" s="5">
        <f>IF(A55="","",N(INDEX(Projects[Est Site Sup],54)))</f>
        <v/>
      </c>
      <c r="CM55" s="5">
        <f>IF(A55="","",N(INDEX(Projects[Est Controls Commissioning],54)))</f>
        <v/>
      </c>
      <c r="CN55" s="5">
        <f>IF(A55="","",N(INDEX(Projects[Est Systems Commissioning],54)))</f>
        <v/>
      </c>
      <c r="CO55" s="5">
        <f>IF(A55="","",N(INDEX(Projects[Est Service Commissioning],54)))</f>
        <v/>
      </c>
      <c r="CP55" s="5">
        <f>IF(A55="","",N(INDEX(Projects[Est Controls Eng],54)))</f>
        <v/>
      </c>
      <c r="CQ55" s="5">
        <f>IF(A55="","",N(INDEX(Projects[Est Controls Purchase],54)))</f>
        <v/>
      </c>
      <c r="CR55" s="5">
        <f>IF(A55="","",N(INDEX(Projects[Est Software Eng],54)))</f>
        <v/>
      </c>
      <c r="CS55" s="5">
        <f>IF(A55="","",N(INDEX(Projects[Est Misc],54)))</f>
        <v/>
      </c>
      <c r="CT55" s="5">
        <f>IF(A55="","",SUM(CF55:CS55))</f>
        <v/>
      </c>
      <c r="CU55" s="5">
        <f>INDEX(Projects[Est Cost (M)],54)</f>
        <v/>
      </c>
      <c r="CV55" s="5">
        <f>INDEX(Projects[Act Cost (M)],54)</f>
        <v/>
      </c>
      <c r="CW55" s="5">
        <f>INDEX(Projects[Plan Mech Eng (wks)],54)</f>
        <v/>
      </c>
      <c r="CX55" s="5">
        <f>INDEX(Projects[Plan Controls Eng (wks)],54)</f>
        <v/>
      </c>
      <c r="CY55" s="5">
        <f>INDEX(Projects[Plan Systems Eng (wks)],54)</f>
        <v/>
      </c>
      <c r="CZ55" s="5">
        <f>INDEX(Projects[Plan Software Eng (wks)],54)</f>
        <v/>
      </c>
      <c r="DA55" s="5">
        <f>INDEX(Projects[Plan M&amp;E Installation (wks)],54)</f>
        <v/>
      </c>
      <c r="DB55" s="5">
        <f>INDEX(Projects[Plan Commissioning (wks)],54)</f>
        <v/>
      </c>
      <c r="DC55" s="5">
        <f>INDEX(Projects[Plan Total (wks)],54)</f>
        <v/>
      </c>
      <c r="DD55" s="5">
        <f>INDEX(Projects[Act Mech Eng (wks)],54)</f>
        <v/>
      </c>
      <c r="DE55" s="5">
        <f>INDEX(Projects[Act Controls Eng (wks)],54)</f>
        <v/>
      </c>
      <c r="DF55" s="5">
        <f>INDEX(Projects[Act Systems Eng (wks)],54)</f>
        <v/>
      </c>
      <c r="DG55" s="5">
        <f>INDEX(Projects[Act Software Eng (wks)],54)</f>
        <v/>
      </c>
      <c r="DH55" s="5">
        <f>INDEX(Projects[Act M&amp;E Installation (wks)],54)</f>
        <v/>
      </c>
      <c r="DI55" s="5">
        <f>INDEX(Projects[Act Commissioning (wks)],54)</f>
        <v/>
      </c>
      <c r="DJ55" s="5">
        <f>INDEX(Projects[Act Total (wks)],54)</f>
        <v/>
      </c>
    </row>
    <row r="56" ht="15" customHeight="1" s="82">
      <c r="A56" s="64">
        <f>INDEX(Projects[Project ID *],55)&amp;""</f>
        <v/>
      </c>
      <c r="B56" s="64">
        <f>INDEX(Projects[Project Name *],55)&amp;""</f>
        <v/>
      </c>
      <c r="C56" s="64">
        <f>INDEX(Projects[MS Shuttles],55)</f>
        <v/>
      </c>
      <c r="D56" s="64">
        <f>INDEX(Projects[MS Tote Locations],55)</f>
        <v/>
      </c>
      <c r="E56" s="64">
        <f>INDEX(Projects[AS Robots],55)</f>
        <v/>
      </c>
      <c r="F56" s="64">
        <f>INDEX(Projects[AS Tote Locations],55)</f>
        <v/>
      </c>
      <c r="G56" s="64">
        <f>INDEX(Projects[PS Shuttles],55)</f>
        <v/>
      </c>
      <c r="H56" s="64">
        <f>INDEX(Projects[PS Pallet Locations],55)</f>
        <v/>
      </c>
      <c r="I56" s="64">
        <f>INDEX(Projects[SRM Cranes],55)</f>
        <v/>
      </c>
      <c r="J56" s="64">
        <f>INDEX(Projects[SRM Pallet Locations],55)</f>
        <v/>
      </c>
      <c r="K56" s="64">
        <f>INDEX(Projects[Case Conv (m)],55)</f>
        <v/>
      </c>
      <c r="L56" s="64">
        <f>INDEX(Projects[Pallet Conv (m)],55)</f>
        <v/>
      </c>
      <c r="M56" s="64">
        <f>IF(N(DJ56)&gt;0,DD56,CW56)</f>
        <v/>
      </c>
      <c r="N56" s="64">
        <f>IF(N(DJ56)&gt;0,DE56,CX56)</f>
        <v/>
      </c>
      <c r="O56" s="64">
        <f>IF(N(DJ56)&gt;0,DF56,CY56)</f>
        <v/>
      </c>
      <c r="P56" s="64">
        <f>IF(N(DJ56)&gt;0,DG56,CZ56)</f>
        <v/>
      </c>
      <c r="Q56" s="64">
        <f>IF(N(DJ56)&gt;0,DH56,DA56)</f>
        <v/>
      </c>
      <c r="R56" s="64">
        <f>IF(N(DJ56)&gt;0,DI56,DB56)</f>
        <v/>
      </c>
      <c r="S56" s="64">
        <f>IF(N(DJ56)&gt;0,DJ56,DC56)</f>
        <v/>
      </c>
      <c r="T56" s="64">
        <f>INDEX(Projects[Currency],55)&amp;""</f>
        <v/>
      </c>
      <c r="U56" s="65">
        <f>INDEX(Projects[Sold Value (M)],55)</f>
        <v/>
      </c>
      <c r="V56" s="64">
        <f>IF('Smart Search'!B13=1,IFERROR(1/'Smart Search'!H13,0),0)</f>
        <v/>
      </c>
      <c r="W56" s="64">
        <f>IF('Smart Search'!B13=1,IFERROR(1/'Smart Search'!H13,0),0)</f>
        <v/>
      </c>
      <c r="X56" s="64">
        <f>IF('Smart Search'!C13=1,IFERROR(1/'Smart Search'!H13,0),0)</f>
        <v/>
      </c>
      <c r="Y56" s="64">
        <f>IF('Smart Search'!C13=1,IFERROR(1/'Smart Search'!H13,0),0)</f>
        <v/>
      </c>
      <c r="Z56" s="64">
        <f>IF('Smart Search'!D13=1,IFERROR(1/'Smart Search'!H13,0),0)</f>
        <v/>
      </c>
      <c r="AA56" s="64">
        <f>IF('Smart Search'!D13=1,IFERROR(1/'Smart Search'!H13,0),0)</f>
        <v/>
      </c>
      <c r="AB56" s="64">
        <f>IF('Smart Search'!E13=1,IFERROR(1/'Smart Search'!H13,0),0)</f>
        <v/>
      </c>
      <c r="AC56" s="64">
        <f>IF('Smart Search'!E13=1,IFERROR(1/'Smart Search'!H13,0),0)</f>
        <v/>
      </c>
      <c r="AD56" s="64">
        <f>IF('Smart Search'!F13=1,IFERROR(1/'Smart Search'!H13,0),0)</f>
        <v/>
      </c>
      <c r="AE56" s="64">
        <f>IF('Smart Search'!F13=1,IFERROR(1/'Smart Search'!H13,0),0)</f>
        <v/>
      </c>
      <c r="AF56" s="64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4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4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4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4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4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4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4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4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4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4">
        <f>AF56*V56</f>
        <v/>
      </c>
      <c r="AQ56" s="64">
        <f>AG56*W56</f>
        <v/>
      </c>
      <c r="AR56" s="64">
        <f>AH56*X56</f>
        <v/>
      </c>
      <c r="AS56" s="64">
        <f>AI56*Y56</f>
        <v/>
      </c>
      <c r="AT56" s="64">
        <f>AJ56*Z56</f>
        <v/>
      </c>
      <c r="AU56" s="64">
        <f>AK56*AA56</f>
        <v/>
      </c>
      <c r="AV56" s="64">
        <f>AL56*AB56</f>
        <v/>
      </c>
      <c r="AW56" s="64">
        <f>AM56*AC56</f>
        <v/>
      </c>
      <c r="AX56" s="64">
        <f>AN56*AD56</f>
        <v/>
      </c>
      <c r="AY56" s="64">
        <f>AO56*AE56</f>
        <v/>
      </c>
      <c r="AZ56" s="64">
        <f>INDEX(Projects[Automation Equipment],55)&amp;""</f>
        <v/>
      </c>
      <c r="BA56" s="64">
        <f>IF(OR(A56="",'Smart Search'!H13=0),"",MAX(0,BE56*BF56*MAX(0,1-BG56)))</f>
        <v/>
      </c>
      <c r="BB56" s="64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4">
        <f>IF('Smart Search'!G13=1,IFERROR(1/'Smart Search'!H13,0),0)</f>
        <v/>
      </c>
      <c r="BD56" s="64">
        <f>BB56*BC56</f>
        <v/>
      </c>
      <c r="BE56" s="64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IF(A56="","",N(INDEX(Projects[Act Mech Inst],55)))</f>
        <v/>
      </c>
      <c r="BK56" s="5">
        <f>IF(A56="","",N(INDEX(Projects[Act Elec Inst],55)))</f>
        <v/>
      </c>
      <c r="BL56" s="5">
        <f>IF(A56="","",N(INDEX(Projects[Act Project Management],55)))</f>
        <v/>
      </c>
      <c r="BM56" s="5">
        <f>IF(A56="","",N(INDEX(Projects[Act Systems Eng],55)))</f>
        <v/>
      </c>
      <c r="BN56" s="5">
        <f>IF(A56="","",N(INDEX(Projects[Act Mechanical Eng],55)))</f>
        <v/>
      </c>
      <c r="BO56" s="5">
        <f>IF(A56="","",N(INDEX(Projects[Act Structural Engineering],55)))</f>
        <v/>
      </c>
      <c r="BP56" s="5">
        <f>IF(A56="","",N(INDEX(Projects[Act Site Sup],55)))</f>
        <v/>
      </c>
      <c r="BQ56" s="5">
        <f>IF(A56="","",N(INDEX(Projects[Act Controls Commissioning],55)))</f>
        <v/>
      </c>
      <c r="BR56" s="5">
        <f>IF(A56="","",N(INDEX(Projects[Act Systems Commissioning],55)))</f>
        <v/>
      </c>
      <c r="BS56" s="5">
        <f>IF(A56="","",N(INDEX(Projects[Act Service Commissioning],55)))</f>
        <v/>
      </c>
      <c r="BT56" s="5">
        <f>IF(A56="","",N(INDEX(Projects[Act Controls Eng],55)))</f>
        <v/>
      </c>
      <c r="BU56" s="5">
        <f>IF(A56="","",N(INDEX(Projects[Act Controls Purchase],55)))</f>
        <v/>
      </c>
      <c r="BV56" s="5">
        <f>IF(A56="","",N(INDEX(Projects[Act Software Eng],55)))</f>
        <v/>
      </c>
      <c r="BW56" s="5">
        <f>IF(A56="","",N(INDEX(Projects[Act 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INDEX(Projects[Sold Value (USD M)],55)</f>
        <v/>
      </c>
      <c r="CE56" s="5" t="n"/>
      <c r="CF56" s="5">
        <f>IF(A56="","",N(INDEX(Projects[Est Mech Inst],55)))</f>
        <v/>
      </c>
      <c r="CG56" s="5">
        <f>IF(A56="","",N(INDEX(Projects[Est Elec Inst],55)))</f>
        <v/>
      </c>
      <c r="CH56" s="5">
        <f>IF(A56="","",N(INDEX(Projects[Est Project Management],55)))</f>
        <v/>
      </c>
      <c r="CI56" s="5">
        <f>IF(A56="","",N(INDEX(Projects[Est Systems Eng],55)))</f>
        <v/>
      </c>
      <c r="CJ56" s="5">
        <f>IF(A56="","",N(INDEX(Projects[Est Mechanical Eng],55)))</f>
        <v/>
      </c>
      <c r="CK56" s="5">
        <f>IF(A56="","",N(INDEX(Projects[Est Structural Engineering],55)))</f>
        <v/>
      </c>
      <c r="CL56" s="5">
        <f>IF(A56="","",N(INDEX(Projects[Est Site Sup],55)))</f>
        <v/>
      </c>
      <c r="CM56" s="5">
        <f>IF(A56="","",N(INDEX(Projects[Est Controls Commissioning],55)))</f>
        <v/>
      </c>
      <c r="CN56" s="5">
        <f>IF(A56="","",N(INDEX(Projects[Est Systems Commissioning],55)))</f>
        <v/>
      </c>
      <c r="CO56" s="5">
        <f>IF(A56="","",N(INDEX(Projects[Est Service Commissioning],55)))</f>
        <v/>
      </c>
      <c r="CP56" s="5">
        <f>IF(A56="","",N(INDEX(Projects[Est Controls Eng],55)))</f>
        <v/>
      </c>
      <c r="CQ56" s="5">
        <f>IF(A56="","",N(INDEX(Projects[Est Controls Purchase],55)))</f>
        <v/>
      </c>
      <c r="CR56" s="5">
        <f>IF(A56="","",N(INDEX(Projects[Est Software Eng],55)))</f>
        <v/>
      </c>
      <c r="CS56" s="5">
        <f>IF(A56="","",N(INDEX(Projects[Est Misc],55)))</f>
        <v/>
      </c>
      <c r="CT56" s="5">
        <f>IF(A56="","",SUM(CF56:CS56))</f>
        <v/>
      </c>
      <c r="CU56" s="5">
        <f>INDEX(Projects[Est Cost (M)],55)</f>
        <v/>
      </c>
      <c r="CV56" s="5">
        <f>INDEX(Projects[Act Cost (M)],55)</f>
        <v/>
      </c>
      <c r="CW56" s="5">
        <f>INDEX(Projects[Plan Mech Eng (wks)],55)</f>
        <v/>
      </c>
      <c r="CX56" s="5">
        <f>INDEX(Projects[Plan Controls Eng (wks)],55)</f>
        <v/>
      </c>
      <c r="CY56" s="5">
        <f>INDEX(Projects[Plan Systems Eng (wks)],55)</f>
        <v/>
      </c>
      <c r="CZ56" s="5">
        <f>INDEX(Projects[Plan Software Eng (wks)],55)</f>
        <v/>
      </c>
      <c r="DA56" s="5">
        <f>INDEX(Projects[Plan M&amp;E Installation (wks)],55)</f>
        <v/>
      </c>
      <c r="DB56" s="5">
        <f>INDEX(Projects[Plan Commissioning (wks)],55)</f>
        <v/>
      </c>
      <c r="DC56" s="5">
        <f>INDEX(Projects[Plan Total (wks)],55)</f>
        <v/>
      </c>
      <c r="DD56" s="5">
        <f>INDEX(Projects[Act Mech Eng (wks)],55)</f>
        <v/>
      </c>
      <c r="DE56" s="5">
        <f>INDEX(Projects[Act Controls Eng (wks)],55)</f>
        <v/>
      </c>
      <c r="DF56" s="5">
        <f>INDEX(Projects[Act Systems Eng (wks)],55)</f>
        <v/>
      </c>
      <c r="DG56" s="5">
        <f>INDEX(Projects[Act Software Eng (wks)],55)</f>
        <v/>
      </c>
      <c r="DH56" s="5">
        <f>INDEX(Projects[Act M&amp;E Installation (wks)],55)</f>
        <v/>
      </c>
      <c r="DI56" s="5">
        <f>INDEX(Projects[Act Commissioning (wks)],55)</f>
        <v/>
      </c>
      <c r="DJ56" s="5">
        <f>INDEX(Projects[Act Total (wks)],55)</f>
        <v/>
      </c>
    </row>
    <row r="57" ht="15" customHeight="1" s="82">
      <c r="A57" s="64">
        <f>INDEX(Projects[Project ID *],56)&amp;""</f>
        <v/>
      </c>
      <c r="B57" s="64">
        <f>INDEX(Projects[Project Name *],56)&amp;""</f>
        <v/>
      </c>
      <c r="C57" s="64">
        <f>INDEX(Projects[MS Shuttles],56)</f>
        <v/>
      </c>
      <c r="D57" s="64">
        <f>INDEX(Projects[MS Tote Locations],56)</f>
        <v/>
      </c>
      <c r="E57" s="64">
        <f>INDEX(Projects[AS Robots],56)</f>
        <v/>
      </c>
      <c r="F57" s="64">
        <f>INDEX(Projects[AS Tote Locations],56)</f>
        <v/>
      </c>
      <c r="G57" s="64">
        <f>INDEX(Projects[PS Shuttles],56)</f>
        <v/>
      </c>
      <c r="H57" s="64">
        <f>INDEX(Projects[PS Pallet Locations],56)</f>
        <v/>
      </c>
      <c r="I57" s="64">
        <f>INDEX(Projects[SRM Cranes],56)</f>
        <v/>
      </c>
      <c r="J57" s="64">
        <f>INDEX(Projects[SRM Pallet Locations],56)</f>
        <v/>
      </c>
      <c r="K57" s="64">
        <f>INDEX(Projects[Case Conv (m)],56)</f>
        <v/>
      </c>
      <c r="L57" s="64">
        <f>INDEX(Projects[Pallet Conv (m)],56)</f>
        <v/>
      </c>
      <c r="M57" s="64">
        <f>IF(N(DJ57)&gt;0,DD57,CW57)</f>
        <v/>
      </c>
      <c r="N57" s="64">
        <f>IF(N(DJ57)&gt;0,DE57,CX57)</f>
        <v/>
      </c>
      <c r="O57" s="64">
        <f>IF(N(DJ57)&gt;0,DF57,CY57)</f>
        <v/>
      </c>
      <c r="P57" s="64">
        <f>IF(N(DJ57)&gt;0,DG57,CZ57)</f>
        <v/>
      </c>
      <c r="Q57" s="64">
        <f>IF(N(DJ57)&gt;0,DH57,DA57)</f>
        <v/>
      </c>
      <c r="R57" s="64">
        <f>IF(N(DJ57)&gt;0,DI57,DB57)</f>
        <v/>
      </c>
      <c r="S57" s="64">
        <f>IF(N(DJ57)&gt;0,DJ57,DC57)</f>
        <v/>
      </c>
      <c r="T57" s="64">
        <f>INDEX(Projects[Currency],56)&amp;""</f>
        <v/>
      </c>
      <c r="U57" s="65">
        <f>INDEX(Projects[Sold Value (M)],56)</f>
        <v/>
      </c>
      <c r="V57" s="64">
        <f>IF('Smart Search'!B13=1,IFERROR(1/'Smart Search'!H13,0),0)</f>
        <v/>
      </c>
      <c r="W57" s="64">
        <f>IF('Smart Search'!B13=1,IFERROR(1/'Smart Search'!H13,0),0)</f>
        <v/>
      </c>
      <c r="X57" s="64">
        <f>IF('Smart Search'!C13=1,IFERROR(1/'Smart Search'!H13,0),0)</f>
        <v/>
      </c>
      <c r="Y57" s="64">
        <f>IF('Smart Search'!C13=1,IFERROR(1/'Smart Search'!H13,0),0)</f>
        <v/>
      </c>
      <c r="Z57" s="64">
        <f>IF('Smart Search'!D13=1,IFERROR(1/'Smart Search'!H13,0),0)</f>
        <v/>
      </c>
      <c r="AA57" s="64">
        <f>IF('Smart Search'!D13=1,IFERROR(1/'Smart Search'!H13,0),0)</f>
        <v/>
      </c>
      <c r="AB57" s="64">
        <f>IF('Smart Search'!E13=1,IFERROR(1/'Smart Search'!H13,0),0)</f>
        <v/>
      </c>
      <c r="AC57" s="64">
        <f>IF('Smart Search'!E13=1,IFERROR(1/'Smart Search'!H13,0),0)</f>
        <v/>
      </c>
      <c r="AD57" s="64">
        <f>IF('Smart Search'!F13=1,IFERROR(1/'Smart Search'!H13,0),0)</f>
        <v/>
      </c>
      <c r="AE57" s="64">
        <f>IF('Smart Search'!F13=1,IFERROR(1/'Smart Search'!H13,0),0)</f>
        <v/>
      </c>
      <c r="AF57" s="64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4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4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4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4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4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4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4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4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4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4">
        <f>AF57*V57</f>
        <v/>
      </c>
      <c r="AQ57" s="64">
        <f>AG57*W57</f>
        <v/>
      </c>
      <c r="AR57" s="64">
        <f>AH57*X57</f>
        <v/>
      </c>
      <c r="AS57" s="64">
        <f>AI57*Y57</f>
        <v/>
      </c>
      <c r="AT57" s="64">
        <f>AJ57*Z57</f>
        <v/>
      </c>
      <c r="AU57" s="64">
        <f>AK57*AA57</f>
        <v/>
      </c>
      <c r="AV57" s="64">
        <f>AL57*AB57</f>
        <v/>
      </c>
      <c r="AW57" s="64">
        <f>AM57*AC57</f>
        <v/>
      </c>
      <c r="AX57" s="64">
        <f>AN57*AD57</f>
        <v/>
      </c>
      <c r="AY57" s="64">
        <f>AO57*AE57</f>
        <v/>
      </c>
      <c r="AZ57" s="64">
        <f>INDEX(Projects[Automation Equipment],56)&amp;""</f>
        <v/>
      </c>
      <c r="BA57" s="64">
        <f>IF(OR(A57="",'Smart Search'!H13=0),"",MAX(0,BE57*BF57*MAX(0,1-BG57)))</f>
        <v/>
      </c>
      <c r="BB57" s="64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4">
        <f>IF('Smart Search'!G13=1,IFERROR(1/'Smart Search'!H13,0),0)</f>
        <v/>
      </c>
      <c r="BD57" s="64">
        <f>BB57*BC57</f>
        <v/>
      </c>
      <c r="BE57" s="64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IF(A57="","",N(INDEX(Projects[Act Mech Inst],56)))</f>
        <v/>
      </c>
      <c r="BK57" s="5">
        <f>IF(A57="","",N(INDEX(Projects[Act Elec Inst],56)))</f>
        <v/>
      </c>
      <c r="BL57" s="5">
        <f>IF(A57="","",N(INDEX(Projects[Act Project Management],56)))</f>
        <v/>
      </c>
      <c r="BM57" s="5">
        <f>IF(A57="","",N(INDEX(Projects[Act Systems Eng],56)))</f>
        <v/>
      </c>
      <c r="BN57" s="5">
        <f>IF(A57="","",N(INDEX(Projects[Act Mechanical Eng],56)))</f>
        <v/>
      </c>
      <c r="BO57" s="5">
        <f>IF(A57="","",N(INDEX(Projects[Act Structural Engineering],56)))</f>
        <v/>
      </c>
      <c r="BP57" s="5">
        <f>IF(A57="","",N(INDEX(Projects[Act Site Sup],56)))</f>
        <v/>
      </c>
      <c r="BQ57" s="5">
        <f>IF(A57="","",N(INDEX(Projects[Act Controls Commissioning],56)))</f>
        <v/>
      </c>
      <c r="BR57" s="5">
        <f>IF(A57="","",N(INDEX(Projects[Act Systems Commissioning],56)))</f>
        <v/>
      </c>
      <c r="BS57" s="5">
        <f>IF(A57="","",N(INDEX(Projects[Act Service Commissioning],56)))</f>
        <v/>
      </c>
      <c r="BT57" s="5">
        <f>IF(A57="","",N(INDEX(Projects[Act Controls Eng],56)))</f>
        <v/>
      </c>
      <c r="BU57" s="5">
        <f>IF(A57="","",N(INDEX(Projects[Act Controls Purchase],56)))</f>
        <v/>
      </c>
      <c r="BV57" s="5">
        <f>IF(A57="","",N(INDEX(Projects[Act Software Eng],56)))</f>
        <v/>
      </c>
      <c r="BW57" s="5">
        <f>IF(A57="","",N(INDEX(Projects[Act 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INDEX(Projects[Sold Value (USD M)],56)</f>
        <v/>
      </c>
      <c r="CE57" s="5" t="n"/>
      <c r="CF57" s="5">
        <f>IF(A57="","",N(INDEX(Projects[Est Mech Inst],56)))</f>
        <v/>
      </c>
      <c r="CG57" s="5">
        <f>IF(A57="","",N(INDEX(Projects[Est Elec Inst],56)))</f>
        <v/>
      </c>
      <c r="CH57" s="5">
        <f>IF(A57="","",N(INDEX(Projects[Est Project Management],56)))</f>
        <v/>
      </c>
      <c r="CI57" s="5">
        <f>IF(A57="","",N(INDEX(Projects[Est Systems Eng],56)))</f>
        <v/>
      </c>
      <c r="CJ57" s="5">
        <f>IF(A57="","",N(INDEX(Projects[Est Mechanical Eng],56)))</f>
        <v/>
      </c>
      <c r="CK57" s="5">
        <f>IF(A57="","",N(INDEX(Projects[Est Structural Engineering],56)))</f>
        <v/>
      </c>
      <c r="CL57" s="5">
        <f>IF(A57="","",N(INDEX(Projects[Est Site Sup],56)))</f>
        <v/>
      </c>
      <c r="CM57" s="5">
        <f>IF(A57="","",N(INDEX(Projects[Est Controls Commissioning],56)))</f>
        <v/>
      </c>
      <c r="CN57" s="5">
        <f>IF(A57="","",N(INDEX(Projects[Est Systems Commissioning],56)))</f>
        <v/>
      </c>
      <c r="CO57" s="5">
        <f>IF(A57="","",N(INDEX(Projects[Est Service Commissioning],56)))</f>
        <v/>
      </c>
      <c r="CP57" s="5">
        <f>IF(A57="","",N(INDEX(Projects[Est Controls Eng],56)))</f>
        <v/>
      </c>
      <c r="CQ57" s="5">
        <f>IF(A57="","",N(INDEX(Projects[Est Controls Purchase],56)))</f>
        <v/>
      </c>
      <c r="CR57" s="5">
        <f>IF(A57="","",N(INDEX(Projects[Est Software Eng],56)))</f>
        <v/>
      </c>
      <c r="CS57" s="5">
        <f>IF(A57="","",N(INDEX(Projects[Est Misc],56)))</f>
        <v/>
      </c>
      <c r="CT57" s="5">
        <f>IF(A57="","",SUM(CF57:CS57))</f>
        <v/>
      </c>
      <c r="CU57" s="5">
        <f>INDEX(Projects[Est Cost (M)],56)</f>
        <v/>
      </c>
      <c r="CV57" s="5">
        <f>INDEX(Projects[Act Cost (M)],56)</f>
        <v/>
      </c>
      <c r="CW57" s="5">
        <f>INDEX(Projects[Plan Mech Eng (wks)],56)</f>
        <v/>
      </c>
      <c r="CX57" s="5">
        <f>INDEX(Projects[Plan Controls Eng (wks)],56)</f>
        <v/>
      </c>
      <c r="CY57" s="5">
        <f>INDEX(Projects[Plan Systems Eng (wks)],56)</f>
        <v/>
      </c>
      <c r="CZ57" s="5">
        <f>INDEX(Projects[Plan Software Eng (wks)],56)</f>
        <v/>
      </c>
      <c r="DA57" s="5">
        <f>INDEX(Projects[Plan M&amp;E Installation (wks)],56)</f>
        <v/>
      </c>
      <c r="DB57" s="5">
        <f>INDEX(Projects[Plan Commissioning (wks)],56)</f>
        <v/>
      </c>
      <c r="DC57" s="5">
        <f>INDEX(Projects[Plan Total (wks)],56)</f>
        <v/>
      </c>
      <c r="DD57" s="5">
        <f>INDEX(Projects[Act Mech Eng (wks)],56)</f>
        <v/>
      </c>
      <c r="DE57" s="5">
        <f>INDEX(Projects[Act Controls Eng (wks)],56)</f>
        <v/>
      </c>
      <c r="DF57" s="5">
        <f>INDEX(Projects[Act Systems Eng (wks)],56)</f>
        <v/>
      </c>
      <c r="DG57" s="5">
        <f>INDEX(Projects[Act Software Eng (wks)],56)</f>
        <v/>
      </c>
      <c r="DH57" s="5">
        <f>INDEX(Projects[Act M&amp;E Installation (wks)],56)</f>
        <v/>
      </c>
      <c r="DI57" s="5">
        <f>INDEX(Projects[Act Commissioning (wks)],56)</f>
        <v/>
      </c>
      <c r="DJ57" s="5">
        <f>INDEX(Projects[Act Total (wks)],56)</f>
        <v/>
      </c>
    </row>
    <row r="58" ht="15" customHeight="1" s="82">
      <c r="A58" s="64">
        <f>INDEX(Projects[Project ID *],57)&amp;""</f>
        <v/>
      </c>
      <c r="B58" s="64">
        <f>INDEX(Projects[Project Name *],57)&amp;""</f>
        <v/>
      </c>
      <c r="C58" s="64">
        <f>INDEX(Projects[MS Shuttles],57)</f>
        <v/>
      </c>
      <c r="D58" s="64">
        <f>INDEX(Projects[MS Tote Locations],57)</f>
        <v/>
      </c>
      <c r="E58" s="64">
        <f>INDEX(Projects[AS Robots],57)</f>
        <v/>
      </c>
      <c r="F58" s="64">
        <f>INDEX(Projects[AS Tote Locations],57)</f>
        <v/>
      </c>
      <c r="G58" s="64">
        <f>INDEX(Projects[PS Shuttles],57)</f>
        <v/>
      </c>
      <c r="H58" s="64">
        <f>INDEX(Projects[PS Pallet Locations],57)</f>
        <v/>
      </c>
      <c r="I58" s="64">
        <f>INDEX(Projects[SRM Cranes],57)</f>
        <v/>
      </c>
      <c r="J58" s="64">
        <f>INDEX(Projects[SRM Pallet Locations],57)</f>
        <v/>
      </c>
      <c r="K58" s="64">
        <f>INDEX(Projects[Case Conv (m)],57)</f>
        <v/>
      </c>
      <c r="L58" s="64">
        <f>INDEX(Projects[Pallet Conv (m)],57)</f>
        <v/>
      </c>
      <c r="M58" s="64">
        <f>IF(N(DJ58)&gt;0,DD58,CW58)</f>
        <v/>
      </c>
      <c r="N58" s="64">
        <f>IF(N(DJ58)&gt;0,DE58,CX58)</f>
        <v/>
      </c>
      <c r="O58" s="64">
        <f>IF(N(DJ58)&gt;0,DF58,CY58)</f>
        <v/>
      </c>
      <c r="P58" s="64">
        <f>IF(N(DJ58)&gt;0,DG58,CZ58)</f>
        <v/>
      </c>
      <c r="Q58" s="64">
        <f>IF(N(DJ58)&gt;0,DH58,DA58)</f>
        <v/>
      </c>
      <c r="R58" s="64">
        <f>IF(N(DJ58)&gt;0,DI58,DB58)</f>
        <v/>
      </c>
      <c r="S58" s="64">
        <f>IF(N(DJ58)&gt;0,DJ58,DC58)</f>
        <v/>
      </c>
      <c r="T58" s="64">
        <f>INDEX(Projects[Currency],57)&amp;""</f>
        <v/>
      </c>
      <c r="U58" s="65">
        <f>INDEX(Projects[Sold Value (M)],57)</f>
        <v/>
      </c>
      <c r="V58" s="64">
        <f>IF('Smart Search'!B13=1,IFERROR(1/'Smart Search'!H13,0),0)</f>
        <v/>
      </c>
      <c r="W58" s="64">
        <f>IF('Smart Search'!B13=1,IFERROR(1/'Smart Search'!H13,0),0)</f>
        <v/>
      </c>
      <c r="X58" s="64">
        <f>IF('Smart Search'!C13=1,IFERROR(1/'Smart Search'!H13,0),0)</f>
        <v/>
      </c>
      <c r="Y58" s="64">
        <f>IF('Smart Search'!C13=1,IFERROR(1/'Smart Search'!H13,0),0)</f>
        <v/>
      </c>
      <c r="Z58" s="64">
        <f>IF('Smart Search'!D13=1,IFERROR(1/'Smart Search'!H13,0),0)</f>
        <v/>
      </c>
      <c r="AA58" s="64">
        <f>IF('Smart Search'!D13=1,IFERROR(1/'Smart Search'!H13,0),0)</f>
        <v/>
      </c>
      <c r="AB58" s="64">
        <f>IF('Smart Search'!E13=1,IFERROR(1/'Smart Search'!H13,0),0)</f>
        <v/>
      </c>
      <c r="AC58" s="64">
        <f>IF('Smart Search'!E13=1,IFERROR(1/'Smart Search'!H13,0),0)</f>
        <v/>
      </c>
      <c r="AD58" s="64">
        <f>IF('Smart Search'!F13=1,IFERROR(1/'Smart Search'!H13,0),0)</f>
        <v/>
      </c>
      <c r="AE58" s="64">
        <f>IF('Smart Search'!F13=1,IFERROR(1/'Smart Search'!H13,0),0)</f>
        <v/>
      </c>
      <c r="AF58" s="64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4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4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4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4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4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4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4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4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4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4">
        <f>AF58*V58</f>
        <v/>
      </c>
      <c r="AQ58" s="64">
        <f>AG58*W58</f>
        <v/>
      </c>
      <c r="AR58" s="64">
        <f>AH58*X58</f>
        <v/>
      </c>
      <c r="AS58" s="64">
        <f>AI58*Y58</f>
        <v/>
      </c>
      <c r="AT58" s="64">
        <f>AJ58*Z58</f>
        <v/>
      </c>
      <c r="AU58" s="64">
        <f>AK58*AA58</f>
        <v/>
      </c>
      <c r="AV58" s="64">
        <f>AL58*AB58</f>
        <v/>
      </c>
      <c r="AW58" s="64">
        <f>AM58*AC58</f>
        <v/>
      </c>
      <c r="AX58" s="64">
        <f>AN58*AD58</f>
        <v/>
      </c>
      <c r="AY58" s="64">
        <f>AO58*AE58</f>
        <v/>
      </c>
      <c r="AZ58" s="64">
        <f>INDEX(Projects[Automation Equipment],57)&amp;""</f>
        <v/>
      </c>
      <c r="BA58" s="64">
        <f>IF(OR(A58="",'Smart Search'!H13=0),"",MAX(0,BE58*BF58*MAX(0,1-BG58)))</f>
        <v/>
      </c>
      <c r="BB58" s="64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4">
        <f>IF('Smart Search'!G13=1,IFERROR(1/'Smart Search'!H13,0),0)</f>
        <v/>
      </c>
      <c r="BD58" s="64">
        <f>BB58*BC58</f>
        <v/>
      </c>
      <c r="BE58" s="64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IF(A58="","",N(INDEX(Projects[Act Mech Inst],57)))</f>
        <v/>
      </c>
      <c r="BK58" s="5">
        <f>IF(A58="","",N(INDEX(Projects[Act Elec Inst],57)))</f>
        <v/>
      </c>
      <c r="BL58" s="5">
        <f>IF(A58="","",N(INDEX(Projects[Act Project Management],57)))</f>
        <v/>
      </c>
      <c r="BM58" s="5">
        <f>IF(A58="","",N(INDEX(Projects[Act Systems Eng],57)))</f>
        <v/>
      </c>
      <c r="BN58" s="5">
        <f>IF(A58="","",N(INDEX(Projects[Act Mechanical Eng],57)))</f>
        <v/>
      </c>
      <c r="BO58" s="5">
        <f>IF(A58="","",N(INDEX(Projects[Act Structural Engineering],57)))</f>
        <v/>
      </c>
      <c r="BP58" s="5">
        <f>IF(A58="","",N(INDEX(Projects[Act Site Sup],57)))</f>
        <v/>
      </c>
      <c r="BQ58" s="5">
        <f>IF(A58="","",N(INDEX(Projects[Act Controls Commissioning],57)))</f>
        <v/>
      </c>
      <c r="BR58" s="5">
        <f>IF(A58="","",N(INDEX(Projects[Act Systems Commissioning],57)))</f>
        <v/>
      </c>
      <c r="BS58" s="5">
        <f>IF(A58="","",N(INDEX(Projects[Act Service Commissioning],57)))</f>
        <v/>
      </c>
      <c r="BT58" s="5">
        <f>IF(A58="","",N(INDEX(Projects[Act Controls Eng],57)))</f>
        <v/>
      </c>
      <c r="BU58" s="5">
        <f>IF(A58="","",N(INDEX(Projects[Act Controls Purchase],57)))</f>
        <v/>
      </c>
      <c r="BV58" s="5">
        <f>IF(A58="","",N(INDEX(Projects[Act Software Eng],57)))</f>
        <v/>
      </c>
      <c r="BW58" s="5">
        <f>IF(A58="","",N(INDEX(Projects[Act 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INDEX(Projects[Sold Value (USD M)],57)</f>
        <v/>
      </c>
      <c r="CE58" s="5" t="n"/>
      <c r="CF58" s="5">
        <f>IF(A58="","",N(INDEX(Projects[Est Mech Inst],57)))</f>
        <v/>
      </c>
      <c r="CG58" s="5">
        <f>IF(A58="","",N(INDEX(Projects[Est Elec Inst],57)))</f>
        <v/>
      </c>
      <c r="CH58" s="5">
        <f>IF(A58="","",N(INDEX(Projects[Est Project Management],57)))</f>
        <v/>
      </c>
      <c r="CI58" s="5">
        <f>IF(A58="","",N(INDEX(Projects[Est Systems Eng],57)))</f>
        <v/>
      </c>
      <c r="CJ58" s="5">
        <f>IF(A58="","",N(INDEX(Projects[Est Mechanical Eng],57)))</f>
        <v/>
      </c>
      <c r="CK58" s="5">
        <f>IF(A58="","",N(INDEX(Projects[Est Structural Engineering],57)))</f>
        <v/>
      </c>
      <c r="CL58" s="5">
        <f>IF(A58="","",N(INDEX(Projects[Est Site Sup],57)))</f>
        <v/>
      </c>
      <c r="CM58" s="5">
        <f>IF(A58="","",N(INDEX(Projects[Est Controls Commissioning],57)))</f>
        <v/>
      </c>
      <c r="CN58" s="5">
        <f>IF(A58="","",N(INDEX(Projects[Est Systems Commissioning],57)))</f>
        <v/>
      </c>
      <c r="CO58" s="5">
        <f>IF(A58="","",N(INDEX(Projects[Est Service Commissioning],57)))</f>
        <v/>
      </c>
      <c r="CP58" s="5">
        <f>IF(A58="","",N(INDEX(Projects[Est Controls Eng],57)))</f>
        <v/>
      </c>
      <c r="CQ58" s="5">
        <f>IF(A58="","",N(INDEX(Projects[Est Controls Purchase],57)))</f>
        <v/>
      </c>
      <c r="CR58" s="5">
        <f>IF(A58="","",N(INDEX(Projects[Est Software Eng],57)))</f>
        <v/>
      </c>
      <c r="CS58" s="5">
        <f>IF(A58="","",N(INDEX(Projects[Est Misc],57)))</f>
        <v/>
      </c>
      <c r="CT58" s="5">
        <f>IF(A58="","",SUM(CF58:CS58))</f>
        <v/>
      </c>
      <c r="CU58" s="5">
        <f>INDEX(Projects[Est Cost (M)],57)</f>
        <v/>
      </c>
      <c r="CV58" s="5">
        <f>INDEX(Projects[Act Cost (M)],57)</f>
        <v/>
      </c>
      <c r="CW58" s="5">
        <f>INDEX(Projects[Plan Mech Eng (wks)],57)</f>
        <v/>
      </c>
      <c r="CX58" s="5">
        <f>INDEX(Projects[Plan Controls Eng (wks)],57)</f>
        <v/>
      </c>
      <c r="CY58" s="5">
        <f>INDEX(Projects[Plan Systems Eng (wks)],57)</f>
        <v/>
      </c>
      <c r="CZ58" s="5">
        <f>INDEX(Projects[Plan Software Eng (wks)],57)</f>
        <v/>
      </c>
      <c r="DA58" s="5">
        <f>INDEX(Projects[Plan M&amp;E Installation (wks)],57)</f>
        <v/>
      </c>
      <c r="DB58" s="5">
        <f>INDEX(Projects[Plan Commissioning (wks)],57)</f>
        <v/>
      </c>
      <c r="DC58" s="5">
        <f>INDEX(Projects[Plan Total (wks)],57)</f>
        <v/>
      </c>
      <c r="DD58" s="5">
        <f>INDEX(Projects[Act Mech Eng (wks)],57)</f>
        <v/>
      </c>
      <c r="DE58" s="5">
        <f>INDEX(Projects[Act Controls Eng (wks)],57)</f>
        <v/>
      </c>
      <c r="DF58" s="5">
        <f>INDEX(Projects[Act Systems Eng (wks)],57)</f>
        <v/>
      </c>
      <c r="DG58" s="5">
        <f>INDEX(Projects[Act Software Eng (wks)],57)</f>
        <v/>
      </c>
      <c r="DH58" s="5">
        <f>INDEX(Projects[Act M&amp;E Installation (wks)],57)</f>
        <v/>
      </c>
      <c r="DI58" s="5">
        <f>INDEX(Projects[Act Commissioning (wks)],57)</f>
        <v/>
      </c>
      <c r="DJ58" s="5">
        <f>INDEX(Projects[Act Total (wks)],57)</f>
        <v/>
      </c>
    </row>
    <row r="59" ht="15" customHeight="1" s="82">
      <c r="A59" s="64">
        <f>INDEX(Projects[Project ID *],58)&amp;""</f>
        <v/>
      </c>
      <c r="B59" s="64">
        <f>INDEX(Projects[Project Name *],58)&amp;""</f>
        <v/>
      </c>
      <c r="C59" s="64">
        <f>INDEX(Projects[MS Shuttles],58)</f>
        <v/>
      </c>
      <c r="D59" s="64">
        <f>INDEX(Projects[MS Tote Locations],58)</f>
        <v/>
      </c>
      <c r="E59" s="64">
        <f>INDEX(Projects[AS Robots],58)</f>
        <v/>
      </c>
      <c r="F59" s="64">
        <f>INDEX(Projects[AS Tote Locations],58)</f>
        <v/>
      </c>
      <c r="G59" s="64">
        <f>INDEX(Projects[PS Shuttles],58)</f>
        <v/>
      </c>
      <c r="H59" s="64">
        <f>INDEX(Projects[PS Pallet Locations],58)</f>
        <v/>
      </c>
      <c r="I59" s="64">
        <f>INDEX(Projects[SRM Cranes],58)</f>
        <v/>
      </c>
      <c r="J59" s="64">
        <f>INDEX(Projects[SRM Pallet Locations],58)</f>
        <v/>
      </c>
      <c r="K59" s="64">
        <f>INDEX(Projects[Case Conv (m)],58)</f>
        <v/>
      </c>
      <c r="L59" s="64">
        <f>INDEX(Projects[Pallet Conv (m)],58)</f>
        <v/>
      </c>
      <c r="M59" s="64">
        <f>IF(N(DJ59)&gt;0,DD59,CW59)</f>
        <v/>
      </c>
      <c r="N59" s="64">
        <f>IF(N(DJ59)&gt;0,DE59,CX59)</f>
        <v/>
      </c>
      <c r="O59" s="64">
        <f>IF(N(DJ59)&gt;0,DF59,CY59)</f>
        <v/>
      </c>
      <c r="P59" s="64">
        <f>IF(N(DJ59)&gt;0,DG59,CZ59)</f>
        <v/>
      </c>
      <c r="Q59" s="64">
        <f>IF(N(DJ59)&gt;0,DH59,DA59)</f>
        <v/>
      </c>
      <c r="R59" s="64">
        <f>IF(N(DJ59)&gt;0,DI59,DB59)</f>
        <v/>
      </c>
      <c r="S59" s="64">
        <f>IF(N(DJ59)&gt;0,DJ59,DC59)</f>
        <v/>
      </c>
      <c r="T59" s="64">
        <f>INDEX(Projects[Currency],58)&amp;""</f>
        <v/>
      </c>
      <c r="U59" s="65">
        <f>INDEX(Projects[Sold Value (M)],58)</f>
        <v/>
      </c>
      <c r="V59" s="64">
        <f>IF('Smart Search'!B13=1,IFERROR(1/'Smart Search'!H13,0),0)</f>
        <v/>
      </c>
      <c r="W59" s="64">
        <f>IF('Smart Search'!B13=1,IFERROR(1/'Smart Search'!H13,0),0)</f>
        <v/>
      </c>
      <c r="X59" s="64">
        <f>IF('Smart Search'!C13=1,IFERROR(1/'Smart Search'!H13,0),0)</f>
        <v/>
      </c>
      <c r="Y59" s="64">
        <f>IF('Smart Search'!C13=1,IFERROR(1/'Smart Search'!H13,0),0)</f>
        <v/>
      </c>
      <c r="Z59" s="64">
        <f>IF('Smart Search'!D13=1,IFERROR(1/'Smart Search'!H13,0),0)</f>
        <v/>
      </c>
      <c r="AA59" s="64">
        <f>IF('Smart Search'!D13=1,IFERROR(1/'Smart Search'!H13,0),0)</f>
        <v/>
      </c>
      <c r="AB59" s="64">
        <f>IF('Smart Search'!E13=1,IFERROR(1/'Smart Search'!H13,0),0)</f>
        <v/>
      </c>
      <c r="AC59" s="64">
        <f>IF('Smart Search'!E13=1,IFERROR(1/'Smart Search'!H13,0),0)</f>
        <v/>
      </c>
      <c r="AD59" s="64">
        <f>IF('Smart Search'!F13=1,IFERROR(1/'Smart Search'!H13,0),0)</f>
        <v/>
      </c>
      <c r="AE59" s="64">
        <f>IF('Smart Search'!F13=1,IFERROR(1/'Smart Search'!H13,0),0)</f>
        <v/>
      </c>
      <c r="AF59" s="64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4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4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4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4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4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4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4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4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4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4">
        <f>AF59*V59</f>
        <v/>
      </c>
      <c r="AQ59" s="64">
        <f>AG59*W59</f>
        <v/>
      </c>
      <c r="AR59" s="64">
        <f>AH59*X59</f>
        <v/>
      </c>
      <c r="AS59" s="64">
        <f>AI59*Y59</f>
        <v/>
      </c>
      <c r="AT59" s="64">
        <f>AJ59*Z59</f>
        <v/>
      </c>
      <c r="AU59" s="64">
        <f>AK59*AA59</f>
        <v/>
      </c>
      <c r="AV59" s="64">
        <f>AL59*AB59</f>
        <v/>
      </c>
      <c r="AW59" s="64">
        <f>AM59*AC59</f>
        <v/>
      </c>
      <c r="AX59" s="64">
        <f>AN59*AD59</f>
        <v/>
      </c>
      <c r="AY59" s="64">
        <f>AO59*AE59</f>
        <v/>
      </c>
      <c r="AZ59" s="64">
        <f>INDEX(Projects[Automation Equipment],58)&amp;""</f>
        <v/>
      </c>
      <c r="BA59" s="64">
        <f>IF(OR(A59="",'Smart Search'!H13=0),"",MAX(0,BE59*BF59*MAX(0,1-BG59)))</f>
        <v/>
      </c>
      <c r="BB59" s="64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4">
        <f>IF('Smart Search'!G13=1,IFERROR(1/'Smart Search'!H13,0),0)</f>
        <v/>
      </c>
      <c r="BD59" s="64">
        <f>BB59*BC59</f>
        <v/>
      </c>
      <c r="BE59" s="64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IF(A59="","",N(INDEX(Projects[Act Mech Inst],58)))</f>
        <v/>
      </c>
      <c r="BK59" s="5">
        <f>IF(A59="","",N(INDEX(Projects[Act Elec Inst],58)))</f>
        <v/>
      </c>
      <c r="BL59" s="5">
        <f>IF(A59="","",N(INDEX(Projects[Act Project Management],58)))</f>
        <v/>
      </c>
      <c r="BM59" s="5">
        <f>IF(A59="","",N(INDEX(Projects[Act Systems Eng],58)))</f>
        <v/>
      </c>
      <c r="BN59" s="5">
        <f>IF(A59="","",N(INDEX(Projects[Act Mechanical Eng],58)))</f>
        <v/>
      </c>
      <c r="BO59" s="5">
        <f>IF(A59="","",N(INDEX(Projects[Act Structural Engineering],58)))</f>
        <v/>
      </c>
      <c r="BP59" s="5">
        <f>IF(A59="","",N(INDEX(Projects[Act Site Sup],58)))</f>
        <v/>
      </c>
      <c r="BQ59" s="5">
        <f>IF(A59="","",N(INDEX(Projects[Act Controls Commissioning],58)))</f>
        <v/>
      </c>
      <c r="BR59" s="5">
        <f>IF(A59="","",N(INDEX(Projects[Act Systems Commissioning],58)))</f>
        <v/>
      </c>
      <c r="BS59" s="5">
        <f>IF(A59="","",N(INDEX(Projects[Act Service Commissioning],58)))</f>
        <v/>
      </c>
      <c r="BT59" s="5">
        <f>IF(A59="","",N(INDEX(Projects[Act Controls Eng],58)))</f>
        <v/>
      </c>
      <c r="BU59" s="5">
        <f>IF(A59="","",N(INDEX(Projects[Act Controls Purchase],58)))</f>
        <v/>
      </c>
      <c r="BV59" s="5">
        <f>IF(A59="","",N(INDEX(Projects[Act Software Eng],58)))</f>
        <v/>
      </c>
      <c r="BW59" s="5">
        <f>IF(A59="","",N(INDEX(Projects[Act 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INDEX(Projects[Sold Value (USD M)],58)</f>
        <v/>
      </c>
      <c r="CE59" s="5" t="n"/>
      <c r="CF59" s="5">
        <f>IF(A59="","",N(INDEX(Projects[Est Mech Inst],58)))</f>
        <v/>
      </c>
      <c r="CG59" s="5">
        <f>IF(A59="","",N(INDEX(Projects[Est Elec Inst],58)))</f>
        <v/>
      </c>
      <c r="CH59" s="5">
        <f>IF(A59="","",N(INDEX(Projects[Est Project Management],58)))</f>
        <v/>
      </c>
      <c r="CI59" s="5">
        <f>IF(A59="","",N(INDEX(Projects[Est Systems Eng],58)))</f>
        <v/>
      </c>
      <c r="CJ59" s="5">
        <f>IF(A59="","",N(INDEX(Projects[Est Mechanical Eng],58)))</f>
        <v/>
      </c>
      <c r="CK59" s="5">
        <f>IF(A59="","",N(INDEX(Projects[Est Structural Engineering],58)))</f>
        <v/>
      </c>
      <c r="CL59" s="5">
        <f>IF(A59="","",N(INDEX(Projects[Est Site Sup],58)))</f>
        <v/>
      </c>
      <c r="CM59" s="5">
        <f>IF(A59="","",N(INDEX(Projects[Est Controls Commissioning],58)))</f>
        <v/>
      </c>
      <c r="CN59" s="5">
        <f>IF(A59="","",N(INDEX(Projects[Est Systems Commissioning],58)))</f>
        <v/>
      </c>
      <c r="CO59" s="5">
        <f>IF(A59="","",N(INDEX(Projects[Est Service Commissioning],58)))</f>
        <v/>
      </c>
      <c r="CP59" s="5">
        <f>IF(A59="","",N(INDEX(Projects[Est Controls Eng],58)))</f>
        <v/>
      </c>
      <c r="CQ59" s="5">
        <f>IF(A59="","",N(INDEX(Projects[Est Controls Purchase],58)))</f>
        <v/>
      </c>
      <c r="CR59" s="5">
        <f>IF(A59="","",N(INDEX(Projects[Est Software Eng],58)))</f>
        <v/>
      </c>
      <c r="CS59" s="5">
        <f>IF(A59="","",N(INDEX(Projects[Est Misc],58)))</f>
        <v/>
      </c>
      <c r="CT59" s="5">
        <f>IF(A59="","",SUM(CF59:CS59))</f>
        <v/>
      </c>
      <c r="CU59" s="5">
        <f>INDEX(Projects[Est Cost (M)],58)</f>
        <v/>
      </c>
      <c r="CV59" s="5">
        <f>INDEX(Projects[Act Cost (M)],58)</f>
        <v/>
      </c>
      <c r="CW59" s="5">
        <f>INDEX(Projects[Plan Mech Eng (wks)],58)</f>
        <v/>
      </c>
      <c r="CX59" s="5">
        <f>INDEX(Projects[Plan Controls Eng (wks)],58)</f>
        <v/>
      </c>
      <c r="CY59" s="5">
        <f>INDEX(Projects[Plan Systems Eng (wks)],58)</f>
        <v/>
      </c>
      <c r="CZ59" s="5">
        <f>INDEX(Projects[Plan Software Eng (wks)],58)</f>
        <v/>
      </c>
      <c r="DA59" s="5">
        <f>INDEX(Projects[Plan M&amp;E Installation (wks)],58)</f>
        <v/>
      </c>
      <c r="DB59" s="5">
        <f>INDEX(Projects[Plan Commissioning (wks)],58)</f>
        <v/>
      </c>
      <c r="DC59" s="5">
        <f>INDEX(Projects[Plan Total (wks)],58)</f>
        <v/>
      </c>
      <c r="DD59" s="5">
        <f>INDEX(Projects[Act Mech Eng (wks)],58)</f>
        <v/>
      </c>
      <c r="DE59" s="5">
        <f>INDEX(Projects[Act Controls Eng (wks)],58)</f>
        <v/>
      </c>
      <c r="DF59" s="5">
        <f>INDEX(Projects[Act Systems Eng (wks)],58)</f>
        <v/>
      </c>
      <c r="DG59" s="5">
        <f>INDEX(Projects[Act Software Eng (wks)],58)</f>
        <v/>
      </c>
      <c r="DH59" s="5">
        <f>INDEX(Projects[Act M&amp;E Installation (wks)],58)</f>
        <v/>
      </c>
      <c r="DI59" s="5">
        <f>INDEX(Projects[Act Commissioning (wks)],58)</f>
        <v/>
      </c>
      <c r="DJ59" s="5">
        <f>INDEX(Projects[Act Total (wks)],58)</f>
        <v/>
      </c>
    </row>
    <row r="60" ht="15" customHeight="1" s="82">
      <c r="A60" s="64">
        <f>INDEX(Projects[Project ID *],59)&amp;""</f>
        <v/>
      </c>
      <c r="B60" s="64">
        <f>INDEX(Projects[Project Name *],59)&amp;""</f>
        <v/>
      </c>
      <c r="C60" s="64">
        <f>INDEX(Projects[MS Shuttles],59)</f>
        <v/>
      </c>
      <c r="D60" s="64">
        <f>INDEX(Projects[MS Tote Locations],59)</f>
        <v/>
      </c>
      <c r="E60" s="64">
        <f>INDEX(Projects[AS Robots],59)</f>
        <v/>
      </c>
      <c r="F60" s="64">
        <f>INDEX(Projects[AS Tote Locations],59)</f>
        <v/>
      </c>
      <c r="G60" s="64">
        <f>INDEX(Projects[PS Shuttles],59)</f>
        <v/>
      </c>
      <c r="H60" s="64">
        <f>INDEX(Projects[PS Pallet Locations],59)</f>
        <v/>
      </c>
      <c r="I60" s="64">
        <f>INDEX(Projects[SRM Cranes],59)</f>
        <v/>
      </c>
      <c r="J60" s="64">
        <f>INDEX(Projects[SRM Pallet Locations],59)</f>
        <v/>
      </c>
      <c r="K60" s="64">
        <f>INDEX(Projects[Case Conv (m)],59)</f>
        <v/>
      </c>
      <c r="L60" s="64">
        <f>INDEX(Projects[Pallet Conv (m)],59)</f>
        <v/>
      </c>
      <c r="M60" s="64">
        <f>IF(N(DJ60)&gt;0,DD60,CW60)</f>
        <v/>
      </c>
      <c r="N60" s="64">
        <f>IF(N(DJ60)&gt;0,DE60,CX60)</f>
        <v/>
      </c>
      <c r="O60" s="64">
        <f>IF(N(DJ60)&gt;0,DF60,CY60)</f>
        <v/>
      </c>
      <c r="P60" s="64">
        <f>IF(N(DJ60)&gt;0,DG60,CZ60)</f>
        <v/>
      </c>
      <c r="Q60" s="64">
        <f>IF(N(DJ60)&gt;0,DH60,DA60)</f>
        <v/>
      </c>
      <c r="R60" s="64">
        <f>IF(N(DJ60)&gt;0,DI60,DB60)</f>
        <v/>
      </c>
      <c r="S60" s="64">
        <f>IF(N(DJ60)&gt;0,DJ60,DC60)</f>
        <v/>
      </c>
      <c r="T60" s="64">
        <f>INDEX(Projects[Currency],59)&amp;""</f>
        <v/>
      </c>
      <c r="U60" s="65">
        <f>INDEX(Projects[Sold Value (M)],59)</f>
        <v/>
      </c>
      <c r="V60" s="64">
        <f>IF('Smart Search'!B13=1,IFERROR(1/'Smart Search'!H13,0),0)</f>
        <v/>
      </c>
      <c r="W60" s="64">
        <f>IF('Smart Search'!B13=1,IFERROR(1/'Smart Search'!H13,0),0)</f>
        <v/>
      </c>
      <c r="X60" s="64">
        <f>IF('Smart Search'!C13=1,IFERROR(1/'Smart Search'!H13,0),0)</f>
        <v/>
      </c>
      <c r="Y60" s="64">
        <f>IF('Smart Search'!C13=1,IFERROR(1/'Smart Search'!H13,0),0)</f>
        <v/>
      </c>
      <c r="Z60" s="64">
        <f>IF('Smart Search'!D13=1,IFERROR(1/'Smart Search'!H13,0),0)</f>
        <v/>
      </c>
      <c r="AA60" s="64">
        <f>IF('Smart Search'!D13=1,IFERROR(1/'Smart Search'!H13,0),0)</f>
        <v/>
      </c>
      <c r="AB60" s="64">
        <f>IF('Smart Search'!E13=1,IFERROR(1/'Smart Search'!H13,0),0)</f>
        <v/>
      </c>
      <c r="AC60" s="64">
        <f>IF('Smart Search'!E13=1,IFERROR(1/'Smart Search'!H13,0),0)</f>
        <v/>
      </c>
      <c r="AD60" s="64">
        <f>IF('Smart Search'!F13=1,IFERROR(1/'Smart Search'!H13,0),0)</f>
        <v/>
      </c>
      <c r="AE60" s="64">
        <f>IF('Smart Search'!F13=1,IFERROR(1/'Smart Search'!H13,0),0)</f>
        <v/>
      </c>
      <c r="AF60" s="64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4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4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4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4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4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4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4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4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4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4">
        <f>AF60*V60</f>
        <v/>
      </c>
      <c r="AQ60" s="64">
        <f>AG60*W60</f>
        <v/>
      </c>
      <c r="AR60" s="64">
        <f>AH60*X60</f>
        <v/>
      </c>
      <c r="AS60" s="64">
        <f>AI60*Y60</f>
        <v/>
      </c>
      <c r="AT60" s="64">
        <f>AJ60*Z60</f>
        <v/>
      </c>
      <c r="AU60" s="64">
        <f>AK60*AA60</f>
        <v/>
      </c>
      <c r="AV60" s="64">
        <f>AL60*AB60</f>
        <v/>
      </c>
      <c r="AW60" s="64">
        <f>AM60*AC60</f>
        <v/>
      </c>
      <c r="AX60" s="64">
        <f>AN60*AD60</f>
        <v/>
      </c>
      <c r="AY60" s="64">
        <f>AO60*AE60</f>
        <v/>
      </c>
      <c r="AZ60" s="64">
        <f>INDEX(Projects[Automation Equipment],59)&amp;""</f>
        <v/>
      </c>
      <c r="BA60" s="64">
        <f>IF(OR(A60="",'Smart Search'!H13=0),"",MAX(0,BE60*BF60*MAX(0,1-BG60)))</f>
        <v/>
      </c>
      <c r="BB60" s="64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4">
        <f>IF('Smart Search'!G13=1,IFERROR(1/'Smart Search'!H13,0),0)</f>
        <v/>
      </c>
      <c r="BD60" s="64">
        <f>BB60*BC60</f>
        <v/>
      </c>
      <c r="BE60" s="64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IF(A60="","",N(INDEX(Projects[Act Mech Inst],59)))</f>
        <v/>
      </c>
      <c r="BK60" s="5">
        <f>IF(A60="","",N(INDEX(Projects[Act Elec Inst],59)))</f>
        <v/>
      </c>
      <c r="BL60" s="5">
        <f>IF(A60="","",N(INDEX(Projects[Act Project Management],59)))</f>
        <v/>
      </c>
      <c r="BM60" s="5">
        <f>IF(A60="","",N(INDEX(Projects[Act Systems Eng],59)))</f>
        <v/>
      </c>
      <c r="BN60" s="5">
        <f>IF(A60="","",N(INDEX(Projects[Act Mechanical Eng],59)))</f>
        <v/>
      </c>
      <c r="BO60" s="5">
        <f>IF(A60="","",N(INDEX(Projects[Act Structural Engineering],59)))</f>
        <v/>
      </c>
      <c r="BP60" s="5">
        <f>IF(A60="","",N(INDEX(Projects[Act Site Sup],59)))</f>
        <v/>
      </c>
      <c r="BQ60" s="5">
        <f>IF(A60="","",N(INDEX(Projects[Act Controls Commissioning],59)))</f>
        <v/>
      </c>
      <c r="BR60" s="5">
        <f>IF(A60="","",N(INDEX(Projects[Act Systems Commissioning],59)))</f>
        <v/>
      </c>
      <c r="BS60" s="5">
        <f>IF(A60="","",N(INDEX(Projects[Act Service Commissioning],59)))</f>
        <v/>
      </c>
      <c r="BT60" s="5">
        <f>IF(A60="","",N(INDEX(Projects[Act Controls Eng],59)))</f>
        <v/>
      </c>
      <c r="BU60" s="5">
        <f>IF(A60="","",N(INDEX(Projects[Act Controls Purchase],59)))</f>
        <v/>
      </c>
      <c r="BV60" s="5">
        <f>IF(A60="","",N(INDEX(Projects[Act Software Eng],59)))</f>
        <v/>
      </c>
      <c r="BW60" s="5">
        <f>IF(A60="","",N(INDEX(Projects[Act 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INDEX(Projects[Sold Value (USD M)],59)</f>
        <v/>
      </c>
      <c r="CE60" s="5" t="n"/>
      <c r="CF60" s="5">
        <f>IF(A60="","",N(INDEX(Projects[Est Mech Inst],59)))</f>
        <v/>
      </c>
      <c r="CG60" s="5">
        <f>IF(A60="","",N(INDEX(Projects[Est Elec Inst],59)))</f>
        <v/>
      </c>
      <c r="CH60" s="5">
        <f>IF(A60="","",N(INDEX(Projects[Est Project Management],59)))</f>
        <v/>
      </c>
      <c r="CI60" s="5">
        <f>IF(A60="","",N(INDEX(Projects[Est Systems Eng],59)))</f>
        <v/>
      </c>
      <c r="CJ60" s="5">
        <f>IF(A60="","",N(INDEX(Projects[Est Mechanical Eng],59)))</f>
        <v/>
      </c>
      <c r="CK60" s="5">
        <f>IF(A60="","",N(INDEX(Projects[Est Structural Engineering],59)))</f>
        <v/>
      </c>
      <c r="CL60" s="5">
        <f>IF(A60="","",N(INDEX(Projects[Est Site Sup],59)))</f>
        <v/>
      </c>
      <c r="CM60" s="5">
        <f>IF(A60="","",N(INDEX(Projects[Est Controls Commissioning],59)))</f>
        <v/>
      </c>
      <c r="CN60" s="5">
        <f>IF(A60="","",N(INDEX(Projects[Est Systems Commissioning],59)))</f>
        <v/>
      </c>
      <c r="CO60" s="5">
        <f>IF(A60="","",N(INDEX(Projects[Est Service Commissioning],59)))</f>
        <v/>
      </c>
      <c r="CP60" s="5">
        <f>IF(A60="","",N(INDEX(Projects[Est Controls Eng],59)))</f>
        <v/>
      </c>
      <c r="CQ60" s="5">
        <f>IF(A60="","",N(INDEX(Projects[Est Controls Purchase],59)))</f>
        <v/>
      </c>
      <c r="CR60" s="5">
        <f>IF(A60="","",N(INDEX(Projects[Est Software Eng],59)))</f>
        <v/>
      </c>
      <c r="CS60" s="5">
        <f>IF(A60="","",N(INDEX(Projects[Est Misc],59)))</f>
        <v/>
      </c>
      <c r="CT60" s="5">
        <f>IF(A60="","",SUM(CF60:CS60))</f>
        <v/>
      </c>
      <c r="CU60" s="5">
        <f>INDEX(Projects[Est Cost (M)],59)</f>
        <v/>
      </c>
      <c r="CV60" s="5">
        <f>INDEX(Projects[Act Cost (M)],59)</f>
        <v/>
      </c>
      <c r="CW60" s="5">
        <f>INDEX(Projects[Plan Mech Eng (wks)],59)</f>
        <v/>
      </c>
      <c r="CX60" s="5">
        <f>INDEX(Projects[Plan Controls Eng (wks)],59)</f>
        <v/>
      </c>
      <c r="CY60" s="5">
        <f>INDEX(Projects[Plan Systems Eng (wks)],59)</f>
        <v/>
      </c>
      <c r="CZ60" s="5">
        <f>INDEX(Projects[Plan Software Eng (wks)],59)</f>
        <v/>
      </c>
      <c r="DA60" s="5">
        <f>INDEX(Projects[Plan M&amp;E Installation (wks)],59)</f>
        <v/>
      </c>
      <c r="DB60" s="5">
        <f>INDEX(Projects[Plan Commissioning (wks)],59)</f>
        <v/>
      </c>
      <c r="DC60" s="5">
        <f>INDEX(Projects[Plan Total (wks)],59)</f>
        <v/>
      </c>
      <c r="DD60" s="5">
        <f>INDEX(Projects[Act Mech Eng (wks)],59)</f>
        <v/>
      </c>
      <c r="DE60" s="5">
        <f>INDEX(Projects[Act Controls Eng (wks)],59)</f>
        <v/>
      </c>
      <c r="DF60" s="5">
        <f>INDEX(Projects[Act Systems Eng (wks)],59)</f>
        <v/>
      </c>
      <c r="DG60" s="5">
        <f>INDEX(Projects[Act Software Eng (wks)],59)</f>
        <v/>
      </c>
      <c r="DH60" s="5">
        <f>INDEX(Projects[Act M&amp;E Installation (wks)],59)</f>
        <v/>
      </c>
      <c r="DI60" s="5">
        <f>INDEX(Projects[Act Commissioning (wks)],59)</f>
        <v/>
      </c>
      <c r="DJ60" s="5">
        <f>INDEX(Projects[Act Total (wks)],59)</f>
        <v/>
      </c>
    </row>
    <row r="61" ht="15" customHeight="1" s="82">
      <c r="A61" s="64">
        <f>INDEX(Projects[Project ID *],60)&amp;""</f>
        <v/>
      </c>
      <c r="B61" s="64">
        <f>INDEX(Projects[Project Name *],60)&amp;""</f>
        <v/>
      </c>
      <c r="C61" s="64">
        <f>INDEX(Projects[MS Shuttles],60)</f>
        <v/>
      </c>
      <c r="D61" s="64">
        <f>INDEX(Projects[MS Tote Locations],60)</f>
        <v/>
      </c>
      <c r="E61" s="64">
        <f>INDEX(Projects[AS Robots],60)</f>
        <v/>
      </c>
      <c r="F61" s="64">
        <f>INDEX(Projects[AS Tote Locations],60)</f>
        <v/>
      </c>
      <c r="G61" s="64">
        <f>INDEX(Projects[PS Shuttles],60)</f>
        <v/>
      </c>
      <c r="H61" s="64">
        <f>INDEX(Projects[PS Pallet Locations],60)</f>
        <v/>
      </c>
      <c r="I61" s="64">
        <f>INDEX(Projects[SRM Cranes],60)</f>
        <v/>
      </c>
      <c r="J61" s="64">
        <f>INDEX(Projects[SRM Pallet Locations],60)</f>
        <v/>
      </c>
      <c r="K61" s="64">
        <f>INDEX(Projects[Case Conv (m)],60)</f>
        <v/>
      </c>
      <c r="L61" s="64">
        <f>INDEX(Projects[Pallet Conv (m)],60)</f>
        <v/>
      </c>
      <c r="M61" s="64">
        <f>IF(N(DJ61)&gt;0,DD61,CW61)</f>
        <v/>
      </c>
      <c r="N61" s="64">
        <f>IF(N(DJ61)&gt;0,DE61,CX61)</f>
        <v/>
      </c>
      <c r="O61" s="64">
        <f>IF(N(DJ61)&gt;0,DF61,CY61)</f>
        <v/>
      </c>
      <c r="P61" s="64">
        <f>IF(N(DJ61)&gt;0,DG61,CZ61)</f>
        <v/>
      </c>
      <c r="Q61" s="64">
        <f>IF(N(DJ61)&gt;0,DH61,DA61)</f>
        <v/>
      </c>
      <c r="R61" s="64">
        <f>IF(N(DJ61)&gt;0,DI61,DB61)</f>
        <v/>
      </c>
      <c r="S61" s="64">
        <f>IF(N(DJ61)&gt;0,DJ61,DC61)</f>
        <v/>
      </c>
      <c r="T61" s="64">
        <f>INDEX(Projects[Currency],60)&amp;""</f>
        <v/>
      </c>
      <c r="U61" s="65">
        <f>INDEX(Projects[Sold Value (M)],60)</f>
        <v/>
      </c>
      <c r="V61" s="64">
        <f>IF('Smart Search'!B13=1,IFERROR(1/'Smart Search'!H13,0),0)</f>
        <v/>
      </c>
      <c r="W61" s="64">
        <f>IF('Smart Search'!B13=1,IFERROR(1/'Smart Search'!H13,0),0)</f>
        <v/>
      </c>
      <c r="X61" s="64">
        <f>IF('Smart Search'!C13=1,IFERROR(1/'Smart Search'!H13,0),0)</f>
        <v/>
      </c>
      <c r="Y61" s="64">
        <f>IF('Smart Search'!C13=1,IFERROR(1/'Smart Search'!H13,0),0)</f>
        <v/>
      </c>
      <c r="Z61" s="64">
        <f>IF('Smart Search'!D13=1,IFERROR(1/'Smart Search'!H13,0),0)</f>
        <v/>
      </c>
      <c r="AA61" s="64">
        <f>IF('Smart Search'!D13=1,IFERROR(1/'Smart Search'!H13,0),0)</f>
        <v/>
      </c>
      <c r="AB61" s="64">
        <f>IF('Smart Search'!E13=1,IFERROR(1/'Smart Search'!H13,0),0)</f>
        <v/>
      </c>
      <c r="AC61" s="64">
        <f>IF('Smart Search'!E13=1,IFERROR(1/'Smart Search'!H13,0),0)</f>
        <v/>
      </c>
      <c r="AD61" s="64">
        <f>IF('Smart Search'!F13=1,IFERROR(1/'Smart Search'!H13,0),0)</f>
        <v/>
      </c>
      <c r="AE61" s="64">
        <f>IF('Smart Search'!F13=1,IFERROR(1/'Smart Search'!H13,0),0)</f>
        <v/>
      </c>
      <c r="AF61" s="64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4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4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4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4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4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4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4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4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4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4">
        <f>AF61*V61</f>
        <v/>
      </c>
      <c r="AQ61" s="64">
        <f>AG61*W61</f>
        <v/>
      </c>
      <c r="AR61" s="64">
        <f>AH61*X61</f>
        <v/>
      </c>
      <c r="AS61" s="64">
        <f>AI61*Y61</f>
        <v/>
      </c>
      <c r="AT61" s="64">
        <f>AJ61*Z61</f>
        <v/>
      </c>
      <c r="AU61" s="64">
        <f>AK61*AA61</f>
        <v/>
      </c>
      <c r="AV61" s="64">
        <f>AL61*AB61</f>
        <v/>
      </c>
      <c r="AW61" s="64">
        <f>AM61*AC61</f>
        <v/>
      </c>
      <c r="AX61" s="64">
        <f>AN61*AD61</f>
        <v/>
      </c>
      <c r="AY61" s="64">
        <f>AO61*AE61</f>
        <v/>
      </c>
      <c r="AZ61" s="64">
        <f>INDEX(Projects[Automation Equipment],60)&amp;""</f>
        <v/>
      </c>
      <c r="BA61" s="64">
        <f>IF(OR(A61="",'Smart Search'!H13=0),"",MAX(0,BE61*BF61*MAX(0,1-BG61)))</f>
        <v/>
      </c>
      <c r="BB61" s="64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4">
        <f>IF('Smart Search'!G13=1,IFERROR(1/'Smart Search'!H13,0),0)</f>
        <v/>
      </c>
      <c r="BD61" s="64">
        <f>BB61*BC61</f>
        <v/>
      </c>
      <c r="BE61" s="64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IF(A61="","",N(INDEX(Projects[Act Mech Inst],60)))</f>
        <v/>
      </c>
      <c r="BK61" s="5">
        <f>IF(A61="","",N(INDEX(Projects[Act Elec Inst],60)))</f>
        <v/>
      </c>
      <c r="BL61" s="5">
        <f>IF(A61="","",N(INDEX(Projects[Act Project Management],60)))</f>
        <v/>
      </c>
      <c r="BM61" s="5">
        <f>IF(A61="","",N(INDEX(Projects[Act Systems Eng],60)))</f>
        <v/>
      </c>
      <c r="BN61" s="5">
        <f>IF(A61="","",N(INDEX(Projects[Act Mechanical Eng],60)))</f>
        <v/>
      </c>
      <c r="BO61" s="5">
        <f>IF(A61="","",N(INDEX(Projects[Act Structural Engineering],60)))</f>
        <v/>
      </c>
      <c r="BP61" s="5">
        <f>IF(A61="","",N(INDEX(Projects[Act Site Sup],60)))</f>
        <v/>
      </c>
      <c r="BQ61" s="5">
        <f>IF(A61="","",N(INDEX(Projects[Act Controls Commissioning],60)))</f>
        <v/>
      </c>
      <c r="BR61" s="5">
        <f>IF(A61="","",N(INDEX(Projects[Act Systems Commissioning],60)))</f>
        <v/>
      </c>
      <c r="BS61" s="5">
        <f>IF(A61="","",N(INDEX(Projects[Act Service Commissioning],60)))</f>
        <v/>
      </c>
      <c r="BT61" s="5">
        <f>IF(A61="","",N(INDEX(Projects[Act Controls Eng],60)))</f>
        <v/>
      </c>
      <c r="BU61" s="5">
        <f>IF(A61="","",N(INDEX(Projects[Act Controls Purchase],60)))</f>
        <v/>
      </c>
      <c r="BV61" s="5">
        <f>IF(A61="","",N(INDEX(Projects[Act Software Eng],60)))</f>
        <v/>
      </c>
      <c r="BW61" s="5">
        <f>IF(A61="","",N(INDEX(Projects[Act 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INDEX(Projects[Sold Value (USD M)],60)</f>
        <v/>
      </c>
      <c r="CE61" s="5" t="n"/>
      <c r="CF61" s="5">
        <f>IF(A61="","",N(INDEX(Projects[Est Mech Inst],60)))</f>
        <v/>
      </c>
      <c r="CG61" s="5">
        <f>IF(A61="","",N(INDEX(Projects[Est Elec Inst],60)))</f>
        <v/>
      </c>
      <c r="CH61" s="5">
        <f>IF(A61="","",N(INDEX(Projects[Est Project Management],60)))</f>
        <v/>
      </c>
      <c r="CI61" s="5">
        <f>IF(A61="","",N(INDEX(Projects[Est Systems Eng],60)))</f>
        <v/>
      </c>
      <c r="CJ61" s="5">
        <f>IF(A61="","",N(INDEX(Projects[Est Mechanical Eng],60)))</f>
        <v/>
      </c>
      <c r="CK61" s="5">
        <f>IF(A61="","",N(INDEX(Projects[Est Structural Engineering],60)))</f>
        <v/>
      </c>
      <c r="CL61" s="5">
        <f>IF(A61="","",N(INDEX(Projects[Est Site Sup],60)))</f>
        <v/>
      </c>
      <c r="CM61" s="5">
        <f>IF(A61="","",N(INDEX(Projects[Est Controls Commissioning],60)))</f>
        <v/>
      </c>
      <c r="CN61" s="5">
        <f>IF(A61="","",N(INDEX(Projects[Est Systems Commissioning],60)))</f>
        <v/>
      </c>
      <c r="CO61" s="5">
        <f>IF(A61="","",N(INDEX(Projects[Est Service Commissioning],60)))</f>
        <v/>
      </c>
      <c r="CP61" s="5">
        <f>IF(A61="","",N(INDEX(Projects[Est Controls Eng],60)))</f>
        <v/>
      </c>
      <c r="CQ61" s="5">
        <f>IF(A61="","",N(INDEX(Projects[Est Controls Purchase],60)))</f>
        <v/>
      </c>
      <c r="CR61" s="5">
        <f>IF(A61="","",N(INDEX(Projects[Est Software Eng],60)))</f>
        <v/>
      </c>
      <c r="CS61" s="5">
        <f>IF(A61="","",N(INDEX(Projects[Est Misc],60)))</f>
        <v/>
      </c>
      <c r="CT61" s="5">
        <f>IF(A61="","",SUM(CF61:CS61))</f>
        <v/>
      </c>
      <c r="CU61" s="5">
        <f>INDEX(Projects[Est Cost (M)],60)</f>
        <v/>
      </c>
      <c r="CV61" s="5">
        <f>INDEX(Projects[Act Cost (M)],60)</f>
        <v/>
      </c>
      <c r="CW61" s="5">
        <f>INDEX(Projects[Plan Mech Eng (wks)],60)</f>
        <v/>
      </c>
      <c r="CX61" s="5">
        <f>INDEX(Projects[Plan Controls Eng (wks)],60)</f>
        <v/>
      </c>
      <c r="CY61" s="5">
        <f>INDEX(Projects[Plan Systems Eng (wks)],60)</f>
        <v/>
      </c>
      <c r="CZ61" s="5">
        <f>INDEX(Projects[Plan Software Eng (wks)],60)</f>
        <v/>
      </c>
      <c r="DA61" s="5">
        <f>INDEX(Projects[Plan M&amp;E Installation (wks)],60)</f>
        <v/>
      </c>
      <c r="DB61" s="5">
        <f>INDEX(Projects[Plan Commissioning (wks)],60)</f>
        <v/>
      </c>
      <c r="DC61" s="5">
        <f>INDEX(Projects[Plan Total (wks)],60)</f>
        <v/>
      </c>
      <c r="DD61" s="5">
        <f>INDEX(Projects[Act Mech Eng (wks)],60)</f>
        <v/>
      </c>
      <c r="DE61" s="5">
        <f>INDEX(Projects[Act Controls Eng (wks)],60)</f>
        <v/>
      </c>
      <c r="DF61" s="5">
        <f>INDEX(Projects[Act Systems Eng (wks)],60)</f>
        <v/>
      </c>
      <c r="DG61" s="5">
        <f>INDEX(Projects[Act Software Eng (wks)],60)</f>
        <v/>
      </c>
      <c r="DH61" s="5">
        <f>INDEX(Projects[Act M&amp;E Installation (wks)],60)</f>
        <v/>
      </c>
      <c r="DI61" s="5">
        <f>INDEX(Projects[Act Commissioning (wks)],60)</f>
        <v/>
      </c>
      <c r="DJ61" s="5">
        <f>INDEX(Projects[Act Total (wks)],60)</f>
        <v/>
      </c>
    </row>
    <row r="62" ht="15" customHeight="1" s="82">
      <c r="A62" s="64">
        <f>INDEX(Projects[Project ID *],61)&amp;""</f>
        <v/>
      </c>
      <c r="B62" s="64">
        <f>INDEX(Projects[Project Name *],61)&amp;""</f>
        <v/>
      </c>
      <c r="C62" s="64">
        <f>INDEX(Projects[MS Shuttles],61)</f>
        <v/>
      </c>
      <c r="D62" s="64">
        <f>INDEX(Projects[MS Tote Locations],61)</f>
        <v/>
      </c>
      <c r="E62" s="64">
        <f>INDEX(Projects[AS Robots],61)</f>
        <v/>
      </c>
      <c r="F62" s="64">
        <f>INDEX(Projects[AS Tote Locations],61)</f>
        <v/>
      </c>
      <c r="G62" s="64">
        <f>INDEX(Projects[PS Shuttles],61)</f>
        <v/>
      </c>
      <c r="H62" s="64">
        <f>INDEX(Projects[PS Pallet Locations],61)</f>
        <v/>
      </c>
      <c r="I62" s="64">
        <f>INDEX(Projects[SRM Cranes],61)</f>
        <v/>
      </c>
      <c r="J62" s="64">
        <f>INDEX(Projects[SRM Pallet Locations],61)</f>
        <v/>
      </c>
      <c r="K62" s="64">
        <f>INDEX(Projects[Case Conv (m)],61)</f>
        <v/>
      </c>
      <c r="L62" s="64">
        <f>INDEX(Projects[Pallet Conv (m)],61)</f>
        <v/>
      </c>
      <c r="M62" s="64">
        <f>IF(N(DJ62)&gt;0,DD62,CW62)</f>
        <v/>
      </c>
      <c r="N62" s="64">
        <f>IF(N(DJ62)&gt;0,DE62,CX62)</f>
        <v/>
      </c>
      <c r="O62" s="64">
        <f>IF(N(DJ62)&gt;0,DF62,CY62)</f>
        <v/>
      </c>
      <c r="P62" s="64">
        <f>IF(N(DJ62)&gt;0,DG62,CZ62)</f>
        <v/>
      </c>
      <c r="Q62" s="64">
        <f>IF(N(DJ62)&gt;0,DH62,DA62)</f>
        <v/>
      </c>
      <c r="R62" s="64">
        <f>IF(N(DJ62)&gt;0,DI62,DB62)</f>
        <v/>
      </c>
      <c r="S62" s="64">
        <f>IF(N(DJ62)&gt;0,DJ62,DC62)</f>
        <v/>
      </c>
      <c r="T62" s="64">
        <f>INDEX(Projects[Currency],61)&amp;""</f>
        <v/>
      </c>
      <c r="U62" s="65">
        <f>INDEX(Projects[Sold Value (M)],61)</f>
        <v/>
      </c>
      <c r="V62" s="64">
        <f>IF('Smart Search'!B13=1,IFERROR(1/'Smart Search'!H13,0),0)</f>
        <v/>
      </c>
      <c r="W62" s="64">
        <f>IF('Smart Search'!B13=1,IFERROR(1/'Smart Search'!H13,0),0)</f>
        <v/>
      </c>
      <c r="X62" s="64">
        <f>IF('Smart Search'!C13=1,IFERROR(1/'Smart Search'!H13,0),0)</f>
        <v/>
      </c>
      <c r="Y62" s="64">
        <f>IF('Smart Search'!C13=1,IFERROR(1/'Smart Search'!H13,0),0)</f>
        <v/>
      </c>
      <c r="Z62" s="64">
        <f>IF('Smart Search'!D13=1,IFERROR(1/'Smart Search'!H13,0),0)</f>
        <v/>
      </c>
      <c r="AA62" s="64">
        <f>IF('Smart Search'!D13=1,IFERROR(1/'Smart Search'!H13,0),0)</f>
        <v/>
      </c>
      <c r="AB62" s="64">
        <f>IF('Smart Search'!E13=1,IFERROR(1/'Smart Search'!H13,0),0)</f>
        <v/>
      </c>
      <c r="AC62" s="64">
        <f>IF('Smart Search'!E13=1,IFERROR(1/'Smart Search'!H13,0),0)</f>
        <v/>
      </c>
      <c r="AD62" s="64">
        <f>IF('Smart Search'!F13=1,IFERROR(1/'Smart Search'!H13,0),0)</f>
        <v/>
      </c>
      <c r="AE62" s="64">
        <f>IF('Smart Search'!F13=1,IFERROR(1/'Smart Search'!H13,0),0)</f>
        <v/>
      </c>
      <c r="AF62" s="64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4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4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4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4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4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4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4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4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4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4">
        <f>AF62*V62</f>
        <v/>
      </c>
      <c r="AQ62" s="64">
        <f>AG62*W62</f>
        <v/>
      </c>
      <c r="AR62" s="64">
        <f>AH62*X62</f>
        <v/>
      </c>
      <c r="AS62" s="64">
        <f>AI62*Y62</f>
        <v/>
      </c>
      <c r="AT62" s="64">
        <f>AJ62*Z62</f>
        <v/>
      </c>
      <c r="AU62" s="64">
        <f>AK62*AA62</f>
        <v/>
      </c>
      <c r="AV62" s="64">
        <f>AL62*AB62</f>
        <v/>
      </c>
      <c r="AW62" s="64">
        <f>AM62*AC62</f>
        <v/>
      </c>
      <c r="AX62" s="64">
        <f>AN62*AD62</f>
        <v/>
      </c>
      <c r="AY62" s="64">
        <f>AO62*AE62</f>
        <v/>
      </c>
      <c r="AZ62" s="64">
        <f>INDEX(Projects[Automation Equipment],61)&amp;""</f>
        <v/>
      </c>
      <c r="BA62" s="64">
        <f>IF(OR(A62="",'Smart Search'!H13=0),"",MAX(0,BE62*BF62*MAX(0,1-BG62)))</f>
        <v/>
      </c>
      <c r="BB62" s="64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4">
        <f>IF('Smart Search'!G13=1,IFERROR(1/'Smart Search'!H13,0),0)</f>
        <v/>
      </c>
      <c r="BD62" s="64">
        <f>BB62*BC62</f>
        <v/>
      </c>
      <c r="BE62" s="64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IF(A62="","",N(INDEX(Projects[Act Mech Inst],61)))</f>
        <v/>
      </c>
      <c r="BK62" s="5">
        <f>IF(A62="","",N(INDEX(Projects[Act Elec Inst],61)))</f>
        <v/>
      </c>
      <c r="BL62" s="5">
        <f>IF(A62="","",N(INDEX(Projects[Act Project Management],61)))</f>
        <v/>
      </c>
      <c r="BM62" s="5">
        <f>IF(A62="","",N(INDEX(Projects[Act Systems Eng],61)))</f>
        <v/>
      </c>
      <c r="BN62" s="5">
        <f>IF(A62="","",N(INDEX(Projects[Act Mechanical Eng],61)))</f>
        <v/>
      </c>
      <c r="BO62" s="5">
        <f>IF(A62="","",N(INDEX(Projects[Act Structural Engineering],61)))</f>
        <v/>
      </c>
      <c r="BP62" s="5">
        <f>IF(A62="","",N(INDEX(Projects[Act Site Sup],61)))</f>
        <v/>
      </c>
      <c r="BQ62" s="5">
        <f>IF(A62="","",N(INDEX(Projects[Act Controls Commissioning],61)))</f>
        <v/>
      </c>
      <c r="BR62" s="5">
        <f>IF(A62="","",N(INDEX(Projects[Act Systems Commissioning],61)))</f>
        <v/>
      </c>
      <c r="BS62" s="5">
        <f>IF(A62="","",N(INDEX(Projects[Act Service Commissioning],61)))</f>
        <v/>
      </c>
      <c r="BT62" s="5">
        <f>IF(A62="","",N(INDEX(Projects[Act Controls Eng],61)))</f>
        <v/>
      </c>
      <c r="BU62" s="5">
        <f>IF(A62="","",N(INDEX(Projects[Act Controls Purchase],61)))</f>
        <v/>
      </c>
      <c r="BV62" s="5">
        <f>IF(A62="","",N(INDEX(Projects[Act Software Eng],61)))</f>
        <v/>
      </c>
      <c r="BW62" s="5">
        <f>IF(A62="","",N(INDEX(Projects[Act 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INDEX(Projects[Sold Value (USD M)],61)</f>
        <v/>
      </c>
      <c r="CE62" s="5" t="n"/>
      <c r="CF62" s="5">
        <f>IF(A62="","",N(INDEX(Projects[Est Mech Inst],61)))</f>
        <v/>
      </c>
      <c r="CG62" s="5">
        <f>IF(A62="","",N(INDEX(Projects[Est Elec Inst],61)))</f>
        <v/>
      </c>
      <c r="CH62" s="5">
        <f>IF(A62="","",N(INDEX(Projects[Est Project Management],61)))</f>
        <v/>
      </c>
      <c r="CI62" s="5">
        <f>IF(A62="","",N(INDEX(Projects[Est Systems Eng],61)))</f>
        <v/>
      </c>
      <c r="CJ62" s="5">
        <f>IF(A62="","",N(INDEX(Projects[Est Mechanical Eng],61)))</f>
        <v/>
      </c>
      <c r="CK62" s="5">
        <f>IF(A62="","",N(INDEX(Projects[Est Structural Engineering],61)))</f>
        <v/>
      </c>
      <c r="CL62" s="5">
        <f>IF(A62="","",N(INDEX(Projects[Est Site Sup],61)))</f>
        <v/>
      </c>
      <c r="CM62" s="5">
        <f>IF(A62="","",N(INDEX(Projects[Est Controls Commissioning],61)))</f>
        <v/>
      </c>
      <c r="CN62" s="5">
        <f>IF(A62="","",N(INDEX(Projects[Est Systems Commissioning],61)))</f>
        <v/>
      </c>
      <c r="CO62" s="5">
        <f>IF(A62="","",N(INDEX(Projects[Est Service Commissioning],61)))</f>
        <v/>
      </c>
      <c r="CP62" s="5">
        <f>IF(A62="","",N(INDEX(Projects[Est Controls Eng],61)))</f>
        <v/>
      </c>
      <c r="CQ62" s="5">
        <f>IF(A62="","",N(INDEX(Projects[Est Controls Purchase],61)))</f>
        <v/>
      </c>
      <c r="CR62" s="5">
        <f>IF(A62="","",N(INDEX(Projects[Est Software Eng],61)))</f>
        <v/>
      </c>
      <c r="CS62" s="5">
        <f>IF(A62="","",N(INDEX(Projects[Est Misc],61)))</f>
        <v/>
      </c>
      <c r="CT62" s="5">
        <f>IF(A62="","",SUM(CF62:CS62))</f>
        <v/>
      </c>
      <c r="CU62" s="5">
        <f>INDEX(Projects[Est Cost (M)],61)</f>
        <v/>
      </c>
      <c r="CV62" s="5">
        <f>INDEX(Projects[Act Cost (M)],61)</f>
        <v/>
      </c>
      <c r="CW62" s="5">
        <f>INDEX(Projects[Plan Mech Eng (wks)],61)</f>
        <v/>
      </c>
      <c r="CX62" s="5">
        <f>INDEX(Projects[Plan Controls Eng (wks)],61)</f>
        <v/>
      </c>
      <c r="CY62" s="5">
        <f>INDEX(Projects[Plan Systems Eng (wks)],61)</f>
        <v/>
      </c>
      <c r="CZ62" s="5">
        <f>INDEX(Projects[Plan Software Eng (wks)],61)</f>
        <v/>
      </c>
      <c r="DA62" s="5">
        <f>INDEX(Projects[Plan M&amp;E Installation (wks)],61)</f>
        <v/>
      </c>
      <c r="DB62" s="5">
        <f>INDEX(Projects[Plan Commissioning (wks)],61)</f>
        <v/>
      </c>
      <c r="DC62" s="5">
        <f>INDEX(Projects[Plan Total (wks)],61)</f>
        <v/>
      </c>
      <c r="DD62" s="5">
        <f>INDEX(Projects[Act Mech Eng (wks)],61)</f>
        <v/>
      </c>
      <c r="DE62" s="5">
        <f>INDEX(Projects[Act Controls Eng (wks)],61)</f>
        <v/>
      </c>
      <c r="DF62" s="5">
        <f>INDEX(Projects[Act Systems Eng (wks)],61)</f>
        <v/>
      </c>
      <c r="DG62" s="5">
        <f>INDEX(Projects[Act Software Eng (wks)],61)</f>
        <v/>
      </c>
      <c r="DH62" s="5">
        <f>INDEX(Projects[Act M&amp;E Installation (wks)],61)</f>
        <v/>
      </c>
      <c r="DI62" s="5">
        <f>INDEX(Projects[Act Commissioning (wks)],61)</f>
        <v/>
      </c>
      <c r="DJ62" s="5">
        <f>INDEX(Projects[Act Total (wks)],61)</f>
        <v/>
      </c>
    </row>
    <row r="63" ht="15" customHeight="1" s="82">
      <c r="A63" s="64">
        <f>INDEX(Projects[Project ID *],62)&amp;""</f>
        <v/>
      </c>
      <c r="B63" s="64">
        <f>INDEX(Projects[Project Name *],62)&amp;""</f>
        <v/>
      </c>
      <c r="C63" s="64">
        <f>INDEX(Projects[MS Shuttles],62)</f>
        <v/>
      </c>
      <c r="D63" s="64">
        <f>INDEX(Projects[MS Tote Locations],62)</f>
        <v/>
      </c>
      <c r="E63" s="64">
        <f>INDEX(Projects[AS Robots],62)</f>
        <v/>
      </c>
      <c r="F63" s="64">
        <f>INDEX(Projects[AS Tote Locations],62)</f>
        <v/>
      </c>
      <c r="G63" s="64">
        <f>INDEX(Projects[PS Shuttles],62)</f>
        <v/>
      </c>
      <c r="H63" s="64">
        <f>INDEX(Projects[PS Pallet Locations],62)</f>
        <v/>
      </c>
      <c r="I63" s="64">
        <f>INDEX(Projects[SRM Cranes],62)</f>
        <v/>
      </c>
      <c r="J63" s="64">
        <f>INDEX(Projects[SRM Pallet Locations],62)</f>
        <v/>
      </c>
      <c r="K63" s="64">
        <f>INDEX(Projects[Case Conv (m)],62)</f>
        <v/>
      </c>
      <c r="L63" s="64">
        <f>INDEX(Projects[Pallet Conv (m)],62)</f>
        <v/>
      </c>
      <c r="M63" s="64">
        <f>IF(N(DJ63)&gt;0,DD63,CW63)</f>
        <v/>
      </c>
      <c r="N63" s="64">
        <f>IF(N(DJ63)&gt;0,DE63,CX63)</f>
        <v/>
      </c>
      <c r="O63" s="64">
        <f>IF(N(DJ63)&gt;0,DF63,CY63)</f>
        <v/>
      </c>
      <c r="P63" s="64">
        <f>IF(N(DJ63)&gt;0,DG63,CZ63)</f>
        <v/>
      </c>
      <c r="Q63" s="64">
        <f>IF(N(DJ63)&gt;0,DH63,DA63)</f>
        <v/>
      </c>
      <c r="R63" s="64">
        <f>IF(N(DJ63)&gt;0,DI63,DB63)</f>
        <v/>
      </c>
      <c r="S63" s="64">
        <f>IF(N(DJ63)&gt;0,DJ63,DC63)</f>
        <v/>
      </c>
      <c r="T63" s="64">
        <f>INDEX(Projects[Currency],62)&amp;""</f>
        <v/>
      </c>
      <c r="U63" s="65">
        <f>INDEX(Projects[Sold Value (M)],62)</f>
        <v/>
      </c>
      <c r="V63" s="64">
        <f>IF('Smart Search'!B13=1,IFERROR(1/'Smart Search'!H13,0),0)</f>
        <v/>
      </c>
      <c r="W63" s="64">
        <f>IF('Smart Search'!B13=1,IFERROR(1/'Smart Search'!H13,0),0)</f>
        <v/>
      </c>
      <c r="X63" s="64">
        <f>IF('Smart Search'!C13=1,IFERROR(1/'Smart Search'!H13,0),0)</f>
        <v/>
      </c>
      <c r="Y63" s="64">
        <f>IF('Smart Search'!C13=1,IFERROR(1/'Smart Search'!H13,0),0)</f>
        <v/>
      </c>
      <c r="Z63" s="64">
        <f>IF('Smart Search'!D13=1,IFERROR(1/'Smart Search'!H13,0),0)</f>
        <v/>
      </c>
      <c r="AA63" s="64">
        <f>IF('Smart Search'!D13=1,IFERROR(1/'Smart Search'!H13,0),0)</f>
        <v/>
      </c>
      <c r="AB63" s="64">
        <f>IF('Smart Search'!E13=1,IFERROR(1/'Smart Search'!H13,0),0)</f>
        <v/>
      </c>
      <c r="AC63" s="64">
        <f>IF('Smart Search'!E13=1,IFERROR(1/'Smart Search'!H13,0),0)</f>
        <v/>
      </c>
      <c r="AD63" s="64">
        <f>IF('Smart Search'!F13=1,IFERROR(1/'Smart Search'!H13,0),0)</f>
        <v/>
      </c>
      <c r="AE63" s="64">
        <f>IF('Smart Search'!F13=1,IFERROR(1/'Smart Search'!H13,0),0)</f>
        <v/>
      </c>
      <c r="AF63" s="64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4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4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4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4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4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4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4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4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4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4">
        <f>AF63*V63</f>
        <v/>
      </c>
      <c r="AQ63" s="64">
        <f>AG63*W63</f>
        <v/>
      </c>
      <c r="AR63" s="64">
        <f>AH63*X63</f>
        <v/>
      </c>
      <c r="AS63" s="64">
        <f>AI63*Y63</f>
        <v/>
      </c>
      <c r="AT63" s="64">
        <f>AJ63*Z63</f>
        <v/>
      </c>
      <c r="AU63" s="64">
        <f>AK63*AA63</f>
        <v/>
      </c>
      <c r="AV63" s="64">
        <f>AL63*AB63</f>
        <v/>
      </c>
      <c r="AW63" s="64">
        <f>AM63*AC63</f>
        <v/>
      </c>
      <c r="AX63" s="64">
        <f>AN63*AD63</f>
        <v/>
      </c>
      <c r="AY63" s="64">
        <f>AO63*AE63</f>
        <v/>
      </c>
      <c r="AZ63" s="64">
        <f>INDEX(Projects[Automation Equipment],62)&amp;""</f>
        <v/>
      </c>
      <c r="BA63" s="64">
        <f>IF(OR(A63="",'Smart Search'!H13=0),"",MAX(0,BE63*BF63*MAX(0,1-BG63)))</f>
        <v/>
      </c>
      <c r="BB63" s="64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4">
        <f>IF('Smart Search'!G13=1,IFERROR(1/'Smart Search'!H13,0),0)</f>
        <v/>
      </c>
      <c r="BD63" s="64">
        <f>BB63*BC63</f>
        <v/>
      </c>
      <c r="BE63" s="64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IF(A63="","",N(INDEX(Projects[Act Mech Inst],62)))</f>
        <v/>
      </c>
      <c r="BK63" s="5">
        <f>IF(A63="","",N(INDEX(Projects[Act Elec Inst],62)))</f>
        <v/>
      </c>
      <c r="BL63" s="5">
        <f>IF(A63="","",N(INDEX(Projects[Act Project Management],62)))</f>
        <v/>
      </c>
      <c r="BM63" s="5">
        <f>IF(A63="","",N(INDEX(Projects[Act Systems Eng],62)))</f>
        <v/>
      </c>
      <c r="BN63" s="5">
        <f>IF(A63="","",N(INDEX(Projects[Act Mechanical Eng],62)))</f>
        <v/>
      </c>
      <c r="BO63" s="5">
        <f>IF(A63="","",N(INDEX(Projects[Act Structural Engineering],62)))</f>
        <v/>
      </c>
      <c r="BP63" s="5">
        <f>IF(A63="","",N(INDEX(Projects[Act Site Sup],62)))</f>
        <v/>
      </c>
      <c r="BQ63" s="5">
        <f>IF(A63="","",N(INDEX(Projects[Act Controls Commissioning],62)))</f>
        <v/>
      </c>
      <c r="BR63" s="5">
        <f>IF(A63="","",N(INDEX(Projects[Act Systems Commissioning],62)))</f>
        <v/>
      </c>
      <c r="BS63" s="5">
        <f>IF(A63="","",N(INDEX(Projects[Act Service Commissioning],62)))</f>
        <v/>
      </c>
      <c r="BT63" s="5">
        <f>IF(A63="","",N(INDEX(Projects[Act Controls Eng],62)))</f>
        <v/>
      </c>
      <c r="BU63" s="5">
        <f>IF(A63="","",N(INDEX(Projects[Act Controls Purchase],62)))</f>
        <v/>
      </c>
      <c r="BV63" s="5">
        <f>IF(A63="","",N(INDEX(Projects[Act Software Eng],62)))</f>
        <v/>
      </c>
      <c r="BW63" s="5">
        <f>IF(A63="","",N(INDEX(Projects[Act 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INDEX(Projects[Sold Value (USD M)],62)</f>
        <v/>
      </c>
      <c r="CE63" s="5" t="n"/>
      <c r="CF63" s="5">
        <f>IF(A63="","",N(INDEX(Projects[Est Mech Inst],62)))</f>
        <v/>
      </c>
      <c r="CG63" s="5">
        <f>IF(A63="","",N(INDEX(Projects[Est Elec Inst],62)))</f>
        <v/>
      </c>
      <c r="CH63" s="5">
        <f>IF(A63="","",N(INDEX(Projects[Est Project Management],62)))</f>
        <v/>
      </c>
      <c r="CI63" s="5">
        <f>IF(A63="","",N(INDEX(Projects[Est Systems Eng],62)))</f>
        <v/>
      </c>
      <c r="CJ63" s="5">
        <f>IF(A63="","",N(INDEX(Projects[Est Mechanical Eng],62)))</f>
        <v/>
      </c>
      <c r="CK63" s="5">
        <f>IF(A63="","",N(INDEX(Projects[Est Structural Engineering],62)))</f>
        <v/>
      </c>
      <c r="CL63" s="5">
        <f>IF(A63="","",N(INDEX(Projects[Est Site Sup],62)))</f>
        <v/>
      </c>
      <c r="CM63" s="5">
        <f>IF(A63="","",N(INDEX(Projects[Est Controls Commissioning],62)))</f>
        <v/>
      </c>
      <c r="CN63" s="5">
        <f>IF(A63="","",N(INDEX(Projects[Est Systems Commissioning],62)))</f>
        <v/>
      </c>
      <c r="CO63" s="5">
        <f>IF(A63="","",N(INDEX(Projects[Est Service Commissioning],62)))</f>
        <v/>
      </c>
      <c r="CP63" s="5">
        <f>IF(A63="","",N(INDEX(Projects[Est Controls Eng],62)))</f>
        <v/>
      </c>
      <c r="CQ63" s="5">
        <f>IF(A63="","",N(INDEX(Projects[Est Controls Purchase],62)))</f>
        <v/>
      </c>
      <c r="CR63" s="5">
        <f>IF(A63="","",N(INDEX(Projects[Est Software Eng],62)))</f>
        <v/>
      </c>
      <c r="CS63" s="5">
        <f>IF(A63="","",N(INDEX(Projects[Est Misc],62)))</f>
        <v/>
      </c>
      <c r="CT63" s="5">
        <f>IF(A63="","",SUM(CF63:CS63))</f>
        <v/>
      </c>
      <c r="CU63" s="5">
        <f>INDEX(Projects[Est Cost (M)],62)</f>
        <v/>
      </c>
      <c r="CV63" s="5">
        <f>INDEX(Projects[Act Cost (M)],62)</f>
        <v/>
      </c>
      <c r="CW63" s="5">
        <f>INDEX(Projects[Plan Mech Eng (wks)],62)</f>
        <v/>
      </c>
      <c r="CX63" s="5">
        <f>INDEX(Projects[Plan Controls Eng (wks)],62)</f>
        <v/>
      </c>
      <c r="CY63" s="5">
        <f>INDEX(Projects[Plan Systems Eng (wks)],62)</f>
        <v/>
      </c>
      <c r="CZ63" s="5">
        <f>INDEX(Projects[Plan Software Eng (wks)],62)</f>
        <v/>
      </c>
      <c r="DA63" s="5">
        <f>INDEX(Projects[Plan M&amp;E Installation (wks)],62)</f>
        <v/>
      </c>
      <c r="DB63" s="5">
        <f>INDEX(Projects[Plan Commissioning (wks)],62)</f>
        <v/>
      </c>
      <c r="DC63" s="5">
        <f>INDEX(Projects[Plan Total (wks)],62)</f>
        <v/>
      </c>
      <c r="DD63" s="5">
        <f>INDEX(Projects[Act Mech Eng (wks)],62)</f>
        <v/>
      </c>
      <c r="DE63" s="5">
        <f>INDEX(Projects[Act Controls Eng (wks)],62)</f>
        <v/>
      </c>
      <c r="DF63" s="5">
        <f>INDEX(Projects[Act Systems Eng (wks)],62)</f>
        <v/>
      </c>
      <c r="DG63" s="5">
        <f>INDEX(Projects[Act Software Eng (wks)],62)</f>
        <v/>
      </c>
      <c r="DH63" s="5">
        <f>INDEX(Projects[Act M&amp;E Installation (wks)],62)</f>
        <v/>
      </c>
      <c r="DI63" s="5">
        <f>INDEX(Projects[Act Commissioning (wks)],62)</f>
        <v/>
      </c>
      <c r="DJ63" s="5">
        <f>INDEX(Projects[Act Total (wks)],62)</f>
        <v/>
      </c>
    </row>
    <row r="64" ht="15" customHeight="1" s="82">
      <c r="A64" s="64">
        <f>INDEX(Projects[Project ID *],63)&amp;""</f>
        <v/>
      </c>
      <c r="B64" s="64">
        <f>INDEX(Projects[Project Name *],63)&amp;""</f>
        <v/>
      </c>
      <c r="C64" s="64">
        <f>INDEX(Projects[MS Shuttles],63)</f>
        <v/>
      </c>
      <c r="D64" s="64">
        <f>INDEX(Projects[MS Tote Locations],63)</f>
        <v/>
      </c>
      <c r="E64" s="64">
        <f>INDEX(Projects[AS Robots],63)</f>
        <v/>
      </c>
      <c r="F64" s="64">
        <f>INDEX(Projects[AS Tote Locations],63)</f>
        <v/>
      </c>
      <c r="G64" s="64">
        <f>INDEX(Projects[PS Shuttles],63)</f>
        <v/>
      </c>
      <c r="H64" s="64">
        <f>INDEX(Projects[PS Pallet Locations],63)</f>
        <v/>
      </c>
      <c r="I64" s="64">
        <f>INDEX(Projects[SRM Cranes],63)</f>
        <v/>
      </c>
      <c r="J64" s="64">
        <f>INDEX(Projects[SRM Pallet Locations],63)</f>
        <v/>
      </c>
      <c r="K64" s="64">
        <f>INDEX(Projects[Case Conv (m)],63)</f>
        <v/>
      </c>
      <c r="L64" s="64">
        <f>INDEX(Projects[Pallet Conv (m)],63)</f>
        <v/>
      </c>
      <c r="M64" s="64">
        <f>IF(N(DJ64)&gt;0,DD64,CW64)</f>
        <v/>
      </c>
      <c r="N64" s="64">
        <f>IF(N(DJ64)&gt;0,DE64,CX64)</f>
        <v/>
      </c>
      <c r="O64" s="64">
        <f>IF(N(DJ64)&gt;0,DF64,CY64)</f>
        <v/>
      </c>
      <c r="P64" s="64">
        <f>IF(N(DJ64)&gt;0,DG64,CZ64)</f>
        <v/>
      </c>
      <c r="Q64" s="64">
        <f>IF(N(DJ64)&gt;0,DH64,DA64)</f>
        <v/>
      </c>
      <c r="R64" s="64">
        <f>IF(N(DJ64)&gt;0,DI64,DB64)</f>
        <v/>
      </c>
      <c r="S64" s="64">
        <f>IF(N(DJ64)&gt;0,DJ64,DC64)</f>
        <v/>
      </c>
      <c r="T64" s="64">
        <f>INDEX(Projects[Currency],63)&amp;""</f>
        <v/>
      </c>
      <c r="U64" s="65">
        <f>INDEX(Projects[Sold Value (M)],63)</f>
        <v/>
      </c>
      <c r="V64" s="64">
        <f>IF('Smart Search'!B13=1,IFERROR(1/'Smart Search'!H13,0),0)</f>
        <v/>
      </c>
      <c r="W64" s="64">
        <f>IF('Smart Search'!B13=1,IFERROR(1/'Smart Search'!H13,0),0)</f>
        <v/>
      </c>
      <c r="X64" s="64">
        <f>IF('Smart Search'!C13=1,IFERROR(1/'Smart Search'!H13,0),0)</f>
        <v/>
      </c>
      <c r="Y64" s="64">
        <f>IF('Smart Search'!C13=1,IFERROR(1/'Smart Search'!H13,0),0)</f>
        <v/>
      </c>
      <c r="Z64" s="64">
        <f>IF('Smart Search'!D13=1,IFERROR(1/'Smart Search'!H13,0),0)</f>
        <v/>
      </c>
      <c r="AA64" s="64">
        <f>IF('Smart Search'!D13=1,IFERROR(1/'Smart Search'!H13,0),0)</f>
        <v/>
      </c>
      <c r="AB64" s="64">
        <f>IF('Smart Search'!E13=1,IFERROR(1/'Smart Search'!H13,0),0)</f>
        <v/>
      </c>
      <c r="AC64" s="64">
        <f>IF('Smart Search'!E13=1,IFERROR(1/'Smart Search'!H13,0),0)</f>
        <v/>
      </c>
      <c r="AD64" s="64">
        <f>IF('Smart Search'!F13=1,IFERROR(1/'Smart Search'!H13,0),0)</f>
        <v/>
      </c>
      <c r="AE64" s="64">
        <f>IF('Smart Search'!F13=1,IFERROR(1/'Smart Search'!H13,0),0)</f>
        <v/>
      </c>
      <c r="AF64" s="64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4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4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4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4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4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4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4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4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4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4">
        <f>AF64*V64</f>
        <v/>
      </c>
      <c r="AQ64" s="64">
        <f>AG64*W64</f>
        <v/>
      </c>
      <c r="AR64" s="64">
        <f>AH64*X64</f>
        <v/>
      </c>
      <c r="AS64" s="64">
        <f>AI64*Y64</f>
        <v/>
      </c>
      <c r="AT64" s="64">
        <f>AJ64*Z64</f>
        <v/>
      </c>
      <c r="AU64" s="64">
        <f>AK64*AA64</f>
        <v/>
      </c>
      <c r="AV64" s="64">
        <f>AL64*AB64</f>
        <v/>
      </c>
      <c r="AW64" s="64">
        <f>AM64*AC64</f>
        <v/>
      </c>
      <c r="AX64" s="64">
        <f>AN64*AD64</f>
        <v/>
      </c>
      <c r="AY64" s="64">
        <f>AO64*AE64</f>
        <v/>
      </c>
      <c r="AZ64" s="64">
        <f>INDEX(Projects[Automation Equipment],63)&amp;""</f>
        <v/>
      </c>
      <c r="BA64" s="64">
        <f>IF(OR(A64="",'Smart Search'!H13=0),"",MAX(0,BE64*BF64*MAX(0,1-BG64)))</f>
        <v/>
      </c>
      <c r="BB64" s="64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4">
        <f>IF('Smart Search'!G13=1,IFERROR(1/'Smart Search'!H13,0),0)</f>
        <v/>
      </c>
      <c r="BD64" s="64">
        <f>BB64*BC64</f>
        <v/>
      </c>
      <c r="BE64" s="64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IF(A64="","",N(INDEX(Projects[Act Mech Inst],63)))</f>
        <v/>
      </c>
      <c r="BK64" s="5">
        <f>IF(A64="","",N(INDEX(Projects[Act Elec Inst],63)))</f>
        <v/>
      </c>
      <c r="BL64" s="5">
        <f>IF(A64="","",N(INDEX(Projects[Act Project Management],63)))</f>
        <v/>
      </c>
      <c r="BM64" s="5">
        <f>IF(A64="","",N(INDEX(Projects[Act Systems Eng],63)))</f>
        <v/>
      </c>
      <c r="BN64" s="5">
        <f>IF(A64="","",N(INDEX(Projects[Act Mechanical Eng],63)))</f>
        <v/>
      </c>
      <c r="BO64" s="5">
        <f>IF(A64="","",N(INDEX(Projects[Act Structural Engineering],63)))</f>
        <v/>
      </c>
      <c r="BP64" s="5">
        <f>IF(A64="","",N(INDEX(Projects[Act Site Sup],63)))</f>
        <v/>
      </c>
      <c r="BQ64" s="5">
        <f>IF(A64="","",N(INDEX(Projects[Act Controls Commissioning],63)))</f>
        <v/>
      </c>
      <c r="BR64" s="5">
        <f>IF(A64="","",N(INDEX(Projects[Act Systems Commissioning],63)))</f>
        <v/>
      </c>
      <c r="BS64" s="5">
        <f>IF(A64="","",N(INDEX(Projects[Act Service Commissioning],63)))</f>
        <v/>
      </c>
      <c r="BT64" s="5">
        <f>IF(A64="","",N(INDEX(Projects[Act Controls Eng],63)))</f>
        <v/>
      </c>
      <c r="BU64" s="5">
        <f>IF(A64="","",N(INDEX(Projects[Act Controls Purchase],63)))</f>
        <v/>
      </c>
      <c r="BV64" s="5">
        <f>IF(A64="","",N(INDEX(Projects[Act Software Eng],63)))</f>
        <v/>
      </c>
      <c r="BW64" s="5">
        <f>IF(A64="","",N(INDEX(Projects[Act 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INDEX(Projects[Sold Value (USD M)],63)</f>
        <v/>
      </c>
      <c r="CE64" s="5" t="n"/>
      <c r="CF64" s="5">
        <f>IF(A64="","",N(INDEX(Projects[Est Mech Inst],63)))</f>
        <v/>
      </c>
      <c r="CG64" s="5">
        <f>IF(A64="","",N(INDEX(Projects[Est Elec Inst],63)))</f>
        <v/>
      </c>
      <c r="CH64" s="5">
        <f>IF(A64="","",N(INDEX(Projects[Est Project Management],63)))</f>
        <v/>
      </c>
      <c r="CI64" s="5">
        <f>IF(A64="","",N(INDEX(Projects[Est Systems Eng],63)))</f>
        <v/>
      </c>
      <c r="CJ64" s="5">
        <f>IF(A64="","",N(INDEX(Projects[Est Mechanical Eng],63)))</f>
        <v/>
      </c>
      <c r="CK64" s="5">
        <f>IF(A64="","",N(INDEX(Projects[Est Structural Engineering],63)))</f>
        <v/>
      </c>
      <c r="CL64" s="5">
        <f>IF(A64="","",N(INDEX(Projects[Est Site Sup],63)))</f>
        <v/>
      </c>
      <c r="CM64" s="5">
        <f>IF(A64="","",N(INDEX(Projects[Est Controls Commissioning],63)))</f>
        <v/>
      </c>
      <c r="CN64" s="5">
        <f>IF(A64="","",N(INDEX(Projects[Est Systems Commissioning],63)))</f>
        <v/>
      </c>
      <c r="CO64" s="5">
        <f>IF(A64="","",N(INDEX(Projects[Est Service Commissioning],63)))</f>
        <v/>
      </c>
      <c r="CP64" s="5">
        <f>IF(A64="","",N(INDEX(Projects[Est Controls Eng],63)))</f>
        <v/>
      </c>
      <c r="CQ64" s="5">
        <f>IF(A64="","",N(INDEX(Projects[Est Controls Purchase],63)))</f>
        <v/>
      </c>
      <c r="CR64" s="5">
        <f>IF(A64="","",N(INDEX(Projects[Est Software Eng],63)))</f>
        <v/>
      </c>
      <c r="CS64" s="5">
        <f>IF(A64="","",N(INDEX(Projects[Est Misc],63)))</f>
        <v/>
      </c>
      <c r="CT64" s="5">
        <f>IF(A64="","",SUM(CF64:CS64))</f>
        <v/>
      </c>
      <c r="CU64" s="5">
        <f>INDEX(Projects[Est Cost (M)],63)</f>
        <v/>
      </c>
      <c r="CV64" s="5">
        <f>INDEX(Projects[Act Cost (M)],63)</f>
        <v/>
      </c>
      <c r="CW64" s="5">
        <f>INDEX(Projects[Plan Mech Eng (wks)],63)</f>
        <v/>
      </c>
      <c r="CX64" s="5">
        <f>INDEX(Projects[Plan Controls Eng (wks)],63)</f>
        <v/>
      </c>
      <c r="CY64" s="5">
        <f>INDEX(Projects[Plan Systems Eng (wks)],63)</f>
        <v/>
      </c>
      <c r="CZ64" s="5">
        <f>INDEX(Projects[Plan Software Eng (wks)],63)</f>
        <v/>
      </c>
      <c r="DA64" s="5">
        <f>INDEX(Projects[Plan M&amp;E Installation (wks)],63)</f>
        <v/>
      </c>
      <c r="DB64" s="5">
        <f>INDEX(Projects[Plan Commissioning (wks)],63)</f>
        <v/>
      </c>
      <c r="DC64" s="5">
        <f>INDEX(Projects[Plan Total (wks)],63)</f>
        <v/>
      </c>
      <c r="DD64" s="5">
        <f>INDEX(Projects[Act Mech Eng (wks)],63)</f>
        <v/>
      </c>
      <c r="DE64" s="5">
        <f>INDEX(Projects[Act Controls Eng (wks)],63)</f>
        <v/>
      </c>
      <c r="DF64" s="5">
        <f>INDEX(Projects[Act Systems Eng (wks)],63)</f>
        <v/>
      </c>
      <c r="DG64" s="5">
        <f>INDEX(Projects[Act Software Eng (wks)],63)</f>
        <v/>
      </c>
      <c r="DH64" s="5">
        <f>INDEX(Projects[Act M&amp;E Installation (wks)],63)</f>
        <v/>
      </c>
      <c r="DI64" s="5">
        <f>INDEX(Projects[Act Commissioning (wks)],63)</f>
        <v/>
      </c>
      <c r="DJ64" s="5">
        <f>INDEX(Projects[Act Total (wks)],63)</f>
        <v/>
      </c>
    </row>
    <row r="65" ht="15" customHeight="1" s="82">
      <c r="A65" s="64">
        <f>INDEX(Projects[Project ID *],64)&amp;""</f>
        <v/>
      </c>
      <c r="B65" s="64">
        <f>INDEX(Projects[Project Name *],64)&amp;""</f>
        <v/>
      </c>
      <c r="C65" s="64">
        <f>INDEX(Projects[MS Shuttles],64)</f>
        <v/>
      </c>
      <c r="D65" s="64">
        <f>INDEX(Projects[MS Tote Locations],64)</f>
        <v/>
      </c>
      <c r="E65" s="64">
        <f>INDEX(Projects[AS Robots],64)</f>
        <v/>
      </c>
      <c r="F65" s="64">
        <f>INDEX(Projects[AS Tote Locations],64)</f>
        <v/>
      </c>
      <c r="G65" s="64">
        <f>INDEX(Projects[PS Shuttles],64)</f>
        <v/>
      </c>
      <c r="H65" s="64">
        <f>INDEX(Projects[PS Pallet Locations],64)</f>
        <v/>
      </c>
      <c r="I65" s="64">
        <f>INDEX(Projects[SRM Cranes],64)</f>
        <v/>
      </c>
      <c r="J65" s="64">
        <f>INDEX(Projects[SRM Pallet Locations],64)</f>
        <v/>
      </c>
      <c r="K65" s="64">
        <f>INDEX(Projects[Case Conv (m)],64)</f>
        <v/>
      </c>
      <c r="L65" s="64">
        <f>INDEX(Projects[Pallet Conv (m)],64)</f>
        <v/>
      </c>
      <c r="M65" s="64">
        <f>IF(N(DJ65)&gt;0,DD65,CW65)</f>
        <v/>
      </c>
      <c r="N65" s="64">
        <f>IF(N(DJ65)&gt;0,DE65,CX65)</f>
        <v/>
      </c>
      <c r="O65" s="64">
        <f>IF(N(DJ65)&gt;0,DF65,CY65)</f>
        <v/>
      </c>
      <c r="P65" s="64">
        <f>IF(N(DJ65)&gt;0,DG65,CZ65)</f>
        <v/>
      </c>
      <c r="Q65" s="64">
        <f>IF(N(DJ65)&gt;0,DH65,DA65)</f>
        <v/>
      </c>
      <c r="R65" s="64">
        <f>IF(N(DJ65)&gt;0,DI65,DB65)</f>
        <v/>
      </c>
      <c r="S65" s="64">
        <f>IF(N(DJ65)&gt;0,DJ65,DC65)</f>
        <v/>
      </c>
      <c r="T65" s="64">
        <f>INDEX(Projects[Currency],64)&amp;""</f>
        <v/>
      </c>
      <c r="U65" s="65">
        <f>INDEX(Projects[Sold Value (M)],64)</f>
        <v/>
      </c>
      <c r="V65" s="64">
        <f>IF('Smart Search'!B13=1,IFERROR(1/'Smart Search'!H13,0),0)</f>
        <v/>
      </c>
      <c r="W65" s="64">
        <f>IF('Smart Search'!B13=1,IFERROR(1/'Smart Search'!H13,0),0)</f>
        <v/>
      </c>
      <c r="X65" s="64">
        <f>IF('Smart Search'!C13=1,IFERROR(1/'Smart Search'!H13,0),0)</f>
        <v/>
      </c>
      <c r="Y65" s="64">
        <f>IF('Smart Search'!C13=1,IFERROR(1/'Smart Search'!H13,0),0)</f>
        <v/>
      </c>
      <c r="Z65" s="64">
        <f>IF('Smart Search'!D13=1,IFERROR(1/'Smart Search'!H13,0),0)</f>
        <v/>
      </c>
      <c r="AA65" s="64">
        <f>IF('Smart Search'!D13=1,IFERROR(1/'Smart Search'!H13,0),0)</f>
        <v/>
      </c>
      <c r="AB65" s="64">
        <f>IF('Smart Search'!E13=1,IFERROR(1/'Smart Search'!H13,0),0)</f>
        <v/>
      </c>
      <c r="AC65" s="64">
        <f>IF('Smart Search'!E13=1,IFERROR(1/'Smart Search'!H13,0),0)</f>
        <v/>
      </c>
      <c r="AD65" s="64">
        <f>IF('Smart Search'!F13=1,IFERROR(1/'Smart Search'!H13,0),0)</f>
        <v/>
      </c>
      <c r="AE65" s="64">
        <f>IF('Smart Search'!F13=1,IFERROR(1/'Smart Search'!H13,0),0)</f>
        <v/>
      </c>
      <c r="AF65" s="64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4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4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4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4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4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4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4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4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4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4">
        <f>AF65*V65</f>
        <v/>
      </c>
      <c r="AQ65" s="64">
        <f>AG65*W65</f>
        <v/>
      </c>
      <c r="AR65" s="64">
        <f>AH65*X65</f>
        <v/>
      </c>
      <c r="AS65" s="64">
        <f>AI65*Y65</f>
        <v/>
      </c>
      <c r="AT65" s="64">
        <f>AJ65*Z65</f>
        <v/>
      </c>
      <c r="AU65" s="64">
        <f>AK65*AA65</f>
        <v/>
      </c>
      <c r="AV65" s="64">
        <f>AL65*AB65</f>
        <v/>
      </c>
      <c r="AW65" s="64">
        <f>AM65*AC65</f>
        <v/>
      </c>
      <c r="AX65" s="64">
        <f>AN65*AD65</f>
        <v/>
      </c>
      <c r="AY65" s="64">
        <f>AO65*AE65</f>
        <v/>
      </c>
      <c r="AZ65" s="64">
        <f>INDEX(Projects[Automation Equipment],64)&amp;""</f>
        <v/>
      </c>
      <c r="BA65" s="64">
        <f>IF(OR(A65="",'Smart Search'!H13=0),"",MAX(0,BE65*BF65*MAX(0,1-BG65)))</f>
        <v/>
      </c>
      <c r="BB65" s="64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4">
        <f>IF('Smart Search'!G13=1,IFERROR(1/'Smart Search'!H13,0),0)</f>
        <v/>
      </c>
      <c r="BD65" s="64">
        <f>BB65*BC65</f>
        <v/>
      </c>
      <c r="BE65" s="64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IF(A65="","",N(INDEX(Projects[Act Mech Inst],64)))</f>
        <v/>
      </c>
      <c r="BK65" s="5">
        <f>IF(A65="","",N(INDEX(Projects[Act Elec Inst],64)))</f>
        <v/>
      </c>
      <c r="BL65" s="5">
        <f>IF(A65="","",N(INDEX(Projects[Act Project Management],64)))</f>
        <v/>
      </c>
      <c r="BM65" s="5">
        <f>IF(A65="","",N(INDEX(Projects[Act Systems Eng],64)))</f>
        <v/>
      </c>
      <c r="BN65" s="5">
        <f>IF(A65="","",N(INDEX(Projects[Act Mechanical Eng],64)))</f>
        <v/>
      </c>
      <c r="BO65" s="5">
        <f>IF(A65="","",N(INDEX(Projects[Act Structural Engineering],64)))</f>
        <v/>
      </c>
      <c r="BP65" s="5">
        <f>IF(A65="","",N(INDEX(Projects[Act Site Sup],64)))</f>
        <v/>
      </c>
      <c r="BQ65" s="5">
        <f>IF(A65="","",N(INDEX(Projects[Act Controls Commissioning],64)))</f>
        <v/>
      </c>
      <c r="BR65" s="5">
        <f>IF(A65="","",N(INDEX(Projects[Act Systems Commissioning],64)))</f>
        <v/>
      </c>
      <c r="BS65" s="5">
        <f>IF(A65="","",N(INDEX(Projects[Act Service Commissioning],64)))</f>
        <v/>
      </c>
      <c r="BT65" s="5">
        <f>IF(A65="","",N(INDEX(Projects[Act Controls Eng],64)))</f>
        <v/>
      </c>
      <c r="BU65" s="5">
        <f>IF(A65="","",N(INDEX(Projects[Act Controls Purchase],64)))</f>
        <v/>
      </c>
      <c r="BV65" s="5">
        <f>IF(A65="","",N(INDEX(Projects[Act Software Eng],64)))</f>
        <v/>
      </c>
      <c r="BW65" s="5">
        <f>IF(A65="","",N(INDEX(Projects[Act 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INDEX(Projects[Sold Value (USD M)],64)</f>
        <v/>
      </c>
      <c r="CE65" s="5" t="n"/>
      <c r="CF65" s="5">
        <f>IF(A65="","",N(INDEX(Projects[Est Mech Inst],64)))</f>
        <v/>
      </c>
      <c r="CG65" s="5">
        <f>IF(A65="","",N(INDEX(Projects[Est Elec Inst],64)))</f>
        <v/>
      </c>
      <c r="CH65" s="5">
        <f>IF(A65="","",N(INDEX(Projects[Est Project Management],64)))</f>
        <v/>
      </c>
      <c r="CI65" s="5">
        <f>IF(A65="","",N(INDEX(Projects[Est Systems Eng],64)))</f>
        <v/>
      </c>
      <c r="CJ65" s="5">
        <f>IF(A65="","",N(INDEX(Projects[Est Mechanical Eng],64)))</f>
        <v/>
      </c>
      <c r="CK65" s="5">
        <f>IF(A65="","",N(INDEX(Projects[Est Structural Engineering],64)))</f>
        <v/>
      </c>
      <c r="CL65" s="5">
        <f>IF(A65="","",N(INDEX(Projects[Est Site Sup],64)))</f>
        <v/>
      </c>
      <c r="CM65" s="5">
        <f>IF(A65="","",N(INDEX(Projects[Est Controls Commissioning],64)))</f>
        <v/>
      </c>
      <c r="CN65" s="5">
        <f>IF(A65="","",N(INDEX(Projects[Est Systems Commissioning],64)))</f>
        <v/>
      </c>
      <c r="CO65" s="5">
        <f>IF(A65="","",N(INDEX(Projects[Est Service Commissioning],64)))</f>
        <v/>
      </c>
      <c r="CP65" s="5">
        <f>IF(A65="","",N(INDEX(Projects[Est Controls Eng],64)))</f>
        <v/>
      </c>
      <c r="CQ65" s="5">
        <f>IF(A65="","",N(INDEX(Projects[Est Controls Purchase],64)))</f>
        <v/>
      </c>
      <c r="CR65" s="5">
        <f>IF(A65="","",N(INDEX(Projects[Est Software Eng],64)))</f>
        <v/>
      </c>
      <c r="CS65" s="5">
        <f>IF(A65="","",N(INDEX(Projects[Est Misc],64)))</f>
        <v/>
      </c>
      <c r="CT65" s="5">
        <f>IF(A65="","",SUM(CF65:CS65))</f>
        <v/>
      </c>
      <c r="CU65" s="5">
        <f>INDEX(Projects[Est Cost (M)],64)</f>
        <v/>
      </c>
      <c r="CV65" s="5">
        <f>INDEX(Projects[Act Cost (M)],64)</f>
        <v/>
      </c>
      <c r="CW65" s="5">
        <f>INDEX(Projects[Plan Mech Eng (wks)],64)</f>
        <v/>
      </c>
      <c r="CX65" s="5">
        <f>INDEX(Projects[Plan Controls Eng (wks)],64)</f>
        <v/>
      </c>
      <c r="CY65" s="5">
        <f>INDEX(Projects[Plan Systems Eng (wks)],64)</f>
        <v/>
      </c>
      <c r="CZ65" s="5">
        <f>INDEX(Projects[Plan Software Eng (wks)],64)</f>
        <v/>
      </c>
      <c r="DA65" s="5">
        <f>INDEX(Projects[Plan M&amp;E Installation (wks)],64)</f>
        <v/>
      </c>
      <c r="DB65" s="5">
        <f>INDEX(Projects[Plan Commissioning (wks)],64)</f>
        <v/>
      </c>
      <c r="DC65" s="5">
        <f>INDEX(Projects[Plan Total (wks)],64)</f>
        <v/>
      </c>
      <c r="DD65" s="5">
        <f>INDEX(Projects[Act Mech Eng (wks)],64)</f>
        <v/>
      </c>
      <c r="DE65" s="5">
        <f>INDEX(Projects[Act Controls Eng (wks)],64)</f>
        <v/>
      </c>
      <c r="DF65" s="5">
        <f>INDEX(Projects[Act Systems Eng (wks)],64)</f>
        <v/>
      </c>
      <c r="DG65" s="5">
        <f>INDEX(Projects[Act Software Eng (wks)],64)</f>
        <v/>
      </c>
      <c r="DH65" s="5">
        <f>INDEX(Projects[Act M&amp;E Installation (wks)],64)</f>
        <v/>
      </c>
      <c r="DI65" s="5">
        <f>INDEX(Projects[Act Commissioning (wks)],64)</f>
        <v/>
      </c>
      <c r="DJ65" s="5">
        <f>INDEX(Projects[Act Total (wks)],64)</f>
        <v/>
      </c>
    </row>
    <row r="66" ht="15" customHeight="1" s="82">
      <c r="A66" s="64">
        <f>INDEX(Projects[Project ID *],65)&amp;""</f>
        <v/>
      </c>
      <c r="B66" s="64">
        <f>INDEX(Projects[Project Name *],65)&amp;""</f>
        <v/>
      </c>
      <c r="C66" s="64">
        <f>INDEX(Projects[MS Shuttles],65)</f>
        <v/>
      </c>
      <c r="D66" s="64">
        <f>INDEX(Projects[MS Tote Locations],65)</f>
        <v/>
      </c>
      <c r="E66" s="64">
        <f>INDEX(Projects[AS Robots],65)</f>
        <v/>
      </c>
      <c r="F66" s="64">
        <f>INDEX(Projects[AS Tote Locations],65)</f>
        <v/>
      </c>
      <c r="G66" s="64">
        <f>INDEX(Projects[PS Shuttles],65)</f>
        <v/>
      </c>
      <c r="H66" s="64">
        <f>INDEX(Projects[PS Pallet Locations],65)</f>
        <v/>
      </c>
      <c r="I66" s="64">
        <f>INDEX(Projects[SRM Cranes],65)</f>
        <v/>
      </c>
      <c r="J66" s="64">
        <f>INDEX(Projects[SRM Pallet Locations],65)</f>
        <v/>
      </c>
      <c r="K66" s="64">
        <f>INDEX(Projects[Case Conv (m)],65)</f>
        <v/>
      </c>
      <c r="L66" s="64">
        <f>INDEX(Projects[Pallet Conv (m)],65)</f>
        <v/>
      </c>
      <c r="M66" s="64">
        <f>IF(N(DJ66)&gt;0,DD66,CW66)</f>
        <v/>
      </c>
      <c r="N66" s="64">
        <f>IF(N(DJ66)&gt;0,DE66,CX66)</f>
        <v/>
      </c>
      <c r="O66" s="64">
        <f>IF(N(DJ66)&gt;0,DF66,CY66)</f>
        <v/>
      </c>
      <c r="P66" s="64">
        <f>IF(N(DJ66)&gt;0,DG66,CZ66)</f>
        <v/>
      </c>
      <c r="Q66" s="64">
        <f>IF(N(DJ66)&gt;0,DH66,DA66)</f>
        <v/>
      </c>
      <c r="R66" s="64">
        <f>IF(N(DJ66)&gt;0,DI66,DB66)</f>
        <v/>
      </c>
      <c r="S66" s="64">
        <f>IF(N(DJ66)&gt;0,DJ66,DC66)</f>
        <v/>
      </c>
      <c r="T66" s="64">
        <f>INDEX(Projects[Currency],65)&amp;""</f>
        <v/>
      </c>
      <c r="U66" s="65">
        <f>INDEX(Projects[Sold Value (M)],65)</f>
        <v/>
      </c>
      <c r="V66" s="64">
        <f>IF('Smart Search'!B13=1,IFERROR(1/'Smart Search'!H13,0),0)</f>
        <v/>
      </c>
      <c r="W66" s="64">
        <f>IF('Smart Search'!B13=1,IFERROR(1/'Smart Search'!H13,0),0)</f>
        <v/>
      </c>
      <c r="X66" s="64">
        <f>IF('Smart Search'!C13=1,IFERROR(1/'Smart Search'!H13,0),0)</f>
        <v/>
      </c>
      <c r="Y66" s="64">
        <f>IF('Smart Search'!C13=1,IFERROR(1/'Smart Search'!H13,0),0)</f>
        <v/>
      </c>
      <c r="Z66" s="64">
        <f>IF('Smart Search'!D13=1,IFERROR(1/'Smart Search'!H13,0),0)</f>
        <v/>
      </c>
      <c r="AA66" s="64">
        <f>IF('Smart Search'!D13=1,IFERROR(1/'Smart Search'!H13,0),0)</f>
        <v/>
      </c>
      <c r="AB66" s="64">
        <f>IF('Smart Search'!E13=1,IFERROR(1/'Smart Search'!H13,0),0)</f>
        <v/>
      </c>
      <c r="AC66" s="64">
        <f>IF('Smart Search'!E13=1,IFERROR(1/'Smart Search'!H13,0),0)</f>
        <v/>
      </c>
      <c r="AD66" s="64">
        <f>IF('Smart Search'!F13=1,IFERROR(1/'Smart Search'!H13,0),0)</f>
        <v/>
      </c>
      <c r="AE66" s="64">
        <f>IF('Smart Search'!F13=1,IFERROR(1/'Smart Search'!H13,0),0)</f>
        <v/>
      </c>
      <c r="AF66" s="64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4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4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4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4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4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4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4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4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4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4">
        <f>AF66*V66</f>
        <v/>
      </c>
      <c r="AQ66" s="64">
        <f>AG66*W66</f>
        <v/>
      </c>
      <c r="AR66" s="64">
        <f>AH66*X66</f>
        <v/>
      </c>
      <c r="AS66" s="64">
        <f>AI66*Y66</f>
        <v/>
      </c>
      <c r="AT66" s="64">
        <f>AJ66*Z66</f>
        <v/>
      </c>
      <c r="AU66" s="64">
        <f>AK66*AA66</f>
        <v/>
      </c>
      <c r="AV66" s="64">
        <f>AL66*AB66</f>
        <v/>
      </c>
      <c r="AW66" s="64">
        <f>AM66*AC66</f>
        <v/>
      </c>
      <c r="AX66" s="64">
        <f>AN66*AD66</f>
        <v/>
      </c>
      <c r="AY66" s="64">
        <f>AO66*AE66</f>
        <v/>
      </c>
      <c r="AZ66" s="64">
        <f>INDEX(Projects[Automation Equipment],65)&amp;""</f>
        <v/>
      </c>
      <c r="BA66" s="64">
        <f>IF(OR(A66="",'Smart Search'!H13=0),"",MAX(0,BE66*BF66*MAX(0,1-BG66)))</f>
        <v/>
      </c>
      <c r="BB66" s="64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4">
        <f>IF('Smart Search'!G13=1,IFERROR(1/'Smart Search'!H13,0),0)</f>
        <v/>
      </c>
      <c r="BD66" s="64">
        <f>BB66*BC66</f>
        <v/>
      </c>
      <c r="BE66" s="64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IF(A66="","",N(INDEX(Projects[Act Mech Inst],65)))</f>
        <v/>
      </c>
      <c r="BK66" s="5">
        <f>IF(A66="","",N(INDEX(Projects[Act Elec Inst],65)))</f>
        <v/>
      </c>
      <c r="BL66" s="5">
        <f>IF(A66="","",N(INDEX(Projects[Act Project Management],65)))</f>
        <v/>
      </c>
      <c r="BM66" s="5">
        <f>IF(A66="","",N(INDEX(Projects[Act Systems Eng],65)))</f>
        <v/>
      </c>
      <c r="BN66" s="5">
        <f>IF(A66="","",N(INDEX(Projects[Act Mechanical Eng],65)))</f>
        <v/>
      </c>
      <c r="BO66" s="5">
        <f>IF(A66="","",N(INDEX(Projects[Act Structural Engineering],65)))</f>
        <v/>
      </c>
      <c r="BP66" s="5">
        <f>IF(A66="","",N(INDEX(Projects[Act Site Sup],65)))</f>
        <v/>
      </c>
      <c r="BQ66" s="5">
        <f>IF(A66="","",N(INDEX(Projects[Act Controls Commissioning],65)))</f>
        <v/>
      </c>
      <c r="BR66" s="5">
        <f>IF(A66="","",N(INDEX(Projects[Act Systems Commissioning],65)))</f>
        <v/>
      </c>
      <c r="BS66" s="5">
        <f>IF(A66="","",N(INDEX(Projects[Act Service Commissioning],65)))</f>
        <v/>
      </c>
      <c r="BT66" s="5">
        <f>IF(A66="","",N(INDEX(Projects[Act Controls Eng],65)))</f>
        <v/>
      </c>
      <c r="BU66" s="5">
        <f>IF(A66="","",N(INDEX(Projects[Act Controls Purchase],65)))</f>
        <v/>
      </c>
      <c r="BV66" s="5">
        <f>IF(A66="","",N(INDEX(Projects[Act Software Eng],65)))</f>
        <v/>
      </c>
      <c r="BW66" s="5">
        <f>IF(A66="","",N(INDEX(Projects[Act 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INDEX(Projects[Sold Value (USD M)],65)</f>
        <v/>
      </c>
      <c r="CE66" s="5" t="n"/>
      <c r="CF66" s="5">
        <f>IF(A66="","",N(INDEX(Projects[Est Mech Inst],65)))</f>
        <v/>
      </c>
      <c r="CG66" s="5">
        <f>IF(A66="","",N(INDEX(Projects[Est Elec Inst],65)))</f>
        <v/>
      </c>
      <c r="CH66" s="5">
        <f>IF(A66="","",N(INDEX(Projects[Est Project Management],65)))</f>
        <v/>
      </c>
      <c r="CI66" s="5">
        <f>IF(A66="","",N(INDEX(Projects[Est Systems Eng],65)))</f>
        <v/>
      </c>
      <c r="CJ66" s="5">
        <f>IF(A66="","",N(INDEX(Projects[Est Mechanical Eng],65)))</f>
        <v/>
      </c>
      <c r="CK66" s="5">
        <f>IF(A66="","",N(INDEX(Projects[Est Structural Engineering],65)))</f>
        <v/>
      </c>
      <c r="CL66" s="5">
        <f>IF(A66="","",N(INDEX(Projects[Est Site Sup],65)))</f>
        <v/>
      </c>
      <c r="CM66" s="5">
        <f>IF(A66="","",N(INDEX(Projects[Est Controls Commissioning],65)))</f>
        <v/>
      </c>
      <c r="CN66" s="5">
        <f>IF(A66="","",N(INDEX(Projects[Est Systems Commissioning],65)))</f>
        <v/>
      </c>
      <c r="CO66" s="5">
        <f>IF(A66="","",N(INDEX(Projects[Est Service Commissioning],65)))</f>
        <v/>
      </c>
      <c r="CP66" s="5">
        <f>IF(A66="","",N(INDEX(Projects[Est Controls Eng],65)))</f>
        <v/>
      </c>
      <c r="CQ66" s="5">
        <f>IF(A66="","",N(INDEX(Projects[Est Controls Purchase],65)))</f>
        <v/>
      </c>
      <c r="CR66" s="5">
        <f>IF(A66="","",N(INDEX(Projects[Est Software Eng],65)))</f>
        <v/>
      </c>
      <c r="CS66" s="5">
        <f>IF(A66="","",N(INDEX(Projects[Est Misc],65)))</f>
        <v/>
      </c>
      <c r="CT66" s="5">
        <f>IF(A66="","",SUM(CF66:CS66))</f>
        <v/>
      </c>
      <c r="CU66" s="5">
        <f>INDEX(Projects[Est Cost (M)],65)</f>
        <v/>
      </c>
      <c r="CV66" s="5">
        <f>INDEX(Projects[Act Cost (M)],65)</f>
        <v/>
      </c>
      <c r="CW66" s="5">
        <f>INDEX(Projects[Plan Mech Eng (wks)],65)</f>
        <v/>
      </c>
      <c r="CX66" s="5">
        <f>INDEX(Projects[Plan Controls Eng (wks)],65)</f>
        <v/>
      </c>
      <c r="CY66" s="5">
        <f>INDEX(Projects[Plan Systems Eng (wks)],65)</f>
        <v/>
      </c>
      <c r="CZ66" s="5">
        <f>INDEX(Projects[Plan Software Eng (wks)],65)</f>
        <v/>
      </c>
      <c r="DA66" s="5">
        <f>INDEX(Projects[Plan M&amp;E Installation (wks)],65)</f>
        <v/>
      </c>
      <c r="DB66" s="5">
        <f>INDEX(Projects[Plan Commissioning (wks)],65)</f>
        <v/>
      </c>
      <c r="DC66" s="5">
        <f>INDEX(Projects[Plan Total (wks)],65)</f>
        <v/>
      </c>
      <c r="DD66" s="5">
        <f>INDEX(Projects[Act Mech Eng (wks)],65)</f>
        <v/>
      </c>
      <c r="DE66" s="5">
        <f>INDEX(Projects[Act Controls Eng (wks)],65)</f>
        <v/>
      </c>
      <c r="DF66" s="5">
        <f>INDEX(Projects[Act Systems Eng (wks)],65)</f>
        <v/>
      </c>
      <c r="DG66" s="5">
        <f>INDEX(Projects[Act Software Eng (wks)],65)</f>
        <v/>
      </c>
      <c r="DH66" s="5">
        <f>INDEX(Projects[Act M&amp;E Installation (wks)],65)</f>
        <v/>
      </c>
      <c r="DI66" s="5">
        <f>INDEX(Projects[Act Commissioning (wks)],65)</f>
        <v/>
      </c>
      <c r="DJ66" s="5">
        <f>INDEX(Projects[Act Total (wks)],65)</f>
        <v/>
      </c>
    </row>
    <row r="67" ht="15" customHeight="1" s="82">
      <c r="A67" s="64">
        <f>INDEX(Projects[Project ID *],66)&amp;""</f>
        <v/>
      </c>
      <c r="B67" s="64">
        <f>INDEX(Projects[Project Name *],66)&amp;""</f>
        <v/>
      </c>
      <c r="C67" s="64">
        <f>INDEX(Projects[MS Shuttles],66)</f>
        <v/>
      </c>
      <c r="D67" s="64">
        <f>INDEX(Projects[MS Tote Locations],66)</f>
        <v/>
      </c>
      <c r="E67" s="64">
        <f>INDEX(Projects[AS Robots],66)</f>
        <v/>
      </c>
      <c r="F67" s="64">
        <f>INDEX(Projects[AS Tote Locations],66)</f>
        <v/>
      </c>
      <c r="G67" s="64">
        <f>INDEX(Projects[PS Shuttles],66)</f>
        <v/>
      </c>
      <c r="H67" s="64">
        <f>INDEX(Projects[PS Pallet Locations],66)</f>
        <v/>
      </c>
      <c r="I67" s="64">
        <f>INDEX(Projects[SRM Cranes],66)</f>
        <v/>
      </c>
      <c r="J67" s="64">
        <f>INDEX(Projects[SRM Pallet Locations],66)</f>
        <v/>
      </c>
      <c r="K67" s="64">
        <f>INDEX(Projects[Case Conv (m)],66)</f>
        <v/>
      </c>
      <c r="L67" s="64">
        <f>INDEX(Projects[Pallet Conv (m)],66)</f>
        <v/>
      </c>
      <c r="M67" s="64">
        <f>IF(N(DJ67)&gt;0,DD67,CW67)</f>
        <v/>
      </c>
      <c r="N67" s="64">
        <f>IF(N(DJ67)&gt;0,DE67,CX67)</f>
        <v/>
      </c>
      <c r="O67" s="64">
        <f>IF(N(DJ67)&gt;0,DF67,CY67)</f>
        <v/>
      </c>
      <c r="P67" s="64">
        <f>IF(N(DJ67)&gt;0,DG67,CZ67)</f>
        <v/>
      </c>
      <c r="Q67" s="64">
        <f>IF(N(DJ67)&gt;0,DH67,DA67)</f>
        <v/>
      </c>
      <c r="R67" s="64">
        <f>IF(N(DJ67)&gt;0,DI67,DB67)</f>
        <v/>
      </c>
      <c r="S67" s="64">
        <f>IF(N(DJ67)&gt;0,DJ67,DC67)</f>
        <v/>
      </c>
      <c r="T67" s="64">
        <f>INDEX(Projects[Currency],66)&amp;""</f>
        <v/>
      </c>
      <c r="U67" s="65">
        <f>INDEX(Projects[Sold Value (M)],66)</f>
        <v/>
      </c>
      <c r="V67" s="64">
        <f>IF('Smart Search'!B13=1,IFERROR(1/'Smart Search'!H13,0),0)</f>
        <v/>
      </c>
      <c r="W67" s="64">
        <f>IF('Smart Search'!B13=1,IFERROR(1/'Smart Search'!H13,0),0)</f>
        <v/>
      </c>
      <c r="X67" s="64">
        <f>IF('Smart Search'!C13=1,IFERROR(1/'Smart Search'!H13,0),0)</f>
        <v/>
      </c>
      <c r="Y67" s="64">
        <f>IF('Smart Search'!C13=1,IFERROR(1/'Smart Search'!H13,0),0)</f>
        <v/>
      </c>
      <c r="Z67" s="64">
        <f>IF('Smart Search'!D13=1,IFERROR(1/'Smart Search'!H13,0),0)</f>
        <v/>
      </c>
      <c r="AA67" s="64">
        <f>IF('Smart Search'!D13=1,IFERROR(1/'Smart Search'!H13,0),0)</f>
        <v/>
      </c>
      <c r="AB67" s="64">
        <f>IF('Smart Search'!E13=1,IFERROR(1/'Smart Search'!H13,0),0)</f>
        <v/>
      </c>
      <c r="AC67" s="64">
        <f>IF('Smart Search'!E13=1,IFERROR(1/'Smart Search'!H13,0),0)</f>
        <v/>
      </c>
      <c r="AD67" s="64">
        <f>IF('Smart Search'!F13=1,IFERROR(1/'Smart Search'!H13,0),0)</f>
        <v/>
      </c>
      <c r="AE67" s="64">
        <f>IF('Smart Search'!F13=1,IFERROR(1/'Smart Search'!H13,0),0)</f>
        <v/>
      </c>
      <c r="AF67" s="64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4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4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4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4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4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4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4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4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4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4">
        <f>AF67*V67</f>
        <v/>
      </c>
      <c r="AQ67" s="64">
        <f>AG67*W67</f>
        <v/>
      </c>
      <c r="AR67" s="64">
        <f>AH67*X67</f>
        <v/>
      </c>
      <c r="AS67" s="64">
        <f>AI67*Y67</f>
        <v/>
      </c>
      <c r="AT67" s="64">
        <f>AJ67*Z67</f>
        <v/>
      </c>
      <c r="AU67" s="64">
        <f>AK67*AA67</f>
        <v/>
      </c>
      <c r="AV67" s="64">
        <f>AL67*AB67</f>
        <v/>
      </c>
      <c r="AW67" s="64">
        <f>AM67*AC67</f>
        <v/>
      </c>
      <c r="AX67" s="64">
        <f>AN67*AD67</f>
        <v/>
      </c>
      <c r="AY67" s="64">
        <f>AO67*AE67</f>
        <v/>
      </c>
      <c r="AZ67" s="64">
        <f>INDEX(Projects[Automation Equipment],66)&amp;""</f>
        <v/>
      </c>
      <c r="BA67" s="64">
        <f>IF(OR(A67="",'Smart Search'!H13=0),"",MAX(0,BE67*BF67*MAX(0,1-BG67)))</f>
        <v/>
      </c>
      <c r="BB67" s="64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4">
        <f>IF('Smart Search'!G13=1,IFERROR(1/'Smart Search'!H13,0),0)</f>
        <v/>
      </c>
      <c r="BD67" s="64">
        <f>BB67*BC67</f>
        <v/>
      </c>
      <c r="BE67" s="64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IF(A67="","",N(INDEX(Projects[Act Mech Inst],66)))</f>
        <v/>
      </c>
      <c r="BK67" s="5">
        <f>IF(A67="","",N(INDEX(Projects[Act Elec Inst],66)))</f>
        <v/>
      </c>
      <c r="BL67" s="5">
        <f>IF(A67="","",N(INDEX(Projects[Act Project Management],66)))</f>
        <v/>
      </c>
      <c r="BM67" s="5">
        <f>IF(A67="","",N(INDEX(Projects[Act Systems Eng],66)))</f>
        <v/>
      </c>
      <c r="BN67" s="5">
        <f>IF(A67="","",N(INDEX(Projects[Act Mechanical Eng],66)))</f>
        <v/>
      </c>
      <c r="BO67" s="5">
        <f>IF(A67="","",N(INDEX(Projects[Act Structural Engineering],66)))</f>
        <v/>
      </c>
      <c r="BP67" s="5">
        <f>IF(A67="","",N(INDEX(Projects[Act Site Sup],66)))</f>
        <v/>
      </c>
      <c r="BQ67" s="5">
        <f>IF(A67="","",N(INDEX(Projects[Act Controls Commissioning],66)))</f>
        <v/>
      </c>
      <c r="BR67" s="5">
        <f>IF(A67="","",N(INDEX(Projects[Act Systems Commissioning],66)))</f>
        <v/>
      </c>
      <c r="BS67" s="5">
        <f>IF(A67="","",N(INDEX(Projects[Act Service Commissioning],66)))</f>
        <v/>
      </c>
      <c r="BT67" s="5">
        <f>IF(A67="","",N(INDEX(Projects[Act Controls Eng],66)))</f>
        <v/>
      </c>
      <c r="BU67" s="5">
        <f>IF(A67="","",N(INDEX(Projects[Act Controls Purchase],66)))</f>
        <v/>
      </c>
      <c r="BV67" s="5">
        <f>IF(A67="","",N(INDEX(Projects[Act Software Eng],66)))</f>
        <v/>
      </c>
      <c r="BW67" s="5">
        <f>IF(A67="","",N(INDEX(Projects[Act 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INDEX(Projects[Sold Value (USD M)],66)</f>
        <v/>
      </c>
      <c r="CE67" s="5" t="n"/>
      <c r="CF67" s="5">
        <f>IF(A67="","",N(INDEX(Projects[Est Mech Inst],66)))</f>
        <v/>
      </c>
      <c r="CG67" s="5">
        <f>IF(A67="","",N(INDEX(Projects[Est Elec Inst],66)))</f>
        <v/>
      </c>
      <c r="CH67" s="5">
        <f>IF(A67="","",N(INDEX(Projects[Est Project Management],66)))</f>
        <v/>
      </c>
      <c r="CI67" s="5">
        <f>IF(A67="","",N(INDEX(Projects[Est Systems Eng],66)))</f>
        <v/>
      </c>
      <c r="CJ67" s="5">
        <f>IF(A67="","",N(INDEX(Projects[Est Mechanical Eng],66)))</f>
        <v/>
      </c>
      <c r="CK67" s="5">
        <f>IF(A67="","",N(INDEX(Projects[Est Structural Engineering],66)))</f>
        <v/>
      </c>
      <c r="CL67" s="5">
        <f>IF(A67="","",N(INDEX(Projects[Est Site Sup],66)))</f>
        <v/>
      </c>
      <c r="CM67" s="5">
        <f>IF(A67="","",N(INDEX(Projects[Est Controls Commissioning],66)))</f>
        <v/>
      </c>
      <c r="CN67" s="5">
        <f>IF(A67="","",N(INDEX(Projects[Est Systems Commissioning],66)))</f>
        <v/>
      </c>
      <c r="CO67" s="5">
        <f>IF(A67="","",N(INDEX(Projects[Est Service Commissioning],66)))</f>
        <v/>
      </c>
      <c r="CP67" s="5">
        <f>IF(A67="","",N(INDEX(Projects[Est Controls Eng],66)))</f>
        <v/>
      </c>
      <c r="CQ67" s="5">
        <f>IF(A67="","",N(INDEX(Projects[Est Controls Purchase],66)))</f>
        <v/>
      </c>
      <c r="CR67" s="5">
        <f>IF(A67="","",N(INDEX(Projects[Est Software Eng],66)))</f>
        <v/>
      </c>
      <c r="CS67" s="5">
        <f>IF(A67="","",N(INDEX(Projects[Est Misc],66)))</f>
        <v/>
      </c>
      <c r="CT67" s="5">
        <f>IF(A67="","",SUM(CF67:CS67))</f>
        <v/>
      </c>
      <c r="CU67" s="5">
        <f>INDEX(Projects[Est Cost (M)],66)</f>
        <v/>
      </c>
      <c r="CV67" s="5">
        <f>INDEX(Projects[Act Cost (M)],66)</f>
        <v/>
      </c>
      <c r="CW67" s="5">
        <f>INDEX(Projects[Plan Mech Eng (wks)],66)</f>
        <v/>
      </c>
      <c r="CX67" s="5">
        <f>INDEX(Projects[Plan Controls Eng (wks)],66)</f>
        <v/>
      </c>
      <c r="CY67" s="5">
        <f>INDEX(Projects[Plan Systems Eng (wks)],66)</f>
        <v/>
      </c>
      <c r="CZ67" s="5">
        <f>INDEX(Projects[Plan Software Eng (wks)],66)</f>
        <v/>
      </c>
      <c r="DA67" s="5">
        <f>INDEX(Projects[Plan M&amp;E Installation (wks)],66)</f>
        <v/>
      </c>
      <c r="DB67" s="5">
        <f>INDEX(Projects[Plan Commissioning (wks)],66)</f>
        <v/>
      </c>
      <c r="DC67" s="5">
        <f>INDEX(Projects[Plan Total (wks)],66)</f>
        <v/>
      </c>
      <c r="DD67" s="5">
        <f>INDEX(Projects[Act Mech Eng (wks)],66)</f>
        <v/>
      </c>
      <c r="DE67" s="5">
        <f>INDEX(Projects[Act Controls Eng (wks)],66)</f>
        <v/>
      </c>
      <c r="DF67" s="5">
        <f>INDEX(Projects[Act Systems Eng (wks)],66)</f>
        <v/>
      </c>
      <c r="DG67" s="5">
        <f>INDEX(Projects[Act Software Eng (wks)],66)</f>
        <v/>
      </c>
      <c r="DH67" s="5">
        <f>INDEX(Projects[Act M&amp;E Installation (wks)],66)</f>
        <v/>
      </c>
      <c r="DI67" s="5">
        <f>INDEX(Projects[Act Commissioning (wks)],66)</f>
        <v/>
      </c>
      <c r="DJ67" s="5">
        <f>INDEX(Projects[Act Total (wks)],66)</f>
        <v/>
      </c>
    </row>
    <row r="68" ht="15" customHeight="1" s="82">
      <c r="A68" s="64">
        <f>INDEX(Projects[Project ID *],67)&amp;""</f>
        <v/>
      </c>
      <c r="B68" s="64">
        <f>INDEX(Projects[Project Name *],67)&amp;""</f>
        <v/>
      </c>
      <c r="C68" s="64">
        <f>INDEX(Projects[MS Shuttles],67)</f>
        <v/>
      </c>
      <c r="D68" s="64">
        <f>INDEX(Projects[MS Tote Locations],67)</f>
        <v/>
      </c>
      <c r="E68" s="64">
        <f>INDEX(Projects[AS Robots],67)</f>
        <v/>
      </c>
      <c r="F68" s="64">
        <f>INDEX(Projects[AS Tote Locations],67)</f>
        <v/>
      </c>
      <c r="G68" s="64">
        <f>INDEX(Projects[PS Shuttles],67)</f>
        <v/>
      </c>
      <c r="H68" s="64">
        <f>INDEX(Projects[PS Pallet Locations],67)</f>
        <v/>
      </c>
      <c r="I68" s="64">
        <f>INDEX(Projects[SRM Cranes],67)</f>
        <v/>
      </c>
      <c r="J68" s="64">
        <f>INDEX(Projects[SRM Pallet Locations],67)</f>
        <v/>
      </c>
      <c r="K68" s="64">
        <f>INDEX(Projects[Case Conv (m)],67)</f>
        <v/>
      </c>
      <c r="L68" s="64">
        <f>INDEX(Projects[Pallet Conv (m)],67)</f>
        <v/>
      </c>
      <c r="M68" s="64">
        <f>IF(N(DJ68)&gt;0,DD68,CW68)</f>
        <v/>
      </c>
      <c r="N68" s="64">
        <f>IF(N(DJ68)&gt;0,DE68,CX68)</f>
        <v/>
      </c>
      <c r="O68" s="64">
        <f>IF(N(DJ68)&gt;0,DF68,CY68)</f>
        <v/>
      </c>
      <c r="P68" s="64">
        <f>IF(N(DJ68)&gt;0,DG68,CZ68)</f>
        <v/>
      </c>
      <c r="Q68" s="64">
        <f>IF(N(DJ68)&gt;0,DH68,DA68)</f>
        <v/>
      </c>
      <c r="R68" s="64">
        <f>IF(N(DJ68)&gt;0,DI68,DB68)</f>
        <v/>
      </c>
      <c r="S68" s="64">
        <f>IF(N(DJ68)&gt;0,DJ68,DC68)</f>
        <v/>
      </c>
      <c r="T68" s="64">
        <f>INDEX(Projects[Currency],67)&amp;""</f>
        <v/>
      </c>
      <c r="U68" s="65">
        <f>INDEX(Projects[Sold Value (M)],67)</f>
        <v/>
      </c>
      <c r="V68" s="64">
        <f>IF('Smart Search'!B13=1,IFERROR(1/'Smart Search'!H13,0),0)</f>
        <v/>
      </c>
      <c r="W68" s="64">
        <f>IF('Smart Search'!B13=1,IFERROR(1/'Smart Search'!H13,0),0)</f>
        <v/>
      </c>
      <c r="X68" s="64">
        <f>IF('Smart Search'!C13=1,IFERROR(1/'Smart Search'!H13,0),0)</f>
        <v/>
      </c>
      <c r="Y68" s="64">
        <f>IF('Smart Search'!C13=1,IFERROR(1/'Smart Search'!H13,0),0)</f>
        <v/>
      </c>
      <c r="Z68" s="64">
        <f>IF('Smart Search'!D13=1,IFERROR(1/'Smart Search'!H13,0),0)</f>
        <v/>
      </c>
      <c r="AA68" s="64">
        <f>IF('Smart Search'!D13=1,IFERROR(1/'Smart Search'!H13,0),0)</f>
        <v/>
      </c>
      <c r="AB68" s="64">
        <f>IF('Smart Search'!E13=1,IFERROR(1/'Smart Search'!H13,0),0)</f>
        <v/>
      </c>
      <c r="AC68" s="64">
        <f>IF('Smart Search'!E13=1,IFERROR(1/'Smart Search'!H13,0),0)</f>
        <v/>
      </c>
      <c r="AD68" s="64">
        <f>IF('Smart Search'!F13=1,IFERROR(1/'Smart Search'!H13,0),0)</f>
        <v/>
      </c>
      <c r="AE68" s="64">
        <f>IF('Smart Search'!F13=1,IFERROR(1/'Smart Search'!H13,0),0)</f>
        <v/>
      </c>
      <c r="AF68" s="64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4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4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4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4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4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4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4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4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4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4">
        <f>AF68*V68</f>
        <v/>
      </c>
      <c r="AQ68" s="64">
        <f>AG68*W68</f>
        <v/>
      </c>
      <c r="AR68" s="64">
        <f>AH68*X68</f>
        <v/>
      </c>
      <c r="AS68" s="64">
        <f>AI68*Y68</f>
        <v/>
      </c>
      <c r="AT68" s="64">
        <f>AJ68*Z68</f>
        <v/>
      </c>
      <c r="AU68" s="64">
        <f>AK68*AA68</f>
        <v/>
      </c>
      <c r="AV68" s="64">
        <f>AL68*AB68</f>
        <v/>
      </c>
      <c r="AW68" s="64">
        <f>AM68*AC68</f>
        <v/>
      </c>
      <c r="AX68" s="64">
        <f>AN68*AD68</f>
        <v/>
      </c>
      <c r="AY68" s="64">
        <f>AO68*AE68</f>
        <v/>
      </c>
      <c r="AZ68" s="64">
        <f>INDEX(Projects[Automation Equipment],67)&amp;""</f>
        <v/>
      </c>
      <c r="BA68" s="64">
        <f>IF(OR(A68="",'Smart Search'!H13=0),"",MAX(0,BE68*BF68*MAX(0,1-BG68)))</f>
        <v/>
      </c>
      <c r="BB68" s="64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4">
        <f>IF('Smart Search'!G13=1,IFERROR(1/'Smart Search'!H13,0),0)</f>
        <v/>
      </c>
      <c r="BD68" s="64">
        <f>BB68*BC68</f>
        <v/>
      </c>
      <c r="BE68" s="64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IF(A68="","",N(INDEX(Projects[Act Mech Inst],67)))</f>
        <v/>
      </c>
      <c r="BK68" s="5">
        <f>IF(A68="","",N(INDEX(Projects[Act Elec Inst],67)))</f>
        <v/>
      </c>
      <c r="BL68" s="5">
        <f>IF(A68="","",N(INDEX(Projects[Act Project Management],67)))</f>
        <v/>
      </c>
      <c r="BM68" s="5">
        <f>IF(A68="","",N(INDEX(Projects[Act Systems Eng],67)))</f>
        <v/>
      </c>
      <c r="BN68" s="5">
        <f>IF(A68="","",N(INDEX(Projects[Act Mechanical Eng],67)))</f>
        <v/>
      </c>
      <c r="BO68" s="5">
        <f>IF(A68="","",N(INDEX(Projects[Act Structural Engineering],67)))</f>
        <v/>
      </c>
      <c r="BP68" s="5">
        <f>IF(A68="","",N(INDEX(Projects[Act Site Sup],67)))</f>
        <v/>
      </c>
      <c r="BQ68" s="5">
        <f>IF(A68="","",N(INDEX(Projects[Act Controls Commissioning],67)))</f>
        <v/>
      </c>
      <c r="BR68" s="5">
        <f>IF(A68="","",N(INDEX(Projects[Act Systems Commissioning],67)))</f>
        <v/>
      </c>
      <c r="BS68" s="5">
        <f>IF(A68="","",N(INDEX(Projects[Act Service Commissioning],67)))</f>
        <v/>
      </c>
      <c r="BT68" s="5">
        <f>IF(A68="","",N(INDEX(Projects[Act Controls Eng],67)))</f>
        <v/>
      </c>
      <c r="BU68" s="5">
        <f>IF(A68="","",N(INDEX(Projects[Act Controls Purchase],67)))</f>
        <v/>
      </c>
      <c r="BV68" s="5">
        <f>IF(A68="","",N(INDEX(Projects[Act Software Eng],67)))</f>
        <v/>
      </c>
      <c r="BW68" s="5">
        <f>IF(A68="","",N(INDEX(Projects[Act 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INDEX(Projects[Sold Value (USD M)],67)</f>
        <v/>
      </c>
      <c r="CE68" s="5" t="n"/>
      <c r="CF68" s="5">
        <f>IF(A68="","",N(INDEX(Projects[Est Mech Inst],67)))</f>
        <v/>
      </c>
      <c r="CG68" s="5">
        <f>IF(A68="","",N(INDEX(Projects[Est Elec Inst],67)))</f>
        <v/>
      </c>
      <c r="CH68" s="5">
        <f>IF(A68="","",N(INDEX(Projects[Est Project Management],67)))</f>
        <v/>
      </c>
      <c r="CI68" s="5">
        <f>IF(A68="","",N(INDEX(Projects[Est Systems Eng],67)))</f>
        <v/>
      </c>
      <c r="CJ68" s="5">
        <f>IF(A68="","",N(INDEX(Projects[Est Mechanical Eng],67)))</f>
        <v/>
      </c>
      <c r="CK68" s="5">
        <f>IF(A68="","",N(INDEX(Projects[Est Structural Engineering],67)))</f>
        <v/>
      </c>
      <c r="CL68" s="5">
        <f>IF(A68="","",N(INDEX(Projects[Est Site Sup],67)))</f>
        <v/>
      </c>
      <c r="CM68" s="5">
        <f>IF(A68="","",N(INDEX(Projects[Est Controls Commissioning],67)))</f>
        <v/>
      </c>
      <c r="CN68" s="5">
        <f>IF(A68="","",N(INDEX(Projects[Est Systems Commissioning],67)))</f>
        <v/>
      </c>
      <c r="CO68" s="5">
        <f>IF(A68="","",N(INDEX(Projects[Est Service Commissioning],67)))</f>
        <v/>
      </c>
      <c r="CP68" s="5">
        <f>IF(A68="","",N(INDEX(Projects[Est Controls Eng],67)))</f>
        <v/>
      </c>
      <c r="CQ68" s="5">
        <f>IF(A68="","",N(INDEX(Projects[Est Controls Purchase],67)))</f>
        <v/>
      </c>
      <c r="CR68" s="5">
        <f>IF(A68="","",N(INDEX(Projects[Est Software Eng],67)))</f>
        <v/>
      </c>
      <c r="CS68" s="5">
        <f>IF(A68="","",N(INDEX(Projects[Est Misc],67)))</f>
        <v/>
      </c>
      <c r="CT68" s="5">
        <f>IF(A68="","",SUM(CF68:CS68))</f>
        <v/>
      </c>
      <c r="CU68" s="5">
        <f>INDEX(Projects[Est Cost (M)],67)</f>
        <v/>
      </c>
      <c r="CV68" s="5">
        <f>INDEX(Projects[Act Cost (M)],67)</f>
        <v/>
      </c>
      <c r="CW68" s="5">
        <f>INDEX(Projects[Plan Mech Eng (wks)],67)</f>
        <v/>
      </c>
      <c r="CX68" s="5">
        <f>INDEX(Projects[Plan Controls Eng (wks)],67)</f>
        <v/>
      </c>
      <c r="CY68" s="5">
        <f>INDEX(Projects[Plan Systems Eng (wks)],67)</f>
        <v/>
      </c>
      <c r="CZ68" s="5">
        <f>INDEX(Projects[Plan Software Eng (wks)],67)</f>
        <v/>
      </c>
      <c r="DA68" s="5">
        <f>INDEX(Projects[Plan M&amp;E Installation (wks)],67)</f>
        <v/>
      </c>
      <c r="DB68" s="5">
        <f>INDEX(Projects[Plan Commissioning (wks)],67)</f>
        <v/>
      </c>
      <c r="DC68" s="5">
        <f>INDEX(Projects[Plan Total (wks)],67)</f>
        <v/>
      </c>
      <c r="DD68" s="5">
        <f>INDEX(Projects[Act Mech Eng (wks)],67)</f>
        <v/>
      </c>
      <c r="DE68" s="5">
        <f>INDEX(Projects[Act Controls Eng (wks)],67)</f>
        <v/>
      </c>
      <c r="DF68" s="5">
        <f>INDEX(Projects[Act Systems Eng (wks)],67)</f>
        <v/>
      </c>
      <c r="DG68" s="5">
        <f>INDEX(Projects[Act Software Eng (wks)],67)</f>
        <v/>
      </c>
      <c r="DH68" s="5">
        <f>INDEX(Projects[Act M&amp;E Installation (wks)],67)</f>
        <v/>
      </c>
      <c r="DI68" s="5">
        <f>INDEX(Projects[Act Commissioning (wks)],67)</f>
        <v/>
      </c>
      <c r="DJ68" s="5">
        <f>INDEX(Projects[Act Total (wks)],67)</f>
        <v/>
      </c>
    </row>
    <row r="69" ht="15" customHeight="1" s="82">
      <c r="A69" s="64">
        <f>INDEX(Projects[Project ID *],68)&amp;""</f>
        <v/>
      </c>
      <c r="B69" s="64">
        <f>INDEX(Projects[Project Name *],68)&amp;""</f>
        <v/>
      </c>
      <c r="C69" s="64">
        <f>INDEX(Projects[MS Shuttles],68)</f>
        <v/>
      </c>
      <c r="D69" s="64">
        <f>INDEX(Projects[MS Tote Locations],68)</f>
        <v/>
      </c>
      <c r="E69" s="64">
        <f>INDEX(Projects[AS Robots],68)</f>
        <v/>
      </c>
      <c r="F69" s="64">
        <f>INDEX(Projects[AS Tote Locations],68)</f>
        <v/>
      </c>
      <c r="G69" s="64">
        <f>INDEX(Projects[PS Shuttles],68)</f>
        <v/>
      </c>
      <c r="H69" s="64">
        <f>INDEX(Projects[PS Pallet Locations],68)</f>
        <v/>
      </c>
      <c r="I69" s="64">
        <f>INDEX(Projects[SRM Cranes],68)</f>
        <v/>
      </c>
      <c r="J69" s="64">
        <f>INDEX(Projects[SRM Pallet Locations],68)</f>
        <v/>
      </c>
      <c r="K69" s="64">
        <f>INDEX(Projects[Case Conv (m)],68)</f>
        <v/>
      </c>
      <c r="L69" s="64">
        <f>INDEX(Projects[Pallet Conv (m)],68)</f>
        <v/>
      </c>
      <c r="M69" s="64">
        <f>IF(N(DJ69)&gt;0,DD69,CW69)</f>
        <v/>
      </c>
      <c r="N69" s="64">
        <f>IF(N(DJ69)&gt;0,DE69,CX69)</f>
        <v/>
      </c>
      <c r="O69" s="64">
        <f>IF(N(DJ69)&gt;0,DF69,CY69)</f>
        <v/>
      </c>
      <c r="P69" s="64">
        <f>IF(N(DJ69)&gt;0,DG69,CZ69)</f>
        <v/>
      </c>
      <c r="Q69" s="64">
        <f>IF(N(DJ69)&gt;0,DH69,DA69)</f>
        <v/>
      </c>
      <c r="R69" s="64">
        <f>IF(N(DJ69)&gt;0,DI69,DB69)</f>
        <v/>
      </c>
      <c r="S69" s="64">
        <f>IF(N(DJ69)&gt;0,DJ69,DC69)</f>
        <v/>
      </c>
      <c r="T69" s="64">
        <f>INDEX(Projects[Currency],68)&amp;""</f>
        <v/>
      </c>
      <c r="U69" s="65">
        <f>INDEX(Projects[Sold Value (M)],68)</f>
        <v/>
      </c>
      <c r="V69" s="64">
        <f>IF('Smart Search'!B13=1,IFERROR(1/'Smart Search'!H13,0),0)</f>
        <v/>
      </c>
      <c r="W69" s="64">
        <f>IF('Smart Search'!B13=1,IFERROR(1/'Smart Search'!H13,0),0)</f>
        <v/>
      </c>
      <c r="X69" s="64">
        <f>IF('Smart Search'!C13=1,IFERROR(1/'Smart Search'!H13,0),0)</f>
        <v/>
      </c>
      <c r="Y69" s="64">
        <f>IF('Smart Search'!C13=1,IFERROR(1/'Smart Search'!H13,0),0)</f>
        <v/>
      </c>
      <c r="Z69" s="64">
        <f>IF('Smart Search'!D13=1,IFERROR(1/'Smart Search'!H13,0),0)</f>
        <v/>
      </c>
      <c r="AA69" s="64">
        <f>IF('Smart Search'!D13=1,IFERROR(1/'Smart Search'!H13,0),0)</f>
        <v/>
      </c>
      <c r="AB69" s="64">
        <f>IF('Smart Search'!E13=1,IFERROR(1/'Smart Search'!H13,0),0)</f>
        <v/>
      </c>
      <c r="AC69" s="64">
        <f>IF('Smart Search'!E13=1,IFERROR(1/'Smart Search'!H13,0),0)</f>
        <v/>
      </c>
      <c r="AD69" s="64">
        <f>IF('Smart Search'!F13=1,IFERROR(1/'Smart Search'!H13,0),0)</f>
        <v/>
      </c>
      <c r="AE69" s="64">
        <f>IF('Smart Search'!F13=1,IFERROR(1/'Smart Search'!H13,0),0)</f>
        <v/>
      </c>
      <c r="AF69" s="64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4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4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4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4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4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4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4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4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4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4">
        <f>AF69*V69</f>
        <v/>
      </c>
      <c r="AQ69" s="64">
        <f>AG69*W69</f>
        <v/>
      </c>
      <c r="AR69" s="64">
        <f>AH69*X69</f>
        <v/>
      </c>
      <c r="AS69" s="64">
        <f>AI69*Y69</f>
        <v/>
      </c>
      <c r="AT69" s="64">
        <f>AJ69*Z69</f>
        <v/>
      </c>
      <c r="AU69" s="64">
        <f>AK69*AA69</f>
        <v/>
      </c>
      <c r="AV69" s="64">
        <f>AL69*AB69</f>
        <v/>
      </c>
      <c r="AW69" s="64">
        <f>AM69*AC69</f>
        <v/>
      </c>
      <c r="AX69" s="64">
        <f>AN69*AD69</f>
        <v/>
      </c>
      <c r="AY69" s="64">
        <f>AO69*AE69</f>
        <v/>
      </c>
      <c r="AZ69" s="64">
        <f>INDEX(Projects[Automation Equipment],68)&amp;""</f>
        <v/>
      </c>
      <c r="BA69" s="64">
        <f>IF(OR(A69="",'Smart Search'!H13=0),"",MAX(0,BE69*BF69*MAX(0,1-BG69)))</f>
        <v/>
      </c>
      <c r="BB69" s="64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4">
        <f>IF('Smart Search'!G13=1,IFERROR(1/'Smart Search'!H13,0),0)</f>
        <v/>
      </c>
      <c r="BD69" s="64">
        <f>BB69*BC69</f>
        <v/>
      </c>
      <c r="BE69" s="64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IF(A69="","",N(INDEX(Projects[Act Mech Inst],68)))</f>
        <v/>
      </c>
      <c r="BK69" s="5">
        <f>IF(A69="","",N(INDEX(Projects[Act Elec Inst],68)))</f>
        <v/>
      </c>
      <c r="BL69" s="5">
        <f>IF(A69="","",N(INDEX(Projects[Act Project Management],68)))</f>
        <v/>
      </c>
      <c r="BM69" s="5">
        <f>IF(A69="","",N(INDEX(Projects[Act Systems Eng],68)))</f>
        <v/>
      </c>
      <c r="BN69" s="5">
        <f>IF(A69="","",N(INDEX(Projects[Act Mechanical Eng],68)))</f>
        <v/>
      </c>
      <c r="BO69" s="5">
        <f>IF(A69="","",N(INDEX(Projects[Act Structural Engineering],68)))</f>
        <v/>
      </c>
      <c r="BP69" s="5">
        <f>IF(A69="","",N(INDEX(Projects[Act Site Sup],68)))</f>
        <v/>
      </c>
      <c r="BQ69" s="5">
        <f>IF(A69="","",N(INDEX(Projects[Act Controls Commissioning],68)))</f>
        <v/>
      </c>
      <c r="BR69" s="5">
        <f>IF(A69="","",N(INDEX(Projects[Act Systems Commissioning],68)))</f>
        <v/>
      </c>
      <c r="BS69" s="5">
        <f>IF(A69="","",N(INDEX(Projects[Act Service Commissioning],68)))</f>
        <v/>
      </c>
      <c r="BT69" s="5">
        <f>IF(A69="","",N(INDEX(Projects[Act Controls Eng],68)))</f>
        <v/>
      </c>
      <c r="BU69" s="5">
        <f>IF(A69="","",N(INDEX(Projects[Act Controls Purchase],68)))</f>
        <v/>
      </c>
      <c r="BV69" s="5">
        <f>IF(A69="","",N(INDEX(Projects[Act Software Eng],68)))</f>
        <v/>
      </c>
      <c r="BW69" s="5">
        <f>IF(A69="","",N(INDEX(Projects[Act 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INDEX(Projects[Sold Value (USD M)],68)</f>
        <v/>
      </c>
      <c r="CE69" s="5" t="n"/>
      <c r="CF69" s="5">
        <f>IF(A69="","",N(INDEX(Projects[Est Mech Inst],68)))</f>
        <v/>
      </c>
      <c r="CG69" s="5">
        <f>IF(A69="","",N(INDEX(Projects[Est Elec Inst],68)))</f>
        <v/>
      </c>
      <c r="CH69" s="5">
        <f>IF(A69="","",N(INDEX(Projects[Est Project Management],68)))</f>
        <v/>
      </c>
      <c r="CI69" s="5">
        <f>IF(A69="","",N(INDEX(Projects[Est Systems Eng],68)))</f>
        <v/>
      </c>
      <c r="CJ69" s="5">
        <f>IF(A69="","",N(INDEX(Projects[Est Mechanical Eng],68)))</f>
        <v/>
      </c>
      <c r="CK69" s="5">
        <f>IF(A69="","",N(INDEX(Projects[Est Structural Engineering],68)))</f>
        <v/>
      </c>
      <c r="CL69" s="5">
        <f>IF(A69="","",N(INDEX(Projects[Est Site Sup],68)))</f>
        <v/>
      </c>
      <c r="CM69" s="5">
        <f>IF(A69="","",N(INDEX(Projects[Est Controls Commissioning],68)))</f>
        <v/>
      </c>
      <c r="CN69" s="5">
        <f>IF(A69="","",N(INDEX(Projects[Est Systems Commissioning],68)))</f>
        <v/>
      </c>
      <c r="CO69" s="5">
        <f>IF(A69="","",N(INDEX(Projects[Est Service Commissioning],68)))</f>
        <v/>
      </c>
      <c r="CP69" s="5">
        <f>IF(A69="","",N(INDEX(Projects[Est Controls Eng],68)))</f>
        <v/>
      </c>
      <c r="CQ69" s="5">
        <f>IF(A69="","",N(INDEX(Projects[Est Controls Purchase],68)))</f>
        <v/>
      </c>
      <c r="CR69" s="5">
        <f>IF(A69="","",N(INDEX(Projects[Est Software Eng],68)))</f>
        <v/>
      </c>
      <c r="CS69" s="5">
        <f>IF(A69="","",N(INDEX(Projects[Est Misc],68)))</f>
        <v/>
      </c>
      <c r="CT69" s="5">
        <f>IF(A69="","",SUM(CF69:CS69))</f>
        <v/>
      </c>
      <c r="CU69" s="5">
        <f>INDEX(Projects[Est Cost (M)],68)</f>
        <v/>
      </c>
      <c r="CV69" s="5">
        <f>INDEX(Projects[Act Cost (M)],68)</f>
        <v/>
      </c>
      <c r="CW69" s="5">
        <f>INDEX(Projects[Plan Mech Eng (wks)],68)</f>
        <v/>
      </c>
      <c r="CX69" s="5">
        <f>INDEX(Projects[Plan Controls Eng (wks)],68)</f>
        <v/>
      </c>
      <c r="CY69" s="5">
        <f>INDEX(Projects[Plan Systems Eng (wks)],68)</f>
        <v/>
      </c>
      <c r="CZ69" s="5">
        <f>INDEX(Projects[Plan Software Eng (wks)],68)</f>
        <v/>
      </c>
      <c r="DA69" s="5">
        <f>INDEX(Projects[Plan M&amp;E Installation (wks)],68)</f>
        <v/>
      </c>
      <c r="DB69" s="5">
        <f>INDEX(Projects[Plan Commissioning (wks)],68)</f>
        <v/>
      </c>
      <c r="DC69" s="5">
        <f>INDEX(Projects[Plan Total (wks)],68)</f>
        <v/>
      </c>
      <c r="DD69" s="5">
        <f>INDEX(Projects[Act Mech Eng (wks)],68)</f>
        <v/>
      </c>
      <c r="DE69" s="5">
        <f>INDEX(Projects[Act Controls Eng (wks)],68)</f>
        <v/>
      </c>
      <c r="DF69" s="5">
        <f>INDEX(Projects[Act Systems Eng (wks)],68)</f>
        <v/>
      </c>
      <c r="DG69" s="5">
        <f>INDEX(Projects[Act Software Eng (wks)],68)</f>
        <v/>
      </c>
      <c r="DH69" s="5">
        <f>INDEX(Projects[Act M&amp;E Installation (wks)],68)</f>
        <v/>
      </c>
      <c r="DI69" s="5">
        <f>INDEX(Projects[Act Commissioning (wks)],68)</f>
        <v/>
      </c>
      <c r="DJ69" s="5">
        <f>INDEX(Projects[Act Total (wks)],68)</f>
        <v/>
      </c>
    </row>
    <row r="70" ht="15" customHeight="1" s="82">
      <c r="A70" s="64">
        <f>INDEX(Projects[Project ID *],69)&amp;""</f>
        <v/>
      </c>
      <c r="B70" s="64">
        <f>INDEX(Projects[Project Name *],69)&amp;""</f>
        <v/>
      </c>
      <c r="C70" s="64">
        <f>INDEX(Projects[MS Shuttles],69)</f>
        <v/>
      </c>
      <c r="D70" s="64">
        <f>INDEX(Projects[MS Tote Locations],69)</f>
        <v/>
      </c>
      <c r="E70" s="64">
        <f>INDEX(Projects[AS Robots],69)</f>
        <v/>
      </c>
      <c r="F70" s="64">
        <f>INDEX(Projects[AS Tote Locations],69)</f>
        <v/>
      </c>
      <c r="G70" s="64">
        <f>INDEX(Projects[PS Shuttles],69)</f>
        <v/>
      </c>
      <c r="H70" s="64">
        <f>INDEX(Projects[PS Pallet Locations],69)</f>
        <v/>
      </c>
      <c r="I70" s="64">
        <f>INDEX(Projects[SRM Cranes],69)</f>
        <v/>
      </c>
      <c r="J70" s="64">
        <f>INDEX(Projects[SRM Pallet Locations],69)</f>
        <v/>
      </c>
      <c r="K70" s="64">
        <f>INDEX(Projects[Case Conv (m)],69)</f>
        <v/>
      </c>
      <c r="L70" s="64">
        <f>INDEX(Projects[Pallet Conv (m)],69)</f>
        <v/>
      </c>
      <c r="M70" s="64">
        <f>IF(N(DJ70)&gt;0,DD70,CW70)</f>
        <v/>
      </c>
      <c r="N70" s="64">
        <f>IF(N(DJ70)&gt;0,DE70,CX70)</f>
        <v/>
      </c>
      <c r="O70" s="64">
        <f>IF(N(DJ70)&gt;0,DF70,CY70)</f>
        <v/>
      </c>
      <c r="P70" s="64">
        <f>IF(N(DJ70)&gt;0,DG70,CZ70)</f>
        <v/>
      </c>
      <c r="Q70" s="64">
        <f>IF(N(DJ70)&gt;0,DH70,DA70)</f>
        <v/>
      </c>
      <c r="R70" s="64">
        <f>IF(N(DJ70)&gt;0,DI70,DB70)</f>
        <v/>
      </c>
      <c r="S70" s="64">
        <f>IF(N(DJ70)&gt;0,DJ70,DC70)</f>
        <v/>
      </c>
      <c r="T70" s="64">
        <f>INDEX(Projects[Currency],69)&amp;""</f>
        <v/>
      </c>
      <c r="U70" s="65">
        <f>INDEX(Projects[Sold Value (M)],69)</f>
        <v/>
      </c>
      <c r="V70" s="64">
        <f>IF('Smart Search'!B13=1,IFERROR(1/'Smart Search'!H13,0),0)</f>
        <v/>
      </c>
      <c r="W70" s="64">
        <f>IF('Smart Search'!B13=1,IFERROR(1/'Smart Search'!H13,0),0)</f>
        <v/>
      </c>
      <c r="X70" s="64">
        <f>IF('Smart Search'!C13=1,IFERROR(1/'Smart Search'!H13,0),0)</f>
        <v/>
      </c>
      <c r="Y70" s="64">
        <f>IF('Smart Search'!C13=1,IFERROR(1/'Smart Search'!H13,0),0)</f>
        <v/>
      </c>
      <c r="Z70" s="64">
        <f>IF('Smart Search'!D13=1,IFERROR(1/'Smart Search'!H13,0),0)</f>
        <v/>
      </c>
      <c r="AA70" s="64">
        <f>IF('Smart Search'!D13=1,IFERROR(1/'Smart Search'!H13,0),0)</f>
        <v/>
      </c>
      <c r="AB70" s="64">
        <f>IF('Smart Search'!E13=1,IFERROR(1/'Smart Search'!H13,0),0)</f>
        <v/>
      </c>
      <c r="AC70" s="64">
        <f>IF('Smart Search'!E13=1,IFERROR(1/'Smart Search'!H13,0),0)</f>
        <v/>
      </c>
      <c r="AD70" s="64">
        <f>IF('Smart Search'!F13=1,IFERROR(1/'Smart Search'!H13,0),0)</f>
        <v/>
      </c>
      <c r="AE70" s="64">
        <f>IF('Smart Search'!F13=1,IFERROR(1/'Smart Search'!H13,0),0)</f>
        <v/>
      </c>
      <c r="AF70" s="64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4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4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4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4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4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4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4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4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4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4">
        <f>AF70*V70</f>
        <v/>
      </c>
      <c r="AQ70" s="64">
        <f>AG70*W70</f>
        <v/>
      </c>
      <c r="AR70" s="64">
        <f>AH70*X70</f>
        <v/>
      </c>
      <c r="AS70" s="64">
        <f>AI70*Y70</f>
        <v/>
      </c>
      <c r="AT70" s="64">
        <f>AJ70*Z70</f>
        <v/>
      </c>
      <c r="AU70" s="64">
        <f>AK70*AA70</f>
        <v/>
      </c>
      <c r="AV70" s="64">
        <f>AL70*AB70</f>
        <v/>
      </c>
      <c r="AW70" s="64">
        <f>AM70*AC70</f>
        <v/>
      </c>
      <c r="AX70" s="64">
        <f>AN70*AD70</f>
        <v/>
      </c>
      <c r="AY70" s="64">
        <f>AO70*AE70</f>
        <v/>
      </c>
      <c r="AZ70" s="64">
        <f>INDEX(Projects[Automation Equipment],69)&amp;""</f>
        <v/>
      </c>
      <c r="BA70" s="64">
        <f>IF(OR(A70="",'Smart Search'!H13=0),"",MAX(0,BE70*BF70*MAX(0,1-BG70)))</f>
        <v/>
      </c>
      <c r="BB70" s="64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4">
        <f>IF('Smart Search'!G13=1,IFERROR(1/'Smart Search'!H13,0),0)</f>
        <v/>
      </c>
      <c r="BD70" s="64">
        <f>BB70*BC70</f>
        <v/>
      </c>
      <c r="BE70" s="64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IF(A70="","",N(INDEX(Projects[Act Mech Inst],69)))</f>
        <v/>
      </c>
      <c r="BK70" s="5">
        <f>IF(A70="","",N(INDEX(Projects[Act Elec Inst],69)))</f>
        <v/>
      </c>
      <c r="BL70" s="5">
        <f>IF(A70="","",N(INDEX(Projects[Act Project Management],69)))</f>
        <v/>
      </c>
      <c r="BM70" s="5">
        <f>IF(A70="","",N(INDEX(Projects[Act Systems Eng],69)))</f>
        <v/>
      </c>
      <c r="BN70" s="5">
        <f>IF(A70="","",N(INDEX(Projects[Act Mechanical Eng],69)))</f>
        <v/>
      </c>
      <c r="BO70" s="5">
        <f>IF(A70="","",N(INDEX(Projects[Act Structural Engineering],69)))</f>
        <v/>
      </c>
      <c r="BP70" s="5">
        <f>IF(A70="","",N(INDEX(Projects[Act Site Sup],69)))</f>
        <v/>
      </c>
      <c r="BQ70" s="5">
        <f>IF(A70="","",N(INDEX(Projects[Act Controls Commissioning],69)))</f>
        <v/>
      </c>
      <c r="BR70" s="5">
        <f>IF(A70="","",N(INDEX(Projects[Act Systems Commissioning],69)))</f>
        <v/>
      </c>
      <c r="BS70" s="5">
        <f>IF(A70="","",N(INDEX(Projects[Act Service Commissioning],69)))</f>
        <v/>
      </c>
      <c r="BT70" s="5">
        <f>IF(A70="","",N(INDEX(Projects[Act Controls Eng],69)))</f>
        <v/>
      </c>
      <c r="BU70" s="5">
        <f>IF(A70="","",N(INDEX(Projects[Act Controls Purchase],69)))</f>
        <v/>
      </c>
      <c r="BV70" s="5">
        <f>IF(A70="","",N(INDEX(Projects[Act Software Eng],69)))</f>
        <v/>
      </c>
      <c r="BW70" s="5">
        <f>IF(A70="","",N(INDEX(Projects[Act 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INDEX(Projects[Sold Value (USD M)],69)</f>
        <v/>
      </c>
      <c r="CE70" s="5" t="n"/>
      <c r="CF70" s="5">
        <f>IF(A70="","",N(INDEX(Projects[Est Mech Inst],69)))</f>
        <v/>
      </c>
      <c r="CG70" s="5">
        <f>IF(A70="","",N(INDEX(Projects[Est Elec Inst],69)))</f>
        <v/>
      </c>
      <c r="CH70" s="5">
        <f>IF(A70="","",N(INDEX(Projects[Est Project Management],69)))</f>
        <v/>
      </c>
      <c r="CI70" s="5">
        <f>IF(A70="","",N(INDEX(Projects[Est Systems Eng],69)))</f>
        <v/>
      </c>
      <c r="CJ70" s="5">
        <f>IF(A70="","",N(INDEX(Projects[Est Mechanical Eng],69)))</f>
        <v/>
      </c>
      <c r="CK70" s="5">
        <f>IF(A70="","",N(INDEX(Projects[Est Structural Engineering],69)))</f>
        <v/>
      </c>
      <c r="CL70" s="5">
        <f>IF(A70="","",N(INDEX(Projects[Est Site Sup],69)))</f>
        <v/>
      </c>
      <c r="CM70" s="5">
        <f>IF(A70="","",N(INDEX(Projects[Est Controls Commissioning],69)))</f>
        <v/>
      </c>
      <c r="CN70" s="5">
        <f>IF(A70="","",N(INDEX(Projects[Est Systems Commissioning],69)))</f>
        <v/>
      </c>
      <c r="CO70" s="5">
        <f>IF(A70="","",N(INDEX(Projects[Est Service Commissioning],69)))</f>
        <v/>
      </c>
      <c r="CP70" s="5">
        <f>IF(A70="","",N(INDEX(Projects[Est Controls Eng],69)))</f>
        <v/>
      </c>
      <c r="CQ70" s="5">
        <f>IF(A70="","",N(INDEX(Projects[Est Controls Purchase],69)))</f>
        <v/>
      </c>
      <c r="CR70" s="5">
        <f>IF(A70="","",N(INDEX(Projects[Est Software Eng],69)))</f>
        <v/>
      </c>
      <c r="CS70" s="5">
        <f>IF(A70="","",N(INDEX(Projects[Est Misc],69)))</f>
        <v/>
      </c>
      <c r="CT70" s="5">
        <f>IF(A70="","",SUM(CF70:CS70))</f>
        <v/>
      </c>
      <c r="CU70" s="5">
        <f>INDEX(Projects[Est Cost (M)],69)</f>
        <v/>
      </c>
      <c r="CV70" s="5">
        <f>INDEX(Projects[Act Cost (M)],69)</f>
        <v/>
      </c>
      <c r="CW70" s="5">
        <f>INDEX(Projects[Plan Mech Eng (wks)],69)</f>
        <v/>
      </c>
      <c r="CX70" s="5">
        <f>INDEX(Projects[Plan Controls Eng (wks)],69)</f>
        <v/>
      </c>
      <c r="CY70" s="5">
        <f>INDEX(Projects[Plan Systems Eng (wks)],69)</f>
        <v/>
      </c>
      <c r="CZ70" s="5">
        <f>INDEX(Projects[Plan Software Eng (wks)],69)</f>
        <v/>
      </c>
      <c r="DA70" s="5">
        <f>INDEX(Projects[Plan M&amp;E Installation (wks)],69)</f>
        <v/>
      </c>
      <c r="DB70" s="5">
        <f>INDEX(Projects[Plan Commissioning (wks)],69)</f>
        <v/>
      </c>
      <c r="DC70" s="5">
        <f>INDEX(Projects[Plan Total (wks)],69)</f>
        <v/>
      </c>
      <c r="DD70" s="5">
        <f>INDEX(Projects[Act Mech Eng (wks)],69)</f>
        <v/>
      </c>
      <c r="DE70" s="5">
        <f>INDEX(Projects[Act Controls Eng (wks)],69)</f>
        <v/>
      </c>
      <c r="DF70" s="5">
        <f>INDEX(Projects[Act Systems Eng (wks)],69)</f>
        <v/>
      </c>
      <c r="DG70" s="5">
        <f>INDEX(Projects[Act Software Eng (wks)],69)</f>
        <v/>
      </c>
      <c r="DH70" s="5">
        <f>INDEX(Projects[Act M&amp;E Installation (wks)],69)</f>
        <v/>
      </c>
      <c r="DI70" s="5">
        <f>INDEX(Projects[Act Commissioning (wks)],69)</f>
        <v/>
      </c>
      <c r="DJ70" s="5">
        <f>INDEX(Projects[Act Total (wks)],69)</f>
        <v/>
      </c>
    </row>
    <row r="71" ht="15" customHeight="1" s="82">
      <c r="A71" s="64">
        <f>INDEX(Projects[Project ID *],70)&amp;""</f>
        <v/>
      </c>
      <c r="B71" s="64">
        <f>INDEX(Projects[Project Name *],70)&amp;""</f>
        <v/>
      </c>
      <c r="C71" s="64">
        <f>INDEX(Projects[MS Shuttles],70)</f>
        <v/>
      </c>
      <c r="D71" s="64">
        <f>INDEX(Projects[MS Tote Locations],70)</f>
        <v/>
      </c>
      <c r="E71" s="64">
        <f>INDEX(Projects[AS Robots],70)</f>
        <v/>
      </c>
      <c r="F71" s="64">
        <f>INDEX(Projects[AS Tote Locations],70)</f>
        <v/>
      </c>
      <c r="G71" s="64">
        <f>INDEX(Projects[PS Shuttles],70)</f>
        <v/>
      </c>
      <c r="H71" s="64">
        <f>INDEX(Projects[PS Pallet Locations],70)</f>
        <v/>
      </c>
      <c r="I71" s="64">
        <f>INDEX(Projects[SRM Cranes],70)</f>
        <v/>
      </c>
      <c r="J71" s="64">
        <f>INDEX(Projects[SRM Pallet Locations],70)</f>
        <v/>
      </c>
      <c r="K71" s="64">
        <f>INDEX(Projects[Case Conv (m)],70)</f>
        <v/>
      </c>
      <c r="L71" s="64">
        <f>INDEX(Projects[Pallet Conv (m)],70)</f>
        <v/>
      </c>
      <c r="M71" s="64">
        <f>IF(N(DJ71)&gt;0,DD71,CW71)</f>
        <v/>
      </c>
      <c r="N71" s="64">
        <f>IF(N(DJ71)&gt;0,DE71,CX71)</f>
        <v/>
      </c>
      <c r="O71" s="64">
        <f>IF(N(DJ71)&gt;0,DF71,CY71)</f>
        <v/>
      </c>
      <c r="P71" s="64">
        <f>IF(N(DJ71)&gt;0,DG71,CZ71)</f>
        <v/>
      </c>
      <c r="Q71" s="64">
        <f>IF(N(DJ71)&gt;0,DH71,DA71)</f>
        <v/>
      </c>
      <c r="R71" s="64">
        <f>IF(N(DJ71)&gt;0,DI71,DB71)</f>
        <v/>
      </c>
      <c r="S71" s="64">
        <f>IF(N(DJ71)&gt;0,DJ71,DC71)</f>
        <v/>
      </c>
      <c r="T71" s="64">
        <f>INDEX(Projects[Currency],70)&amp;""</f>
        <v/>
      </c>
      <c r="U71" s="65">
        <f>INDEX(Projects[Sold Value (M)],70)</f>
        <v/>
      </c>
      <c r="V71" s="64">
        <f>IF('Smart Search'!B13=1,IFERROR(1/'Smart Search'!H13,0),0)</f>
        <v/>
      </c>
      <c r="W71" s="64">
        <f>IF('Smart Search'!B13=1,IFERROR(1/'Smart Search'!H13,0),0)</f>
        <v/>
      </c>
      <c r="X71" s="64">
        <f>IF('Smart Search'!C13=1,IFERROR(1/'Smart Search'!H13,0),0)</f>
        <v/>
      </c>
      <c r="Y71" s="64">
        <f>IF('Smart Search'!C13=1,IFERROR(1/'Smart Search'!H13,0),0)</f>
        <v/>
      </c>
      <c r="Z71" s="64">
        <f>IF('Smart Search'!D13=1,IFERROR(1/'Smart Search'!H13,0),0)</f>
        <v/>
      </c>
      <c r="AA71" s="64">
        <f>IF('Smart Search'!D13=1,IFERROR(1/'Smart Search'!H13,0),0)</f>
        <v/>
      </c>
      <c r="AB71" s="64">
        <f>IF('Smart Search'!E13=1,IFERROR(1/'Smart Search'!H13,0),0)</f>
        <v/>
      </c>
      <c r="AC71" s="64">
        <f>IF('Smart Search'!E13=1,IFERROR(1/'Smart Search'!H13,0),0)</f>
        <v/>
      </c>
      <c r="AD71" s="64">
        <f>IF('Smart Search'!F13=1,IFERROR(1/'Smart Search'!H13,0),0)</f>
        <v/>
      </c>
      <c r="AE71" s="64">
        <f>IF('Smart Search'!F13=1,IFERROR(1/'Smart Search'!H13,0),0)</f>
        <v/>
      </c>
      <c r="AF71" s="64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4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4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4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4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4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4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4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4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4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4">
        <f>AF71*V71</f>
        <v/>
      </c>
      <c r="AQ71" s="64">
        <f>AG71*W71</f>
        <v/>
      </c>
      <c r="AR71" s="64">
        <f>AH71*X71</f>
        <v/>
      </c>
      <c r="AS71" s="64">
        <f>AI71*Y71</f>
        <v/>
      </c>
      <c r="AT71" s="64">
        <f>AJ71*Z71</f>
        <v/>
      </c>
      <c r="AU71" s="64">
        <f>AK71*AA71</f>
        <v/>
      </c>
      <c r="AV71" s="64">
        <f>AL71*AB71</f>
        <v/>
      </c>
      <c r="AW71" s="64">
        <f>AM71*AC71</f>
        <v/>
      </c>
      <c r="AX71" s="64">
        <f>AN71*AD71</f>
        <v/>
      </c>
      <c r="AY71" s="64">
        <f>AO71*AE71</f>
        <v/>
      </c>
      <c r="AZ71" s="64">
        <f>INDEX(Projects[Automation Equipment],70)&amp;""</f>
        <v/>
      </c>
      <c r="BA71" s="64">
        <f>IF(OR(A71="",'Smart Search'!H13=0),"",MAX(0,BE71*BF71*MAX(0,1-BG71)))</f>
        <v/>
      </c>
      <c r="BB71" s="64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4">
        <f>IF('Smart Search'!G13=1,IFERROR(1/'Smart Search'!H13,0),0)</f>
        <v/>
      </c>
      <c r="BD71" s="64">
        <f>BB71*BC71</f>
        <v/>
      </c>
      <c r="BE71" s="64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IF(A71="","",N(INDEX(Projects[Act Mech Inst],70)))</f>
        <v/>
      </c>
      <c r="BK71" s="5">
        <f>IF(A71="","",N(INDEX(Projects[Act Elec Inst],70)))</f>
        <v/>
      </c>
      <c r="BL71" s="5">
        <f>IF(A71="","",N(INDEX(Projects[Act Project Management],70)))</f>
        <v/>
      </c>
      <c r="BM71" s="5">
        <f>IF(A71="","",N(INDEX(Projects[Act Systems Eng],70)))</f>
        <v/>
      </c>
      <c r="BN71" s="5">
        <f>IF(A71="","",N(INDEX(Projects[Act Mechanical Eng],70)))</f>
        <v/>
      </c>
      <c r="BO71" s="5">
        <f>IF(A71="","",N(INDEX(Projects[Act Structural Engineering],70)))</f>
        <v/>
      </c>
      <c r="BP71" s="5">
        <f>IF(A71="","",N(INDEX(Projects[Act Site Sup],70)))</f>
        <v/>
      </c>
      <c r="BQ71" s="5">
        <f>IF(A71="","",N(INDEX(Projects[Act Controls Commissioning],70)))</f>
        <v/>
      </c>
      <c r="BR71" s="5">
        <f>IF(A71="","",N(INDEX(Projects[Act Systems Commissioning],70)))</f>
        <v/>
      </c>
      <c r="BS71" s="5">
        <f>IF(A71="","",N(INDEX(Projects[Act Service Commissioning],70)))</f>
        <v/>
      </c>
      <c r="BT71" s="5">
        <f>IF(A71="","",N(INDEX(Projects[Act Controls Eng],70)))</f>
        <v/>
      </c>
      <c r="BU71" s="5">
        <f>IF(A71="","",N(INDEX(Projects[Act Controls Purchase],70)))</f>
        <v/>
      </c>
      <c r="BV71" s="5">
        <f>IF(A71="","",N(INDEX(Projects[Act Software Eng],70)))</f>
        <v/>
      </c>
      <c r="BW71" s="5">
        <f>IF(A71="","",N(INDEX(Projects[Act 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INDEX(Projects[Sold Value (USD M)],70)</f>
        <v/>
      </c>
      <c r="CE71" s="5" t="n"/>
      <c r="CF71" s="5">
        <f>IF(A71="","",N(INDEX(Projects[Est Mech Inst],70)))</f>
        <v/>
      </c>
      <c r="CG71" s="5">
        <f>IF(A71="","",N(INDEX(Projects[Est Elec Inst],70)))</f>
        <v/>
      </c>
      <c r="CH71" s="5">
        <f>IF(A71="","",N(INDEX(Projects[Est Project Management],70)))</f>
        <v/>
      </c>
      <c r="CI71" s="5">
        <f>IF(A71="","",N(INDEX(Projects[Est Systems Eng],70)))</f>
        <v/>
      </c>
      <c r="CJ71" s="5">
        <f>IF(A71="","",N(INDEX(Projects[Est Mechanical Eng],70)))</f>
        <v/>
      </c>
      <c r="CK71" s="5">
        <f>IF(A71="","",N(INDEX(Projects[Est Structural Engineering],70)))</f>
        <v/>
      </c>
      <c r="CL71" s="5">
        <f>IF(A71="","",N(INDEX(Projects[Est Site Sup],70)))</f>
        <v/>
      </c>
      <c r="CM71" s="5">
        <f>IF(A71="","",N(INDEX(Projects[Est Controls Commissioning],70)))</f>
        <v/>
      </c>
      <c r="CN71" s="5">
        <f>IF(A71="","",N(INDEX(Projects[Est Systems Commissioning],70)))</f>
        <v/>
      </c>
      <c r="CO71" s="5">
        <f>IF(A71="","",N(INDEX(Projects[Est Service Commissioning],70)))</f>
        <v/>
      </c>
      <c r="CP71" s="5">
        <f>IF(A71="","",N(INDEX(Projects[Est Controls Eng],70)))</f>
        <v/>
      </c>
      <c r="CQ71" s="5">
        <f>IF(A71="","",N(INDEX(Projects[Est Controls Purchase],70)))</f>
        <v/>
      </c>
      <c r="CR71" s="5">
        <f>IF(A71="","",N(INDEX(Projects[Est Software Eng],70)))</f>
        <v/>
      </c>
      <c r="CS71" s="5">
        <f>IF(A71="","",N(INDEX(Projects[Est Misc],70)))</f>
        <v/>
      </c>
      <c r="CT71" s="5">
        <f>IF(A71="","",SUM(CF71:CS71))</f>
        <v/>
      </c>
      <c r="CU71" s="5">
        <f>INDEX(Projects[Est Cost (M)],70)</f>
        <v/>
      </c>
      <c r="CV71" s="5">
        <f>INDEX(Projects[Act Cost (M)],70)</f>
        <v/>
      </c>
      <c r="CW71" s="5">
        <f>INDEX(Projects[Plan Mech Eng (wks)],70)</f>
        <v/>
      </c>
      <c r="CX71" s="5">
        <f>INDEX(Projects[Plan Controls Eng (wks)],70)</f>
        <v/>
      </c>
      <c r="CY71" s="5">
        <f>INDEX(Projects[Plan Systems Eng (wks)],70)</f>
        <v/>
      </c>
      <c r="CZ71" s="5">
        <f>INDEX(Projects[Plan Software Eng (wks)],70)</f>
        <v/>
      </c>
      <c r="DA71" s="5">
        <f>INDEX(Projects[Plan M&amp;E Installation (wks)],70)</f>
        <v/>
      </c>
      <c r="DB71" s="5">
        <f>INDEX(Projects[Plan Commissioning (wks)],70)</f>
        <v/>
      </c>
      <c r="DC71" s="5">
        <f>INDEX(Projects[Plan Total (wks)],70)</f>
        <v/>
      </c>
      <c r="DD71" s="5">
        <f>INDEX(Projects[Act Mech Eng (wks)],70)</f>
        <v/>
      </c>
      <c r="DE71" s="5">
        <f>INDEX(Projects[Act Controls Eng (wks)],70)</f>
        <v/>
      </c>
      <c r="DF71" s="5">
        <f>INDEX(Projects[Act Systems Eng (wks)],70)</f>
        <v/>
      </c>
      <c r="DG71" s="5">
        <f>INDEX(Projects[Act Software Eng (wks)],70)</f>
        <v/>
      </c>
      <c r="DH71" s="5">
        <f>INDEX(Projects[Act M&amp;E Installation (wks)],70)</f>
        <v/>
      </c>
      <c r="DI71" s="5">
        <f>INDEX(Projects[Act Commissioning (wks)],70)</f>
        <v/>
      </c>
      <c r="DJ71" s="5">
        <f>INDEX(Projects[Act Total (wks)],70)</f>
        <v/>
      </c>
    </row>
    <row r="72" ht="15" customHeight="1" s="82">
      <c r="A72" s="64">
        <f>INDEX(Projects[Project ID *],71)&amp;""</f>
        <v/>
      </c>
      <c r="B72" s="64">
        <f>INDEX(Projects[Project Name *],71)&amp;""</f>
        <v/>
      </c>
      <c r="C72" s="64">
        <f>INDEX(Projects[MS Shuttles],71)</f>
        <v/>
      </c>
      <c r="D72" s="64">
        <f>INDEX(Projects[MS Tote Locations],71)</f>
        <v/>
      </c>
      <c r="E72" s="64">
        <f>INDEX(Projects[AS Robots],71)</f>
        <v/>
      </c>
      <c r="F72" s="64">
        <f>INDEX(Projects[AS Tote Locations],71)</f>
        <v/>
      </c>
      <c r="G72" s="64">
        <f>INDEX(Projects[PS Shuttles],71)</f>
        <v/>
      </c>
      <c r="H72" s="64">
        <f>INDEX(Projects[PS Pallet Locations],71)</f>
        <v/>
      </c>
      <c r="I72" s="64">
        <f>INDEX(Projects[SRM Cranes],71)</f>
        <v/>
      </c>
      <c r="J72" s="64">
        <f>INDEX(Projects[SRM Pallet Locations],71)</f>
        <v/>
      </c>
      <c r="K72" s="64">
        <f>INDEX(Projects[Case Conv (m)],71)</f>
        <v/>
      </c>
      <c r="L72" s="64">
        <f>INDEX(Projects[Pallet Conv (m)],71)</f>
        <v/>
      </c>
      <c r="M72" s="64">
        <f>IF(N(DJ72)&gt;0,DD72,CW72)</f>
        <v/>
      </c>
      <c r="N72" s="64">
        <f>IF(N(DJ72)&gt;0,DE72,CX72)</f>
        <v/>
      </c>
      <c r="O72" s="64">
        <f>IF(N(DJ72)&gt;0,DF72,CY72)</f>
        <v/>
      </c>
      <c r="P72" s="64">
        <f>IF(N(DJ72)&gt;0,DG72,CZ72)</f>
        <v/>
      </c>
      <c r="Q72" s="64">
        <f>IF(N(DJ72)&gt;0,DH72,DA72)</f>
        <v/>
      </c>
      <c r="R72" s="64">
        <f>IF(N(DJ72)&gt;0,DI72,DB72)</f>
        <v/>
      </c>
      <c r="S72" s="64">
        <f>IF(N(DJ72)&gt;0,DJ72,DC72)</f>
        <v/>
      </c>
      <c r="T72" s="64">
        <f>INDEX(Projects[Currency],71)&amp;""</f>
        <v/>
      </c>
      <c r="U72" s="65">
        <f>INDEX(Projects[Sold Value (M)],71)</f>
        <v/>
      </c>
      <c r="V72" s="64">
        <f>IF('Smart Search'!B13=1,IFERROR(1/'Smart Search'!H13,0),0)</f>
        <v/>
      </c>
      <c r="W72" s="64">
        <f>IF('Smart Search'!B13=1,IFERROR(1/'Smart Search'!H13,0),0)</f>
        <v/>
      </c>
      <c r="X72" s="64">
        <f>IF('Smart Search'!C13=1,IFERROR(1/'Smart Search'!H13,0),0)</f>
        <v/>
      </c>
      <c r="Y72" s="64">
        <f>IF('Smart Search'!C13=1,IFERROR(1/'Smart Search'!H13,0),0)</f>
        <v/>
      </c>
      <c r="Z72" s="64">
        <f>IF('Smart Search'!D13=1,IFERROR(1/'Smart Search'!H13,0),0)</f>
        <v/>
      </c>
      <c r="AA72" s="64">
        <f>IF('Smart Search'!D13=1,IFERROR(1/'Smart Search'!H13,0),0)</f>
        <v/>
      </c>
      <c r="AB72" s="64">
        <f>IF('Smart Search'!E13=1,IFERROR(1/'Smart Search'!H13,0),0)</f>
        <v/>
      </c>
      <c r="AC72" s="64">
        <f>IF('Smart Search'!E13=1,IFERROR(1/'Smart Search'!H13,0),0)</f>
        <v/>
      </c>
      <c r="AD72" s="64">
        <f>IF('Smart Search'!F13=1,IFERROR(1/'Smart Search'!H13,0),0)</f>
        <v/>
      </c>
      <c r="AE72" s="64">
        <f>IF('Smart Search'!F13=1,IFERROR(1/'Smart Search'!H13,0),0)</f>
        <v/>
      </c>
      <c r="AF72" s="64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4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4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4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4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4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4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4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4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4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4">
        <f>AF72*V72</f>
        <v/>
      </c>
      <c r="AQ72" s="64">
        <f>AG72*W72</f>
        <v/>
      </c>
      <c r="AR72" s="64">
        <f>AH72*X72</f>
        <v/>
      </c>
      <c r="AS72" s="64">
        <f>AI72*Y72</f>
        <v/>
      </c>
      <c r="AT72" s="64">
        <f>AJ72*Z72</f>
        <v/>
      </c>
      <c r="AU72" s="64">
        <f>AK72*AA72</f>
        <v/>
      </c>
      <c r="AV72" s="64">
        <f>AL72*AB72</f>
        <v/>
      </c>
      <c r="AW72" s="64">
        <f>AM72*AC72</f>
        <v/>
      </c>
      <c r="AX72" s="64">
        <f>AN72*AD72</f>
        <v/>
      </c>
      <c r="AY72" s="64">
        <f>AO72*AE72</f>
        <v/>
      </c>
      <c r="AZ72" s="64">
        <f>INDEX(Projects[Automation Equipment],71)&amp;""</f>
        <v/>
      </c>
      <c r="BA72" s="64">
        <f>IF(OR(A72="",'Smart Search'!H13=0),"",MAX(0,BE72*BF72*MAX(0,1-BG72)))</f>
        <v/>
      </c>
      <c r="BB72" s="64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4">
        <f>IF('Smart Search'!G13=1,IFERROR(1/'Smart Search'!H13,0),0)</f>
        <v/>
      </c>
      <c r="BD72" s="64">
        <f>BB72*BC72</f>
        <v/>
      </c>
      <c r="BE72" s="64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IF(A72="","",N(INDEX(Projects[Act Mech Inst],71)))</f>
        <v/>
      </c>
      <c r="BK72" s="5">
        <f>IF(A72="","",N(INDEX(Projects[Act Elec Inst],71)))</f>
        <v/>
      </c>
      <c r="BL72" s="5">
        <f>IF(A72="","",N(INDEX(Projects[Act Project Management],71)))</f>
        <v/>
      </c>
      <c r="BM72" s="5">
        <f>IF(A72="","",N(INDEX(Projects[Act Systems Eng],71)))</f>
        <v/>
      </c>
      <c r="BN72" s="5">
        <f>IF(A72="","",N(INDEX(Projects[Act Mechanical Eng],71)))</f>
        <v/>
      </c>
      <c r="BO72" s="5">
        <f>IF(A72="","",N(INDEX(Projects[Act Structural Engineering],71)))</f>
        <v/>
      </c>
      <c r="BP72" s="5">
        <f>IF(A72="","",N(INDEX(Projects[Act Site Sup],71)))</f>
        <v/>
      </c>
      <c r="BQ72" s="5">
        <f>IF(A72="","",N(INDEX(Projects[Act Controls Commissioning],71)))</f>
        <v/>
      </c>
      <c r="BR72" s="5">
        <f>IF(A72="","",N(INDEX(Projects[Act Systems Commissioning],71)))</f>
        <v/>
      </c>
      <c r="BS72" s="5">
        <f>IF(A72="","",N(INDEX(Projects[Act Service Commissioning],71)))</f>
        <v/>
      </c>
      <c r="BT72" s="5">
        <f>IF(A72="","",N(INDEX(Projects[Act Controls Eng],71)))</f>
        <v/>
      </c>
      <c r="BU72" s="5">
        <f>IF(A72="","",N(INDEX(Projects[Act Controls Purchase],71)))</f>
        <v/>
      </c>
      <c r="BV72" s="5">
        <f>IF(A72="","",N(INDEX(Projects[Act Software Eng],71)))</f>
        <v/>
      </c>
      <c r="BW72" s="5">
        <f>IF(A72="","",N(INDEX(Projects[Act 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INDEX(Projects[Sold Value (USD M)],71)</f>
        <v/>
      </c>
      <c r="CE72" s="5" t="n"/>
      <c r="CF72" s="5">
        <f>IF(A72="","",N(INDEX(Projects[Est Mech Inst],71)))</f>
        <v/>
      </c>
      <c r="CG72" s="5">
        <f>IF(A72="","",N(INDEX(Projects[Est Elec Inst],71)))</f>
        <v/>
      </c>
      <c r="CH72" s="5">
        <f>IF(A72="","",N(INDEX(Projects[Est Project Management],71)))</f>
        <v/>
      </c>
      <c r="CI72" s="5">
        <f>IF(A72="","",N(INDEX(Projects[Est Systems Eng],71)))</f>
        <v/>
      </c>
      <c r="CJ72" s="5">
        <f>IF(A72="","",N(INDEX(Projects[Est Mechanical Eng],71)))</f>
        <v/>
      </c>
      <c r="CK72" s="5">
        <f>IF(A72="","",N(INDEX(Projects[Est Structural Engineering],71)))</f>
        <v/>
      </c>
      <c r="CL72" s="5">
        <f>IF(A72="","",N(INDEX(Projects[Est Site Sup],71)))</f>
        <v/>
      </c>
      <c r="CM72" s="5">
        <f>IF(A72="","",N(INDEX(Projects[Est Controls Commissioning],71)))</f>
        <v/>
      </c>
      <c r="CN72" s="5">
        <f>IF(A72="","",N(INDEX(Projects[Est Systems Commissioning],71)))</f>
        <v/>
      </c>
      <c r="CO72" s="5">
        <f>IF(A72="","",N(INDEX(Projects[Est Service Commissioning],71)))</f>
        <v/>
      </c>
      <c r="CP72" s="5">
        <f>IF(A72="","",N(INDEX(Projects[Est Controls Eng],71)))</f>
        <v/>
      </c>
      <c r="CQ72" s="5">
        <f>IF(A72="","",N(INDEX(Projects[Est Controls Purchase],71)))</f>
        <v/>
      </c>
      <c r="CR72" s="5">
        <f>IF(A72="","",N(INDEX(Projects[Est Software Eng],71)))</f>
        <v/>
      </c>
      <c r="CS72" s="5">
        <f>IF(A72="","",N(INDEX(Projects[Est Misc],71)))</f>
        <v/>
      </c>
      <c r="CT72" s="5">
        <f>IF(A72="","",SUM(CF72:CS72))</f>
        <v/>
      </c>
      <c r="CU72" s="5">
        <f>INDEX(Projects[Est Cost (M)],71)</f>
        <v/>
      </c>
      <c r="CV72" s="5">
        <f>INDEX(Projects[Act Cost (M)],71)</f>
        <v/>
      </c>
      <c r="CW72" s="5">
        <f>INDEX(Projects[Plan Mech Eng (wks)],71)</f>
        <v/>
      </c>
      <c r="CX72" s="5">
        <f>INDEX(Projects[Plan Controls Eng (wks)],71)</f>
        <v/>
      </c>
      <c r="CY72" s="5">
        <f>INDEX(Projects[Plan Systems Eng (wks)],71)</f>
        <v/>
      </c>
      <c r="CZ72" s="5">
        <f>INDEX(Projects[Plan Software Eng (wks)],71)</f>
        <v/>
      </c>
      <c r="DA72" s="5">
        <f>INDEX(Projects[Plan M&amp;E Installation (wks)],71)</f>
        <v/>
      </c>
      <c r="DB72" s="5">
        <f>INDEX(Projects[Plan Commissioning (wks)],71)</f>
        <v/>
      </c>
      <c r="DC72" s="5">
        <f>INDEX(Projects[Plan Total (wks)],71)</f>
        <v/>
      </c>
      <c r="DD72" s="5">
        <f>INDEX(Projects[Act Mech Eng (wks)],71)</f>
        <v/>
      </c>
      <c r="DE72" s="5">
        <f>INDEX(Projects[Act Controls Eng (wks)],71)</f>
        <v/>
      </c>
      <c r="DF72" s="5">
        <f>INDEX(Projects[Act Systems Eng (wks)],71)</f>
        <v/>
      </c>
      <c r="DG72" s="5">
        <f>INDEX(Projects[Act Software Eng (wks)],71)</f>
        <v/>
      </c>
      <c r="DH72" s="5">
        <f>INDEX(Projects[Act M&amp;E Installation (wks)],71)</f>
        <v/>
      </c>
      <c r="DI72" s="5">
        <f>INDEX(Projects[Act Commissioning (wks)],71)</f>
        <v/>
      </c>
      <c r="DJ72" s="5">
        <f>INDEX(Projects[Act Total (wks)],71)</f>
        <v/>
      </c>
    </row>
    <row r="73" ht="15" customHeight="1" s="82">
      <c r="A73" s="64">
        <f>INDEX(Projects[Project ID *],72)&amp;""</f>
        <v/>
      </c>
      <c r="B73" s="64">
        <f>INDEX(Projects[Project Name *],72)&amp;""</f>
        <v/>
      </c>
      <c r="C73" s="64">
        <f>INDEX(Projects[MS Shuttles],72)</f>
        <v/>
      </c>
      <c r="D73" s="64">
        <f>INDEX(Projects[MS Tote Locations],72)</f>
        <v/>
      </c>
      <c r="E73" s="64">
        <f>INDEX(Projects[AS Robots],72)</f>
        <v/>
      </c>
      <c r="F73" s="64">
        <f>INDEX(Projects[AS Tote Locations],72)</f>
        <v/>
      </c>
      <c r="G73" s="64">
        <f>INDEX(Projects[PS Shuttles],72)</f>
        <v/>
      </c>
      <c r="H73" s="64">
        <f>INDEX(Projects[PS Pallet Locations],72)</f>
        <v/>
      </c>
      <c r="I73" s="64">
        <f>INDEX(Projects[SRM Cranes],72)</f>
        <v/>
      </c>
      <c r="J73" s="64">
        <f>INDEX(Projects[SRM Pallet Locations],72)</f>
        <v/>
      </c>
      <c r="K73" s="64">
        <f>INDEX(Projects[Case Conv (m)],72)</f>
        <v/>
      </c>
      <c r="L73" s="64">
        <f>INDEX(Projects[Pallet Conv (m)],72)</f>
        <v/>
      </c>
      <c r="M73" s="64">
        <f>IF(N(DJ73)&gt;0,DD73,CW73)</f>
        <v/>
      </c>
      <c r="N73" s="64">
        <f>IF(N(DJ73)&gt;0,DE73,CX73)</f>
        <v/>
      </c>
      <c r="O73" s="64">
        <f>IF(N(DJ73)&gt;0,DF73,CY73)</f>
        <v/>
      </c>
      <c r="P73" s="64">
        <f>IF(N(DJ73)&gt;0,DG73,CZ73)</f>
        <v/>
      </c>
      <c r="Q73" s="64">
        <f>IF(N(DJ73)&gt;0,DH73,DA73)</f>
        <v/>
      </c>
      <c r="R73" s="64">
        <f>IF(N(DJ73)&gt;0,DI73,DB73)</f>
        <v/>
      </c>
      <c r="S73" s="64">
        <f>IF(N(DJ73)&gt;0,DJ73,DC73)</f>
        <v/>
      </c>
      <c r="T73" s="64">
        <f>INDEX(Projects[Currency],72)&amp;""</f>
        <v/>
      </c>
      <c r="U73" s="65">
        <f>INDEX(Projects[Sold Value (M)],72)</f>
        <v/>
      </c>
      <c r="V73" s="64">
        <f>IF('Smart Search'!B13=1,IFERROR(1/'Smart Search'!H13,0),0)</f>
        <v/>
      </c>
      <c r="W73" s="64">
        <f>IF('Smart Search'!B13=1,IFERROR(1/'Smart Search'!H13,0),0)</f>
        <v/>
      </c>
      <c r="X73" s="64">
        <f>IF('Smart Search'!C13=1,IFERROR(1/'Smart Search'!H13,0),0)</f>
        <v/>
      </c>
      <c r="Y73" s="64">
        <f>IF('Smart Search'!C13=1,IFERROR(1/'Smart Search'!H13,0),0)</f>
        <v/>
      </c>
      <c r="Z73" s="64">
        <f>IF('Smart Search'!D13=1,IFERROR(1/'Smart Search'!H13,0),0)</f>
        <v/>
      </c>
      <c r="AA73" s="64">
        <f>IF('Smart Search'!D13=1,IFERROR(1/'Smart Search'!H13,0),0)</f>
        <v/>
      </c>
      <c r="AB73" s="64">
        <f>IF('Smart Search'!E13=1,IFERROR(1/'Smart Search'!H13,0),0)</f>
        <v/>
      </c>
      <c r="AC73" s="64">
        <f>IF('Smart Search'!E13=1,IFERROR(1/'Smart Search'!H13,0),0)</f>
        <v/>
      </c>
      <c r="AD73" s="64">
        <f>IF('Smart Search'!F13=1,IFERROR(1/'Smart Search'!H13,0),0)</f>
        <v/>
      </c>
      <c r="AE73" s="64">
        <f>IF('Smart Search'!F13=1,IFERROR(1/'Smart Search'!H13,0),0)</f>
        <v/>
      </c>
      <c r="AF73" s="64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4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4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4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4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4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4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4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4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4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4">
        <f>AF73*V73</f>
        <v/>
      </c>
      <c r="AQ73" s="64">
        <f>AG73*W73</f>
        <v/>
      </c>
      <c r="AR73" s="64">
        <f>AH73*X73</f>
        <v/>
      </c>
      <c r="AS73" s="64">
        <f>AI73*Y73</f>
        <v/>
      </c>
      <c r="AT73" s="64">
        <f>AJ73*Z73</f>
        <v/>
      </c>
      <c r="AU73" s="64">
        <f>AK73*AA73</f>
        <v/>
      </c>
      <c r="AV73" s="64">
        <f>AL73*AB73</f>
        <v/>
      </c>
      <c r="AW73" s="64">
        <f>AM73*AC73</f>
        <v/>
      </c>
      <c r="AX73" s="64">
        <f>AN73*AD73</f>
        <v/>
      </c>
      <c r="AY73" s="64">
        <f>AO73*AE73</f>
        <v/>
      </c>
      <c r="AZ73" s="64">
        <f>INDEX(Projects[Automation Equipment],72)&amp;""</f>
        <v/>
      </c>
      <c r="BA73" s="64">
        <f>IF(OR(A73="",'Smart Search'!H13=0),"",MAX(0,BE73*BF73*MAX(0,1-BG73)))</f>
        <v/>
      </c>
      <c r="BB73" s="64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4">
        <f>IF('Smart Search'!G13=1,IFERROR(1/'Smart Search'!H13,0),0)</f>
        <v/>
      </c>
      <c r="BD73" s="64">
        <f>BB73*BC73</f>
        <v/>
      </c>
      <c r="BE73" s="64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IF(A73="","",N(INDEX(Projects[Act Mech Inst],72)))</f>
        <v/>
      </c>
      <c r="BK73" s="5">
        <f>IF(A73="","",N(INDEX(Projects[Act Elec Inst],72)))</f>
        <v/>
      </c>
      <c r="BL73" s="5">
        <f>IF(A73="","",N(INDEX(Projects[Act Project Management],72)))</f>
        <v/>
      </c>
      <c r="BM73" s="5">
        <f>IF(A73="","",N(INDEX(Projects[Act Systems Eng],72)))</f>
        <v/>
      </c>
      <c r="BN73" s="5">
        <f>IF(A73="","",N(INDEX(Projects[Act Mechanical Eng],72)))</f>
        <v/>
      </c>
      <c r="BO73" s="5">
        <f>IF(A73="","",N(INDEX(Projects[Act Structural Engineering],72)))</f>
        <v/>
      </c>
      <c r="BP73" s="5">
        <f>IF(A73="","",N(INDEX(Projects[Act Site Sup],72)))</f>
        <v/>
      </c>
      <c r="BQ73" s="5">
        <f>IF(A73="","",N(INDEX(Projects[Act Controls Commissioning],72)))</f>
        <v/>
      </c>
      <c r="BR73" s="5">
        <f>IF(A73="","",N(INDEX(Projects[Act Systems Commissioning],72)))</f>
        <v/>
      </c>
      <c r="BS73" s="5">
        <f>IF(A73="","",N(INDEX(Projects[Act Service Commissioning],72)))</f>
        <v/>
      </c>
      <c r="BT73" s="5">
        <f>IF(A73="","",N(INDEX(Projects[Act Controls Eng],72)))</f>
        <v/>
      </c>
      <c r="BU73" s="5">
        <f>IF(A73="","",N(INDEX(Projects[Act Controls Purchase],72)))</f>
        <v/>
      </c>
      <c r="BV73" s="5">
        <f>IF(A73="","",N(INDEX(Projects[Act Software Eng],72)))</f>
        <v/>
      </c>
      <c r="BW73" s="5">
        <f>IF(A73="","",N(INDEX(Projects[Act 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INDEX(Projects[Sold Value (USD M)],72)</f>
        <v/>
      </c>
      <c r="CE73" s="5" t="n"/>
      <c r="CF73" s="5">
        <f>IF(A73="","",N(INDEX(Projects[Est Mech Inst],72)))</f>
        <v/>
      </c>
      <c r="CG73" s="5">
        <f>IF(A73="","",N(INDEX(Projects[Est Elec Inst],72)))</f>
        <v/>
      </c>
      <c r="CH73" s="5">
        <f>IF(A73="","",N(INDEX(Projects[Est Project Management],72)))</f>
        <v/>
      </c>
      <c r="CI73" s="5">
        <f>IF(A73="","",N(INDEX(Projects[Est Systems Eng],72)))</f>
        <v/>
      </c>
      <c r="CJ73" s="5">
        <f>IF(A73="","",N(INDEX(Projects[Est Mechanical Eng],72)))</f>
        <v/>
      </c>
      <c r="CK73" s="5">
        <f>IF(A73="","",N(INDEX(Projects[Est Structural Engineering],72)))</f>
        <v/>
      </c>
      <c r="CL73" s="5">
        <f>IF(A73="","",N(INDEX(Projects[Est Site Sup],72)))</f>
        <v/>
      </c>
      <c r="CM73" s="5">
        <f>IF(A73="","",N(INDEX(Projects[Est Controls Commissioning],72)))</f>
        <v/>
      </c>
      <c r="CN73" s="5">
        <f>IF(A73="","",N(INDEX(Projects[Est Systems Commissioning],72)))</f>
        <v/>
      </c>
      <c r="CO73" s="5">
        <f>IF(A73="","",N(INDEX(Projects[Est Service Commissioning],72)))</f>
        <v/>
      </c>
      <c r="CP73" s="5">
        <f>IF(A73="","",N(INDEX(Projects[Est Controls Eng],72)))</f>
        <v/>
      </c>
      <c r="CQ73" s="5">
        <f>IF(A73="","",N(INDEX(Projects[Est Controls Purchase],72)))</f>
        <v/>
      </c>
      <c r="CR73" s="5">
        <f>IF(A73="","",N(INDEX(Projects[Est Software Eng],72)))</f>
        <v/>
      </c>
      <c r="CS73" s="5">
        <f>IF(A73="","",N(INDEX(Projects[Est Misc],72)))</f>
        <v/>
      </c>
      <c r="CT73" s="5">
        <f>IF(A73="","",SUM(CF73:CS73))</f>
        <v/>
      </c>
      <c r="CU73" s="5">
        <f>INDEX(Projects[Est Cost (M)],72)</f>
        <v/>
      </c>
      <c r="CV73" s="5">
        <f>INDEX(Projects[Act Cost (M)],72)</f>
        <v/>
      </c>
      <c r="CW73" s="5">
        <f>INDEX(Projects[Plan Mech Eng (wks)],72)</f>
        <v/>
      </c>
      <c r="CX73" s="5">
        <f>INDEX(Projects[Plan Controls Eng (wks)],72)</f>
        <v/>
      </c>
      <c r="CY73" s="5">
        <f>INDEX(Projects[Plan Systems Eng (wks)],72)</f>
        <v/>
      </c>
      <c r="CZ73" s="5">
        <f>INDEX(Projects[Plan Software Eng (wks)],72)</f>
        <v/>
      </c>
      <c r="DA73" s="5">
        <f>INDEX(Projects[Plan M&amp;E Installation (wks)],72)</f>
        <v/>
      </c>
      <c r="DB73" s="5">
        <f>INDEX(Projects[Plan Commissioning (wks)],72)</f>
        <v/>
      </c>
      <c r="DC73" s="5">
        <f>INDEX(Projects[Plan Total (wks)],72)</f>
        <v/>
      </c>
      <c r="DD73" s="5">
        <f>INDEX(Projects[Act Mech Eng (wks)],72)</f>
        <v/>
      </c>
      <c r="DE73" s="5">
        <f>INDEX(Projects[Act Controls Eng (wks)],72)</f>
        <v/>
      </c>
      <c r="DF73" s="5">
        <f>INDEX(Projects[Act Systems Eng (wks)],72)</f>
        <v/>
      </c>
      <c r="DG73" s="5">
        <f>INDEX(Projects[Act Software Eng (wks)],72)</f>
        <v/>
      </c>
      <c r="DH73" s="5">
        <f>INDEX(Projects[Act M&amp;E Installation (wks)],72)</f>
        <v/>
      </c>
      <c r="DI73" s="5">
        <f>INDEX(Projects[Act Commissioning (wks)],72)</f>
        <v/>
      </c>
      <c r="DJ73" s="5">
        <f>INDEX(Projects[Act Total (wks)],72)</f>
        <v/>
      </c>
    </row>
    <row r="74" ht="15" customHeight="1" s="82">
      <c r="A74" s="64">
        <f>INDEX(Projects[Project ID *],73)&amp;""</f>
        <v/>
      </c>
      <c r="B74" s="64">
        <f>INDEX(Projects[Project Name *],73)&amp;""</f>
        <v/>
      </c>
      <c r="C74" s="64">
        <f>INDEX(Projects[MS Shuttles],73)</f>
        <v/>
      </c>
      <c r="D74" s="64">
        <f>INDEX(Projects[MS Tote Locations],73)</f>
        <v/>
      </c>
      <c r="E74" s="64">
        <f>INDEX(Projects[AS Robots],73)</f>
        <v/>
      </c>
      <c r="F74" s="64">
        <f>INDEX(Projects[AS Tote Locations],73)</f>
        <v/>
      </c>
      <c r="G74" s="64">
        <f>INDEX(Projects[PS Shuttles],73)</f>
        <v/>
      </c>
      <c r="H74" s="64">
        <f>INDEX(Projects[PS Pallet Locations],73)</f>
        <v/>
      </c>
      <c r="I74" s="64">
        <f>INDEX(Projects[SRM Cranes],73)</f>
        <v/>
      </c>
      <c r="J74" s="64">
        <f>INDEX(Projects[SRM Pallet Locations],73)</f>
        <v/>
      </c>
      <c r="K74" s="64">
        <f>INDEX(Projects[Case Conv (m)],73)</f>
        <v/>
      </c>
      <c r="L74" s="64">
        <f>INDEX(Projects[Pallet Conv (m)],73)</f>
        <v/>
      </c>
      <c r="M74" s="64">
        <f>IF(N(DJ74)&gt;0,DD74,CW74)</f>
        <v/>
      </c>
      <c r="N74" s="64">
        <f>IF(N(DJ74)&gt;0,DE74,CX74)</f>
        <v/>
      </c>
      <c r="O74" s="64">
        <f>IF(N(DJ74)&gt;0,DF74,CY74)</f>
        <v/>
      </c>
      <c r="P74" s="64">
        <f>IF(N(DJ74)&gt;0,DG74,CZ74)</f>
        <v/>
      </c>
      <c r="Q74" s="64">
        <f>IF(N(DJ74)&gt;0,DH74,DA74)</f>
        <v/>
      </c>
      <c r="R74" s="64">
        <f>IF(N(DJ74)&gt;0,DI74,DB74)</f>
        <v/>
      </c>
      <c r="S74" s="64">
        <f>IF(N(DJ74)&gt;0,DJ74,DC74)</f>
        <v/>
      </c>
      <c r="T74" s="64">
        <f>INDEX(Projects[Currency],73)&amp;""</f>
        <v/>
      </c>
      <c r="U74" s="65">
        <f>INDEX(Projects[Sold Value (M)],73)</f>
        <v/>
      </c>
      <c r="V74" s="64">
        <f>IF('Smart Search'!B13=1,IFERROR(1/'Smart Search'!H13,0),0)</f>
        <v/>
      </c>
      <c r="W74" s="64">
        <f>IF('Smart Search'!B13=1,IFERROR(1/'Smart Search'!H13,0),0)</f>
        <v/>
      </c>
      <c r="X74" s="64">
        <f>IF('Smart Search'!C13=1,IFERROR(1/'Smart Search'!H13,0),0)</f>
        <v/>
      </c>
      <c r="Y74" s="64">
        <f>IF('Smart Search'!C13=1,IFERROR(1/'Smart Search'!H13,0),0)</f>
        <v/>
      </c>
      <c r="Z74" s="64">
        <f>IF('Smart Search'!D13=1,IFERROR(1/'Smart Search'!H13,0),0)</f>
        <v/>
      </c>
      <c r="AA74" s="64">
        <f>IF('Smart Search'!D13=1,IFERROR(1/'Smart Search'!H13,0),0)</f>
        <v/>
      </c>
      <c r="AB74" s="64">
        <f>IF('Smart Search'!E13=1,IFERROR(1/'Smart Search'!H13,0),0)</f>
        <v/>
      </c>
      <c r="AC74" s="64">
        <f>IF('Smart Search'!E13=1,IFERROR(1/'Smart Search'!H13,0),0)</f>
        <v/>
      </c>
      <c r="AD74" s="64">
        <f>IF('Smart Search'!F13=1,IFERROR(1/'Smart Search'!H13,0),0)</f>
        <v/>
      </c>
      <c r="AE74" s="64">
        <f>IF('Smart Search'!F13=1,IFERROR(1/'Smart Search'!H13,0),0)</f>
        <v/>
      </c>
      <c r="AF74" s="64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4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4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4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4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4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4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4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4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4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4">
        <f>AF74*V74</f>
        <v/>
      </c>
      <c r="AQ74" s="64">
        <f>AG74*W74</f>
        <v/>
      </c>
      <c r="AR74" s="64">
        <f>AH74*X74</f>
        <v/>
      </c>
      <c r="AS74" s="64">
        <f>AI74*Y74</f>
        <v/>
      </c>
      <c r="AT74" s="64">
        <f>AJ74*Z74</f>
        <v/>
      </c>
      <c r="AU74" s="64">
        <f>AK74*AA74</f>
        <v/>
      </c>
      <c r="AV74" s="64">
        <f>AL74*AB74</f>
        <v/>
      </c>
      <c r="AW74" s="64">
        <f>AM74*AC74</f>
        <v/>
      </c>
      <c r="AX74" s="64">
        <f>AN74*AD74</f>
        <v/>
      </c>
      <c r="AY74" s="64">
        <f>AO74*AE74</f>
        <v/>
      </c>
      <c r="AZ74" s="64">
        <f>INDEX(Projects[Automation Equipment],73)&amp;""</f>
        <v/>
      </c>
      <c r="BA74" s="64">
        <f>IF(OR(A74="",'Smart Search'!H13=0),"",MAX(0,BE74*BF74*MAX(0,1-BG74)))</f>
        <v/>
      </c>
      <c r="BB74" s="64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4">
        <f>IF('Smart Search'!G13=1,IFERROR(1/'Smart Search'!H13,0),0)</f>
        <v/>
      </c>
      <c r="BD74" s="64">
        <f>BB74*BC74</f>
        <v/>
      </c>
      <c r="BE74" s="64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IF(A74="","",N(INDEX(Projects[Act Mech Inst],73)))</f>
        <v/>
      </c>
      <c r="BK74" s="5">
        <f>IF(A74="","",N(INDEX(Projects[Act Elec Inst],73)))</f>
        <v/>
      </c>
      <c r="BL74" s="5">
        <f>IF(A74="","",N(INDEX(Projects[Act Project Management],73)))</f>
        <v/>
      </c>
      <c r="BM74" s="5">
        <f>IF(A74="","",N(INDEX(Projects[Act Systems Eng],73)))</f>
        <v/>
      </c>
      <c r="BN74" s="5">
        <f>IF(A74="","",N(INDEX(Projects[Act Mechanical Eng],73)))</f>
        <v/>
      </c>
      <c r="BO74" s="5">
        <f>IF(A74="","",N(INDEX(Projects[Act Structural Engineering],73)))</f>
        <v/>
      </c>
      <c r="BP74" s="5">
        <f>IF(A74="","",N(INDEX(Projects[Act Site Sup],73)))</f>
        <v/>
      </c>
      <c r="BQ74" s="5">
        <f>IF(A74="","",N(INDEX(Projects[Act Controls Commissioning],73)))</f>
        <v/>
      </c>
      <c r="BR74" s="5">
        <f>IF(A74="","",N(INDEX(Projects[Act Systems Commissioning],73)))</f>
        <v/>
      </c>
      <c r="BS74" s="5">
        <f>IF(A74="","",N(INDEX(Projects[Act Service Commissioning],73)))</f>
        <v/>
      </c>
      <c r="BT74" s="5">
        <f>IF(A74="","",N(INDEX(Projects[Act Controls Eng],73)))</f>
        <v/>
      </c>
      <c r="BU74" s="5">
        <f>IF(A74="","",N(INDEX(Projects[Act Controls Purchase],73)))</f>
        <v/>
      </c>
      <c r="BV74" s="5">
        <f>IF(A74="","",N(INDEX(Projects[Act Software Eng],73)))</f>
        <v/>
      </c>
      <c r="BW74" s="5">
        <f>IF(A74="","",N(INDEX(Projects[Act 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INDEX(Projects[Sold Value (USD M)],73)</f>
        <v/>
      </c>
      <c r="CE74" s="5" t="n"/>
      <c r="CF74" s="5">
        <f>IF(A74="","",N(INDEX(Projects[Est Mech Inst],73)))</f>
        <v/>
      </c>
      <c r="CG74" s="5">
        <f>IF(A74="","",N(INDEX(Projects[Est Elec Inst],73)))</f>
        <v/>
      </c>
      <c r="CH74" s="5">
        <f>IF(A74="","",N(INDEX(Projects[Est Project Management],73)))</f>
        <v/>
      </c>
      <c r="CI74" s="5">
        <f>IF(A74="","",N(INDEX(Projects[Est Systems Eng],73)))</f>
        <v/>
      </c>
      <c r="CJ74" s="5">
        <f>IF(A74="","",N(INDEX(Projects[Est Mechanical Eng],73)))</f>
        <v/>
      </c>
      <c r="CK74" s="5">
        <f>IF(A74="","",N(INDEX(Projects[Est Structural Engineering],73)))</f>
        <v/>
      </c>
      <c r="CL74" s="5">
        <f>IF(A74="","",N(INDEX(Projects[Est Site Sup],73)))</f>
        <v/>
      </c>
      <c r="CM74" s="5">
        <f>IF(A74="","",N(INDEX(Projects[Est Controls Commissioning],73)))</f>
        <v/>
      </c>
      <c r="CN74" s="5">
        <f>IF(A74="","",N(INDEX(Projects[Est Systems Commissioning],73)))</f>
        <v/>
      </c>
      <c r="CO74" s="5">
        <f>IF(A74="","",N(INDEX(Projects[Est Service Commissioning],73)))</f>
        <v/>
      </c>
      <c r="CP74" s="5">
        <f>IF(A74="","",N(INDEX(Projects[Est Controls Eng],73)))</f>
        <v/>
      </c>
      <c r="CQ74" s="5">
        <f>IF(A74="","",N(INDEX(Projects[Est Controls Purchase],73)))</f>
        <v/>
      </c>
      <c r="CR74" s="5">
        <f>IF(A74="","",N(INDEX(Projects[Est Software Eng],73)))</f>
        <v/>
      </c>
      <c r="CS74" s="5">
        <f>IF(A74="","",N(INDEX(Projects[Est Misc],73)))</f>
        <v/>
      </c>
      <c r="CT74" s="5">
        <f>IF(A74="","",SUM(CF74:CS74))</f>
        <v/>
      </c>
      <c r="CU74" s="5">
        <f>INDEX(Projects[Est Cost (M)],73)</f>
        <v/>
      </c>
      <c r="CV74" s="5">
        <f>INDEX(Projects[Act Cost (M)],73)</f>
        <v/>
      </c>
      <c r="CW74" s="5">
        <f>INDEX(Projects[Plan Mech Eng (wks)],73)</f>
        <v/>
      </c>
      <c r="CX74" s="5">
        <f>INDEX(Projects[Plan Controls Eng (wks)],73)</f>
        <v/>
      </c>
      <c r="CY74" s="5">
        <f>INDEX(Projects[Plan Systems Eng (wks)],73)</f>
        <v/>
      </c>
      <c r="CZ74" s="5">
        <f>INDEX(Projects[Plan Software Eng (wks)],73)</f>
        <v/>
      </c>
      <c r="DA74" s="5">
        <f>INDEX(Projects[Plan M&amp;E Installation (wks)],73)</f>
        <v/>
      </c>
      <c r="DB74" s="5">
        <f>INDEX(Projects[Plan Commissioning (wks)],73)</f>
        <v/>
      </c>
      <c r="DC74" s="5">
        <f>INDEX(Projects[Plan Total (wks)],73)</f>
        <v/>
      </c>
      <c r="DD74" s="5">
        <f>INDEX(Projects[Act Mech Eng (wks)],73)</f>
        <v/>
      </c>
      <c r="DE74" s="5">
        <f>INDEX(Projects[Act Controls Eng (wks)],73)</f>
        <v/>
      </c>
      <c r="DF74" s="5">
        <f>INDEX(Projects[Act Systems Eng (wks)],73)</f>
        <v/>
      </c>
      <c r="DG74" s="5">
        <f>INDEX(Projects[Act Software Eng (wks)],73)</f>
        <v/>
      </c>
      <c r="DH74" s="5">
        <f>INDEX(Projects[Act M&amp;E Installation (wks)],73)</f>
        <v/>
      </c>
      <c r="DI74" s="5">
        <f>INDEX(Projects[Act Commissioning (wks)],73)</f>
        <v/>
      </c>
      <c r="DJ74" s="5">
        <f>INDEX(Projects[Act Total (wks)],73)</f>
        <v/>
      </c>
    </row>
    <row r="75" ht="15" customHeight="1" s="82">
      <c r="A75" s="64">
        <f>INDEX(Projects[Project ID *],74)&amp;""</f>
        <v/>
      </c>
      <c r="B75" s="64">
        <f>INDEX(Projects[Project Name *],74)&amp;""</f>
        <v/>
      </c>
      <c r="C75" s="64">
        <f>INDEX(Projects[MS Shuttles],74)</f>
        <v/>
      </c>
      <c r="D75" s="64">
        <f>INDEX(Projects[MS Tote Locations],74)</f>
        <v/>
      </c>
      <c r="E75" s="64">
        <f>INDEX(Projects[AS Robots],74)</f>
        <v/>
      </c>
      <c r="F75" s="64">
        <f>INDEX(Projects[AS Tote Locations],74)</f>
        <v/>
      </c>
      <c r="G75" s="64">
        <f>INDEX(Projects[PS Shuttles],74)</f>
        <v/>
      </c>
      <c r="H75" s="64">
        <f>INDEX(Projects[PS Pallet Locations],74)</f>
        <v/>
      </c>
      <c r="I75" s="64">
        <f>INDEX(Projects[SRM Cranes],74)</f>
        <v/>
      </c>
      <c r="J75" s="64">
        <f>INDEX(Projects[SRM Pallet Locations],74)</f>
        <v/>
      </c>
      <c r="K75" s="64">
        <f>INDEX(Projects[Case Conv (m)],74)</f>
        <v/>
      </c>
      <c r="L75" s="64">
        <f>INDEX(Projects[Pallet Conv (m)],74)</f>
        <v/>
      </c>
      <c r="M75" s="64">
        <f>IF(N(DJ75)&gt;0,DD75,CW75)</f>
        <v/>
      </c>
      <c r="N75" s="64">
        <f>IF(N(DJ75)&gt;0,DE75,CX75)</f>
        <v/>
      </c>
      <c r="O75" s="64">
        <f>IF(N(DJ75)&gt;0,DF75,CY75)</f>
        <v/>
      </c>
      <c r="P75" s="64">
        <f>IF(N(DJ75)&gt;0,DG75,CZ75)</f>
        <v/>
      </c>
      <c r="Q75" s="64">
        <f>IF(N(DJ75)&gt;0,DH75,DA75)</f>
        <v/>
      </c>
      <c r="R75" s="64">
        <f>IF(N(DJ75)&gt;0,DI75,DB75)</f>
        <v/>
      </c>
      <c r="S75" s="64">
        <f>IF(N(DJ75)&gt;0,DJ75,DC75)</f>
        <v/>
      </c>
      <c r="T75" s="64">
        <f>INDEX(Projects[Currency],74)&amp;""</f>
        <v/>
      </c>
      <c r="U75" s="65">
        <f>INDEX(Projects[Sold Value (M)],74)</f>
        <v/>
      </c>
      <c r="V75" s="64">
        <f>IF('Smart Search'!B13=1,IFERROR(1/'Smart Search'!H13,0),0)</f>
        <v/>
      </c>
      <c r="W75" s="64">
        <f>IF('Smart Search'!B13=1,IFERROR(1/'Smart Search'!H13,0),0)</f>
        <v/>
      </c>
      <c r="X75" s="64">
        <f>IF('Smart Search'!C13=1,IFERROR(1/'Smart Search'!H13,0),0)</f>
        <v/>
      </c>
      <c r="Y75" s="64">
        <f>IF('Smart Search'!C13=1,IFERROR(1/'Smart Search'!H13,0),0)</f>
        <v/>
      </c>
      <c r="Z75" s="64">
        <f>IF('Smart Search'!D13=1,IFERROR(1/'Smart Search'!H13,0),0)</f>
        <v/>
      </c>
      <c r="AA75" s="64">
        <f>IF('Smart Search'!D13=1,IFERROR(1/'Smart Search'!H13,0),0)</f>
        <v/>
      </c>
      <c r="AB75" s="64">
        <f>IF('Smart Search'!E13=1,IFERROR(1/'Smart Search'!H13,0),0)</f>
        <v/>
      </c>
      <c r="AC75" s="64">
        <f>IF('Smart Search'!E13=1,IFERROR(1/'Smart Search'!H13,0),0)</f>
        <v/>
      </c>
      <c r="AD75" s="64">
        <f>IF('Smart Search'!F13=1,IFERROR(1/'Smart Search'!H13,0),0)</f>
        <v/>
      </c>
      <c r="AE75" s="64">
        <f>IF('Smart Search'!F13=1,IFERROR(1/'Smart Search'!H13,0),0)</f>
        <v/>
      </c>
      <c r="AF75" s="64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4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4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4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4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4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4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4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4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4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4">
        <f>AF75*V75</f>
        <v/>
      </c>
      <c r="AQ75" s="64">
        <f>AG75*W75</f>
        <v/>
      </c>
      <c r="AR75" s="64">
        <f>AH75*X75</f>
        <v/>
      </c>
      <c r="AS75" s="64">
        <f>AI75*Y75</f>
        <v/>
      </c>
      <c r="AT75" s="64">
        <f>AJ75*Z75</f>
        <v/>
      </c>
      <c r="AU75" s="64">
        <f>AK75*AA75</f>
        <v/>
      </c>
      <c r="AV75" s="64">
        <f>AL75*AB75</f>
        <v/>
      </c>
      <c r="AW75" s="64">
        <f>AM75*AC75</f>
        <v/>
      </c>
      <c r="AX75" s="64">
        <f>AN75*AD75</f>
        <v/>
      </c>
      <c r="AY75" s="64">
        <f>AO75*AE75</f>
        <v/>
      </c>
      <c r="AZ75" s="64">
        <f>INDEX(Projects[Automation Equipment],74)&amp;""</f>
        <v/>
      </c>
      <c r="BA75" s="64">
        <f>IF(OR(A75="",'Smart Search'!H13=0),"",MAX(0,BE75*BF75*MAX(0,1-BG75)))</f>
        <v/>
      </c>
      <c r="BB75" s="64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4">
        <f>IF('Smart Search'!G13=1,IFERROR(1/'Smart Search'!H13,0),0)</f>
        <v/>
      </c>
      <c r="BD75" s="64">
        <f>BB75*BC75</f>
        <v/>
      </c>
      <c r="BE75" s="64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IF(A75="","",N(INDEX(Projects[Act Mech Inst],74)))</f>
        <v/>
      </c>
      <c r="BK75" s="5">
        <f>IF(A75="","",N(INDEX(Projects[Act Elec Inst],74)))</f>
        <v/>
      </c>
      <c r="BL75" s="5">
        <f>IF(A75="","",N(INDEX(Projects[Act Project Management],74)))</f>
        <v/>
      </c>
      <c r="BM75" s="5">
        <f>IF(A75="","",N(INDEX(Projects[Act Systems Eng],74)))</f>
        <v/>
      </c>
      <c r="BN75" s="5">
        <f>IF(A75="","",N(INDEX(Projects[Act Mechanical Eng],74)))</f>
        <v/>
      </c>
      <c r="BO75" s="5">
        <f>IF(A75="","",N(INDEX(Projects[Act Structural Engineering],74)))</f>
        <v/>
      </c>
      <c r="BP75" s="5">
        <f>IF(A75="","",N(INDEX(Projects[Act Site Sup],74)))</f>
        <v/>
      </c>
      <c r="BQ75" s="5">
        <f>IF(A75="","",N(INDEX(Projects[Act Controls Commissioning],74)))</f>
        <v/>
      </c>
      <c r="BR75" s="5">
        <f>IF(A75="","",N(INDEX(Projects[Act Systems Commissioning],74)))</f>
        <v/>
      </c>
      <c r="BS75" s="5">
        <f>IF(A75="","",N(INDEX(Projects[Act Service Commissioning],74)))</f>
        <v/>
      </c>
      <c r="BT75" s="5">
        <f>IF(A75="","",N(INDEX(Projects[Act Controls Eng],74)))</f>
        <v/>
      </c>
      <c r="BU75" s="5">
        <f>IF(A75="","",N(INDEX(Projects[Act Controls Purchase],74)))</f>
        <v/>
      </c>
      <c r="BV75" s="5">
        <f>IF(A75="","",N(INDEX(Projects[Act Software Eng],74)))</f>
        <v/>
      </c>
      <c r="BW75" s="5">
        <f>IF(A75="","",N(INDEX(Projects[Act 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INDEX(Projects[Sold Value (USD M)],74)</f>
        <v/>
      </c>
      <c r="CE75" s="5" t="n"/>
      <c r="CF75" s="5">
        <f>IF(A75="","",N(INDEX(Projects[Est Mech Inst],74)))</f>
        <v/>
      </c>
      <c r="CG75" s="5">
        <f>IF(A75="","",N(INDEX(Projects[Est Elec Inst],74)))</f>
        <v/>
      </c>
      <c r="CH75" s="5">
        <f>IF(A75="","",N(INDEX(Projects[Est Project Management],74)))</f>
        <v/>
      </c>
      <c r="CI75" s="5">
        <f>IF(A75="","",N(INDEX(Projects[Est Systems Eng],74)))</f>
        <v/>
      </c>
      <c r="CJ75" s="5">
        <f>IF(A75="","",N(INDEX(Projects[Est Mechanical Eng],74)))</f>
        <v/>
      </c>
      <c r="CK75" s="5">
        <f>IF(A75="","",N(INDEX(Projects[Est Structural Engineering],74)))</f>
        <v/>
      </c>
      <c r="CL75" s="5">
        <f>IF(A75="","",N(INDEX(Projects[Est Site Sup],74)))</f>
        <v/>
      </c>
      <c r="CM75" s="5">
        <f>IF(A75="","",N(INDEX(Projects[Est Controls Commissioning],74)))</f>
        <v/>
      </c>
      <c r="CN75" s="5">
        <f>IF(A75="","",N(INDEX(Projects[Est Systems Commissioning],74)))</f>
        <v/>
      </c>
      <c r="CO75" s="5">
        <f>IF(A75="","",N(INDEX(Projects[Est Service Commissioning],74)))</f>
        <v/>
      </c>
      <c r="CP75" s="5">
        <f>IF(A75="","",N(INDEX(Projects[Est Controls Eng],74)))</f>
        <v/>
      </c>
      <c r="CQ75" s="5">
        <f>IF(A75="","",N(INDEX(Projects[Est Controls Purchase],74)))</f>
        <v/>
      </c>
      <c r="CR75" s="5">
        <f>IF(A75="","",N(INDEX(Projects[Est Software Eng],74)))</f>
        <v/>
      </c>
      <c r="CS75" s="5">
        <f>IF(A75="","",N(INDEX(Projects[Est Misc],74)))</f>
        <v/>
      </c>
      <c r="CT75" s="5">
        <f>IF(A75="","",SUM(CF75:CS75))</f>
        <v/>
      </c>
      <c r="CU75" s="5">
        <f>INDEX(Projects[Est Cost (M)],74)</f>
        <v/>
      </c>
      <c r="CV75" s="5">
        <f>INDEX(Projects[Act Cost (M)],74)</f>
        <v/>
      </c>
      <c r="CW75" s="5">
        <f>INDEX(Projects[Plan Mech Eng (wks)],74)</f>
        <v/>
      </c>
      <c r="CX75" s="5">
        <f>INDEX(Projects[Plan Controls Eng (wks)],74)</f>
        <v/>
      </c>
      <c r="CY75" s="5">
        <f>INDEX(Projects[Plan Systems Eng (wks)],74)</f>
        <v/>
      </c>
      <c r="CZ75" s="5">
        <f>INDEX(Projects[Plan Software Eng (wks)],74)</f>
        <v/>
      </c>
      <c r="DA75" s="5">
        <f>INDEX(Projects[Plan M&amp;E Installation (wks)],74)</f>
        <v/>
      </c>
      <c r="DB75" s="5">
        <f>INDEX(Projects[Plan Commissioning (wks)],74)</f>
        <v/>
      </c>
      <c r="DC75" s="5">
        <f>INDEX(Projects[Plan Total (wks)],74)</f>
        <v/>
      </c>
      <c r="DD75" s="5">
        <f>INDEX(Projects[Act Mech Eng (wks)],74)</f>
        <v/>
      </c>
      <c r="DE75" s="5">
        <f>INDEX(Projects[Act Controls Eng (wks)],74)</f>
        <v/>
      </c>
      <c r="DF75" s="5">
        <f>INDEX(Projects[Act Systems Eng (wks)],74)</f>
        <v/>
      </c>
      <c r="DG75" s="5">
        <f>INDEX(Projects[Act Software Eng (wks)],74)</f>
        <v/>
      </c>
      <c r="DH75" s="5">
        <f>INDEX(Projects[Act M&amp;E Installation (wks)],74)</f>
        <v/>
      </c>
      <c r="DI75" s="5">
        <f>INDEX(Projects[Act Commissioning (wks)],74)</f>
        <v/>
      </c>
      <c r="DJ75" s="5">
        <f>INDEX(Projects[Act Total (wks)],74)</f>
        <v/>
      </c>
    </row>
    <row r="76" ht="15" customHeight="1" s="82">
      <c r="A76" s="64">
        <f>INDEX(Projects[Project ID *],75)&amp;""</f>
        <v/>
      </c>
      <c r="B76" s="64">
        <f>INDEX(Projects[Project Name *],75)&amp;""</f>
        <v/>
      </c>
      <c r="C76" s="64">
        <f>INDEX(Projects[MS Shuttles],75)</f>
        <v/>
      </c>
      <c r="D76" s="64">
        <f>INDEX(Projects[MS Tote Locations],75)</f>
        <v/>
      </c>
      <c r="E76" s="64">
        <f>INDEX(Projects[AS Robots],75)</f>
        <v/>
      </c>
      <c r="F76" s="64">
        <f>INDEX(Projects[AS Tote Locations],75)</f>
        <v/>
      </c>
      <c r="G76" s="64">
        <f>INDEX(Projects[PS Shuttles],75)</f>
        <v/>
      </c>
      <c r="H76" s="64">
        <f>INDEX(Projects[PS Pallet Locations],75)</f>
        <v/>
      </c>
      <c r="I76" s="64">
        <f>INDEX(Projects[SRM Cranes],75)</f>
        <v/>
      </c>
      <c r="J76" s="64">
        <f>INDEX(Projects[SRM Pallet Locations],75)</f>
        <v/>
      </c>
      <c r="K76" s="64">
        <f>INDEX(Projects[Case Conv (m)],75)</f>
        <v/>
      </c>
      <c r="L76" s="64">
        <f>INDEX(Projects[Pallet Conv (m)],75)</f>
        <v/>
      </c>
      <c r="M76" s="64">
        <f>IF(N(DJ76)&gt;0,DD76,CW76)</f>
        <v/>
      </c>
      <c r="N76" s="64">
        <f>IF(N(DJ76)&gt;0,DE76,CX76)</f>
        <v/>
      </c>
      <c r="O76" s="64">
        <f>IF(N(DJ76)&gt;0,DF76,CY76)</f>
        <v/>
      </c>
      <c r="P76" s="64">
        <f>IF(N(DJ76)&gt;0,DG76,CZ76)</f>
        <v/>
      </c>
      <c r="Q76" s="64">
        <f>IF(N(DJ76)&gt;0,DH76,DA76)</f>
        <v/>
      </c>
      <c r="R76" s="64">
        <f>IF(N(DJ76)&gt;0,DI76,DB76)</f>
        <v/>
      </c>
      <c r="S76" s="64">
        <f>IF(N(DJ76)&gt;0,DJ76,DC76)</f>
        <v/>
      </c>
      <c r="T76" s="64">
        <f>INDEX(Projects[Currency],75)&amp;""</f>
        <v/>
      </c>
      <c r="U76" s="65">
        <f>INDEX(Projects[Sold Value (M)],75)</f>
        <v/>
      </c>
      <c r="V76" s="64">
        <f>IF('Smart Search'!B13=1,IFERROR(1/'Smart Search'!H13,0),0)</f>
        <v/>
      </c>
      <c r="W76" s="64">
        <f>IF('Smart Search'!B13=1,IFERROR(1/'Smart Search'!H13,0),0)</f>
        <v/>
      </c>
      <c r="X76" s="64">
        <f>IF('Smart Search'!C13=1,IFERROR(1/'Smart Search'!H13,0),0)</f>
        <v/>
      </c>
      <c r="Y76" s="64">
        <f>IF('Smart Search'!C13=1,IFERROR(1/'Smart Search'!H13,0),0)</f>
        <v/>
      </c>
      <c r="Z76" s="64">
        <f>IF('Smart Search'!D13=1,IFERROR(1/'Smart Search'!H13,0),0)</f>
        <v/>
      </c>
      <c r="AA76" s="64">
        <f>IF('Smart Search'!D13=1,IFERROR(1/'Smart Search'!H13,0),0)</f>
        <v/>
      </c>
      <c r="AB76" s="64">
        <f>IF('Smart Search'!E13=1,IFERROR(1/'Smart Search'!H13,0),0)</f>
        <v/>
      </c>
      <c r="AC76" s="64">
        <f>IF('Smart Search'!E13=1,IFERROR(1/'Smart Search'!H13,0),0)</f>
        <v/>
      </c>
      <c r="AD76" s="64">
        <f>IF('Smart Search'!F13=1,IFERROR(1/'Smart Search'!H13,0),0)</f>
        <v/>
      </c>
      <c r="AE76" s="64">
        <f>IF('Smart Search'!F13=1,IFERROR(1/'Smart Search'!H13,0),0)</f>
        <v/>
      </c>
      <c r="AF76" s="64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4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4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4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4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4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4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4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4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4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4">
        <f>AF76*V76</f>
        <v/>
      </c>
      <c r="AQ76" s="64">
        <f>AG76*W76</f>
        <v/>
      </c>
      <c r="AR76" s="64">
        <f>AH76*X76</f>
        <v/>
      </c>
      <c r="AS76" s="64">
        <f>AI76*Y76</f>
        <v/>
      </c>
      <c r="AT76" s="64">
        <f>AJ76*Z76</f>
        <v/>
      </c>
      <c r="AU76" s="64">
        <f>AK76*AA76</f>
        <v/>
      </c>
      <c r="AV76" s="64">
        <f>AL76*AB76</f>
        <v/>
      </c>
      <c r="AW76" s="64">
        <f>AM76*AC76</f>
        <v/>
      </c>
      <c r="AX76" s="64">
        <f>AN76*AD76</f>
        <v/>
      </c>
      <c r="AY76" s="64">
        <f>AO76*AE76</f>
        <v/>
      </c>
      <c r="AZ76" s="64">
        <f>INDEX(Projects[Automation Equipment],75)&amp;""</f>
        <v/>
      </c>
      <c r="BA76" s="64">
        <f>IF(OR(A76="",'Smart Search'!H13=0),"",MAX(0,BE76*BF76*MAX(0,1-BG76)))</f>
        <v/>
      </c>
      <c r="BB76" s="64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4">
        <f>IF('Smart Search'!G13=1,IFERROR(1/'Smart Search'!H13,0),0)</f>
        <v/>
      </c>
      <c r="BD76" s="64">
        <f>BB76*BC76</f>
        <v/>
      </c>
      <c r="BE76" s="64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IF(A76="","",N(INDEX(Projects[Act Mech Inst],75)))</f>
        <v/>
      </c>
      <c r="BK76" s="5">
        <f>IF(A76="","",N(INDEX(Projects[Act Elec Inst],75)))</f>
        <v/>
      </c>
      <c r="BL76" s="5">
        <f>IF(A76="","",N(INDEX(Projects[Act Project Management],75)))</f>
        <v/>
      </c>
      <c r="BM76" s="5">
        <f>IF(A76="","",N(INDEX(Projects[Act Systems Eng],75)))</f>
        <v/>
      </c>
      <c r="BN76" s="5">
        <f>IF(A76="","",N(INDEX(Projects[Act Mechanical Eng],75)))</f>
        <v/>
      </c>
      <c r="BO76" s="5">
        <f>IF(A76="","",N(INDEX(Projects[Act Structural Engineering],75)))</f>
        <v/>
      </c>
      <c r="BP76" s="5">
        <f>IF(A76="","",N(INDEX(Projects[Act Site Sup],75)))</f>
        <v/>
      </c>
      <c r="BQ76" s="5">
        <f>IF(A76="","",N(INDEX(Projects[Act Controls Commissioning],75)))</f>
        <v/>
      </c>
      <c r="BR76" s="5">
        <f>IF(A76="","",N(INDEX(Projects[Act Systems Commissioning],75)))</f>
        <v/>
      </c>
      <c r="BS76" s="5">
        <f>IF(A76="","",N(INDEX(Projects[Act Service Commissioning],75)))</f>
        <v/>
      </c>
      <c r="BT76" s="5">
        <f>IF(A76="","",N(INDEX(Projects[Act Controls Eng],75)))</f>
        <v/>
      </c>
      <c r="BU76" s="5">
        <f>IF(A76="","",N(INDEX(Projects[Act Controls Purchase],75)))</f>
        <v/>
      </c>
      <c r="BV76" s="5">
        <f>IF(A76="","",N(INDEX(Projects[Act Software Eng],75)))</f>
        <v/>
      </c>
      <c r="BW76" s="5">
        <f>IF(A76="","",N(INDEX(Projects[Act 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INDEX(Projects[Sold Value (USD M)],75)</f>
        <v/>
      </c>
      <c r="CE76" s="5" t="n"/>
      <c r="CF76" s="5">
        <f>IF(A76="","",N(INDEX(Projects[Est Mech Inst],75)))</f>
        <v/>
      </c>
      <c r="CG76" s="5">
        <f>IF(A76="","",N(INDEX(Projects[Est Elec Inst],75)))</f>
        <v/>
      </c>
      <c r="CH76" s="5">
        <f>IF(A76="","",N(INDEX(Projects[Est Project Management],75)))</f>
        <v/>
      </c>
      <c r="CI76" s="5">
        <f>IF(A76="","",N(INDEX(Projects[Est Systems Eng],75)))</f>
        <v/>
      </c>
      <c r="CJ76" s="5">
        <f>IF(A76="","",N(INDEX(Projects[Est Mechanical Eng],75)))</f>
        <v/>
      </c>
      <c r="CK76" s="5">
        <f>IF(A76="","",N(INDEX(Projects[Est Structural Engineering],75)))</f>
        <v/>
      </c>
      <c r="CL76" s="5">
        <f>IF(A76="","",N(INDEX(Projects[Est Site Sup],75)))</f>
        <v/>
      </c>
      <c r="CM76" s="5">
        <f>IF(A76="","",N(INDEX(Projects[Est Controls Commissioning],75)))</f>
        <v/>
      </c>
      <c r="CN76" s="5">
        <f>IF(A76="","",N(INDEX(Projects[Est Systems Commissioning],75)))</f>
        <v/>
      </c>
      <c r="CO76" s="5">
        <f>IF(A76="","",N(INDEX(Projects[Est Service Commissioning],75)))</f>
        <v/>
      </c>
      <c r="CP76" s="5">
        <f>IF(A76="","",N(INDEX(Projects[Est Controls Eng],75)))</f>
        <v/>
      </c>
      <c r="CQ76" s="5">
        <f>IF(A76="","",N(INDEX(Projects[Est Controls Purchase],75)))</f>
        <v/>
      </c>
      <c r="CR76" s="5">
        <f>IF(A76="","",N(INDEX(Projects[Est Software Eng],75)))</f>
        <v/>
      </c>
      <c r="CS76" s="5">
        <f>IF(A76="","",N(INDEX(Projects[Est Misc],75)))</f>
        <v/>
      </c>
      <c r="CT76" s="5">
        <f>IF(A76="","",SUM(CF76:CS76))</f>
        <v/>
      </c>
      <c r="CU76" s="5">
        <f>INDEX(Projects[Est Cost (M)],75)</f>
        <v/>
      </c>
      <c r="CV76" s="5">
        <f>INDEX(Projects[Act Cost (M)],75)</f>
        <v/>
      </c>
      <c r="CW76" s="5">
        <f>INDEX(Projects[Plan Mech Eng (wks)],75)</f>
        <v/>
      </c>
      <c r="CX76" s="5">
        <f>INDEX(Projects[Plan Controls Eng (wks)],75)</f>
        <v/>
      </c>
      <c r="CY76" s="5">
        <f>INDEX(Projects[Plan Systems Eng (wks)],75)</f>
        <v/>
      </c>
      <c r="CZ76" s="5">
        <f>INDEX(Projects[Plan Software Eng (wks)],75)</f>
        <v/>
      </c>
      <c r="DA76" s="5">
        <f>INDEX(Projects[Plan M&amp;E Installation (wks)],75)</f>
        <v/>
      </c>
      <c r="DB76" s="5">
        <f>INDEX(Projects[Plan Commissioning (wks)],75)</f>
        <v/>
      </c>
      <c r="DC76" s="5">
        <f>INDEX(Projects[Plan Total (wks)],75)</f>
        <v/>
      </c>
      <c r="DD76" s="5">
        <f>INDEX(Projects[Act Mech Eng (wks)],75)</f>
        <v/>
      </c>
      <c r="DE76" s="5">
        <f>INDEX(Projects[Act Controls Eng (wks)],75)</f>
        <v/>
      </c>
      <c r="DF76" s="5">
        <f>INDEX(Projects[Act Systems Eng (wks)],75)</f>
        <v/>
      </c>
      <c r="DG76" s="5">
        <f>INDEX(Projects[Act Software Eng (wks)],75)</f>
        <v/>
      </c>
      <c r="DH76" s="5">
        <f>INDEX(Projects[Act M&amp;E Installation (wks)],75)</f>
        <v/>
      </c>
      <c r="DI76" s="5">
        <f>INDEX(Projects[Act Commissioning (wks)],75)</f>
        <v/>
      </c>
      <c r="DJ76" s="5">
        <f>INDEX(Projects[Act Total (wks)],75)</f>
        <v/>
      </c>
    </row>
    <row r="77" ht="15" customHeight="1" s="82">
      <c r="A77" s="64">
        <f>INDEX(Projects[Project ID *],76)&amp;""</f>
        <v/>
      </c>
      <c r="B77" s="64">
        <f>INDEX(Projects[Project Name *],76)&amp;""</f>
        <v/>
      </c>
      <c r="C77" s="64">
        <f>INDEX(Projects[MS Shuttles],76)</f>
        <v/>
      </c>
      <c r="D77" s="64">
        <f>INDEX(Projects[MS Tote Locations],76)</f>
        <v/>
      </c>
      <c r="E77" s="64">
        <f>INDEX(Projects[AS Robots],76)</f>
        <v/>
      </c>
      <c r="F77" s="64">
        <f>INDEX(Projects[AS Tote Locations],76)</f>
        <v/>
      </c>
      <c r="G77" s="64">
        <f>INDEX(Projects[PS Shuttles],76)</f>
        <v/>
      </c>
      <c r="H77" s="64">
        <f>INDEX(Projects[PS Pallet Locations],76)</f>
        <v/>
      </c>
      <c r="I77" s="64">
        <f>INDEX(Projects[SRM Cranes],76)</f>
        <v/>
      </c>
      <c r="J77" s="64">
        <f>INDEX(Projects[SRM Pallet Locations],76)</f>
        <v/>
      </c>
      <c r="K77" s="64">
        <f>INDEX(Projects[Case Conv (m)],76)</f>
        <v/>
      </c>
      <c r="L77" s="64">
        <f>INDEX(Projects[Pallet Conv (m)],76)</f>
        <v/>
      </c>
      <c r="M77" s="64">
        <f>IF(N(DJ77)&gt;0,DD77,CW77)</f>
        <v/>
      </c>
      <c r="N77" s="64">
        <f>IF(N(DJ77)&gt;0,DE77,CX77)</f>
        <v/>
      </c>
      <c r="O77" s="64">
        <f>IF(N(DJ77)&gt;0,DF77,CY77)</f>
        <v/>
      </c>
      <c r="P77" s="64">
        <f>IF(N(DJ77)&gt;0,DG77,CZ77)</f>
        <v/>
      </c>
      <c r="Q77" s="64">
        <f>IF(N(DJ77)&gt;0,DH77,DA77)</f>
        <v/>
      </c>
      <c r="R77" s="64">
        <f>IF(N(DJ77)&gt;0,DI77,DB77)</f>
        <v/>
      </c>
      <c r="S77" s="64">
        <f>IF(N(DJ77)&gt;0,DJ77,DC77)</f>
        <v/>
      </c>
      <c r="T77" s="64">
        <f>INDEX(Projects[Currency],76)&amp;""</f>
        <v/>
      </c>
      <c r="U77" s="65">
        <f>INDEX(Projects[Sold Value (M)],76)</f>
        <v/>
      </c>
      <c r="V77" s="64">
        <f>IF('Smart Search'!B13=1,IFERROR(1/'Smart Search'!H13,0),0)</f>
        <v/>
      </c>
      <c r="W77" s="64">
        <f>IF('Smart Search'!B13=1,IFERROR(1/'Smart Search'!H13,0),0)</f>
        <v/>
      </c>
      <c r="X77" s="64">
        <f>IF('Smart Search'!C13=1,IFERROR(1/'Smart Search'!H13,0),0)</f>
        <v/>
      </c>
      <c r="Y77" s="64">
        <f>IF('Smart Search'!C13=1,IFERROR(1/'Smart Search'!H13,0),0)</f>
        <v/>
      </c>
      <c r="Z77" s="64">
        <f>IF('Smart Search'!D13=1,IFERROR(1/'Smart Search'!H13,0),0)</f>
        <v/>
      </c>
      <c r="AA77" s="64">
        <f>IF('Smart Search'!D13=1,IFERROR(1/'Smart Search'!H13,0),0)</f>
        <v/>
      </c>
      <c r="AB77" s="64">
        <f>IF('Smart Search'!E13=1,IFERROR(1/'Smart Search'!H13,0),0)</f>
        <v/>
      </c>
      <c r="AC77" s="64">
        <f>IF('Smart Search'!E13=1,IFERROR(1/'Smart Search'!H13,0),0)</f>
        <v/>
      </c>
      <c r="AD77" s="64">
        <f>IF('Smart Search'!F13=1,IFERROR(1/'Smart Search'!H13,0),0)</f>
        <v/>
      </c>
      <c r="AE77" s="64">
        <f>IF('Smart Search'!F13=1,IFERROR(1/'Smart Search'!H13,0),0)</f>
        <v/>
      </c>
      <c r="AF77" s="64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4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4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4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4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4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4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4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4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4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4">
        <f>AF77*V77</f>
        <v/>
      </c>
      <c r="AQ77" s="64">
        <f>AG77*W77</f>
        <v/>
      </c>
      <c r="AR77" s="64">
        <f>AH77*X77</f>
        <v/>
      </c>
      <c r="AS77" s="64">
        <f>AI77*Y77</f>
        <v/>
      </c>
      <c r="AT77" s="64">
        <f>AJ77*Z77</f>
        <v/>
      </c>
      <c r="AU77" s="64">
        <f>AK77*AA77</f>
        <v/>
      </c>
      <c r="AV77" s="64">
        <f>AL77*AB77</f>
        <v/>
      </c>
      <c r="AW77" s="64">
        <f>AM77*AC77</f>
        <v/>
      </c>
      <c r="AX77" s="64">
        <f>AN77*AD77</f>
        <v/>
      </c>
      <c r="AY77" s="64">
        <f>AO77*AE77</f>
        <v/>
      </c>
      <c r="AZ77" s="64">
        <f>INDEX(Projects[Automation Equipment],76)&amp;""</f>
        <v/>
      </c>
      <c r="BA77" s="64">
        <f>IF(OR(A77="",'Smart Search'!H13=0),"",MAX(0,BE77*BF77*MAX(0,1-BG77)))</f>
        <v/>
      </c>
      <c r="BB77" s="64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4">
        <f>IF('Smart Search'!G13=1,IFERROR(1/'Smart Search'!H13,0),0)</f>
        <v/>
      </c>
      <c r="BD77" s="64">
        <f>BB77*BC77</f>
        <v/>
      </c>
      <c r="BE77" s="64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IF(A77="","",N(INDEX(Projects[Act Mech Inst],76)))</f>
        <v/>
      </c>
      <c r="BK77" s="5">
        <f>IF(A77="","",N(INDEX(Projects[Act Elec Inst],76)))</f>
        <v/>
      </c>
      <c r="BL77" s="5">
        <f>IF(A77="","",N(INDEX(Projects[Act Project Management],76)))</f>
        <v/>
      </c>
      <c r="BM77" s="5">
        <f>IF(A77="","",N(INDEX(Projects[Act Systems Eng],76)))</f>
        <v/>
      </c>
      <c r="BN77" s="5">
        <f>IF(A77="","",N(INDEX(Projects[Act Mechanical Eng],76)))</f>
        <v/>
      </c>
      <c r="BO77" s="5">
        <f>IF(A77="","",N(INDEX(Projects[Act Structural Engineering],76)))</f>
        <v/>
      </c>
      <c r="BP77" s="5">
        <f>IF(A77="","",N(INDEX(Projects[Act Site Sup],76)))</f>
        <v/>
      </c>
      <c r="BQ77" s="5">
        <f>IF(A77="","",N(INDEX(Projects[Act Controls Commissioning],76)))</f>
        <v/>
      </c>
      <c r="BR77" s="5">
        <f>IF(A77="","",N(INDEX(Projects[Act Systems Commissioning],76)))</f>
        <v/>
      </c>
      <c r="BS77" s="5">
        <f>IF(A77="","",N(INDEX(Projects[Act Service Commissioning],76)))</f>
        <v/>
      </c>
      <c r="BT77" s="5">
        <f>IF(A77="","",N(INDEX(Projects[Act Controls Eng],76)))</f>
        <v/>
      </c>
      <c r="BU77" s="5">
        <f>IF(A77="","",N(INDEX(Projects[Act Controls Purchase],76)))</f>
        <v/>
      </c>
      <c r="BV77" s="5">
        <f>IF(A77="","",N(INDEX(Projects[Act Software Eng],76)))</f>
        <v/>
      </c>
      <c r="BW77" s="5">
        <f>IF(A77="","",N(INDEX(Projects[Act 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INDEX(Projects[Sold Value (USD M)],76)</f>
        <v/>
      </c>
      <c r="CE77" s="5" t="n"/>
      <c r="CF77" s="5">
        <f>IF(A77="","",N(INDEX(Projects[Est Mech Inst],76)))</f>
        <v/>
      </c>
      <c r="CG77" s="5">
        <f>IF(A77="","",N(INDEX(Projects[Est Elec Inst],76)))</f>
        <v/>
      </c>
      <c r="CH77" s="5">
        <f>IF(A77="","",N(INDEX(Projects[Est Project Management],76)))</f>
        <v/>
      </c>
      <c r="CI77" s="5">
        <f>IF(A77="","",N(INDEX(Projects[Est Systems Eng],76)))</f>
        <v/>
      </c>
      <c r="CJ77" s="5">
        <f>IF(A77="","",N(INDEX(Projects[Est Mechanical Eng],76)))</f>
        <v/>
      </c>
      <c r="CK77" s="5">
        <f>IF(A77="","",N(INDEX(Projects[Est Structural Engineering],76)))</f>
        <v/>
      </c>
      <c r="CL77" s="5">
        <f>IF(A77="","",N(INDEX(Projects[Est Site Sup],76)))</f>
        <v/>
      </c>
      <c r="CM77" s="5">
        <f>IF(A77="","",N(INDEX(Projects[Est Controls Commissioning],76)))</f>
        <v/>
      </c>
      <c r="CN77" s="5">
        <f>IF(A77="","",N(INDEX(Projects[Est Systems Commissioning],76)))</f>
        <v/>
      </c>
      <c r="CO77" s="5">
        <f>IF(A77="","",N(INDEX(Projects[Est Service Commissioning],76)))</f>
        <v/>
      </c>
      <c r="CP77" s="5">
        <f>IF(A77="","",N(INDEX(Projects[Est Controls Eng],76)))</f>
        <v/>
      </c>
      <c r="CQ77" s="5">
        <f>IF(A77="","",N(INDEX(Projects[Est Controls Purchase],76)))</f>
        <v/>
      </c>
      <c r="CR77" s="5">
        <f>IF(A77="","",N(INDEX(Projects[Est Software Eng],76)))</f>
        <v/>
      </c>
      <c r="CS77" s="5">
        <f>IF(A77="","",N(INDEX(Projects[Est Misc],76)))</f>
        <v/>
      </c>
      <c r="CT77" s="5">
        <f>IF(A77="","",SUM(CF77:CS77))</f>
        <v/>
      </c>
      <c r="CU77" s="5">
        <f>INDEX(Projects[Est Cost (M)],76)</f>
        <v/>
      </c>
      <c r="CV77" s="5">
        <f>INDEX(Projects[Act Cost (M)],76)</f>
        <v/>
      </c>
      <c r="CW77" s="5">
        <f>INDEX(Projects[Plan Mech Eng (wks)],76)</f>
        <v/>
      </c>
      <c r="CX77" s="5">
        <f>INDEX(Projects[Plan Controls Eng (wks)],76)</f>
        <v/>
      </c>
      <c r="CY77" s="5">
        <f>INDEX(Projects[Plan Systems Eng (wks)],76)</f>
        <v/>
      </c>
      <c r="CZ77" s="5">
        <f>INDEX(Projects[Plan Software Eng (wks)],76)</f>
        <v/>
      </c>
      <c r="DA77" s="5">
        <f>INDEX(Projects[Plan M&amp;E Installation (wks)],76)</f>
        <v/>
      </c>
      <c r="DB77" s="5">
        <f>INDEX(Projects[Plan Commissioning (wks)],76)</f>
        <v/>
      </c>
      <c r="DC77" s="5">
        <f>INDEX(Projects[Plan Total (wks)],76)</f>
        <v/>
      </c>
      <c r="DD77" s="5">
        <f>INDEX(Projects[Act Mech Eng (wks)],76)</f>
        <v/>
      </c>
      <c r="DE77" s="5">
        <f>INDEX(Projects[Act Controls Eng (wks)],76)</f>
        <v/>
      </c>
      <c r="DF77" s="5">
        <f>INDEX(Projects[Act Systems Eng (wks)],76)</f>
        <v/>
      </c>
      <c r="DG77" s="5">
        <f>INDEX(Projects[Act Software Eng (wks)],76)</f>
        <v/>
      </c>
      <c r="DH77" s="5">
        <f>INDEX(Projects[Act M&amp;E Installation (wks)],76)</f>
        <v/>
      </c>
      <c r="DI77" s="5">
        <f>INDEX(Projects[Act Commissioning (wks)],76)</f>
        <v/>
      </c>
      <c r="DJ77" s="5">
        <f>INDEX(Projects[Act Total (wks)],76)</f>
        <v/>
      </c>
    </row>
    <row r="78" ht="15" customHeight="1" s="82">
      <c r="A78" s="64">
        <f>INDEX(Projects[Project ID *],77)&amp;""</f>
        <v/>
      </c>
      <c r="B78" s="64">
        <f>INDEX(Projects[Project Name *],77)&amp;""</f>
        <v/>
      </c>
      <c r="C78" s="64">
        <f>INDEX(Projects[MS Shuttles],77)</f>
        <v/>
      </c>
      <c r="D78" s="64">
        <f>INDEX(Projects[MS Tote Locations],77)</f>
        <v/>
      </c>
      <c r="E78" s="64">
        <f>INDEX(Projects[AS Robots],77)</f>
        <v/>
      </c>
      <c r="F78" s="64">
        <f>INDEX(Projects[AS Tote Locations],77)</f>
        <v/>
      </c>
      <c r="G78" s="64">
        <f>INDEX(Projects[PS Shuttles],77)</f>
        <v/>
      </c>
      <c r="H78" s="64">
        <f>INDEX(Projects[PS Pallet Locations],77)</f>
        <v/>
      </c>
      <c r="I78" s="64">
        <f>INDEX(Projects[SRM Cranes],77)</f>
        <v/>
      </c>
      <c r="J78" s="64">
        <f>INDEX(Projects[SRM Pallet Locations],77)</f>
        <v/>
      </c>
      <c r="K78" s="64">
        <f>INDEX(Projects[Case Conv (m)],77)</f>
        <v/>
      </c>
      <c r="L78" s="64">
        <f>INDEX(Projects[Pallet Conv (m)],77)</f>
        <v/>
      </c>
      <c r="M78" s="64">
        <f>IF(N(DJ78)&gt;0,DD78,CW78)</f>
        <v/>
      </c>
      <c r="N78" s="64">
        <f>IF(N(DJ78)&gt;0,DE78,CX78)</f>
        <v/>
      </c>
      <c r="O78" s="64">
        <f>IF(N(DJ78)&gt;0,DF78,CY78)</f>
        <v/>
      </c>
      <c r="P78" s="64">
        <f>IF(N(DJ78)&gt;0,DG78,CZ78)</f>
        <v/>
      </c>
      <c r="Q78" s="64">
        <f>IF(N(DJ78)&gt;0,DH78,DA78)</f>
        <v/>
      </c>
      <c r="R78" s="64">
        <f>IF(N(DJ78)&gt;0,DI78,DB78)</f>
        <v/>
      </c>
      <c r="S78" s="64">
        <f>IF(N(DJ78)&gt;0,DJ78,DC78)</f>
        <v/>
      </c>
      <c r="T78" s="64">
        <f>INDEX(Projects[Currency],77)&amp;""</f>
        <v/>
      </c>
      <c r="U78" s="65">
        <f>INDEX(Projects[Sold Value (M)],77)</f>
        <v/>
      </c>
      <c r="V78" s="64">
        <f>IF('Smart Search'!B13=1,IFERROR(1/'Smart Search'!H13,0),0)</f>
        <v/>
      </c>
      <c r="W78" s="64">
        <f>IF('Smart Search'!B13=1,IFERROR(1/'Smart Search'!H13,0),0)</f>
        <v/>
      </c>
      <c r="X78" s="64">
        <f>IF('Smart Search'!C13=1,IFERROR(1/'Smart Search'!H13,0),0)</f>
        <v/>
      </c>
      <c r="Y78" s="64">
        <f>IF('Smart Search'!C13=1,IFERROR(1/'Smart Search'!H13,0),0)</f>
        <v/>
      </c>
      <c r="Z78" s="64">
        <f>IF('Smart Search'!D13=1,IFERROR(1/'Smart Search'!H13,0),0)</f>
        <v/>
      </c>
      <c r="AA78" s="64">
        <f>IF('Smart Search'!D13=1,IFERROR(1/'Smart Search'!H13,0),0)</f>
        <v/>
      </c>
      <c r="AB78" s="64">
        <f>IF('Smart Search'!E13=1,IFERROR(1/'Smart Search'!H13,0),0)</f>
        <v/>
      </c>
      <c r="AC78" s="64">
        <f>IF('Smart Search'!E13=1,IFERROR(1/'Smart Search'!H13,0),0)</f>
        <v/>
      </c>
      <c r="AD78" s="64">
        <f>IF('Smart Search'!F13=1,IFERROR(1/'Smart Search'!H13,0),0)</f>
        <v/>
      </c>
      <c r="AE78" s="64">
        <f>IF('Smart Search'!F13=1,IFERROR(1/'Smart Search'!H13,0),0)</f>
        <v/>
      </c>
      <c r="AF78" s="64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4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4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4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4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4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4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4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4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4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4">
        <f>AF78*V78</f>
        <v/>
      </c>
      <c r="AQ78" s="64">
        <f>AG78*W78</f>
        <v/>
      </c>
      <c r="AR78" s="64">
        <f>AH78*X78</f>
        <v/>
      </c>
      <c r="AS78" s="64">
        <f>AI78*Y78</f>
        <v/>
      </c>
      <c r="AT78" s="64">
        <f>AJ78*Z78</f>
        <v/>
      </c>
      <c r="AU78" s="64">
        <f>AK78*AA78</f>
        <v/>
      </c>
      <c r="AV78" s="64">
        <f>AL78*AB78</f>
        <v/>
      </c>
      <c r="AW78" s="64">
        <f>AM78*AC78</f>
        <v/>
      </c>
      <c r="AX78" s="64">
        <f>AN78*AD78</f>
        <v/>
      </c>
      <c r="AY78" s="64">
        <f>AO78*AE78</f>
        <v/>
      </c>
      <c r="AZ78" s="64">
        <f>INDEX(Projects[Automation Equipment],77)&amp;""</f>
        <v/>
      </c>
      <c r="BA78" s="64">
        <f>IF(OR(A78="",'Smart Search'!H13=0),"",MAX(0,BE78*BF78*MAX(0,1-BG78)))</f>
        <v/>
      </c>
      <c r="BB78" s="64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4">
        <f>IF('Smart Search'!G13=1,IFERROR(1/'Smart Search'!H13,0),0)</f>
        <v/>
      </c>
      <c r="BD78" s="64">
        <f>BB78*BC78</f>
        <v/>
      </c>
      <c r="BE78" s="64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IF(A78="","",N(INDEX(Projects[Act Mech Inst],77)))</f>
        <v/>
      </c>
      <c r="BK78" s="5">
        <f>IF(A78="","",N(INDEX(Projects[Act Elec Inst],77)))</f>
        <v/>
      </c>
      <c r="BL78" s="5">
        <f>IF(A78="","",N(INDEX(Projects[Act Project Management],77)))</f>
        <v/>
      </c>
      <c r="BM78" s="5">
        <f>IF(A78="","",N(INDEX(Projects[Act Systems Eng],77)))</f>
        <v/>
      </c>
      <c r="BN78" s="5">
        <f>IF(A78="","",N(INDEX(Projects[Act Mechanical Eng],77)))</f>
        <v/>
      </c>
      <c r="BO78" s="5">
        <f>IF(A78="","",N(INDEX(Projects[Act Structural Engineering],77)))</f>
        <v/>
      </c>
      <c r="BP78" s="5">
        <f>IF(A78="","",N(INDEX(Projects[Act Site Sup],77)))</f>
        <v/>
      </c>
      <c r="BQ78" s="5">
        <f>IF(A78="","",N(INDEX(Projects[Act Controls Commissioning],77)))</f>
        <v/>
      </c>
      <c r="BR78" s="5">
        <f>IF(A78="","",N(INDEX(Projects[Act Systems Commissioning],77)))</f>
        <v/>
      </c>
      <c r="BS78" s="5">
        <f>IF(A78="","",N(INDEX(Projects[Act Service Commissioning],77)))</f>
        <v/>
      </c>
      <c r="BT78" s="5">
        <f>IF(A78="","",N(INDEX(Projects[Act Controls Eng],77)))</f>
        <v/>
      </c>
      <c r="BU78" s="5">
        <f>IF(A78="","",N(INDEX(Projects[Act Controls Purchase],77)))</f>
        <v/>
      </c>
      <c r="BV78" s="5">
        <f>IF(A78="","",N(INDEX(Projects[Act Software Eng],77)))</f>
        <v/>
      </c>
      <c r="BW78" s="5">
        <f>IF(A78="","",N(INDEX(Projects[Act 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INDEX(Projects[Sold Value (USD M)],77)</f>
        <v/>
      </c>
      <c r="CE78" s="5" t="n"/>
      <c r="CF78" s="5">
        <f>IF(A78="","",N(INDEX(Projects[Est Mech Inst],77)))</f>
        <v/>
      </c>
      <c r="CG78" s="5">
        <f>IF(A78="","",N(INDEX(Projects[Est Elec Inst],77)))</f>
        <v/>
      </c>
      <c r="CH78" s="5">
        <f>IF(A78="","",N(INDEX(Projects[Est Project Management],77)))</f>
        <v/>
      </c>
      <c r="CI78" s="5">
        <f>IF(A78="","",N(INDEX(Projects[Est Systems Eng],77)))</f>
        <v/>
      </c>
      <c r="CJ78" s="5">
        <f>IF(A78="","",N(INDEX(Projects[Est Mechanical Eng],77)))</f>
        <v/>
      </c>
      <c r="CK78" s="5">
        <f>IF(A78="","",N(INDEX(Projects[Est Structural Engineering],77)))</f>
        <v/>
      </c>
      <c r="CL78" s="5">
        <f>IF(A78="","",N(INDEX(Projects[Est Site Sup],77)))</f>
        <v/>
      </c>
      <c r="CM78" s="5">
        <f>IF(A78="","",N(INDEX(Projects[Est Controls Commissioning],77)))</f>
        <v/>
      </c>
      <c r="CN78" s="5">
        <f>IF(A78="","",N(INDEX(Projects[Est Systems Commissioning],77)))</f>
        <v/>
      </c>
      <c r="CO78" s="5">
        <f>IF(A78="","",N(INDEX(Projects[Est Service Commissioning],77)))</f>
        <v/>
      </c>
      <c r="CP78" s="5">
        <f>IF(A78="","",N(INDEX(Projects[Est Controls Eng],77)))</f>
        <v/>
      </c>
      <c r="CQ78" s="5">
        <f>IF(A78="","",N(INDEX(Projects[Est Controls Purchase],77)))</f>
        <v/>
      </c>
      <c r="CR78" s="5">
        <f>IF(A78="","",N(INDEX(Projects[Est Software Eng],77)))</f>
        <v/>
      </c>
      <c r="CS78" s="5">
        <f>IF(A78="","",N(INDEX(Projects[Est Misc],77)))</f>
        <v/>
      </c>
      <c r="CT78" s="5">
        <f>IF(A78="","",SUM(CF78:CS78))</f>
        <v/>
      </c>
      <c r="CU78" s="5">
        <f>INDEX(Projects[Est Cost (M)],77)</f>
        <v/>
      </c>
      <c r="CV78" s="5">
        <f>INDEX(Projects[Act Cost (M)],77)</f>
        <v/>
      </c>
      <c r="CW78" s="5">
        <f>INDEX(Projects[Plan Mech Eng (wks)],77)</f>
        <v/>
      </c>
      <c r="CX78" s="5">
        <f>INDEX(Projects[Plan Controls Eng (wks)],77)</f>
        <v/>
      </c>
      <c r="CY78" s="5">
        <f>INDEX(Projects[Plan Systems Eng (wks)],77)</f>
        <v/>
      </c>
      <c r="CZ78" s="5">
        <f>INDEX(Projects[Plan Software Eng (wks)],77)</f>
        <v/>
      </c>
      <c r="DA78" s="5">
        <f>INDEX(Projects[Plan M&amp;E Installation (wks)],77)</f>
        <v/>
      </c>
      <c r="DB78" s="5">
        <f>INDEX(Projects[Plan Commissioning (wks)],77)</f>
        <v/>
      </c>
      <c r="DC78" s="5">
        <f>INDEX(Projects[Plan Total (wks)],77)</f>
        <v/>
      </c>
      <c r="DD78" s="5">
        <f>INDEX(Projects[Act Mech Eng (wks)],77)</f>
        <v/>
      </c>
      <c r="DE78" s="5">
        <f>INDEX(Projects[Act Controls Eng (wks)],77)</f>
        <v/>
      </c>
      <c r="DF78" s="5">
        <f>INDEX(Projects[Act Systems Eng (wks)],77)</f>
        <v/>
      </c>
      <c r="DG78" s="5">
        <f>INDEX(Projects[Act Software Eng (wks)],77)</f>
        <v/>
      </c>
      <c r="DH78" s="5">
        <f>INDEX(Projects[Act M&amp;E Installation (wks)],77)</f>
        <v/>
      </c>
      <c r="DI78" s="5">
        <f>INDEX(Projects[Act Commissioning (wks)],77)</f>
        <v/>
      </c>
      <c r="DJ78" s="5">
        <f>INDEX(Projects[Act Total (wks)],77)</f>
        <v/>
      </c>
    </row>
    <row r="79" ht="15" customHeight="1" s="82">
      <c r="A79" s="64">
        <f>INDEX(Projects[Project ID *],78)&amp;""</f>
        <v/>
      </c>
      <c r="B79" s="64">
        <f>INDEX(Projects[Project Name *],78)&amp;""</f>
        <v/>
      </c>
      <c r="C79" s="64">
        <f>INDEX(Projects[MS Shuttles],78)</f>
        <v/>
      </c>
      <c r="D79" s="64">
        <f>INDEX(Projects[MS Tote Locations],78)</f>
        <v/>
      </c>
      <c r="E79" s="64">
        <f>INDEX(Projects[AS Robots],78)</f>
        <v/>
      </c>
      <c r="F79" s="64">
        <f>INDEX(Projects[AS Tote Locations],78)</f>
        <v/>
      </c>
      <c r="G79" s="64">
        <f>INDEX(Projects[PS Shuttles],78)</f>
        <v/>
      </c>
      <c r="H79" s="64">
        <f>INDEX(Projects[PS Pallet Locations],78)</f>
        <v/>
      </c>
      <c r="I79" s="64">
        <f>INDEX(Projects[SRM Cranes],78)</f>
        <v/>
      </c>
      <c r="J79" s="64">
        <f>INDEX(Projects[SRM Pallet Locations],78)</f>
        <v/>
      </c>
      <c r="K79" s="64">
        <f>INDEX(Projects[Case Conv (m)],78)</f>
        <v/>
      </c>
      <c r="L79" s="64">
        <f>INDEX(Projects[Pallet Conv (m)],78)</f>
        <v/>
      </c>
      <c r="M79" s="64">
        <f>IF(N(DJ79)&gt;0,DD79,CW79)</f>
        <v/>
      </c>
      <c r="N79" s="64">
        <f>IF(N(DJ79)&gt;0,DE79,CX79)</f>
        <v/>
      </c>
      <c r="O79" s="64">
        <f>IF(N(DJ79)&gt;0,DF79,CY79)</f>
        <v/>
      </c>
      <c r="P79" s="64">
        <f>IF(N(DJ79)&gt;0,DG79,CZ79)</f>
        <v/>
      </c>
      <c r="Q79" s="64">
        <f>IF(N(DJ79)&gt;0,DH79,DA79)</f>
        <v/>
      </c>
      <c r="R79" s="64">
        <f>IF(N(DJ79)&gt;0,DI79,DB79)</f>
        <v/>
      </c>
      <c r="S79" s="64">
        <f>IF(N(DJ79)&gt;0,DJ79,DC79)</f>
        <v/>
      </c>
      <c r="T79" s="64">
        <f>INDEX(Projects[Currency],78)&amp;""</f>
        <v/>
      </c>
      <c r="U79" s="65">
        <f>INDEX(Projects[Sold Value (M)],78)</f>
        <v/>
      </c>
      <c r="V79" s="64">
        <f>IF('Smart Search'!B13=1,IFERROR(1/'Smart Search'!H13,0),0)</f>
        <v/>
      </c>
      <c r="W79" s="64">
        <f>IF('Smart Search'!B13=1,IFERROR(1/'Smart Search'!H13,0),0)</f>
        <v/>
      </c>
      <c r="X79" s="64">
        <f>IF('Smart Search'!C13=1,IFERROR(1/'Smart Search'!H13,0),0)</f>
        <v/>
      </c>
      <c r="Y79" s="64">
        <f>IF('Smart Search'!C13=1,IFERROR(1/'Smart Search'!H13,0),0)</f>
        <v/>
      </c>
      <c r="Z79" s="64">
        <f>IF('Smart Search'!D13=1,IFERROR(1/'Smart Search'!H13,0),0)</f>
        <v/>
      </c>
      <c r="AA79" s="64">
        <f>IF('Smart Search'!D13=1,IFERROR(1/'Smart Search'!H13,0),0)</f>
        <v/>
      </c>
      <c r="AB79" s="64">
        <f>IF('Smart Search'!E13=1,IFERROR(1/'Smart Search'!H13,0),0)</f>
        <v/>
      </c>
      <c r="AC79" s="64">
        <f>IF('Smart Search'!E13=1,IFERROR(1/'Smart Search'!H13,0),0)</f>
        <v/>
      </c>
      <c r="AD79" s="64">
        <f>IF('Smart Search'!F13=1,IFERROR(1/'Smart Search'!H13,0),0)</f>
        <v/>
      </c>
      <c r="AE79" s="64">
        <f>IF('Smart Search'!F13=1,IFERROR(1/'Smart Search'!H13,0),0)</f>
        <v/>
      </c>
      <c r="AF79" s="64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4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4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4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4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4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4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4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4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4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4">
        <f>AF79*V79</f>
        <v/>
      </c>
      <c r="AQ79" s="64">
        <f>AG79*W79</f>
        <v/>
      </c>
      <c r="AR79" s="64">
        <f>AH79*X79</f>
        <v/>
      </c>
      <c r="AS79" s="64">
        <f>AI79*Y79</f>
        <v/>
      </c>
      <c r="AT79" s="64">
        <f>AJ79*Z79</f>
        <v/>
      </c>
      <c r="AU79" s="64">
        <f>AK79*AA79</f>
        <v/>
      </c>
      <c r="AV79" s="64">
        <f>AL79*AB79</f>
        <v/>
      </c>
      <c r="AW79" s="64">
        <f>AM79*AC79</f>
        <v/>
      </c>
      <c r="AX79" s="64">
        <f>AN79*AD79</f>
        <v/>
      </c>
      <c r="AY79" s="64">
        <f>AO79*AE79</f>
        <v/>
      </c>
      <c r="AZ79" s="64">
        <f>INDEX(Projects[Automation Equipment],78)&amp;""</f>
        <v/>
      </c>
      <c r="BA79" s="64">
        <f>IF(OR(A79="",'Smart Search'!H13=0),"",MAX(0,BE79*BF79*MAX(0,1-BG79)))</f>
        <v/>
      </c>
      <c r="BB79" s="64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4">
        <f>IF('Smart Search'!G13=1,IFERROR(1/'Smart Search'!H13,0),0)</f>
        <v/>
      </c>
      <c r="BD79" s="64">
        <f>BB79*BC79</f>
        <v/>
      </c>
      <c r="BE79" s="64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IF(A79="","",N(INDEX(Projects[Act Mech Inst],78)))</f>
        <v/>
      </c>
      <c r="BK79" s="5">
        <f>IF(A79="","",N(INDEX(Projects[Act Elec Inst],78)))</f>
        <v/>
      </c>
      <c r="BL79" s="5">
        <f>IF(A79="","",N(INDEX(Projects[Act Project Management],78)))</f>
        <v/>
      </c>
      <c r="BM79" s="5">
        <f>IF(A79="","",N(INDEX(Projects[Act Systems Eng],78)))</f>
        <v/>
      </c>
      <c r="BN79" s="5">
        <f>IF(A79="","",N(INDEX(Projects[Act Mechanical Eng],78)))</f>
        <v/>
      </c>
      <c r="BO79" s="5">
        <f>IF(A79="","",N(INDEX(Projects[Act Structural Engineering],78)))</f>
        <v/>
      </c>
      <c r="BP79" s="5">
        <f>IF(A79="","",N(INDEX(Projects[Act Site Sup],78)))</f>
        <v/>
      </c>
      <c r="BQ79" s="5">
        <f>IF(A79="","",N(INDEX(Projects[Act Controls Commissioning],78)))</f>
        <v/>
      </c>
      <c r="BR79" s="5">
        <f>IF(A79="","",N(INDEX(Projects[Act Systems Commissioning],78)))</f>
        <v/>
      </c>
      <c r="BS79" s="5">
        <f>IF(A79="","",N(INDEX(Projects[Act Service Commissioning],78)))</f>
        <v/>
      </c>
      <c r="BT79" s="5">
        <f>IF(A79="","",N(INDEX(Projects[Act Controls Eng],78)))</f>
        <v/>
      </c>
      <c r="BU79" s="5">
        <f>IF(A79="","",N(INDEX(Projects[Act Controls Purchase],78)))</f>
        <v/>
      </c>
      <c r="BV79" s="5">
        <f>IF(A79="","",N(INDEX(Projects[Act Software Eng],78)))</f>
        <v/>
      </c>
      <c r="BW79" s="5">
        <f>IF(A79="","",N(INDEX(Projects[Act 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INDEX(Projects[Sold Value (USD M)],78)</f>
        <v/>
      </c>
      <c r="CE79" s="5" t="n"/>
      <c r="CF79" s="5">
        <f>IF(A79="","",N(INDEX(Projects[Est Mech Inst],78)))</f>
        <v/>
      </c>
      <c r="CG79" s="5">
        <f>IF(A79="","",N(INDEX(Projects[Est Elec Inst],78)))</f>
        <v/>
      </c>
      <c r="CH79" s="5">
        <f>IF(A79="","",N(INDEX(Projects[Est Project Management],78)))</f>
        <v/>
      </c>
      <c r="CI79" s="5">
        <f>IF(A79="","",N(INDEX(Projects[Est Systems Eng],78)))</f>
        <v/>
      </c>
      <c r="CJ79" s="5">
        <f>IF(A79="","",N(INDEX(Projects[Est Mechanical Eng],78)))</f>
        <v/>
      </c>
      <c r="CK79" s="5">
        <f>IF(A79="","",N(INDEX(Projects[Est Structural Engineering],78)))</f>
        <v/>
      </c>
      <c r="CL79" s="5">
        <f>IF(A79="","",N(INDEX(Projects[Est Site Sup],78)))</f>
        <v/>
      </c>
      <c r="CM79" s="5">
        <f>IF(A79="","",N(INDEX(Projects[Est Controls Commissioning],78)))</f>
        <v/>
      </c>
      <c r="CN79" s="5">
        <f>IF(A79="","",N(INDEX(Projects[Est Systems Commissioning],78)))</f>
        <v/>
      </c>
      <c r="CO79" s="5">
        <f>IF(A79="","",N(INDEX(Projects[Est Service Commissioning],78)))</f>
        <v/>
      </c>
      <c r="CP79" s="5">
        <f>IF(A79="","",N(INDEX(Projects[Est Controls Eng],78)))</f>
        <v/>
      </c>
      <c r="CQ79" s="5">
        <f>IF(A79="","",N(INDEX(Projects[Est Controls Purchase],78)))</f>
        <v/>
      </c>
      <c r="CR79" s="5">
        <f>IF(A79="","",N(INDEX(Projects[Est Software Eng],78)))</f>
        <v/>
      </c>
      <c r="CS79" s="5">
        <f>IF(A79="","",N(INDEX(Projects[Est Misc],78)))</f>
        <v/>
      </c>
      <c r="CT79" s="5">
        <f>IF(A79="","",SUM(CF79:CS79))</f>
        <v/>
      </c>
      <c r="CU79" s="5">
        <f>INDEX(Projects[Est Cost (M)],78)</f>
        <v/>
      </c>
      <c r="CV79" s="5">
        <f>INDEX(Projects[Act Cost (M)],78)</f>
        <v/>
      </c>
      <c r="CW79" s="5">
        <f>INDEX(Projects[Plan Mech Eng (wks)],78)</f>
        <v/>
      </c>
      <c r="CX79" s="5">
        <f>INDEX(Projects[Plan Controls Eng (wks)],78)</f>
        <v/>
      </c>
      <c r="CY79" s="5">
        <f>INDEX(Projects[Plan Systems Eng (wks)],78)</f>
        <v/>
      </c>
      <c r="CZ79" s="5">
        <f>INDEX(Projects[Plan Software Eng (wks)],78)</f>
        <v/>
      </c>
      <c r="DA79" s="5">
        <f>INDEX(Projects[Plan M&amp;E Installation (wks)],78)</f>
        <v/>
      </c>
      <c r="DB79" s="5">
        <f>INDEX(Projects[Plan Commissioning (wks)],78)</f>
        <v/>
      </c>
      <c r="DC79" s="5">
        <f>INDEX(Projects[Plan Total (wks)],78)</f>
        <v/>
      </c>
      <c r="DD79" s="5">
        <f>INDEX(Projects[Act Mech Eng (wks)],78)</f>
        <v/>
      </c>
      <c r="DE79" s="5">
        <f>INDEX(Projects[Act Controls Eng (wks)],78)</f>
        <v/>
      </c>
      <c r="DF79" s="5">
        <f>INDEX(Projects[Act Systems Eng (wks)],78)</f>
        <v/>
      </c>
      <c r="DG79" s="5">
        <f>INDEX(Projects[Act Software Eng (wks)],78)</f>
        <v/>
      </c>
      <c r="DH79" s="5">
        <f>INDEX(Projects[Act M&amp;E Installation (wks)],78)</f>
        <v/>
      </c>
      <c r="DI79" s="5">
        <f>INDEX(Projects[Act Commissioning (wks)],78)</f>
        <v/>
      </c>
      <c r="DJ79" s="5">
        <f>INDEX(Projects[Act Total (wks)],78)</f>
        <v/>
      </c>
    </row>
    <row r="80" ht="15" customHeight="1" s="82">
      <c r="A80" s="64">
        <f>INDEX(Projects[Project ID *],79)&amp;""</f>
        <v/>
      </c>
      <c r="B80" s="64">
        <f>INDEX(Projects[Project Name *],79)&amp;""</f>
        <v/>
      </c>
      <c r="C80" s="64">
        <f>INDEX(Projects[MS Shuttles],79)</f>
        <v/>
      </c>
      <c r="D80" s="64">
        <f>INDEX(Projects[MS Tote Locations],79)</f>
        <v/>
      </c>
      <c r="E80" s="64">
        <f>INDEX(Projects[AS Robots],79)</f>
        <v/>
      </c>
      <c r="F80" s="64">
        <f>INDEX(Projects[AS Tote Locations],79)</f>
        <v/>
      </c>
      <c r="G80" s="64">
        <f>INDEX(Projects[PS Shuttles],79)</f>
        <v/>
      </c>
      <c r="H80" s="64">
        <f>INDEX(Projects[PS Pallet Locations],79)</f>
        <v/>
      </c>
      <c r="I80" s="64">
        <f>INDEX(Projects[SRM Cranes],79)</f>
        <v/>
      </c>
      <c r="J80" s="64">
        <f>INDEX(Projects[SRM Pallet Locations],79)</f>
        <v/>
      </c>
      <c r="K80" s="64">
        <f>INDEX(Projects[Case Conv (m)],79)</f>
        <v/>
      </c>
      <c r="L80" s="64">
        <f>INDEX(Projects[Pallet Conv (m)],79)</f>
        <v/>
      </c>
      <c r="M80" s="64">
        <f>IF(N(DJ80)&gt;0,DD80,CW80)</f>
        <v/>
      </c>
      <c r="N80" s="64">
        <f>IF(N(DJ80)&gt;0,DE80,CX80)</f>
        <v/>
      </c>
      <c r="O80" s="64">
        <f>IF(N(DJ80)&gt;0,DF80,CY80)</f>
        <v/>
      </c>
      <c r="P80" s="64">
        <f>IF(N(DJ80)&gt;0,DG80,CZ80)</f>
        <v/>
      </c>
      <c r="Q80" s="64">
        <f>IF(N(DJ80)&gt;0,DH80,DA80)</f>
        <v/>
      </c>
      <c r="R80" s="64">
        <f>IF(N(DJ80)&gt;0,DI80,DB80)</f>
        <v/>
      </c>
      <c r="S80" s="64">
        <f>IF(N(DJ80)&gt;0,DJ80,DC80)</f>
        <v/>
      </c>
      <c r="T80" s="64">
        <f>INDEX(Projects[Currency],79)&amp;""</f>
        <v/>
      </c>
      <c r="U80" s="65">
        <f>INDEX(Projects[Sold Value (M)],79)</f>
        <v/>
      </c>
      <c r="V80" s="64">
        <f>IF('Smart Search'!B13=1,IFERROR(1/'Smart Search'!H13,0),0)</f>
        <v/>
      </c>
      <c r="W80" s="64">
        <f>IF('Smart Search'!B13=1,IFERROR(1/'Smart Search'!H13,0),0)</f>
        <v/>
      </c>
      <c r="X80" s="64">
        <f>IF('Smart Search'!C13=1,IFERROR(1/'Smart Search'!H13,0),0)</f>
        <v/>
      </c>
      <c r="Y80" s="64">
        <f>IF('Smart Search'!C13=1,IFERROR(1/'Smart Search'!H13,0),0)</f>
        <v/>
      </c>
      <c r="Z80" s="64">
        <f>IF('Smart Search'!D13=1,IFERROR(1/'Smart Search'!H13,0),0)</f>
        <v/>
      </c>
      <c r="AA80" s="64">
        <f>IF('Smart Search'!D13=1,IFERROR(1/'Smart Search'!H13,0),0)</f>
        <v/>
      </c>
      <c r="AB80" s="64">
        <f>IF('Smart Search'!E13=1,IFERROR(1/'Smart Search'!H13,0),0)</f>
        <v/>
      </c>
      <c r="AC80" s="64">
        <f>IF('Smart Search'!E13=1,IFERROR(1/'Smart Search'!H13,0),0)</f>
        <v/>
      </c>
      <c r="AD80" s="64">
        <f>IF('Smart Search'!F13=1,IFERROR(1/'Smart Search'!H13,0),0)</f>
        <v/>
      </c>
      <c r="AE80" s="64">
        <f>IF('Smart Search'!F13=1,IFERROR(1/'Smart Search'!H13,0),0)</f>
        <v/>
      </c>
      <c r="AF80" s="64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4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4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4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4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4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4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4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4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4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4">
        <f>AF80*V80</f>
        <v/>
      </c>
      <c r="AQ80" s="64">
        <f>AG80*W80</f>
        <v/>
      </c>
      <c r="AR80" s="64">
        <f>AH80*X80</f>
        <v/>
      </c>
      <c r="AS80" s="64">
        <f>AI80*Y80</f>
        <v/>
      </c>
      <c r="AT80" s="64">
        <f>AJ80*Z80</f>
        <v/>
      </c>
      <c r="AU80" s="64">
        <f>AK80*AA80</f>
        <v/>
      </c>
      <c r="AV80" s="64">
        <f>AL80*AB80</f>
        <v/>
      </c>
      <c r="AW80" s="64">
        <f>AM80*AC80</f>
        <v/>
      </c>
      <c r="AX80" s="64">
        <f>AN80*AD80</f>
        <v/>
      </c>
      <c r="AY80" s="64">
        <f>AO80*AE80</f>
        <v/>
      </c>
      <c r="AZ80" s="64">
        <f>INDEX(Projects[Automation Equipment],79)&amp;""</f>
        <v/>
      </c>
      <c r="BA80" s="64">
        <f>IF(OR(A80="",'Smart Search'!H13=0),"",MAX(0,BE80*BF80*MAX(0,1-BG80)))</f>
        <v/>
      </c>
      <c r="BB80" s="64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4">
        <f>IF('Smart Search'!G13=1,IFERROR(1/'Smart Search'!H13,0),0)</f>
        <v/>
      </c>
      <c r="BD80" s="64">
        <f>BB80*BC80</f>
        <v/>
      </c>
      <c r="BE80" s="64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IF(A80="","",N(INDEX(Projects[Act Mech Inst],79)))</f>
        <v/>
      </c>
      <c r="BK80" s="5">
        <f>IF(A80="","",N(INDEX(Projects[Act Elec Inst],79)))</f>
        <v/>
      </c>
      <c r="BL80" s="5">
        <f>IF(A80="","",N(INDEX(Projects[Act Project Management],79)))</f>
        <v/>
      </c>
      <c r="BM80" s="5">
        <f>IF(A80="","",N(INDEX(Projects[Act Systems Eng],79)))</f>
        <v/>
      </c>
      <c r="BN80" s="5">
        <f>IF(A80="","",N(INDEX(Projects[Act Mechanical Eng],79)))</f>
        <v/>
      </c>
      <c r="BO80" s="5">
        <f>IF(A80="","",N(INDEX(Projects[Act Structural Engineering],79)))</f>
        <v/>
      </c>
      <c r="BP80" s="5">
        <f>IF(A80="","",N(INDEX(Projects[Act Site Sup],79)))</f>
        <v/>
      </c>
      <c r="BQ80" s="5">
        <f>IF(A80="","",N(INDEX(Projects[Act Controls Commissioning],79)))</f>
        <v/>
      </c>
      <c r="BR80" s="5">
        <f>IF(A80="","",N(INDEX(Projects[Act Systems Commissioning],79)))</f>
        <v/>
      </c>
      <c r="BS80" s="5">
        <f>IF(A80="","",N(INDEX(Projects[Act Service Commissioning],79)))</f>
        <v/>
      </c>
      <c r="BT80" s="5">
        <f>IF(A80="","",N(INDEX(Projects[Act Controls Eng],79)))</f>
        <v/>
      </c>
      <c r="BU80" s="5">
        <f>IF(A80="","",N(INDEX(Projects[Act Controls Purchase],79)))</f>
        <v/>
      </c>
      <c r="BV80" s="5">
        <f>IF(A80="","",N(INDEX(Projects[Act Software Eng],79)))</f>
        <v/>
      </c>
      <c r="BW80" s="5">
        <f>IF(A80="","",N(INDEX(Projects[Act 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INDEX(Projects[Sold Value (USD M)],79)</f>
        <v/>
      </c>
      <c r="CE80" s="5" t="n"/>
      <c r="CF80" s="5">
        <f>IF(A80="","",N(INDEX(Projects[Est Mech Inst],79)))</f>
        <v/>
      </c>
      <c r="CG80" s="5">
        <f>IF(A80="","",N(INDEX(Projects[Est Elec Inst],79)))</f>
        <v/>
      </c>
      <c r="CH80" s="5">
        <f>IF(A80="","",N(INDEX(Projects[Est Project Management],79)))</f>
        <v/>
      </c>
      <c r="CI80" s="5">
        <f>IF(A80="","",N(INDEX(Projects[Est Systems Eng],79)))</f>
        <v/>
      </c>
      <c r="CJ80" s="5">
        <f>IF(A80="","",N(INDEX(Projects[Est Mechanical Eng],79)))</f>
        <v/>
      </c>
      <c r="CK80" s="5">
        <f>IF(A80="","",N(INDEX(Projects[Est Structural Engineering],79)))</f>
        <v/>
      </c>
      <c r="CL80" s="5">
        <f>IF(A80="","",N(INDEX(Projects[Est Site Sup],79)))</f>
        <v/>
      </c>
      <c r="CM80" s="5">
        <f>IF(A80="","",N(INDEX(Projects[Est Controls Commissioning],79)))</f>
        <v/>
      </c>
      <c r="CN80" s="5">
        <f>IF(A80="","",N(INDEX(Projects[Est Systems Commissioning],79)))</f>
        <v/>
      </c>
      <c r="CO80" s="5">
        <f>IF(A80="","",N(INDEX(Projects[Est Service Commissioning],79)))</f>
        <v/>
      </c>
      <c r="CP80" s="5">
        <f>IF(A80="","",N(INDEX(Projects[Est Controls Eng],79)))</f>
        <v/>
      </c>
      <c r="CQ80" s="5">
        <f>IF(A80="","",N(INDEX(Projects[Est Controls Purchase],79)))</f>
        <v/>
      </c>
      <c r="CR80" s="5">
        <f>IF(A80="","",N(INDEX(Projects[Est Software Eng],79)))</f>
        <v/>
      </c>
      <c r="CS80" s="5">
        <f>IF(A80="","",N(INDEX(Projects[Est Misc],79)))</f>
        <v/>
      </c>
      <c r="CT80" s="5">
        <f>IF(A80="","",SUM(CF80:CS80))</f>
        <v/>
      </c>
      <c r="CU80" s="5">
        <f>INDEX(Projects[Est Cost (M)],79)</f>
        <v/>
      </c>
      <c r="CV80" s="5">
        <f>INDEX(Projects[Act Cost (M)],79)</f>
        <v/>
      </c>
      <c r="CW80" s="5">
        <f>INDEX(Projects[Plan Mech Eng (wks)],79)</f>
        <v/>
      </c>
      <c r="CX80" s="5">
        <f>INDEX(Projects[Plan Controls Eng (wks)],79)</f>
        <v/>
      </c>
      <c r="CY80" s="5">
        <f>INDEX(Projects[Plan Systems Eng (wks)],79)</f>
        <v/>
      </c>
      <c r="CZ80" s="5">
        <f>INDEX(Projects[Plan Software Eng (wks)],79)</f>
        <v/>
      </c>
      <c r="DA80" s="5">
        <f>INDEX(Projects[Plan M&amp;E Installation (wks)],79)</f>
        <v/>
      </c>
      <c r="DB80" s="5">
        <f>INDEX(Projects[Plan Commissioning (wks)],79)</f>
        <v/>
      </c>
      <c r="DC80" s="5">
        <f>INDEX(Projects[Plan Total (wks)],79)</f>
        <v/>
      </c>
      <c r="DD80" s="5">
        <f>INDEX(Projects[Act Mech Eng (wks)],79)</f>
        <v/>
      </c>
      <c r="DE80" s="5">
        <f>INDEX(Projects[Act Controls Eng (wks)],79)</f>
        <v/>
      </c>
      <c r="DF80" s="5">
        <f>INDEX(Projects[Act Systems Eng (wks)],79)</f>
        <v/>
      </c>
      <c r="DG80" s="5">
        <f>INDEX(Projects[Act Software Eng (wks)],79)</f>
        <v/>
      </c>
      <c r="DH80" s="5">
        <f>INDEX(Projects[Act M&amp;E Installation (wks)],79)</f>
        <v/>
      </c>
      <c r="DI80" s="5">
        <f>INDEX(Projects[Act Commissioning (wks)],79)</f>
        <v/>
      </c>
      <c r="DJ80" s="5">
        <f>INDEX(Projects[Act Total (wks)],79)</f>
        <v/>
      </c>
    </row>
    <row r="81" ht="15" customHeight="1" s="82">
      <c r="A81" s="64">
        <f>INDEX(Projects[Project ID *],80)&amp;""</f>
        <v/>
      </c>
      <c r="B81" s="64">
        <f>INDEX(Projects[Project Name *],80)&amp;""</f>
        <v/>
      </c>
      <c r="C81" s="64">
        <f>INDEX(Projects[MS Shuttles],80)</f>
        <v/>
      </c>
      <c r="D81" s="64">
        <f>INDEX(Projects[MS Tote Locations],80)</f>
        <v/>
      </c>
      <c r="E81" s="64">
        <f>INDEX(Projects[AS Robots],80)</f>
        <v/>
      </c>
      <c r="F81" s="64">
        <f>INDEX(Projects[AS Tote Locations],80)</f>
        <v/>
      </c>
      <c r="G81" s="64">
        <f>INDEX(Projects[PS Shuttles],80)</f>
        <v/>
      </c>
      <c r="H81" s="64">
        <f>INDEX(Projects[PS Pallet Locations],80)</f>
        <v/>
      </c>
      <c r="I81" s="64">
        <f>INDEX(Projects[SRM Cranes],80)</f>
        <v/>
      </c>
      <c r="J81" s="64">
        <f>INDEX(Projects[SRM Pallet Locations],80)</f>
        <v/>
      </c>
      <c r="K81" s="64">
        <f>INDEX(Projects[Case Conv (m)],80)</f>
        <v/>
      </c>
      <c r="L81" s="64">
        <f>INDEX(Projects[Pallet Conv (m)],80)</f>
        <v/>
      </c>
      <c r="M81" s="64">
        <f>IF(N(DJ81)&gt;0,DD81,CW81)</f>
        <v/>
      </c>
      <c r="N81" s="64">
        <f>IF(N(DJ81)&gt;0,DE81,CX81)</f>
        <v/>
      </c>
      <c r="O81" s="64">
        <f>IF(N(DJ81)&gt;0,DF81,CY81)</f>
        <v/>
      </c>
      <c r="P81" s="64">
        <f>IF(N(DJ81)&gt;0,DG81,CZ81)</f>
        <v/>
      </c>
      <c r="Q81" s="64">
        <f>IF(N(DJ81)&gt;0,DH81,DA81)</f>
        <v/>
      </c>
      <c r="R81" s="64">
        <f>IF(N(DJ81)&gt;0,DI81,DB81)</f>
        <v/>
      </c>
      <c r="S81" s="64">
        <f>IF(N(DJ81)&gt;0,DJ81,DC81)</f>
        <v/>
      </c>
      <c r="T81" s="64">
        <f>INDEX(Projects[Currency],80)&amp;""</f>
        <v/>
      </c>
      <c r="U81" s="65">
        <f>INDEX(Projects[Sold Value (M)],80)</f>
        <v/>
      </c>
      <c r="V81" s="64">
        <f>IF('Smart Search'!B13=1,IFERROR(1/'Smart Search'!H13,0),0)</f>
        <v/>
      </c>
      <c r="W81" s="64">
        <f>IF('Smart Search'!B13=1,IFERROR(1/'Smart Search'!H13,0),0)</f>
        <v/>
      </c>
      <c r="X81" s="64">
        <f>IF('Smart Search'!C13=1,IFERROR(1/'Smart Search'!H13,0),0)</f>
        <v/>
      </c>
      <c r="Y81" s="64">
        <f>IF('Smart Search'!C13=1,IFERROR(1/'Smart Search'!H13,0),0)</f>
        <v/>
      </c>
      <c r="Z81" s="64">
        <f>IF('Smart Search'!D13=1,IFERROR(1/'Smart Search'!H13,0),0)</f>
        <v/>
      </c>
      <c r="AA81" s="64">
        <f>IF('Smart Search'!D13=1,IFERROR(1/'Smart Search'!H13,0),0)</f>
        <v/>
      </c>
      <c r="AB81" s="64">
        <f>IF('Smart Search'!E13=1,IFERROR(1/'Smart Search'!H13,0),0)</f>
        <v/>
      </c>
      <c r="AC81" s="64">
        <f>IF('Smart Search'!E13=1,IFERROR(1/'Smart Search'!H13,0),0)</f>
        <v/>
      </c>
      <c r="AD81" s="64">
        <f>IF('Smart Search'!F13=1,IFERROR(1/'Smart Search'!H13,0),0)</f>
        <v/>
      </c>
      <c r="AE81" s="64">
        <f>IF('Smart Search'!F13=1,IFERROR(1/'Smart Search'!H13,0),0)</f>
        <v/>
      </c>
      <c r="AF81" s="64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4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4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4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4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4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4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4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4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4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4">
        <f>AF81*V81</f>
        <v/>
      </c>
      <c r="AQ81" s="64">
        <f>AG81*W81</f>
        <v/>
      </c>
      <c r="AR81" s="64">
        <f>AH81*X81</f>
        <v/>
      </c>
      <c r="AS81" s="64">
        <f>AI81*Y81</f>
        <v/>
      </c>
      <c r="AT81" s="64">
        <f>AJ81*Z81</f>
        <v/>
      </c>
      <c r="AU81" s="64">
        <f>AK81*AA81</f>
        <v/>
      </c>
      <c r="AV81" s="64">
        <f>AL81*AB81</f>
        <v/>
      </c>
      <c r="AW81" s="64">
        <f>AM81*AC81</f>
        <v/>
      </c>
      <c r="AX81" s="64">
        <f>AN81*AD81</f>
        <v/>
      </c>
      <c r="AY81" s="64">
        <f>AO81*AE81</f>
        <v/>
      </c>
      <c r="AZ81" s="64">
        <f>INDEX(Projects[Automation Equipment],80)&amp;""</f>
        <v/>
      </c>
      <c r="BA81" s="64">
        <f>IF(OR(A81="",'Smart Search'!H13=0),"",MAX(0,BE81*BF81*MAX(0,1-BG81)))</f>
        <v/>
      </c>
      <c r="BB81" s="64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4">
        <f>IF('Smart Search'!G13=1,IFERROR(1/'Smart Search'!H13,0),0)</f>
        <v/>
      </c>
      <c r="BD81" s="64">
        <f>BB81*BC81</f>
        <v/>
      </c>
      <c r="BE81" s="64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IF(A81="","",N(INDEX(Projects[Act Mech Inst],80)))</f>
        <v/>
      </c>
      <c r="BK81" s="5">
        <f>IF(A81="","",N(INDEX(Projects[Act Elec Inst],80)))</f>
        <v/>
      </c>
      <c r="BL81" s="5">
        <f>IF(A81="","",N(INDEX(Projects[Act Project Management],80)))</f>
        <v/>
      </c>
      <c r="BM81" s="5">
        <f>IF(A81="","",N(INDEX(Projects[Act Systems Eng],80)))</f>
        <v/>
      </c>
      <c r="BN81" s="5">
        <f>IF(A81="","",N(INDEX(Projects[Act Mechanical Eng],80)))</f>
        <v/>
      </c>
      <c r="BO81" s="5">
        <f>IF(A81="","",N(INDEX(Projects[Act Structural Engineering],80)))</f>
        <v/>
      </c>
      <c r="BP81" s="5">
        <f>IF(A81="","",N(INDEX(Projects[Act Site Sup],80)))</f>
        <v/>
      </c>
      <c r="BQ81" s="5">
        <f>IF(A81="","",N(INDEX(Projects[Act Controls Commissioning],80)))</f>
        <v/>
      </c>
      <c r="BR81" s="5">
        <f>IF(A81="","",N(INDEX(Projects[Act Systems Commissioning],80)))</f>
        <v/>
      </c>
      <c r="BS81" s="5">
        <f>IF(A81="","",N(INDEX(Projects[Act Service Commissioning],80)))</f>
        <v/>
      </c>
      <c r="BT81" s="5">
        <f>IF(A81="","",N(INDEX(Projects[Act Controls Eng],80)))</f>
        <v/>
      </c>
      <c r="BU81" s="5">
        <f>IF(A81="","",N(INDEX(Projects[Act Controls Purchase],80)))</f>
        <v/>
      </c>
      <c r="BV81" s="5">
        <f>IF(A81="","",N(INDEX(Projects[Act Software Eng],80)))</f>
        <v/>
      </c>
      <c r="BW81" s="5">
        <f>IF(A81="","",N(INDEX(Projects[Act 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INDEX(Projects[Sold Value (USD M)],80)</f>
        <v/>
      </c>
      <c r="CE81" s="5" t="n"/>
      <c r="CF81" s="5">
        <f>IF(A81="","",N(INDEX(Projects[Est Mech Inst],80)))</f>
        <v/>
      </c>
      <c r="CG81" s="5">
        <f>IF(A81="","",N(INDEX(Projects[Est Elec Inst],80)))</f>
        <v/>
      </c>
      <c r="CH81" s="5">
        <f>IF(A81="","",N(INDEX(Projects[Est Project Management],80)))</f>
        <v/>
      </c>
      <c r="CI81" s="5">
        <f>IF(A81="","",N(INDEX(Projects[Est Systems Eng],80)))</f>
        <v/>
      </c>
      <c r="CJ81" s="5">
        <f>IF(A81="","",N(INDEX(Projects[Est Mechanical Eng],80)))</f>
        <v/>
      </c>
      <c r="CK81" s="5">
        <f>IF(A81="","",N(INDEX(Projects[Est Structural Engineering],80)))</f>
        <v/>
      </c>
      <c r="CL81" s="5">
        <f>IF(A81="","",N(INDEX(Projects[Est Site Sup],80)))</f>
        <v/>
      </c>
      <c r="CM81" s="5">
        <f>IF(A81="","",N(INDEX(Projects[Est Controls Commissioning],80)))</f>
        <v/>
      </c>
      <c r="CN81" s="5">
        <f>IF(A81="","",N(INDEX(Projects[Est Systems Commissioning],80)))</f>
        <v/>
      </c>
      <c r="CO81" s="5">
        <f>IF(A81="","",N(INDEX(Projects[Est Service Commissioning],80)))</f>
        <v/>
      </c>
      <c r="CP81" s="5">
        <f>IF(A81="","",N(INDEX(Projects[Est Controls Eng],80)))</f>
        <v/>
      </c>
      <c r="CQ81" s="5">
        <f>IF(A81="","",N(INDEX(Projects[Est Controls Purchase],80)))</f>
        <v/>
      </c>
      <c r="CR81" s="5">
        <f>IF(A81="","",N(INDEX(Projects[Est Software Eng],80)))</f>
        <v/>
      </c>
      <c r="CS81" s="5">
        <f>IF(A81="","",N(INDEX(Projects[Est Misc],80)))</f>
        <v/>
      </c>
      <c r="CT81" s="5">
        <f>IF(A81="","",SUM(CF81:CS81))</f>
        <v/>
      </c>
      <c r="CU81" s="5">
        <f>INDEX(Projects[Est Cost (M)],80)</f>
        <v/>
      </c>
      <c r="CV81" s="5">
        <f>INDEX(Projects[Act Cost (M)],80)</f>
        <v/>
      </c>
      <c r="CW81" s="5">
        <f>INDEX(Projects[Plan Mech Eng (wks)],80)</f>
        <v/>
      </c>
      <c r="CX81" s="5">
        <f>INDEX(Projects[Plan Controls Eng (wks)],80)</f>
        <v/>
      </c>
      <c r="CY81" s="5">
        <f>INDEX(Projects[Plan Systems Eng (wks)],80)</f>
        <v/>
      </c>
      <c r="CZ81" s="5">
        <f>INDEX(Projects[Plan Software Eng (wks)],80)</f>
        <v/>
      </c>
      <c r="DA81" s="5">
        <f>INDEX(Projects[Plan M&amp;E Installation (wks)],80)</f>
        <v/>
      </c>
      <c r="DB81" s="5">
        <f>INDEX(Projects[Plan Commissioning (wks)],80)</f>
        <v/>
      </c>
      <c r="DC81" s="5">
        <f>INDEX(Projects[Plan Total (wks)],80)</f>
        <v/>
      </c>
      <c r="DD81" s="5">
        <f>INDEX(Projects[Act Mech Eng (wks)],80)</f>
        <v/>
      </c>
      <c r="DE81" s="5">
        <f>INDEX(Projects[Act Controls Eng (wks)],80)</f>
        <v/>
      </c>
      <c r="DF81" s="5">
        <f>INDEX(Projects[Act Systems Eng (wks)],80)</f>
        <v/>
      </c>
      <c r="DG81" s="5">
        <f>INDEX(Projects[Act Software Eng (wks)],80)</f>
        <v/>
      </c>
      <c r="DH81" s="5">
        <f>INDEX(Projects[Act M&amp;E Installation (wks)],80)</f>
        <v/>
      </c>
      <c r="DI81" s="5">
        <f>INDEX(Projects[Act Commissioning (wks)],80)</f>
        <v/>
      </c>
      <c r="DJ81" s="5">
        <f>INDEX(Projects[Act Total (wks)],80)</f>
        <v/>
      </c>
    </row>
    <row r="82" ht="15" customHeight="1" s="82">
      <c r="A82" s="64">
        <f>INDEX(Projects[Project ID *],81)&amp;""</f>
        <v/>
      </c>
      <c r="B82" s="64">
        <f>INDEX(Projects[Project Name *],81)&amp;""</f>
        <v/>
      </c>
      <c r="C82" s="64">
        <f>INDEX(Projects[MS Shuttles],81)</f>
        <v/>
      </c>
      <c r="D82" s="64">
        <f>INDEX(Projects[MS Tote Locations],81)</f>
        <v/>
      </c>
      <c r="E82" s="64">
        <f>INDEX(Projects[AS Robots],81)</f>
        <v/>
      </c>
      <c r="F82" s="64">
        <f>INDEX(Projects[AS Tote Locations],81)</f>
        <v/>
      </c>
      <c r="G82" s="64">
        <f>INDEX(Projects[PS Shuttles],81)</f>
        <v/>
      </c>
      <c r="H82" s="64">
        <f>INDEX(Projects[PS Pallet Locations],81)</f>
        <v/>
      </c>
      <c r="I82" s="64">
        <f>INDEX(Projects[SRM Cranes],81)</f>
        <v/>
      </c>
      <c r="J82" s="64">
        <f>INDEX(Projects[SRM Pallet Locations],81)</f>
        <v/>
      </c>
      <c r="K82" s="64">
        <f>INDEX(Projects[Case Conv (m)],81)</f>
        <v/>
      </c>
      <c r="L82" s="64">
        <f>INDEX(Projects[Pallet Conv (m)],81)</f>
        <v/>
      </c>
      <c r="M82" s="64">
        <f>IF(N(DJ82)&gt;0,DD82,CW82)</f>
        <v/>
      </c>
      <c r="N82" s="64">
        <f>IF(N(DJ82)&gt;0,DE82,CX82)</f>
        <v/>
      </c>
      <c r="O82" s="64">
        <f>IF(N(DJ82)&gt;0,DF82,CY82)</f>
        <v/>
      </c>
      <c r="P82" s="64">
        <f>IF(N(DJ82)&gt;0,DG82,CZ82)</f>
        <v/>
      </c>
      <c r="Q82" s="64">
        <f>IF(N(DJ82)&gt;0,DH82,DA82)</f>
        <v/>
      </c>
      <c r="R82" s="64">
        <f>IF(N(DJ82)&gt;0,DI82,DB82)</f>
        <v/>
      </c>
      <c r="S82" s="64">
        <f>IF(N(DJ82)&gt;0,DJ82,DC82)</f>
        <v/>
      </c>
      <c r="T82" s="64">
        <f>INDEX(Projects[Currency],81)&amp;""</f>
        <v/>
      </c>
      <c r="U82" s="65">
        <f>INDEX(Projects[Sold Value (M)],81)</f>
        <v/>
      </c>
      <c r="V82" s="64">
        <f>IF('Smart Search'!B13=1,IFERROR(1/'Smart Search'!H13,0),0)</f>
        <v/>
      </c>
      <c r="W82" s="64">
        <f>IF('Smart Search'!B13=1,IFERROR(1/'Smart Search'!H13,0),0)</f>
        <v/>
      </c>
      <c r="X82" s="64">
        <f>IF('Smart Search'!C13=1,IFERROR(1/'Smart Search'!H13,0),0)</f>
        <v/>
      </c>
      <c r="Y82" s="64">
        <f>IF('Smart Search'!C13=1,IFERROR(1/'Smart Search'!H13,0),0)</f>
        <v/>
      </c>
      <c r="Z82" s="64">
        <f>IF('Smart Search'!D13=1,IFERROR(1/'Smart Search'!H13,0),0)</f>
        <v/>
      </c>
      <c r="AA82" s="64">
        <f>IF('Smart Search'!D13=1,IFERROR(1/'Smart Search'!H13,0),0)</f>
        <v/>
      </c>
      <c r="AB82" s="64">
        <f>IF('Smart Search'!E13=1,IFERROR(1/'Smart Search'!H13,0),0)</f>
        <v/>
      </c>
      <c r="AC82" s="64">
        <f>IF('Smart Search'!E13=1,IFERROR(1/'Smart Search'!H13,0),0)</f>
        <v/>
      </c>
      <c r="AD82" s="64">
        <f>IF('Smart Search'!F13=1,IFERROR(1/'Smart Search'!H13,0),0)</f>
        <v/>
      </c>
      <c r="AE82" s="64">
        <f>IF('Smart Search'!F13=1,IFERROR(1/'Smart Search'!H13,0),0)</f>
        <v/>
      </c>
      <c r="AF82" s="64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4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4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4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4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4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4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4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4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4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4">
        <f>AF82*V82</f>
        <v/>
      </c>
      <c r="AQ82" s="64">
        <f>AG82*W82</f>
        <v/>
      </c>
      <c r="AR82" s="64">
        <f>AH82*X82</f>
        <v/>
      </c>
      <c r="AS82" s="64">
        <f>AI82*Y82</f>
        <v/>
      </c>
      <c r="AT82" s="64">
        <f>AJ82*Z82</f>
        <v/>
      </c>
      <c r="AU82" s="64">
        <f>AK82*AA82</f>
        <v/>
      </c>
      <c r="AV82" s="64">
        <f>AL82*AB82</f>
        <v/>
      </c>
      <c r="AW82" s="64">
        <f>AM82*AC82</f>
        <v/>
      </c>
      <c r="AX82" s="64">
        <f>AN82*AD82</f>
        <v/>
      </c>
      <c r="AY82" s="64">
        <f>AO82*AE82</f>
        <v/>
      </c>
      <c r="AZ82" s="64">
        <f>INDEX(Projects[Automation Equipment],81)&amp;""</f>
        <v/>
      </c>
      <c r="BA82" s="64">
        <f>IF(OR(A82="",'Smart Search'!H13=0),"",MAX(0,BE82*BF82*MAX(0,1-BG82)))</f>
        <v/>
      </c>
      <c r="BB82" s="64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4">
        <f>IF('Smart Search'!G13=1,IFERROR(1/'Smart Search'!H13,0),0)</f>
        <v/>
      </c>
      <c r="BD82" s="64">
        <f>BB82*BC82</f>
        <v/>
      </c>
      <c r="BE82" s="64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IF(A82="","",N(INDEX(Projects[Act Mech Inst],81)))</f>
        <v/>
      </c>
      <c r="BK82" s="5">
        <f>IF(A82="","",N(INDEX(Projects[Act Elec Inst],81)))</f>
        <v/>
      </c>
      <c r="BL82" s="5">
        <f>IF(A82="","",N(INDEX(Projects[Act Project Management],81)))</f>
        <v/>
      </c>
      <c r="BM82" s="5">
        <f>IF(A82="","",N(INDEX(Projects[Act Systems Eng],81)))</f>
        <v/>
      </c>
      <c r="BN82" s="5">
        <f>IF(A82="","",N(INDEX(Projects[Act Mechanical Eng],81)))</f>
        <v/>
      </c>
      <c r="BO82" s="5">
        <f>IF(A82="","",N(INDEX(Projects[Act Structural Engineering],81)))</f>
        <v/>
      </c>
      <c r="BP82" s="5">
        <f>IF(A82="","",N(INDEX(Projects[Act Site Sup],81)))</f>
        <v/>
      </c>
      <c r="BQ82" s="5">
        <f>IF(A82="","",N(INDEX(Projects[Act Controls Commissioning],81)))</f>
        <v/>
      </c>
      <c r="BR82" s="5">
        <f>IF(A82="","",N(INDEX(Projects[Act Systems Commissioning],81)))</f>
        <v/>
      </c>
      <c r="BS82" s="5">
        <f>IF(A82="","",N(INDEX(Projects[Act Service Commissioning],81)))</f>
        <v/>
      </c>
      <c r="BT82" s="5">
        <f>IF(A82="","",N(INDEX(Projects[Act Controls Eng],81)))</f>
        <v/>
      </c>
      <c r="BU82" s="5">
        <f>IF(A82="","",N(INDEX(Projects[Act Controls Purchase],81)))</f>
        <v/>
      </c>
      <c r="BV82" s="5">
        <f>IF(A82="","",N(INDEX(Projects[Act Software Eng],81)))</f>
        <v/>
      </c>
      <c r="BW82" s="5">
        <f>IF(A82="","",N(INDEX(Projects[Act 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INDEX(Projects[Sold Value (USD M)],81)</f>
        <v/>
      </c>
      <c r="CE82" s="5" t="n"/>
      <c r="CF82" s="5">
        <f>IF(A82="","",N(INDEX(Projects[Est Mech Inst],81)))</f>
        <v/>
      </c>
      <c r="CG82" s="5">
        <f>IF(A82="","",N(INDEX(Projects[Est Elec Inst],81)))</f>
        <v/>
      </c>
      <c r="CH82" s="5">
        <f>IF(A82="","",N(INDEX(Projects[Est Project Management],81)))</f>
        <v/>
      </c>
      <c r="CI82" s="5">
        <f>IF(A82="","",N(INDEX(Projects[Est Systems Eng],81)))</f>
        <v/>
      </c>
      <c r="CJ82" s="5">
        <f>IF(A82="","",N(INDEX(Projects[Est Mechanical Eng],81)))</f>
        <v/>
      </c>
      <c r="CK82" s="5">
        <f>IF(A82="","",N(INDEX(Projects[Est Structural Engineering],81)))</f>
        <v/>
      </c>
      <c r="CL82" s="5">
        <f>IF(A82="","",N(INDEX(Projects[Est Site Sup],81)))</f>
        <v/>
      </c>
      <c r="CM82" s="5">
        <f>IF(A82="","",N(INDEX(Projects[Est Controls Commissioning],81)))</f>
        <v/>
      </c>
      <c r="CN82" s="5">
        <f>IF(A82="","",N(INDEX(Projects[Est Systems Commissioning],81)))</f>
        <v/>
      </c>
      <c r="CO82" s="5">
        <f>IF(A82="","",N(INDEX(Projects[Est Service Commissioning],81)))</f>
        <v/>
      </c>
      <c r="CP82" s="5">
        <f>IF(A82="","",N(INDEX(Projects[Est Controls Eng],81)))</f>
        <v/>
      </c>
      <c r="CQ82" s="5">
        <f>IF(A82="","",N(INDEX(Projects[Est Controls Purchase],81)))</f>
        <v/>
      </c>
      <c r="CR82" s="5">
        <f>IF(A82="","",N(INDEX(Projects[Est Software Eng],81)))</f>
        <v/>
      </c>
      <c r="CS82" s="5">
        <f>IF(A82="","",N(INDEX(Projects[Est Misc],81)))</f>
        <v/>
      </c>
      <c r="CT82" s="5">
        <f>IF(A82="","",SUM(CF82:CS82))</f>
        <v/>
      </c>
      <c r="CU82" s="5">
        <f>INDEX(Projects[Est Cost (M)],81)</f>
        <v/>
      </c>
      <c r="CV82" s="5">
        <f>INDEX(Projects[Act Cost (M)],81)</f>
        <v/>
      </c>
      <c r="CW82" s="5">
        <f>INDEX(Projects[Plan Mech Eng (wks)],81)</f>
        <v/>
      </c>
      <c r="CX82" s="5">
        <f>INDEX(Projects[Plan Controls Eng (wks)],81)</f>
        <v/>
      </c>
      <c r="CY82" s="5">
        <f>INDEX(Projects[Plan Systems Eng (wks)],81)</f>
        <v/>
      </c>
      <c r="CZ82" s="5">
        <f>INDEX(Projects[Plan Software Eng (wks)],81)</f>
        <v/>
      </c>
      <c r="DA82" s="5">
        <f>INDEX(Projects[Plan M&amp;E Installation (wks)],81)</f>
        <v/>
      </c>
      <c r="DB82" s="5">
        <f>INDEX(Projects[Plan Commissioning (wks)],81)</f>
        <v/>
      </c>
      <c r="DC82" s="5">
        <f>INDEX(Projects[Plan Total (wks)],81)</f>
        <v/>
      </c>
      <c r="DD82" s="5">
        <f>INDEX(Projects[Act Mech Eng (wks)],81)</f>
        <v/>
      </c>
      <c r="DE82" s="5">
        <f>INDEX(Projects[Act Controls Eng (wks)],81)</f>
        <v/>
      </c>
      <c r="DF82" s="5">
        <f>INDEX(Projects[Act Systems Eng (wks)],81)</f>
        <v/>
      </c>
      <c r="DG82" s="5">
        <f>INDEX(Projects[Act Software Eng (wks)],81)</f>
        <v/>
      </c>
      <c r="DH82" s="5">
        <f>INDEX(Projects[Act M&amp;E Installation (wks)],81)</f>
        <v/>
      </c>
      <c r="DI82" s="5">
        <f>INDEX(Projects[Act Commissioning (wks)],81)</f>
        <v/>
      </c>
      <c r="DJ82" s="5">
        <f>INDEX(Projects[Act Total (wks)],81)</f>
        <v/>
      </c>
    </row>
    <row r="83" ht="15" customHeight="1" s="82">
      <c r="A83" s="64">
        <f>INDEX(Projects[Project ID *],82)&amp;""</f>
        <v/>
      </c>
      <c r="B83" s="64">
        <f>INDEX(Projects[Project Name *],82)&amp;""</f>
        <v/>
      </c>
      <c r="C83" s="64">
        <f>INDEX(Projects[MS Shuttles],82)</f>
        <v/>
      </c>
      <c r="D83" s="64">
        <f>INDEX(Projects[MS Tote Locations],82)</f>
        <v/>
      </c>
      <c r="E83" s="64">
        <f>INDEX(Projects[AS Robots],82)</f>
        <v/>
      </c>
      <c r="F83" s="64">
        <f>INDEX(Projects[AS Tote Locations],82)</f>
        <v/>
      </c>
      <c r="G83" s="64">
        <f>INDEX(Projects[PS Shuttles],82)</f>
        <v/>
      </c>
      <c r="H83" s="64">
        <f>INDEX(Projects[PS Pallet Locations],82)</f>
        <v/>
      </c>
      <c r="I83" s="64">
        <f>INDEX(Projects[SRM Cranes],82)</f>
        <v/>
      </c>
      <c r="J83" s="64">
        <f>INDEX(Projects[SRM Pallet Locations],82)</f>
        <v/>
      </c>
      <c r="K83" s="64">
        <f>INDEX(Projects[Case Conv (m)],82)</f>
        <v/>
      </c>
      <c r="L83" s="64">
        <f>INDEX(Projects[Pallet Conv (m)],82)</f>
        <v/>
      </c>
      <c r="M83" s="64">
        <f>IF(N(DJ83)&gt;0,DD83,CW83)</f>
        <v/>
      </c>
      <c r="N83" s="64">
        <f>IF(N(DJ83)&gt;0,DE83,CX83)</f>
        <v/>
      </c>
      <c r="O83" s="64">
        <f>IF(N(DJ83)&gt;0,DF83,CY83)</f>
        <v/>
      </c>
      <c r="P83" s="64">
        <f>IF(N(DJ83)&gt;0,DG83,CZ83)</f>
        <v/>
      </c>
      <c r="Q83" s="64">
        <f>IF(N(DJ83)&gt;0,DH83,DA83)</f>
        <v/>
      </c>
      <c r="R83" s="64">
        <f>IF(N(DJ83)&gt;0,DI83,DB83)</f>
        <v/>
      </c>
      <c r="S83" s="64">
        <f>IF(N(DJ83)&gt;0,DJ83,DC83)</f>
        <v/>
      </c>
      <c r="T83" s="64">
        <f>INDEX(Projects[Currency],82)&amp;""</f>
        <v/>
      </c>
      <c r="U83" s="65">
        <f>INDEX(Projects[Sold Value (M)],82)</f>
        <v/>
      </c>
      <c r="V83" s="64">
        <f>IF('Smart Search'!B13=1,IFERROR(1/'Smart Search'!H13,0),0)</f>
        <v/>
      </c>
      <c r="W83" s="64">
        <f>IF('Smart Search'!B13=1,IFERROR(1/'Smart Search'!H13,0),0)</f>
        <v/>
      </c>
      <c r="X83" s="64">
        <f>IF('Smart Search'!C13=1,IFERROR(1/'Smart Search'!H13,0),0)</f>
        <v/>
      </c>
      <c r="Y83" s="64">
        <f>IF('Smart Search'!C13=1,IFERROR(1/'Smart Search'!H13,0),0)</f>
        <v/>
      </c>
      <c r="Z83" s="64">
        <f>IF('Smart Search'!D13=1,IFERROR(1/'Smart Search'!H13,0),0)</f>
        <v/>
      </c>
      <c r="AA83" s="64">
        <f>IF('Smart Search'!D13=1,IFERROR(1/'Smart Search'!H13,0),0)</f>
        <v/>
      </c>
      <c r="AB83" s="64">
        <f>IF('Smart Search'!E13=1,IFERROR(1/'Smart Search'!H13,0),0)</f>
        <v/>
      </c>
      <c r="AC83" s="64">
        <f>IF('Smart Search'!E13=1,IFERROR(1/'Smart Search'!H13,0),0)</f>
        <v/>
      </c>
      <c r="AD83" s="64">
        <f>IF('Smart Search'!F13=1,IFERROR(1/'Smart Search'!H13,0),0)</f>
        <v/>
      </c>
      <c r="AE83" s="64">
        <f>IF('Smart Search'!F13=1,IFERROR(1/'Smart Search'!H13,0),0)</f>
        <v/>
      </c>
      <c r="AF83" s="64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4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4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4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4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4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4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4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4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4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4">
        <f>AF83*V83</f>
        <v/>
      </c>
      <c r="AQ83" s="64">
        <f>AG83*W83</f>
        <v/>
      </c>
      <c r="AR83" s="64">
        <f>AH83*X83</f>
        <v/>
      </c>
      <c r="AS83" s="64">
        <f>AI83*Y83</f>
        <v/>
      </c>
      <c r="AT83" s="64">
        <f>AJ83*Z83</f>
        <v/>
      </c>
      <c r="AU83" s="64">
        <f>AK83*AA83</f>
        <v/>
      </c>
      <c r="AV83" s="64">
        <f>AL83*AB83</f>
        <v/>
      </c>
      <c r="AW83" s="64">
        <f>AM83*AC83</f>
        <v/>
      </c>
      <c r="AX83" s="64">
        <f>AN83*AD83</f>
        <v/>
      </c>
      <c r="AY83" s="64">
        <f>AO83*AE83</f>
        <v/>
      </c>
      <c r="AZ83" s="64">
        <f>INDEX(Projects[Automation Equipment],82)&amp;""</f>
        <v/>
      </c>
      <c r="BA83" s="64">
        <f>IF(OR(A83="",'Smart Search'!H13=0),"",MAX(0,BE83*BF83*MAX(0,1-BG83)))</f>
        <v/>
      </c>
      <c r="BB83" s="64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4">
        <f>IF('Smart Search'!G13=1,IFERROR(1/'Smart Search'!H13,0),0)</f>
        <v/>
      </c>
      <c r="BD83" s="64">
        <f>BB83*BC83</f>
        <v/>
      </c>
      <c r="BE83" s="64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IF(A83="","",N(INDEX(Projects[Act Mech Inst],82)))</f>
        <v/>
      </c>
      <c r="BK83" s="5">
        <f>IF(A83="","",N(INDEX(Projects[Act Elec Inst],82)))</f>
        <v/>
      </c>
      <c r="BL83" s="5">
        <f>IF(A83="","",N(INDEX(Projects[Act Project Management],82)))</f>
        <v/>
      </c>
      <c r="BM83" s="5">
        <f>IF(A83="","",N(INDEX(Projects[Act Systems Eng],82)))</f>
        <v/>
      </c>
      <c r="BN83" s="5">
        <f>IF(A83="","",N(INDEX(Projects[Act Mechanical Eng],82)))</f>
        <v/>
      </c>
      <c r="BO83" s="5">
        <f>IF(A83="","",N(INDEX(Projects[Act Structural Engineering],82)))</f>
        <v/>
      </c>
      <c r="BP83" s="5">
        <f>IF(A83="","",N(INDEX(Projects[Act Site Sup],82)))</f>
        <v/>
      </c>
      <c r="BQ83" s="5">
        <f>IF(A83="","",N(INDEX(Projects[Act Controls Commissioning],82)))</f>
        <v/>
      </c>
      <c r="BR83" s="5">
        <f>IF(A83="","",N(INDEX(Projects[Act Systems Commissioning],82)))</f>
        <v/>
      </c>
      <c r="BS83" s="5">
        <f>IF(A83="","",N(INDEX(Projects[Act Service Commissioning],82)))</f>
        <v/>
      </c>
      <c r="BT83" s="5">
        <f>IF(A83="","",N(INDEX(Projects[Act Controls Eng],82)))</f>
        <v/>
      </c>
      <c r="BU83" s="5">
        <f>IF(A83="","",N(INDEX(Projects[Act Controls Purchase],82)))</f>
        <v/>
      </c>
      <c r="BV83" s="5">
        <f>IF(A83="","",N(INDEX(Projects[Act Software Eng],82)))</f>
        <v/>
      </c>
      <c r="BW83" s="5">
        <f>IF(A83="","",N(INDEX(Projects[Act 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INDEX(Projects[Sold Value (USD M)],82)</f>
        <v/>
      </c>
      <c r="CE83" s="5" t="n"/>
      <c r="CF83" s="5">
        <f>IF(A83="","",N(INDEX(Projects[Est Mech Inst],82)))</f>
        <v/>
      </c>
      <c r="CG83" s="5">
        <f>IF(A83="","",N(INDEX(Projects[Est Elec Inst],82)))</f>
        <v/>
      </c>
      <c r="CH83" s="5">
        <f>IF(A83="","",N(INDEX(Projects[Est Project Management],82)))</f>
        <v/>
      </c>
      <c r="CI83" s="5">
        <f>IF(A83="","",N(INDEX(Projects[Est Systems Eng],82)))</f>
        <v/>
      </c>
      <c r="CJ83" s="5">
        <f>IF(A83="","",N(INDEX(Projects[Est Mechanical Eng],82)))</f>
        <v/>
      </c>
      <c r="CK83" s="5">
        <f>IF(A83="","",N(INDEX(Projects[Est Structural Engineering],82)))</f>
        <v/>
      </c>
      <c r="CL83" s="5">
        <f>IF(A83="","",N(INDEX(Projects[Est Site Sup],82)))</f>
        <v/>
      </c>
      <c r="CM83" s="5">
        <f>IF(A83="","",N(INDEX(Projects[Est Controls Commissioning],82)))</f>
        <v/>
      </c>
      <c r="CN83" s="5">
        <f>IF(A83="","",N(INDEX(Projects[Est Systems Commissioning],82)))</f>
        <v/>
      </c>
      <c r="CO83" s="5">
        <f>IF(A83="","",N(INDEX(Projects[Est Service Commissioning],82)))</f>
        <v/>
      </c>
      <c r="CP83" s="5">
        <f>IF(A83="","",N(INDEX(Projects[Est Controls Eng],82)))</f>
        <v/>
      </c>
      <c r="CQ83" s="5">
        <f>IF(A83="","",N(INDEX(Projects[Est Controls Purchase],82)))</f>
        <v/>
      </c>
      <c r="CR83" s="5">
        <f>IF(A83="","",N(INDEX(Projects[Est Software Eng],82)))</f>
        <v/>
      </c>
      <c r="CS83" s="5">
        <f>IF(A83="","",N(INDEX(Projects[Est Misc],82)))</f>
        <v/>
      </c>
      <c r="CT83" s="5">
        <f>IF(A83="","",SUM(CF83:CS83))</f>
        <v/>
      </c>
      <c r="CU83" s="5">
        <f>INDEX(Projects[Est Cost (M)],82)</f>
        <v/>
      </c>
      <c r="CV83" s="5">
        <f>INDEX(Projects[Act Cost (M)],82)</f>
        <v/>
      </c>
      <c r="CW83" s="5">
        <f>INDEX(Projects[Plan Mech Eng (wks)],82)</f>
        <v/>
      </c>
      <c r="CX83" s="5">
        <f>INDEX(Projects[Plan Controls Eng (wks)],82)</f>
        <v/>
      </c>
      <c r="CY83" s="5">
        <f>INDEX(Projects[Plan Systems Eng (wks)],82)</f>
        <v/>
      </c>
      <c r="CZ83" s="5">
        <f>INDEX(Projects[Plan Software Eng (wks)],82)</f>
        <v/>
      </c>
      <c r="DA83" s="5">
        <f>INDEX(Projects[Plan M&amp;E Installation (wks)],82)</f>
        <v/>
      </c>
      <c r="DB83" s="5">
        <f>INDEX(Projects[Plan Commissioning (wks)],82)</f>
        <v/>
      </c>
      <c r="DC83" s="5">
        <f>INDEX(Projects[Plan Total (wks)],82)</f>
        <v/>
      </c>
      <c r="DD83" s="5">
        <f>INDEX(Projects[Act Mech Eng (wks)],82)</f>
        <v/>
      </c>
      <c r="DE83" s="5">
        <f>INDEX(Projects[Act Controls Eng (wks)],82)</f>
        <v/>
      </c>
      <c r="DF83" s="5">
        <f>INDEX(Projects[Act Systems Eng (wks)],82)</f>
        <v/>
      </c>
      <c r="DG83" s="5">
        <f>INDEX(Projects[Act Software Eng (wks)],82)</f>
        <v/>
      </c>
      <c r="DH83" s="5">
        <f>INDEX(Projects[Act M&amp;E Installation (wks)],82)</f>
        <v/>
      </c>
      <c r="DI83" s="5">
        <f>INDEX(Projects[Act Commissioning (wks)],82)</f>
        <v/>
      </c>
      <c r="DJ83" s="5">
        <f>INDEX(Projects[Act Total (wks)],82)</f>
        <v/>
      </c>
    </row>
    <row r="84" ht="15" customHeight="1" s="82">
      <c r="A84" s="64">
        <f>INDEX(Projects[Project ID *],83)&amp;""</f>
        <v/>
      </c>
      <c r="B84" s="64">
        <f>INDEX(Projects[Project Name *],83)&amp;""</f>
        <v/>
      </c>
      <c r="C84" s="64">
        <f>INDEX(Projects[MS Shuttles],83)</f>
        <v/>
      </c>
      <c r="D84" s="64">
        <f>INDEX(Projects[MS Tote Locations],83)</f>
        <v/>
      </c>
      <c r="E84" s="64">
        <f>INDEX(Projects[AS Robots],83)</f>
        <v/>
      </c>
      <c r="F84" s="64">
        <f>INDEX(Projects[AS Tote Locations],83)</f>
        <v/>
      </c>
      <c r="G84" s="64">
        <f>INDEX(Projects[PS Shuttles],83)</f>
        <v/>
      </c>
      <c r="H84" s="64">
        <f>INDEX(Projects[PS Pallet Locations],83)</f>
        <v/>
      </c>
      <c r="I84" s="64">
        <f>INDEX(Projects[SRM Cranes],83)</f>
        <v/>
      </c>
      <c r="J84" s="64">
        <f>INDEX(Projects[SRM Pallet Locations],83)</f>
        <v/>
      </c>
      <c r="K84" s="64">
        <f>INDEX(Projects[Case Conv (m)],83)</f>
        <v/>
      </c>
      <c r="L84" s="64">
        <f>INDEX(Projects[Pallet Conv (m)],83)</f>
        <v/>
      </c>
      <c r="M84" s="64">
        <f>IF(N(DJ84)&gt;0,DD84,CW84)</f>
        <v/>
      </c>
      <c r="N84" s="64">
        <f>IF(N(DJ84)&gt;0,DE84,CX84)</f>
        <v/>
      </c>
      <c r="O84" s="64">
        <f>IF(N(DJ84)&gt;0,DF84,CY84)</f>
        <v/>
      </c>
      <c r="P84" s="64">
        <f>IF(N(DJ84)&gt;0,DG84,CZ84)</f>
        <v/>
      </c>
      <c r="Q84" s="64">
        <f>IF(N(DJ84)&gt;0,DH84,DA84)</f>
        <v/>
      </c>
      <c r="R84" s="64">
        <f>IF(N(DJ84)&gt;0,DI84,DB84)</f>
        <v/>
      </c>
      <c r="S84" s="64">
        <f>IF(N(DJ84)&gt;0,DJ84,DC84)</f>
        <v/>
      </c>
      <c r="T84" s="64">
        <f>INDEX(Projects[Currency],83)&amp;""</f>
        <v/>
      </c>
      <c r="U84" s="65">
        <f>INDEX(Projects[Sold Value (M)],83)</f>
        <v/>
      </c>
      <c r="V84" s="64">
        <f>IF('Smart Search'!B13=1,IFERROR(1/'Smart Search'!H13,0),0)</f>
        <v/>
      </c>
      <c r="W84" s="64">
        <f>IF('Smart Search'!B13=1,IFERROR(1/'Smart Search'!H13,0),0)</f>
        <v/>
      </c>
      <c r="X84" s="64">
        <f>IF('Smart Search'!C13=1,IFERROR(1/'Smart Search'!H13,0),0)</f>
        <v/>
      </c>
      <c r="Y84" s="64">
        <f>IF('Smart Search'!C13=1,IFERROR(1/'Smart Search'!H13,0),0)</f>
        <v/>
      </c>
      <c r="Z84" s="64">
        <f>IF('Smart Search'!D13=1,IFERROR(1/'Smart Search'!H13,0),0)</f>
        <v/>
      </c>
      <c r="AA84" s="64">
        <f>IF('Smart Search'!D13=1,IFERROR(1/'Smart Search'!H13,0),0)</f>
        <v/>
      </c>
      <c r="AB84" s="64">
        <f>IF('Smart Search'!E13=1,IFERROR(1/'Smart Search'!H13,0),0)</f>
        <v/>
      </c>
      <c r="AC84" s="64">
        <f>IF('Smart Search'!E13=1,IFERROR(1/'Smart Search'!H13,0),0)</f>
        <v/>
      </c>
      <c r="AD84" s="64">
        <f>IF('Smart Search'!F13=1,IFERROR(1/'Smart Search'!H13,0),0)</f>
        <v/>
      </c>
      <c r="AE84" s="64">
        <f>IF('Smart Search'!F13=1,IFERROR(1/'Smart Search'!H13,0),0)</f>
        <v/>
      </c>
      <c r="AF84" s="64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4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4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4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4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4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4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4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4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4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4">
        <f>AF84*V84</f>
        <v/>
      </c>
      <c r="AQ84" s="64">
        <f>AG84*W84</f>
        <v/>
      </c>
      <c r="AR84" s="64">
        <f>AH84*X84</f>
        <v/>
      </c>
      <c r="AS84" s="64">
        <f>AI84*Y84</f>
        <v/>
      </c>
      <c r="AT84" s="64">
        <f>AJ84*Z84</f>
        <v/>
      </c>
      <c r="AU84" s="64">
        <f>AK84*AA84</f>
        <v/>
      </c>
      <c r="AV84" s="64">
        <f>AL84*AB84</f>
        <v/>
      </c>
      <c r="AW84" s="64">
        <f>AM84*AC84</f>
        <v/>
      </c>
      <c r="AX84" s="64">
        <f>AN84*AD84</f>
        <v/>
      </c>
      <c r="AY84" s="64">
        <f>AO84*AE84</f>
        <v/>
      </c>
      <c r="AZ84" s="64">
        <f>INDEX(Projects[Automation Equipment],83)&amp;""</f>
        <v/>
      </c>
      <c r="BA84" s="64">
        <f>IF(OR(A84="",'Smart Search'!H13=0),"",MAX(0,BE84*BF84*MAX(0,1-BG84)))</f>
        <v/>
      </c>
      <c r="BB84" s="64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4">
        <f>IF('Smart Search'!G13=1,IFERROR(1/'Smart Search'!H13,0),0)</f>
        <v/>
      </c>
      <c r="BD84" s="64">
        <f>BB84*BC84</f>
        <v/>
      </c>
      <c r="BE84" s="64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IF(A84="","",N(INDEX(Projects[Act Mech Inst],83)))</f>
        <v/>
      </c>
      <c r="BK84" s="5">
        <f>IF(A84="","",N(INDEX(Projects[Act Elec Inst],83)))</f>
        <v/>
      </c>
      <c r="BL84" s="5">
        <f>IF(A84="","",N(INDEX(Projects[Act Project Management],83)))</f>
        <v/>
      </c>
      <c r="BM84" s="5">
        <f>IF(A84="","",N(INDEX(Projects[Act Systems Eng],83)))</f>
        <v/>
      </c>
      <c r="BN84" s="5">
        <f>IF(A84="","",N(INDEX(Projects[Act Mechanical Eng],83)))</f>
        <v/>
      </c>
      <c r="BO84" s="5">
        <f>IF(A84="","",N(INDEX(Projects[Act Structural Engineering],83)))</f>
        <v/>
      </c>
      <c r="BP84" s="5">
        <f>IF(A84="","",N(INDEX(Projects[Act Site Sup],83)))</f>
        <v/>
      </c>
      <c r="BQ84" s="5">
        <f>IF(A84="","",N(INDEX(Projects[Act Controls Commissioning],83)))</f>
        <v/>
      </c>
      <c r="BR84" s="5">
        <f>IF(A84="","",N(INDEX(Projects[Act Systems Commissioning],83)))</f>
        <v/>
      </c>
      <c r="BS84" s="5">
        <f>IF(A84="","",N(INDEX(Projects[Act Service Commissioning],83)))</f>
        <v/>
      </c>
      <c r="BT84" s="5">
        <f>IF(A84="","",N(INDEX(Projects[Act Controls Eng],83)))</f>
        <v/>
      </c>
      <c r="BU84" s="5">
        <f>IF(A84="","",N(INDEX(Projects[Act Controls Purchase],83)))</f>
        <v/>
      </c>
      <c r="BV84" s="5">
        <f>IF(A84="","",N(INDEX(Projects[Act Software Eng],83)))</f>
        <v/>
      </c>
      <c r="BW84" s="5">
        <f>IF(A84="","",N(INDEX(Projects[Act 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INDEX(Projects[Sold Value (USD M)],83)</f>
        <v/>
      </c>
      <c r="CE84" s="5" t="n"/>
      <c r="CF84" s="5">
        <f>IF(A84="","",N(INDEX(Projects[Est Mech Inst],83)))</f>
        <v/>
      </c>
      <c r="CG84" s="5">
        <f>IF(A84="","",N(INDEX(Projects[Est Elec Inst],83)))</f>
        <v/>
      </c>
      <c r="CH84" s="5">
        <f>IF(A84="","",N(INDEX(Projects[Est Project Management],83)))</f>
        <v/>
      </c>
      <c r="CI84" s="5">
        <f>IF(A84="","",N(INDEX(Projects[Est Systems Eng],83)))</f>
        <v/>
      </c>
      <c r="CJ84" s="5">
        <f>IF(A84="","",N(INDEX(Projects[Est Mechanical Eng],83)))</f>
        <v/>
      </c>
      <c r="CK84" s="5">
        <f>IF(A84="","",N(INDEX(Projects[Est Structural Engineering],83)))</f>
        <v/>
      </c>
      <c r="CL84" s="5">
        <f>IF(A84="","",N(INDEX(Projects[Est Site Sup],83)))</f>
        <v/>
      </c>
      <c r="CM84" s="5">
        <f>IF(A84="","",N(INDEX(Projects[Est Controls Commissioning],83)))</f>
        <v/>
      </c>
      <c r="CN84" s="5">
        <f>IF(A84="","",N(INDEX(Projects[Est Systems Commissioning],83)))</f>
        <v/>
      </c>
      <c r="CO84" s="5">
        <f>IF(A84="","",N(INDEX(Projects[Est Service Commissioning],83)))</f>
        <v/>
      </c>
      <c r="CP84" s="5">
        <f>IF(A84="","",N(INDEX(Projects[Est Controls Eng],83)))</f>
        <v/>
      </c>
      <c r="CQ84" s="5">
        <f>IF(A84="","",N(INDEX(Projects[Est Controls Purchase],83)))</f>
        <v/>
      </c>
      <c r="CR84" s="5">
        <f>IF(A84="","",N(INDEX(Projects[Est Software Eng],83)))</f>
        <v/>
      </c>
      <c r="CS84" s="5">
        <f>IF(A84="","",N(INDEX(Projects[Est Misc],83)))</f>
        <v/>
      </c>
      <c r="CT84" s="5">
        <f>IF(A84="","",SUM(CF84:CS84))</f>
        <v/>
      </c>
      <c r="CU84" s="5">
        <f>INDEX(Projects[Est Cost (M)],83)</f>
        <v/>
      </c>
      <c r="CV84" s="5">
        <f>INDEX(Projects[Act Cost (M)],83)</f>
        <v/>
      </c>
      <c r="CW84" s="5">
        <f>INDEX(Projects[Plan Mech Eng (wks)],83)</f>
        <v/>
      </c>
      <c r="CX84" s="5">
        <f>INDEX(Projects[Plan Controls Eng (wks)],83)</f>
        <v/>
      </c>
      <c r="CY84" s="5">
        <f>INDEX(Projects[Plan Systems Eng (wks)],83)</f>
        <v/>
      </c>
      <c r="CZ84" s="5">
        <f>INDEX(Projects[Plan Software Eng (wks)],83)</f>
        <v/>
      </c>
      <c r="DA84" s="5">
        <f>INDEX(Projects[Plan M&amp;E Installation (wks)],83)</f>
        <v/>
      </c>
      <c r="DB84" s="5">
        <f>INDEX(Projects[Plan Commissioning (wks)],83)</f>
        <v/>
      </c>
      <c r="DC84" s="5">
        <f>INDEX(Projects[Plan Total (wks)],83)</f>
        <v/>
      </c>
      <c r="DD84" s="5">
        <f>INDEX(Projects[Act Mech Eng (wks)],83)</f>
        <v/>
      </c>
      <c r="DE84" s="5">
        <f>INDEX(Projects[Act Controls Eng (wks)],83)</f>
        <v/>
      </c>
      <c r="DF84" s="5">
        <f>INDEX(Projects[Act Systems Eng (wks)],83)</f>
        <v/>
      </c>
      <c r="DG84" s="5">
        <f>INDEX(Projects[Act Software Eng (wks)],83)</f>
        <v/>
      </c>
      <c r="DH84" s="5">
        <f>INDEX(Projects[Act M&amp;E Installation (wks)],83)</f>
        <v/>
      </c>
      <c r="DI84" s="5">
        <f>INDEX(Projects[Act Commissioning (wks)],83)</f>
        <v/>
      </c>
      <c r="DJ84" s="5">
        <f>INDEX(Projects[Act Total (wks)],83)</f>
        <v/>
      </c>
    </row>
    <row r="85" ht="15" customHeight="1" s="82">
      <c r="A85" s="64">
        <f>INDEX(Projects[Project ID *],84)&amp;""</f>
        <v/>
      </c>
      <c r="B85" s="64">
        <f>INDEX(Projects[Project Name *],84)&amp;""</f>
        <v/>
      </c>
      <c r="C85" s="64">
        <f>INDEX(Projects[MS Shuttles],84)</f>
        <v/>
      </c>
      <c r="D85" s="64">
        <f>INDEX(Projects[MS Tote Locations],84)</f>
        <v/>
      </c>
      <c r="E85" s="64">
        <f>INDEX(Projects[AS Robots],84)</f>
        <v/>
      </c>
      <c r="F85" s="64">
        <f>INDEX(Projects[AS Tote Locations],84)</f>
        <v/>
      </c>
      <c r="G85" s="64">
        <f>INDEX(Projects[PS Shuttles],84)</f>
        <v/>
      </c>
      <c r="H85" s="64">
        <f>INDEX(Projects[PS Pallet Locations],84)</f>
        <v/>
      </c>
      <c r="I85" s="64">
        <f>INDEX(Projects[SRM Cranes],84)</f>
        <v/>
      </c>
      <c r="J85" s="64">
        <f>INDEX(Projects[SRM Pallet Locations],84)</f>
        <v/>
      </c>
      <c r="K85" s="64">
        <f>INDEX(Projects[Case Conv (m)],84)</f>
        <v/>
      </c>
      <c r="L85" s="64">
        <f>INDEX(Projects[Pallet Conv (m)],84)</f>
        <v/>
      </c>
      <c r="M85" s="64">
        <f>IF(N(DJ85)&gt;0,DD85,CW85)</f>
        <v/>
      </c>
      <c r="N85" s="64">
        <f>IF(N(DJ85)&gt;0,DE85,CX85)</f>
        <v/>
      </c>
      <c r="O85" s="64">
        <f>IF(N(DJ85)&gt;0,DF85,CY85)</f>
        <v/>
      </c>
      <c r="P85" s="64">
        <f>IF(N(DJ85)&gt;0,DG85,CZ85)</f>
        <v/>
      </c>
      <c r="Q85" s="64">
        <f>IF(N(DJ85)&gt;0,DH85,DA85)</f>
        <v/>
      </c>
      <c r="R85" s="64">
        <f>IF(N(DJ85)&gt;0,DI85,DB85)</f>
        <v/>
      </c>
      <c r="S85" s="64">
        <f>IF(N(DJ85)&gt;0,DJ85,DC85)</f>
        <v/>
      </c>
      <c r="T85" s="64">
        <f>INDEX(Projects[Currency],84)&amp;""</f>
        <v/>
      </c>
      <c r="U85" s="65">
        <f>INDEX(Projects[Sold Value (M)],84)</f>
        <v/>
      </c>
      <c r="V85" s="64">
        <f>IF('Smart Search'!B13=1,IFERROR(1/'Smart Search'!H13,0),0)</f>
        <v/>
      </c>
      <c r="W85" s="64">
        <f>IF('Smart Search'!B13=1,IFERROR(1/'Smart Search'!H13,0),0)</f>
        <v/>
      </c>
      <c r="X85" s="64">
        <f>IF('Smart Search'!C13=1,IFERROR(1/'Smart Search'!H13,0),0)</f>
        <v/>
      </c>
      <c r="Y85" s="64">
        <f>IF('Smart Search'!C13=1,IFERROR(1/'Smart Search'!H13,0),0)</f>
        <v/>
      </c>
      <c r="Z85" s="64">
        <f>IF('Smart Search'!D13=1,IFERROR(1/'Smart Search'!H13,0),0)</f>
        <v/>
      </c>
      <c r="AA85" s="64">
        <f>IF('Smart Search'!D13=1,IFERROR(1/'Smart Search'!H13,0),0)</f>
        <v/>
      </c>
      <c r="AB85" s="64">
        <f>IF('Smart Search'!E13=1,IFERROR(1/'Smart Search'!H13,0),0)</f>
        <v/>
      </c>
      <c r="AC85" s="64">
        <f>IF('Smart Search'!E13=1,IFERROR(1/'Smart Search'!H13,0),0)</f>
        <v/>
      </c>
      <c r="AD85" s="64">
        <f>IF('Smart Search'!F13=1,IFERROR(1/'Smart Search'!H13,0),0)</f>
        <v/>
      </c>
      <c r="AE85" s="64">
        <f>IF('Smart Search'!F13=1,IFERROR(1/'Smart Search'!H13,0),0)</f>
        <v/>
      </c>
      <c r="AF85" s="64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4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4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4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4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4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4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4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4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4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4">
        <f>AF85*V85</f>
        <v/>
      </c>
      <c r="AQ85" s="64">
        <f>AG85*W85</f>
        <v/>
      </c>
      <c r="AR85" s="64">
        <f>AH85*X85</f>
        <v/>
      </c>
      <c r="AS85" s="64">
        <f>AI85*Y85</f>
        <v/>
      </c>
      <c r="AT85" s="64">
        <f>AJ85*Z85</f>
        <v/>
      </c>
      <c r="AU85" s="64">
        <f>AK85*AA85</f>
        <v/>
      </c>
      <c r="AV85" s="64">
        <f>AL85*AB85</f>
        <v/>
      </c>
      <c r="AW85" s="64">
        <f>AM85*AC85</f>
        <v/>
      </c>
      <c r="AX85" s="64">
        <f>AN85*AD85</f>
        <v/>
      </c>
      <c r="AY85" s="64">
        <f>AO85*AE85</f>
        <v/>
      </c>
      <c r="AZ85" s="64">
        <f>INDEX(Projects[Automation Equipment],84)&amp;""</f>
        <v/>
      </c>
      <c r="BA85" s="64">
        <f>IF(OR(A85="",'Smart Search'!H13=0),"",MAX(0,BE85*BF85*MAX(0,1-BG85)))</f>
        <v/>
      </c>
      <c r="BB85" s="64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4">
        <f>IF('Smart Search'!G13=1,IFERROR(1/'Smart Search'!H13,0),0)</f>
        <v/>
      </c>
      <c r="BD85" s="64">
        <f>BB85*BC85</f>
        <v/>
      </c>
      <c r="BE85" s="64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IF(A85="","",N(INDEX(Projects[Act Mech Inst],84)))</f>
        <v/>
      </c>
      <c r="BK85" s="5">
        <f>IF(A85="","",N(INDEX(Projects[Act Elec Inst],84)))</f>
        <v/>
      </c>
      <c r="BL85" s="5">
        <f>IF(A85="","",N(INDEX(Projects[Act Project Management],84)))</f>
        <v/>
      </c>
      <c r="BM85" s="5">
        <f>IF(A85="","",N(INDEX(Projects[Act Systems Eng],84)))</f>
        <v/>
      </c>
      <c r="BN85" s="5">
        <f>IF(A85="","",N(INDEX(Projects[Act Mechanical Eng],84)))</f>
        <v/>
      </c>
      <c r="BO85" s="5">
        <f>IF(A85="","",N(INDEX(Projects[Act Structural Engineering],84)))</f>
        <v/>
      </c>
      <c r="BP85" s="5">
        <f>IF(A85="","",N(INDEX(Projects[Act Site Sup],84)))</f>
        <v/>
      </c>
      <c r="BQ85" s="5">
        <f>IF(A85="","",N(INDEX(Projects[Act Controls Commissioning],84)))</f>
        <v/>
      </c>
      <c r="BR85" s="5">
        <f>IF(A85="","",N(INDEX(Projects[Act Systems Commissioning],84)))</f>
        <v/>
      </c>
      <c r="BS85" s="5">
        <f>IF(A85="","",N(INDEX(Projects[Act Service Commissioning],84)))</f>
        <v/>
      </c>
      <c r="BT85" s="5">
        <f>IF(A85="","",N(INDEX(Projects[Act Controls Eng],84)))</f>
        <v/>
      </c>
      <c r="BU85" s="5">
        <f>IF(A85="","",N(INDEX(Projects[Act Controls Purchase],84)))</f>
        <v/>
      </c>
      <c r="BV85" s="5">
        <f>IF(A85="","",N(INDEX(Projects[Act Software Eng],84)))</f>
        <v/>
      </c>
      <c r="BW85" s="5">
        <f>IF(A85="","",N(INDEX(Projects[Act 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INDEX(Projects[Sold Value (USD M)],84)</f>
        <v/>
      </c>
      <c r="CE85" s="5" t="n"/>
      <c r="CF85" s="5">
        <f>IF(A85="","",N(INDEX(Projects[Est Mech Inst],84)))</f>
        <v/>
      </c>
      <c r="CG85" s="5">
        <f>IF(A85="","",N(INDEX(Projects[Est Elec Inst],84)))</f>
        <v/>
      </c>
      <c r="CH85" s="5">
        <f>IF(A85="","",N(INDEX(Projects[Est Project Management],84)))</f>
        <v/>
      </c>
      <c r="CI85" s="5">
        <f>IF(A85="","",N(INDEX(Projects[Est Systems Eng],84)))</f>
        <v/>
      </c>
      <c r="CJ85" s="5">
        <f>IF(A85="","",N(INDEX(Projects[Est Mechanical Eng],84)))</f>
        <v/>
      </c>
      <c r="CK85" s="5">
        <f>IF(A85="","",N(INDEX(Projects[Est Structural Engineering],84)))</f>
        <v/>
      </c>
      <c r="CL85" s="5">
        <f>IF(A85="","",N(INDEX(Projects[Est Site Sup],84)))</f>
        <v/>
      </c>
      <c r="CM85" s="5">
        <f>IF(A85="","",N(INDEX(Projects[Est Controls Commissioning],84)))</f>
        <v/>
      </c>
      <c r="CN85" s="5">
        <f>IF(A85="","",N(INDEX(Projects[Est Systems Commissioning],84)))</f>
        <v/>
      </c>
      <c r="CO85" s="5">
        <f>IF(A85="","",N(INDEX(Projects[Est Service Commissioning],84)))</f>
        <v/>
      </c>
      <c r="CP85" s="5">
        <f>IF(A85="","",N(INDEX(Projects[Est Controls Eng],84)))</f>
        <v/>
      </c>
      <c r="CQ85" s="5">
        <f>IF(A85="","",N(INDEX(Projects[Est Controls Purchase],84)))</f>
        <v/>
      </c>
      <c r="CR85" s="5">
        <f>IF(A85="","",N(INDEX(Projects[Est Software Eng],84)))</f>
        <v/>
      </c>
      <c r="CS85" s="5">
        <f>IF(A85="","",N(INDEX(Projects[Est Misc],84)))</f>
        <v/>
      </c>
      <c r="CT85" s="5">
        <f>IF(A85="","",SUM(CF85:CS85))</f>
        <v/>
      </c>
      <c r="CU85" s="5">
        <f>INDEX(Projects[Est Cost (M)],84)</f>
        <v/>
      </c>
      <c r="CV85" s="5">
        <f>INDEX(Projects[Act Cost (M)],84)</f>
        <v/>
      </c>
      <c r="CW85" s="5">
        <f>INDEX(Projects[Plan Mech Eng (wks)],84)</f>
        <v/>
      </c>
      <c r="CX85" s="5">
        <f>INDEX(Projects[Plan Controls Eng (wks)],84)</f>
        <v/>
      </c>
      <c r="CY85" s="5">
        <f>INDEX(Projects[Plan Systems Eng (wks)],84)</f>
        <v/>
      </c>
      <c r="CZ85" s="5">
        <f>INDEX(Projects[Plan Software Eng (wks)],84)</f>
        <v/>
      </c>
      <c r="DA85" s="5">
        <f>INDEX(Projects[Plan M&amp;E Installation (wks)],84)</f>
        <v/>
      </c>
      <c r="DB85" s="5">
        <f>INDEX(Projects[Plan Commissioning (wks)],84)</f>
        <v/>
      </c>
      <c r="DC85" s="5">
        <f>INDEX(Projects[Plan Total (wks)],84)</f>
        <v/>
      </c>
      <c r="DD85" s="5">
        <f>INDEX(Projects[Act Mech Eng (wks)],84)</f>
        <v/>
      </c>
      <c r="DE85" s="5">
        <f>INDEX(Projects[Act Controls Eng (wks)],84)</f>
        <v/>
      </c>
      <c r="DF85" s="5">
        <f>INDEX(Projects[Act Systems Eng (wks)],84)</f>
        <v/>
      </c>
      <c r="DG85" s="5">
        <f>INDEX(Projects[Act Software Eng (wks)],84)</f>
        <v/>
      </c>
      <c r="DH85" s="5">
        <f>INDEX(Projects[Act M&amp;E Installation (wks)],84)</f>
        <v/>
      </c>
      <c r="DI85" s="5">
        <f>INDEX(Projects[Act Commissioning (wks)],84)</f>
        <v/>
      </c>
      <c r="DJ85" s="5">
        <f>INDEX(Projects[Act Total (wks)],84)</f>
        <v/>
      </c>
    </row>
    <row r="86" ht="15" customHeight="1" s="82">
      <c r="A86" s="64">
        <f>INDEX(Projects[Project ID *],85)&amp;""</f>
        <v/>
      </c>
      <c r="B86" s="64">
        <f>INDEX(Projects[Project Name *],85)&amp;""</f>
        <v/>
      </c>
      <c r="C86" s="64">
        <f>INDEX(Projects[MS Shuttles],85)</f>
        <v/>
      </c>
      <c r="D86" s="64">
        <f>INDEX(Projects[MS Tote Locations],85)</f>
        <v/>
      </c>
      <c r="E86" s="64">
        <f>INDEX(Projects[AS Robots],85)</f>
        <v/>
      </c>
      <c r="F86" s="64">
        <f>INDEX(Projects[AS Tote Locations],85)</f>
        <v/>
      </c>
      <c r="G86" s="64">
        <f>INDEX(Projects[PS Shuttles],85)</f>
        <v/>
      </c>
      <c r="H86" s="64">
        <f>INDEX(Projects[PS Pallet Locations],85)</f>
        <v/>
      </c>
      <c r="I86" s="64">
        <f>INDEX(Projects[SRM Cranes],85)</f>
        <v/>
      </c>
      <c r="J86" s="64">
        <f>INDEX(Projects[SRM Pallet Locations],85)</f>
        <v/>
      </c>
      <c r="K86" s="64">
        <f>INDEX(Projects[Case Conv (m)],85)</f>
        <v/>
      </c>
      <c r="L86" s="64">
        <f>INDEX(Projects[Pallet Conv (m)],85)</f>
        <v/>
      </c>
      <c r="M86" s="64">
        <f>IF(N(DJ86)&gt;0,DD86,CW86)</f>
        <v/>
      </c>
      <c r="N86" s="64">
        <f>IF(N(DJ86)&gt;0,DE86,CX86)</f>
        <v/>
      </c>
      <c r="O86" s="64">
        <f>IF(N(DJ86)&gt;0,DF86,CY86)</f>
        <v/>
      </c>
      <c r="P86" s="64">
        <f>IF(N(DJ86)&gt;0,DG86,CZ86)</f>
        <v/>
      </c>
      <c r="Q86" s="64">
        <f>IF(N(DJ86)&gt;0,DH86,DA86)</f>
        <v/>
      </c>
      <c r="R86" s="64">
        <f>IF(N(DJ86)&gt;0,DI86,DB86)</f>
        <v/>
      </c>
      <c r="S86" s="64">
        <f>IF(N(DJ86)&gt;0,DJ86,DC86)</f>
        <v/>
      </c>
      <c r="T86" s="64">
        <f>INDEX(Projects[Currency],85)&amp;""</f>
        <v/>
      </c>
      <c r="U86" s="65">
        <f>INDEX(Projects[Sold Value (M)],85)</f>
        <v/>
      </c>
      <c r="V86" s="64">
        <f>IF('Smart Search'!B13=1,IFERROR(1/'Smart Search'!H13,0),0)</f>
        <v/>
      </c>
      <c r="W86" s="64">
        <f>IF('Smart Search'!B13=1,IFERROR(1/'Smart Search'!H13,0),0)</f>
        <v/>
      </c>
      <c r="X86" s="64">
        <f>IF('Smart Search'!C13=1,IFERROR(1/'Smart Search'!H13,0),0)</f>
        <v/>
      </c>
      <c r="Y86" s="64">
        <f>IF('Smart Search'!C13=1,IFERROR(1/'Smart Search'!H13,0),0)</f>
        <v/>
      </c>
      <c r="Z86" s="64">
        <f>IF('Smart Search'!D13=1,IFERROR(1/'Smart Search'!H13,0),0)</f>
        <v/>
      </c>
      <c r="AA86" s="64">
        <f>IF('Smart Search'!D13=1,IFERROR(1/'Smart Search'!H13,0),0)</f>
        <v/>
      </c>
      <c r="AB86" s="64">
        <f>IF('Smart Search'!E13=1,IFERROR(1/'Smart Search'!H13,0),0)</f>
        <v/>
      </c>
      <c r="AC86" s="64">
        <f>IF('Smart Search'!E13=1,IFERROR(1/'Smart Search'!H13,0),0)</f>
        <v/>
      </c>
      <c r="AD86" s="64">
        <f>IF('Smart Search'!F13=1,IFERROR(1/'Smart Search'!H13,0),0)</f>
        <v/>
      </c>
      <c r="AE86" s="64">
        <f>IF('Smart Search'!F13=1,IFERROR(1/'Smart Search'!H13,0),0)</f>
        <v/>
      </c>
      <c r="AF86" s="64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4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4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4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4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4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4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4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4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4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4">
        <f>AF86*V86</f>
        <v/>
      </c>
      <c r="AQ86" s="64">
        <f>AG86*W86</f>
        <v/>
      </c>
      <c r="AR86" s="64">
        <f>AH86*X86</f>
        <v/>
      </c>
      <c r="AS86" s="64">
        <f>AI86*Y86</f>
        <v/>
      </c>
      <c r="AT86" s="64">
        <f>AJ86*Z86</f>
        <v/>
      </c>
      <c r="AU86" s="64">
        <f>AK86*AA86</f>
        <v/>
      </c>
      <c r="AV86" s="64">
        <f>AL86*AB86</f>
        <v/>
      </c>
      <c r="AW86" s="64">
        <f>AM86*AC86</f>
        <v/>
      </c>
      <c r="AX86" s="64">
        <f>AN86*AD86</f>
        <v/>
      </c>
      <c r="AY86" s="64">
        <f>AO86*AE86</f>
        <v/>
      </c>
      <c r="AZ86" s="64">
        <f>INDEX(Projects[Automation Equipment],85)&amp;""</f>
        <v/>
      </c>
      <c r="BA86" s="64">
        <f>IF(OR(A86="",'Smart Search'!H13=0),"",MAX(0,BE86*BF86*MAX(0,1-BG86)))</f>
        <v/>
      </c>
      <c r="BB86" s="64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4">
        <f>IF('Smart Search'!G13=1,IFERROR(1/'Smart Search'!H13,0),0)</f>
        <v/>
      </c>
      <c r="BD86" s="64">
        <f>BB86*BC86</f>
        <v/>
      </c>
      <c r="BE86" s="64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IF(A86="","",N(INDEX(Projects[Act Mech Inst],85)))</f>
        <v/>
      </c>
      <c r="BK86" s="5">
        <f>IF(A86="","",N(INDEX(Projects[Act Elec Inst],85)))</f>
        <v/>
      </c>
      <c r="BL86" s="5">
        <f>IF(A86="","",N(INDEX(Projects[Act Project Management],85)))</f>
        <v/>
      </c>
      <c r="BM86" s="5">
        <f>IF(A86="","",N(INDEX(Projects[Act Systems Eng],85)))</f>
        <v/>
      </c>
      <c r="BN86" s="5">
        <f>IF(A86="","",N(INDEX(Projects[Act Mechanical Eng],85)))</f>
        <v/>
      </c>
      <c r="BO86" s="5">
        <f>IF(A86="","",N(INDEX(Projects[Act Structural Engineering],85)))</f>
        <v/>
      </c>
      <c r="BP86" s="5">
        <f>IF(A86="","",N(INDEX(Projects[Act Site Sup],85)))</f>
        <v/>
      </c>
      <c r="BQ86" s="5">
        <f>IF(A86="","",N(INDEX(Projects[Act Controls Commissioning],85)))</f>
        <v/>
      </c>
      <c r="BR86" s="5">
        <f>IF(A86="","",N(INDEX(Projects[Act Systems Commissioning],85)))</f>
        <v/>
      </c>
      <c r="BS86" s="5">
        <f>IF(A86="","",N(INDEX(Projects[Act Service Commissioning],85)))</f>
        <v/>
      </c>
      <c r="BT86" s="5">
        <f>IF(A86="","",N(INDEX(Projects[Act Controls Eng],85)))</f>
        <v/>
      </c>
      <c r="BU86" s="5">
        <f>IF(A86="","",N(INDEX(Projects[Act Controls Purchase],85)))</f>
        <v/>
      </c>
      <c r="BV86" s="5">
        <f>IF(A86="","",N(INDEX(Projects[Act Software Eng],85)))</f>
        <v/>
      </c>
      <c r="BW86" s="5">
        <f>IF(A86="","",N(INDEX(Projects[Act 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INDEX(Projects[Sold Value (USD M)],85)</f>
        <v/>
      </c>
      <c r="CE86" s="5" t="n"/>
      <c r="CF86" s="5">
        <f>IF(A86="","",N(INDEX(Projects[Est Mech Inst],85)))</f>
        <v/>
      </c>
      <c r="CG86" s="5">
        <f>IF(A86="","",N(INDEX(Projects[Est Elec Inst],85)))</f>
        <v/>
      </c>
      <c r="CH86" s="5">
        <f>IF(A86="","",N(INDEX(Projects[Est Project Management],85)))</f>
        <v/>
      </c>
      <c r="CI86" s="5">
        <f>IF(A86="","",N(INDEX(Projects[Est Systems Eng],85)))</f>
        <v/>
      </c>
      <c r="CJ86" s="5">
        <f>IF(A86="","",N(INDEX(Projects[Est Mechanical Eng],85)))</f>
        <v/>
      </c>
      <c r="CK86" s="5">
        <f>IF(A86="","",N(INDEX(Projects[Est Structural Engineering],85)))</f>
        <v/>
      </c>
      <c r="CL86" s="5">
        <f>IF(A86="","",N(INDEX(Projects[Est Site Sup],85)))</f>
        <v/>
      </c>
      <c r="CM86" s="5">
        <f>IF(A86="","",N(INDEX(Projects[Est Controls Commissioning],85)))</f>
        <v/>
      </c>
      <c r="CN86" s="5">
        <f>IF(A86="","",N(INDEX(Projects[Est Systems Commissioning],85)))</f>
        <v/>
      </c>
      <c r="CO86" s="5">
        <f>IF(A86="","",N(INDEX(Projects[Est Service Commissioning],85)))</f>
        <v/>
      </c>
      <c r="CP86" s="5">
        <f>IF(A86="","",N(INDEX(Projects[Est Controls Eng],85)))</f>
        <v/>
      </c>
      <c r="CQ86" s="5">
        <f>IF(A86="","",N(INDEX(Projects[Est Controls Purchase],85)))</f>
        <v/>
      </c>
      <c r="CR86" s="5">
        <f>IF(A86="","",N(INDEX(Projects[Est Software Eng],85)))</f>
        <v/>
      </c>
      <c r="CS86" s="5">
        <f>IF(A86="","",N(INDEX(Projects[Est Misc],85)))</f>
        <v/>
      </c>
      <c r="CT86" s="5">
        <f>IF(A86="","",SUM(CF86:CS86))</f>
        <v/>
      </c>
      <c r="CU86" s="5">
        <f>INDEX(Projects[Est Cost (M)],85)</f>
        <v/>
      </c>
      <c r="CV86" s="5">
        <f>INDEX(Projects[Act Cost (M)],85)</f>
        <v/>
      </c>
      <c r="CW86" s="5">
        <f>INDEX(Projects[Plan Mech Eng (wks)],85)</f>
        <v/>
      </c>
      <c r="CX86" s="5">
        <f>INDEX(Projects[Plan Controls Eng (wks)],85)</f>
        <v/>
      </c>
      <c r="CY86" s="5">
        <f>INDEX(Projects[Plan Systems Eng (wks)],85)</f>
        <v/>
      </c>
      <c r="CZ86" s="5">
        <f>INDEX(Projects[Plan Software Eng (wks)],85)</f>
        <v/>
      </c>
      <c r="DA86" s="5">
        <f>INDEX(Projects[Plan M&amp;E Installation (wks)],85)</f>
        <v/>
      </c>
      <c r="DB86" s="5">
        <f>INDEX(Projects[Plan Commissioning (wks)],85)</f>
        <v/>
      </c>
      <c r="DC86" s="5">
        <f>INDEX(Projects[Plan Total (wks)],85)</f>
        <v/>
      </c>
      <c r="DD86" s="5">
        <f>INDEX(Projects[Act Mech Eng (wks)],85)</f>
        <v/>
      </c>
      <c r="DE86" s="5">
        <f>INDEX(Projects[Act Controls Eng (wks)],85)</f>
        <v/>
      </c>
      <c r="DF86" s="5">
        <f>INDEX(Projects[Act Systems Eng (wks)],85)</f>
        <v/>
      </c>
      <c r="DG86" s="5">
        <f>INDEX(Projects[Act Software Eng (wks)],85)</f>
        <v/>
      </c>
      <c r="DH86" s="5">
        <f>INDEX(Projects[Act M&amp;E Installation (wks)],85)</f>
        <v/>
      </c>
      <c r="DI86" s="5">
        <f>INDEX(Projects[Act Commissioning (wks)],85)</f>
        <v/>
      </c>
      <c r="DJ86" s="5">
        <f>INDEX(Projects[Act Total (wks)],85)</f>
        <v/>
      </c>
    </row>
    <row r="87" ht="15" customHeight="1" s="82">
      <c r="A87" s="64">
        <f>INDEX(Projects[Project ID *],86)&amp;""</f>
        <v/>
      </c>
      <c r="B87" s="64">
        <f>INDEX(Projects[Project Name *],86)&amp;""</f>
        <v/>
      </c>
      <c r="C87" s="64">
        <f>INDEX(Projects[MS Shuttles],86)</f>
        <v/>
      </c>
      <c r="D87" s="64">
        <f>INDEX(Projects[MS Tote Locations],86)</f>
        <v/>
      </c>
      <c r="E87" s="64">
        <f>INDEX(Projects[AS Robots],86)</f>
        <v/>
      </c>
      <c r="F87" s="64">
        <f>INDEX(Projects[AS Tote Locations],86)</f>
        <v/>
      </c>
      <c r="G87" s="64">
        <f>INDEX(Projects[PS Shuttles],86)</f>
        <v/>
      </c>
      <c r="H87" s="64">
        <f>INDEX(Projects[PS Pallet Locations],86)</f>
        <v/>
      </c>
      <c r="I87" s="64">
        <f>INDEX(Projects[SRM Cranes],86)</f>
        <v/>
      </c>
      <c r="J87" s="64">
        <f>INDEX(Projects[SRM Pallet Locations],86)</f>
        <v/>
      </c>
      <c r="K87" s="64">
        <f>INDEX(Projects[Case Conv (m)],86)</f>
        <v/>
      </c>
      <c r="L87" s="64">
        <f>INDEX(Projects[Pallet Conv (m)],86)</f>
        <v/>
      </c>
      <c r="M87" s="64">
        <f>IF(N(DJ87)&gt;0,DD87,CW87)</f>
        <v/>
      </c>
      <c r="N87" s="64">
        <f>IF(N(DJ87)&gt;0,DE87,CX87)</f>
        <v/>
      </c>
      <c r="O87" s="64">
        <f>IF(N(DJ87)&gt;0,DF87,CY87)</f>
        <v/>
      </c>
      <c r="P87" s="64">
        <f>IF(N(DJ87)&gt;0,DG87,CZ87)</f>
        <v/>
      </c>
      <c r="Q87" s="64">
        <f>IF(N(DJ87)&gt;0,DH87,DA87)</f>
        <v/>
      </c>
      <c r="R87" s="64">
        <f>IF(N(DJ87)&gt;0,DI87,DB87)</f>
        <v/>
      </c>
      <c r="S87" s="64">
        <f>IF(N(DJ87)&gt;0,DJ87,DC87)</f>
        <v/>
      </c>
      <c r="T87" s="64">
        <f>INDEX(Projects[Currency],86)&amp;""</f>
        <v/>
      </c>
      <c r="U87" s="65">
        <f>INDEX(Projects[Sold Value (M)],86)</f>
        <v/>
      </c>
      <c r="V87" s="64">
        <f>IF('Smart Search'!B13=1,IFERROR(1/'Smart Search'!H13,0),0)</f>
        <v/>
      </c>
      <c r="W87" s="64">
        <f>IF('Smart Search'!B13=1,IFERROR(1/'Smart Search'!H13,0),0)</f>
        <v/>
      </c>
      <c r="X87" s="64">
        <f>IF('Smart Search'!C13=1,IFERROR(1/'Smart Search'!H13,0),0)</f>
        <v/>
      </c>
      <c r="Y87" s="64">
        <f>IF('Smart Search'!C13=1,IFERROR(1/'Smart Search'!H13,0),0)</f>
        <v/>
      </c>
      <c r="Z87" s="64">
        <f>IF('Smart Search'!D13=1,IFERROR(1/'Smart Search'!H13,0),0)</f>
        <v/>
      </c>
      <c r="AA87" s="64">
        <f>IF('Smart Search'!D13=1,IFERROR(1/'Smart Search'!H13,0),0)</f>
        <v/>
      </c>
      <c r="AB87" s="64">
        <f>IF('Smart Search'!E13=1,IFERROR(1/'Smart Search'!H13,0),0)</f>
        <v/>
      </c>
      <c r="AC87" s="64">
        <f>IF('Smart Search'!E13=1,IFERROR(1/'Smart Search'!H13,0),0)</f>
        <v/>
      </c>
      <c r="AD87" s="64">
        <f>IF('Smart Search'!F13=1,IFERROR(1/'Smart Search'!H13,0),0)</f>
        <v/>
      </c>
      <c r="AE87" s="64">
        <f>IF('Smart Search'!F13=1,IFERROR(1/'Smart Search'!H13,0),0)</f>
        <v/>
      </c>
      <c r="AF87" s="64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4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4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4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4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4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4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4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4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4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4">
        <f>AF87*V87</f>
        <v/>
      </c>
      <c r="AQ87" s="64">
        <f>AG87*W87</f>
        <v/>
      </c>
      <c r="AR87" s="64">
        <f>AH87*X87</f>
        <v/>
      </c>
      <c r="AS87" s="64">
        <f>AI87*Y87</f>
        <v/>
      </c>
      <c r="AT87" s="64">
        <f>AJ87*Z87</f>
        <v/>
      </c>
      <c r="AU87" s="64">
        <f>AK87*AA87</f>
        <v/>
      </c>
      <c r="AV87" s="64">
        <f>AL87*AB87</f>
        <v/>
      </c>
      <c r="AW87" s="64">
        <f>AM87*AC87</f>
        <v/>
      </c>
      <c r="AX87" s="64">
        <f>AN87*AD87</f>
        <v/>
      </c>
      <c r="AY87" s="64">
        <f>AO87*AE87</f>
        <v/>
      </c>
      <c r="AZ87" s="64">
        <f>INDEX(Projects[Automation Equipment],86)&amp;""</f>
        <v/>
      </c>
      <c r="BA87" s="64">
        <f>IF(OR(A87="",'Smart Search'!H13=0),"",MAX(0,BE87*BF87*MAX(0,1-BG87)))</f>
        <v/>
      </c>
      <c r="BB87" s="64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4">
        <f>IF('Smart Search'!G13=1,IFERROR(1/'Smart Search'!H13,0),0)</f>
        <v/>
      </c>
      <c r="BD87" s="64">
        <f>BB87*BC87</f>
        <v/>
      </c>
      <c r="BE87" s="64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IF(A87="","",N(INDEX(Projects[Act Mech Inst],86)))</f>
        <v/>
      </c>
      <c r="BK87" s="5">
        <f>IF(A87="","",N(INDEX(Projects[Act Elec Inst],86)))</f>
        <v/>
      </c>
      <c r="BL87" s="5">
        <f>IF(A87="","",N(INDEX(Projects[Act Project Management],86)))</f>
        <v/>
      </c>
      <c r="BM87" s="5">
        <f>IF(A87="","",N(INDEX(Projects[Act Systems Eng],86)))</f>
        <v/>
      </c>
      <c r="BN87" s="5">
        <f>IF(A87="","",N(INDEX(Projects[Act Mechanical Eng],86)))</f>
        <v/>
      </c>
      <c r="BO87" s="5">
        <f>IF(A87="","",N(INDEX(Projects[Act Structural Engineering],86)))</f>
        <v/>
      </c>
      <c r="BP87" s="5">
        <f>IF(A87="","",N(INDEX(Projects[Act Site Sup],86)))</f>
        <v/>
      </c>
      <c r="BQ87" s="5">
        <f>IF(A87="","",N(INDEX(Projects[Act Controls Commissioning],86)))</f>
        <v/>
      </c>
      <c r="BR87" s="5">
        <f>IF(A87="","",N(INDEX(Projects[Act Systems Commissioning],86)))</f>
        <v/>
      </c>
      <c r="BS87" s="5">
        <f>IF(A87="","",N(INDEX(Projects[Act Service Commissioning],86)))</f>
        <v/>
      </c>
      <c r="BT87" s="5">
        <f>IF(A87="","",N(INDEX(Projects[Act Controls Eng],86)))</f>
        <v/>
      </c>
      <c r="BU87" s="5">
        <f>IF(A87="","",N(INDEX(Projects[Act Controls Purchase],86)))</f>
        <v/>
      </c>
      <c r="BV87" s="5">
        <f>IF(A87="","",N(INDEX(Projects[Act Software Eng],86)))</f>
        <v/>
      </c>
      <c r="BW87" s="5">
        <f>IF(A87="","",N(INDEX(Projects[Act 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INDEX(Projects[Sold Value (USD M)],86)</f>
        <v/>
      </c>
      <c r="CE87" s="5" t="n"/>
      <c r="CF87" s="5">
        <f>IF(A87="","",N(INDEX(Projects[Est Mech Inst],86)))</f>
        <v/>
      </c>
      <c r="CG87" s="5">
        <f>IF(A87="","",N(INDEX(Projects[Est Elec Inst],86)))</f>
        <v/>
      </c>
      <c r="CH87" s="5">
        <f>IF(A87="","",N(INDEX(Projects[Est Project Management],86)))</f>
        <v/>
      </c>
      <c r="CI87" s="5">
        <f>IF(A87="","",N(INDEX(Projects[Est Systems Eng],86)))</f>
        <v/>
      </c>
      <c r="CJ87" s="5">
        <f>IF(A87="","",N(INDEX(Projects[Est Mechanical Eng],86)))</f>
        <v/>
      </c>
      <c r="CK87" s="5">
        <f>IF(A87="","",N(INDEX(Projects[Est Structural Engineering],86)))</f>
        <v/>
      </c>
      <c r="CL87" s="5">
        <f>IF(A87="","",N(INDEX(Projects[Est Site Sup],86)))</f>
        <v/>
      </c>
      <c r="CM87" s="5">
        <f>IF(A87="","",N(INDEX(Projects[Est Controls Commissioning],86)))</f>
        <v/>
      </c>
      <c r="CN87" s="5">
        <f>IF(A87="","",N(INDEX(Projects[Est Systems Commissioning],86)))</f>
        <v/>
      </c>
      <c r="CO87" s="5">
        <f>IF(A87="","",N(INDEX(Projects[Est Service Commissioning],86)))</f>
        <v/>
      </c>
      <c r="CP87" s="5">
        <f>IF(A87="","",N(INDEX(Projects[Est Controls Eng],86)))</f>
        <v/>
      </c>
      <c r="CQ87" s="5">
        <f>IF(A87="","",N(INDEX(Projects[Est Controls Purchase],86)))</f>
        <v/>
      </c>
      <c r="CR87" s="5">
        <f>IF(A87="","",N(INDEX(Projects[Est Software Eng],86)))</f>
        <v/>
      </c>
      <c r="CS87" s="5">
        <f>IF(A87="","",N(INDEX(Projects[Est Misc],86)))</f>
        <v/>
      </c>
      <c r="CT87" s="5">
        <f>IF(A87="","",SUM(CF87:CS87))</f>
        <v/>
      </c>
      <c r="CU87" s="5">
        <f>INDEX(Projects[Est Cost (M)],86)</f>
        <v/>
      </c>
      <c r="CV87" s="5">
        <f>INDEX(Projects[Act Cost (M)],86)</f>
        <v/>
      </c>
      <c r="CW87" s="5">
        <f>INDEX(Projects[Plan Mech Eng (wks)],86)</f>
        <v/>
      </c>
      <c r="CX87" s="5">
        <f>INDEX(Projects[Plan Controls Eng (wks)],86)</f>
        <v/>
      </c>
      <c r="CY87" s="5">
        <f>INDEX(Projects[Plan Systems Eng (wks)],86)</f>
        <v/>
      </c>
      <c r="CZ87" s="5">
        <f>INDEX(Projects[Plan Software Eng (wks)],86)</f>
        <v/>
      </c>
      <c r="DA87" s="5">
        <f>INDEX(Projects[Plan M&amp;E Installation (wks)],86)</f>
        <v/>
      </c>
      <c r="DB87" s="5">
        <f>INDEX(Projects[Plan Commissioning (wks)],86)</f>
        <v/>
      </c>
      <c r="DC87" s="5">
        <f>INDEX(Projects[Plan Total (wks)],86)</f>
        <v/>
      </c>
      <c r="DD87" s="5">
        <f>INDEX(Projects[Act Mech Eng (wks)],86)</f>
        <v/>
      </c>
      <c r="DE87" s="5">
        <f>INDEX(Projects[Act Controls Eng (wks)],86)</f>
        <v/>
      </c>
      <c r="DF87" s="5">
        <f>INDEX(Projects[Act Systems Eng (wks)],86)</f>
        <v/>
      </c>
      <c r="DG87" s="5">
        <f>INDEX(Projects[Act Software Eng (wks)],86)</f>
        <v/>
      </c>
      <c r="DH87" s="5">
        <f>INDEX(Projects[Act M&amp;E Installation (wks)],86)</f>
        <v/>
      </c>
      <c r="DI87" s="5">
        <f>INDEX(Projects[Act Commissioning (wks)],86)</f>
        <v/>
      </c>
      <c r="DJ87" s="5">
        <f>INDEX(Projects[Act Total (wks)],86)</f>
        <v/>
      </c>
    </row>
    <row r="88" ht="15" customHeight="1" s="82">
      <c r="A88" s="64">
        <f>INDEX(Projects[Project ID *],87)&amp;""</f>
        <v/>
      </c>
      <c r="B88" s="64">
        <f>INDEX(Projects[Project Name *],87)&amp;""</f>
        <v/>
      </c>
      <c r="C88" s="64">
        <f>INDEX(Projects[MS Shuttles],87)</f>
        <v/>
      </c>
      <c r="D88" s="64">
        <f>INDEX(Projects[MS Tote Locations],87)</f>
        <v/>
      </c>
      <c r="E88" s="64">
        <f>INDEX(Projects[AS Robots],87)</f>
        <v/>
      </c>
      <c r="F88" s="64">
        <f>INDEX(Projects[AS Tote Locations],87)</f>
        <v/>
      </c>
      <c r="G88" s="64">
        <f>INDEX(Projects[PS Shuttles],87)</f>
        <v/>
      </c>
      <c r="H88" s="64">
        <f>INDEX(Projects[PS Pallet Locations],87)</f>
        <v/>
      </c>
      <c r="I88" s="64">
        <f>INDEX(Projects[SRM Cranes],87)</f>
        <v/>
      </c>
      <c r="J88" s="64">
        <f>INDEX(Projects[SRM Pallet Locations],87)</f>
        <v/>
      </c>
      <c r="K88" s="64">
        <f>INDEX(Projects[Case Conv (m)],87)</f>
        <v/>
      </c>
      <c r="L88" s="64">
        <f>INDEX(Projects[Pallet Conv (m)],87)</f>
        <v/>
      </c>
      <c r="M88" s="64">
        <f>IF(N(DJ88)&gt;0,DD88,CW88)</f>
        <v/>
      </c>
      <c r="N88" s="64">
        <f>IF(N(DJ88)&gt;0,DE88,CX88)</f>
        <v/>
      </c>
      <c r="O88" s="64">
        <f>IF(N(DJ88)&gt;0,DF88,CY88)</f>
        <v/>
      </c>
      <c r="P88" s="64">
        <f>IF(N(DJ88)&gt;0,DG88,CZ88)</f>
        <v/>
      </c>
      <c r="Q88" s="64">
        <f>IF(N(DJ88)&gt;0,DH88,DA88)</f>
        <v/>
      </c>
      <c r="R88" s="64">
        <f>IF(N(DJ88)&gt;0,DI88,DB88)</f>
        <v/>
      </c>
      <c r="S88" s="64">
        <f>IF(N(DJ88)&gt;0,DJ88,DC88)</f>
        <v/>
      </c>
      <c r="T88" s="64">
        <f>INDEX(Projects[Currency],87)&amp;""</f>
        <v/>
      </c>
      <c r="U88" s="65">
        <f>INDEX(Projects[Sold Value (M)],87)</f>
        <v/>
      </c>
      <c r="V88" s="64">
        <f>IF('Smart Search'!B13=1,IFERROR(1/'Smart Search'!H13,0),0)</f>
        <v/>
      </c>
      <c r="W88" s="64">
        <f>IF('Smart Search'!B13=1,IFERROR(1/'Smart Search'!H13,0),0)</f>
        <v/>
      </c>
      <c r="X88" s="64">
        <f>IF('Smart Search'!C13=1,IFERROR(1/'Smart Search'!H13,0),0)</f>
        <v/>
      </c>
      <c r="Y88" s="64">
        <f>IF('Smart Search'!C13=1,IFERROR(1/'Smart Search'!H13,0),0)</f>
        <v/>
      </c>
      <c r="Z88" s="64">
        <f>IF('Smart Search'!D13=1,IFERROR(1/'Smart Search'!H13,0),0)</f>
        <v/>
      </c>
      <c r="AA88" s="64">
        <f>IF('Smart Search'!D13=1,IFERROR(1/'Smart Search'!H13,0),0)</f>
        <v/>
      </c>
      <c r="AB88" s="64">
        <f>IF('Smart Search'!E13=1,IFERROR(1/'Smart Search'!H13,0),0)</f>
        <v/>
      </c>
      <c r="AC88" s="64">
        <f>IF('Smart Search'!E13=1,IFERROR(1/'Smart Search'!H13,0),0)</f>
        <v/>
      </c>
      <c r="AD88" s="64">
        <f>IF('Smart Search'!F13=1,IFERROR(1/'Smart Search'!H13,0),0)</f>
        <v/>
      </c>
      <c r="AE88" s="64">
        <f>IF('Smart Search'!F13=1,IFERROR(1/'Smart Search'!H13,0),0)</f>
        <v/>
      </c>
      <c r="AF88" s="64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4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4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4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4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4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4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4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4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4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4">
        <f>AF88*V88</f>
        <v/>
      </c>
      <c r="AQ88" s="64">
        <f>AG88*W88</f>
        <v/>
      </c>
      <c r="AR88" s="64">
        <f>AH88*X88</f>
        <v/>
      </c>
      <c r="AS88" s="64">
        <f>AI88*Y88</f>
        <v/>
      </c>
      <c r="AT88" s="64">
        <f>AJ88*Z88</f>
        <v/>
      </c>
      <c r="AU88" s="64">
        <f>AK88*AA88</f>
        <v/>
      </c>
      <c r="AV88" s="64">
        <f>AL88*AB88</f>
        <v/>
      </c>
      <c r="AW88" s="64">
        <f>AM88*AC88</f>
        <v/>
      </c>
      <c r="AX88" s="64">
        <f>AN88*AD88</f>
        <v/>
      </c>
      <c r="AY88" s="64">
        <f>AO88*AE88</f>
        <v/>
      </c>
      <c r="AZ88" s="64">
        <f>INDEX(Projects[Automation Equipment],87)&amp;""</f>
        <v/>
      </c>
      <c r="BA88" s="64">
        <f>IF(OR(A88="",'Smart Search'!H13=0),"",MAX(0,BE88*BF88*MAX(0,1-BG88)))</f>
        <v/>
      </c>
      <c r="BB88" s="64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4">
        <f>IF('Smart Search'!G13=1,IFERROR(1/'Smart Search'!H13,0),0)</f>
        <v/>
      </c>
      <c r="BD88" s="64">
        <f>BB88*BC88</f>
        <v/>
      </c>
      <c r="BE88" s="64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IF(A88="","",N(INDEX(Projects[Act Mech Inst],87)))</f>
        <v/>
      </c>
      <c r="BK88" s="5">
        <f>IF(A88="","",N(INDEX(Projects[Act Elec Inst],87)))</f>
        <v/>
      </c>
      <c r="BL88" s="5">
        <f>IF(A88="","",N(INDEX(Projects[Act Project Management],87)))</f>
        <v/>
      </c>
      <c r="BM88" s="5">
        <f>IF(A88="","",N(INDEX(Projects[Act Systems Eng],87)))</f>
        <v/>
      </c>
      <c r="BN88" s="5">
        <f>IF(A88="","",N(INDEX(Projects[Act Mechanical Eng],87)))</f>
        <v/>
      </c>
      <c r="BO88" s="5">
        <f>IF(A88="","",N(INDEX(Projects[Act Structural Engineering],87)))</f>
        <v/>
      </c>
      <c r="BP88" s="5">
        <f>IF(A88="","",N(INDEX(Projects[Act Site Sup],87)))</f>
        <v/>
      </c>
      <c r="BQ88" s="5">
        <f>IF(A88="","",N(INDEX(Projects[Act Controls Commissioning],87)))</f>
        <v/>
      </c>
      <c r="BR88" s="5">
        <f>IF(A88="","",N(INDEX(Projects[Act Systems Commissioning],87)))</f>
        <v/>
      </c>
      <c r="BS88" s="5">
        <f>IF(A88="","",N(INDEX(Projects[Act Service Commissioning],87)))</f>
        <v/>
      </c>
      <c r="BT88" s="5">
        <f>IF(A88="","",N(INDEX(Projects[Act Controls Eng],87)))</f>
        <v/>
      </c>
      <c r="BU88" s="5">
        <f>IF(A88="","",N(INDEX(Projects[Act Controls Purchase],87)))</f>
        <v/>
      </c>
      <c r="BV88" s="5">
        <f>IF(A88="","",N(INDEX(Projects[Act Software Eng],87)))</f>
        <v/>
      </c>
      <c r="BW88" s="5">
        <f>IF(A88="","",N(INDEX(Projects[Act 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INDEX(Projects[Sold Value (USD M)],87)</f>
        <v/>
      </c>
      <c r="CE88" s="5" t="n"/>
      <c r="CF88" s="5">
        <f>IF(A88="","",N(INDEX(Projects[Est Mech Inst],87)))</f>
        <v/>
      </c>
      <c r="CG88" s="5">
        <f>IF(A88="","",N(INDEX(Projects[Est Elec Inst],87)))</f>
        <v/>
      </c>
      <c r="CH88" s="5">
        <f>IF(A88="","",N(INDEX(Projects[Est Project Management],87)))</f>
        <v/>
      </c>
      <c r="CI88" s="5">
        <f>IF(A88="","",N(INDEX(Projects[Est Systems Eng],87)))</f>
        <v/>
      </c>
      <c r="CJ88" s="5">
        <f>IF(A88="","",N(INDEX(Projects[Est Mechanical Eng],87)))</f>
        <v/>
      </c>
      <c r="CK88" s="5">
        <f>IF(A88="","",N(INDEX(Projects[Est Structural Engineering],87)))</f>
        <v/>
      </c>
      <c r="CL88" s="5">
        <f>IF(A88="","",N(INDEX(Projects[Est Site Sup],87)))</f>
        <v/>
      </c>
      <c r="CM88" s="5">
        <f>IF(A88="","",N(INDEX(Projects[Est Controls Commissioning],87)))</f>
        <v/>
      </c>
      <c r="CN88" s="5">
        <f>IF(A88="","",N(INDEX(Projects[Est Systems Commissioning],87)))</f>
        <v/>
      </c>
      <c r="CO88" s="5">
        <f>IF(A88="","",N(INDEX(Projects[Est Service Commissioning],87)))</f>
        <v/>
      </c>
      <c r="CP88" s="5">
        <f>IF(A88="","",N(INDEX(Projects[Est Controls Eng],87)))</f>
        <v/>
      </c>
      <c r="CQ88" s="5">
        <f>IF(A88="","",N(INDEX(Projects[Est Controls Purchase],87)))</f>
        <v/>
      </c>
      <c r="CR88" s="5">
        <f>IF(A88="","",N(INDEX(Projects[Est Software Eng],87)))</f>
        <v/>
      </c>
      <c r="CS88" s="5">
        <f>IF(A88="","",N(INDEX(Projects[Est Misc],87)))</f>
        <v/>
      </c>
      <c r="CT88" s="5">
        <f>IF(A88="","",SUM(CF88:CS88))</f>
        <v/>
      </c>
      <c r="CU88" s="5">
        <f>INDEX(Projects[Est Cost (M)],87)</f>
        <v/>
      </c>
      <c r="CV88" s="5">
        <f>INDEX(Projects[Act Cost (M)],87)</f>
        <v/>
      </c>
      <c r="CW88" s="5">
        <f>INDEX(Projects[Plan Mech Eng (wks)],87)</f>
        <v/>
      </c>
      <c r="CX88" s="5">
        <f>INDEX(Projects[Plan Controls Eng (wks)],87)</f>
        <v/>
      </c>
      <c r="CY88" s="5">
        <f>INDEX(Projects[Plan Systems Eng (wks)],87)</f>
        <v/>
      </c>
      <c r="CZ88" s="5">
        <f>INDEX(Projects[Plan Software Eng (wks)],87)</f>
        <v/>
      </c>
      <c r="DA88" s="5">
        <f>INDEX(Projects[Plan M&amp;E Installation (wks)],87)</f>
        <v/>
      </c>
      <c r="DB88" s="5">
        <f>INDEX(Projects[Plan Commissioning (wks)],87)</f>
        <v/>
      </c>
      <c r="DC88" s="5">
        <f>INDEX(Projects[Plan Total (wks)],87)</f>
        <v/>
      </c>
      <c r="DD88" s="5">
        <f>INDEX(Projects[Act Mech Eng (wks)],87)</f>
        <v/>
      </c>
      <c r="DE88" s="5">
        <f>INDEX(Projects[Act Controls Eng (wks)],87)</f>
        <v/>
      </c>
      <c r="DF88" s="5">
        <f>INDEX(Projects[Act Systems Eng (wks)],87)</f>
        <v/>
      </c>
      <c r="DG88" s="5">
        <f>INDEX(Projects[Act Software Eng (wks)],87)</f>
        <v/>
      </c>
      <c r="DH88" s="5">
        <f>INDEX(Projects[Act M&amp;E Installation (wks)],87)</f>
        <v/>
      </c>
      <c r="DI88" s="5">
        <f>INDEX(Projects[Act Commissioning (wks)],87)</f>
        <v/>
      </c>
      <c r="DJ88" s="5">
        <f>INDEX(Projects[Act Total (wks)],87)</f>
        <v/>
      </c>
    </row>
    <row r="89" ht="15" customHeight="1" s="82">
      <c r="A89" s="64">
        <f>INDEX(Projects[Project ID *],88)&amp;""</f>
        <v/>
      </c>
      <c r="B89" s="64">
        <f>INDEX(Projects[Project Name *],88)&amp;""</f>
        <v/>
      </c>
      <c r="C89" s="64">
        <f>INDEX(Projects[MS Shuttles],88)</f>
        <v/>
      </c>
      <c r="D89" s="64">
        <f>INDEX(Projects[MS Tote Locations],88)</f>
        <v/>
      </c>
      <c r="E89" s="64">
        <f>INDEX(Projects[AS Robots],88)</f>
        <v/>
      </c>
      <c r="F89" s="64">
        <f>INDEX(Projects[AS Tote Locations],88)</f>
        <v/>
      </c>
      <c r="G89" s="64">
        <f>INDEX(Projects[PS Shuttles],88)</f>
        <v/>
      </c>
      <c r="H89" s="64">
        <f>INDEX(Projects[PS Pallet Locations],88)</f>
        <v/>
      </c>
      <c r="I89" s="64">
        <f>INDEX(Projects[SRM Cranes],88)</f>
        <v/>
      </c>
      <c r="J89" s="64">
        <f>INDEX(Projects[SRM Pallet Locations],88)</f>
        <v/>
      </c>
      <c r="K89" s="64">
        <f>INDEX(Projects[Case Conv (m)],88)</f>
        <v/>
      </c>
      <c r="L89" s="64">
        <f>INDEX(Projects[Pallet Conv (m)],88)</f>
        <v/>
      </c>
      <c r="M89" s="64">
        <f>IF(N(DJ89)&gt;0,DD89,CW89)</f>
        <v/>
      </c>
      <c r="N89" s="64">
        <f>IF(N(DJ89)&gt;0,DE89,CX89)</f>
        <v/>
      </c>
      <c r="O89" s="64">
        <f>IF(N(DJ89)&gt;0,DF89,CY89)</f>
        <v/>
      </c>
      <c r="P89" s="64">
        <f>IF(N(DJ89)&gt;0,DG89,CZ89)</f>
        <v/>
      </c>
      <c r="Q89" s="64">
        <f>IF(N(DJ89)&gt;0,DH89,DA89)</f>
        <v/>
      </c>
      <c r="R89" s="64">
        <f>IF(N(DJ89)&gt;0,DI89,DB89)</f>
        <v/>
      </c>
      <c r="S89" s="64">
        <f>IF(N(DJ89)&gt;0,DJ89,DC89)</f>
        <v/>
      </c>
      <c r="T89" s="64">
        <f>INDEX(Projects[Currency],88)&amp;""</f>
        <v/>
      </c>
      <c r="U89" s="65">
        <f>INDEX(Projects[Sold Value (M)],88)</f>
        <v/>
      </c>
      <c r="V89" s="64">
        <f>IF('Smart Search'!B13=1,IFERROR(1/'Smart Search'!H13,0),0)</f>
        <v/>
      </c>
      <c r="W89" s="64">
        <f>IF('Smart Search'!B13=1,IFERROR(1/'Smart Search'!H13,0),0)</f>
        <v/>
      </c>
      <c r="X89" s="64">
        <f>IF('Smart Search'!C13=1,IFERROR(1/'Smart Search'!H13,0),0)</f>
        <v/>
      </c>
      <c r="Y89" s="64">
        <f>IF('Smart Search'!C13=1,IFERROR(1/'Smart Search'!H13,0),0)</f>
        <v/>
      </c>
      <c r="Z89" s="64">
        <f>IF('Smart Search'!D13=1,IFERROR(1/'Smart Search'!H13,0),0)</f>
        <v/>
      </c>
      <c r="AA89" s="64">
        <f>IF('Smart Search'!D13=1,IFERROR(1/'Smart Search'!H13,0),0)</f>
        <v/>
      </c>
      <c r="AB89" s="64">
        <f>IF('Smart Search'!E13=1,IFERROR(1/'Smart Search'!H13,0),0)</f>
        <v/>
      </c>
      <c r="AC89" s="64">
        <f>IF('Smart Search'!E13=1,IFERROR(1/'Smart Search'!H13,0),0)</f>
        <v/>
      </c>
      <c r="AD89" s="64">
        <f>IF('Smart Search'!F13=1,IFERROR(1/'Smart Search'!H13,0),0)</f>
        <v/>
      </c>
      <c r="AE89" s="64">
        <f>IF('Smart Search'!F13=1,IFERROR(1/'Smart Search'!H13,0),0)</f>
        <v/>
      </c>
      <c r="AF89" s="64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4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4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4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4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4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4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4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4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4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4">
        <f>AF89*V89</f>
        <v/>
      </c>
      <c r="AQ89" s="64">
        <f>AG89*W89</f>
        <v/>
      </c>
      <c r="AR89" s="64">
        <f>AH89*X89</f>
        <v/>
      </c>
      <c r="AS89" s="64">
        <f>AI89*Y89</f>
        <v/>
      </c>
      <c r="AT89" s="64">
        <f>AJ89*Z89</f>
        <v/>
      </c>
      <c r="AU89" s="64">
        <f>AK89*AA89</f>
        <v/>
      </c>
      <c r="AV89" s="64">
        <f>AL89*AB89</f>
        <v/>
      </c>
      <c r="AW89" s="64">
        <f>AM89*AC89</f>
        <v/>
      </c>
      <c r="AX89" s="64">
        <f>AN89*AD89</f>
        <v/>
      </c>
      <c r="AY89" s="64">
        <f>AO89*AE89</f>
        <v/>
      </c>
      <c r="AZ89" s="64">
        <f>INDEX(Projects[Automation Equipment],88)&amp;""</f>
        <v/>
      </c>
      <c r="BA89" s="64">
        <f>IF(OR(A89="",'Smart Search'!H13=0),"",MAX(0,BE89*BF89*MAX(0,1-BG89)))</f>
        <v/>
      </c>
      <c r="BB89" s="64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4">
        <f>IF('Smart Search'!G13=1,IFERROR(1/'Smart Search'!H13,0),0)</f>
        <v/>
      </c>
      <c r="BD89" s="64">
        <f>BB89*BC89</f>
        <v/>
      </c>
      <c r="BE89" s="64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IF(A89="","",N(INDEX(Projects[Act Mech Inst],88)))</f>
        <v/>
      </c>
      <c r="BK89" s="5">
        <f>IF(A89="","",N(INDEX(Projects[Act Elec Inst],88)))</f>
        <v/>
      </c>
      <c r="BL89" s="5">
        <f>IF(A89="","",N(INDEX(Projects[Act Project Management],88)))</f>
        <v/>
      </c>
      <c r="BM89" s="5">
        <f>IF(A89="","",N(INDEX(Projects[Act Systems Eng],88)))</f>
        <v/>
      </c>
      <c r="BN89" s="5">
        <f>IF(A89="","",N(INDEX(Projects[Act Mechanical Eng],88)))</f>
        <v/>
      </c>
      <c r="BO89" s="5">
        <f>IF(A89="","",N(INDEX(Projects[Act Structural Engineering],88)))</f>
        <v/>
      </c>
      <c r="BP89" s="5">
        <f>IF(A89="","",N(INDEX(Projects[Act Site Sup],88)))</f>
        <v/>
      </c>
      <c r="BQ89" s="5">
        <f>IF(A89="","",N(INDEX(Projects[Act Controls Commissioning],88)))</f>
        <v/>
      </c>
      <c r="BR89" s="5">
        <f>IF(A89="","",N(INDEX(Projects[Act Systems Commissioning],88)))</f>
        <v/>
      </c>
      <c r="BS89" s="5">
        <f>IF(A89="","",N(INDEX(Projects[Act Service Commissioning],88)))</f>
        <v/>
      </c>
      <c r="BT89" s="5">
        <f>IF(A89="","",N(INDEX(Projects[Act Controls Eng],88)))</f>
        <v/>
      </c>
      <c r="BU89" s="5">
        <f>IF(A89="","",N(INDEX(Projects[Act Controls Purchase],88)))</f>
        <v/>
      </c>
      <c r="BV89" s="5">
        <f>IF(A89="","",N(INDEX(Projects[Act Software Eng],88)))</f>
        <v/>
      </c>
      <c r="BW89" s="5">
        <f>IF(A89="","",N(INDEX(Projects[Act 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INDEX(Projects[Sold Value (USD M)],88)</f>
        <v/>
      </c>
      <c r="CE89" s="5" t="n"/>
      <c r="CF89" s="5">
        <f>IF(A89="","",N(INDEX(Projects[Est Mech Inst],88)))</f>
        <v/>
      </c>
      <c r="CG89" s="5">
        <f>IF(A89="","",N(INDEX(Projects[Est Elec Inst],88)))</f>
        <v/>
      </c>
      <c r="CH89" s="5">
        <f>IF(A89="","",N(INDEX(Projects[Est Project Management],88)))</f>
        <v/>
      </c>
      <c r="CI89" s="5">
        <f>IF(A89="","",N(INDEX(Projects[Est Systems Eng],88)))</f>
        <v/>
      </c>
      <c r="CJ89" s="5">
        <f>IF(A89="","",N(INDEX(Projects[Est Mechanical Eng],88)))</f>
        <v/>
      </c>
      <c r="CK89" s="5">
        <f>IF(A89="","",N(INDEX(Projects[Est Structural Engineering],88)))</f>
        <v/>
      </c>
      <c r="CL89" s="5">
        <f>IF(A89="","",N(INDEX(Projects[Est Site Sup],88)))</f>
        <v/>
      </c>
      <c r="CM89" s="5">
        <f>IF(A89="","",N(INDEX(Projects[Est Controls Commissioning],88)))</f>
        <v/>
      </c>
      <c r="CN89" s="5">
        <f>IF(A89="","",N(INDEX(Projects[Est Systems Commissioning],88)))</f>
        <v/>
      </c>
      <c r="CO89" s="5">
        <f>IF(A89="","",N(INDEX(Projects[Est Service Commissioning],88)))</f>
        <v/>
      </c>
      <c r="CP89" s="5">
        <f>IF(A89="","",N(INDEX(Projects[Est Controls Eng],88)))</f>
        <v/>
      </c>
      <c r="CQ89" s="5">
        <f>IF(A89="","",N(INDEX(Projects[Est Controls Purchase],88)))</f>
        <v/>
      </c>
      <c r="CR89" s="5">
        <f>IF(A89="","",N(INDEX(Projects[Est Software Eng],88)))</f>
        <v/>
      </c>
      <c r="CS89" s="5">
        <f>IF(A89="","",N(INDEX(Projects[Est Misc],88)))</f>
        <v/>
      </c>
      <c r="CT89" s="5">
        <f>IF(A89="","",SUM(CF89:CS89))</f>
        <v/>
      </c>
      <c r="CU89" s="5">
        <f>INDEX(Projects[Est Cost (M)],88)</f>
        <v/>
      </c>
      <c r="CV89" s="5">
        <f>INDEX(Projects[Act Cost (M)],88)</f>
        <v/>
      </c>
      <c r="CW89" s="5">
        <f>INDEX(Projects[Plan Mech Eng (wks)],88)</f>
        <v/>
      </c>
      <c r="CX89" s="5">
        <f>INDEX(Projects[Plan Controls Eng (wks)],88)</f>
        <v/>
      </c>
      <c r="CY89" s="5">
        <f>INDEX(Projects[Plan Systems Eng (wks)],88)</f>
        <v/>
      </c>
      <c r="CZ89" s="5">
        <f>INDEX(Projects[Plan Software Eng (wks)],88)</f>
        <v/>
      </c>
      <c r="DA89" s="5">
        <f>INDEX(Projects[Plan M&amp;E Installation (wks)],88)</f>
        <v/>
      </c>
      <c r="DB89" s="5">
        <f>INDEX(Projects[Plan Commissioning (wks)],88)</f>
        <v/>
      </c>
      <c r="DC89" s="5">
        <f>INDEX(Projects[Plan Total (wks)],88)</f>
        <v/>
      </c>
      <c r="DD89" s="5">
        <f>INDEX(Projects[Act Mech Eng (wks)],88)</f>
        <v/>
      </c>
      <c r="DE89" s="5">
        <f>INDEX(Projects[Act Controls Eng (wks)],88)</f>
        <v/>
      </c>
      <c r="DF89" s="5">
        <f>INDEX(Projects[Act Systems Eng (wks)],88)</f>
        <v/>
      </c>
      <c r="DG89" s="5">
        <f>INDEX(Projects[Act Software Eng (wks)],88)</f>
        <v/>
      </c>
      <c r="DH89" s="5">
        <f>INDEX(Projects[Act M&amp;E Installation (wks)],88)</f>
        <v/>
      </c>
      <c r="DI89" s="5">
        <f>INDEX(Projects[Act Commissioning (wks)],88)</f>
        <v/>
      </c>
      <c r="DJ89" s="5">
        <f>INDEX(Projects[Act Total (wks)],88)</f>
        <v/>
      </c>
    </row>
    <row r="90" ht="15" customHeight="1" s="82">
      <c r="A90" s="64">
        <f>INDEX(Projects[Project ID *],89)&amp;""</f>
        <v/>
      </c>
      <c r="B90" s="64">
        <f>INDEX(Projects[Project Name *],89)&amp;""</f>
        <v/>
      </c>
      <c r="C90" s="64">
        <f>INDEX(Projects[MS Shuttles],89)</f>
        <v/>
      </c>
      <c r="D90" s="64">
        <f>INDEX(Projects[MS Tote Locations],89)</f>
        <v/>
      </c>
      <c r="E90" s="64">
        <f>INDEX(Projects[AS Robots],89)</f>
        <v/>
      </c>
      <c r="F90" s="64">
        <f>INDEX(Projects[AS Tote Locations],89)</f>
        <v/>
      </c>
      <c r="G90" s="64">
        <f>INDEX(Projects[PS Shuttles],89)</f>
        <v/>
      </c>
      <c r="H90" s="64">
        <f>INDEX(Projects[PS Pallet Locations],89)</f>
        <v/>
      </c>
      <c r="I90" s="64">
        <f>INDEX(Projects[SRM Cranes],89)</f>
        <v/>
      </c>
      <c r="J90" s="64">
        <f>INDEX(Projects[SRM Pallet Locations],89)</f>
        <v/>
      </c>
      <c r="K90" s="64">
        <f>INDEX(Projects[Case Conv (m)],89)</f>
        <v/>
      </c>
      <c r="L90" s="64">
        <f>INDEX(Projects[Pallet Conv (m)],89)</f>
        <v/>
      </c>
      <c r="M90" s="64">
        <f>IF(N(DJ90)&gt;0,DD90,CW90)</f>
        <v/>
      </c>
      <c r="N90" s="64">
        <f>IF(N(DJ90)&gt;0,DE90,CX90)</f>
        <v/>
      </c>
      <c r="O90" s="64">
        <f>IF(N(DJ90)&gt;0,DF90,CY90)</f>
        <v/>
      </c>
      <c r="P90" s="64">
        <f>IF(N(DJ90)&gt;0,DG90,CZ90)</f>
        <v/>
      </c>
      <c r="Q90" s="64">
        <f>IF(N(DJ90)&gt;0,DH90,DA90)</f>
        <v/>
      </c>
      <c r="R90" s="64">
        <f>IF(N(DJ90)&gt;0,DI90,DB90)</f>
        <v/>
      </c>
      <c r="S90" s="64">
        <f>IF(N(DJ90)&gt;0,DJ90,DC90)</f>
        <v/>
      </c>
      <c r="T90" s="64">
        <f>INDEX(Projects[Currency],89)&amp;""</f>
        <v/>
      </c>
      <c r="U90" s="65">
        <f>INDEX(Projects[Sold Value (M)],89)</f>
        <v/>
      </c>
      <c r="V90" s="64">
        <f>IF('Smart Search'!B13=1,IFERROR(1/'Smart Search'!H13,0),0)</f>
        <v/>
      </c>
      <c r="W90" s="64">
        <f>IF('Smart Search'!B13=1,IFERROR(1/'Smart Search'!H13,0),0)</f>
        <v/>
      </c>
      <c r="X90" s="64">
        <f>IF('Smart Search'!C13=1,IFERROR(1/'Smart Search'!H13,0),0)</f>
        <v/>
      </c>
      <c r="Y90" s="64">
        <f>IF('Smart Search'!C13=1,IFERROR(1/'Smart Search'!H13,0),0)</f>
        <v/>
      </c>
      <c r="Z90" s="64">
        <f>IF('Smart Search'!D13=1,IFERROR(1/'Smart Search'!H13,0),0)</f>
        <v/>
      </c>
      <c r="AA90" s="64">
        <f>IF('Smart Search'!D13=1,IFERROR(1/'Smart Search'!H13,0),0)</f>
        <v/>
      </c>
      <c r="AB90" s="64">
        <f>IF('Smart Search'!E13=1,IFERROR(1/'Smart Search'!H13,0),0)</f>
        <v/>
      </c>
      <c r="AC90" s="64">
        <f>IF('Smart Search'!E13=1,IFERROR(1/'Smart Search'!H13,0),0)</f>
        <v/>
      </c>
      <c r="AD90" s="64">
        <f>IF('Smart Search'!F13=1,IFERROR(1/'Smart Search'!H13,0),0)</f>
        <v/>
      </c>
      <c r="AE90" s="64">
        <f>IF('Smart Search'!F13=1,IFERROR(1/'Smart Search'!H13,0),0)</f>
        <v/>
      </c>
      <c r="AF90" s="64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4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4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4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4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4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4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4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4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4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4">
        <f>AF90*V90</f>
        <v/>
      </c>
      <c r="AQ90" s="64">
        <f>AG90*W90</f>
        <v/>
      </c>
      <c r="AR90" s="64">
        <f>AH90*X90</f>
        <v/>
      </c>
      <c r="AS90" s="64">
        <f>AI90*Y90</f>
        <v/>
      </c>
      <c r="AT90" s="64">
        <f>AJ90*Z90</f>
        <v/>
      </c>
      <c r="AU90" s="64">
        <f>AK90*AA90</f>
        <v/>
      </c>
      <c r="AV90" s="64">
        <f>AL90*AB90</f>
        <v/>
      </c>
      <c r="AW90" s="64">
        <f>AM90*AC90</f>
        <v/>
      </c>
      <c r="AX90" s="64">
        <f>AN90*AD90</f>
        <v/>
      </c>
      <c r="AY90" s="64">
        <f>AO90*AE90</f>
        <v/>
      </c>
      <c r="AZ90" s="64">
        <f>INDEX(Projects[Automation Equipment],89)&amp;""</f>
        <v/>
      </c>
      <c r="BA90" s="64">
        <f>IF(OR(A90="",'Smart Search'!H13=0),"",MAX(0,BE90*BF90*MAX(0,1-BG90)))</f>
        <v/>
      </c>
      <c r="BB90" s="64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4">
        <f>IF('Smart Search'!G13=1,IFERROR(1/'Smart Search'!H13,0),0)</f>
        <v/>
      </c>
      <c r="BD90" s="64">
        <f>BB90*BC90</f>
        <v/>
      </c>
      <c r="BE90" s="64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IF(A90="","",N(INDEX(Projects[Act Mech Inst],89)))</f>
        <v/>
      </c>
      <c r="BK90" s="5">
        <f>IF(A90="","",N(INDEX(Projects[Act Elec Inst],89)))</f>
        <v/>
      </c>
      <c r="BL90" s="5">
        <f>IF(A90="","",N(INDEX(Projects[Act Project Management],89)))</f>
        <v/>
      </c>
      <c r="BM90" s="5">
        <f>IF(A90="","",N(INDEX(Projects[Act Systems Eng],89)))</f>
        <v/>
      </c>
      <c r="BN90" s="5">
        <f>IF(A90="","",N(INDEX(Projects[Act Mechanical Eng],89)))</f>
        <v/>
      </c>
      <c r="BO90" s="5">
        <f>IF(A90="","",N(INDEX(Projects[Act Structural Engineering],89)))</f>
        <v/>
      </c>
      <c r="BP90" s="5">
        <f>IF(A90="","",N(INDEX(Projects[Act Site Sup],89)))</f>
        <v/>
      </c>
      <c r="BQ90" s="5">
        <f>IF(A90="","",N(INDEX(Projects[Act Controls Commissioning],89)))</f>
        <v/>
      </c>
      <c r="BR90" s="5">
        <f>IF(A90="","",N(INDEX(Projects[Act Systems Commissioning],89)))</f>
        <v/>
      </c>
      <c r="BS90" s="5">
        <f>IF(A90="","",N(INDEX(Projects[Act Service Commissioning],89)))</f>
        <v/>
      </c>
      <c r="BT90" s="5">
        <f>IF(A90="","",N(INDEX(Projects[Act Controls Eng],89)))</f>
        <v/>
      </c>
      <c r="BU90" s="5">
        <f>IF(A90="","",N(INDEX(Projects[Act Controls Purchase],89)))</f>
        <v/>
      </c>
      <c r="BV90" s="5">
        <f>IF(A90="","",N(INDEX(Projects[Act Software Eng],89)))</f>
        <v/>
      </c>
      <c r="BW90" s="5">
        <f>IF(A90="","",N(INDEX(Projects[Act 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INDEX(Projects[Sold Value (USD M)],89)</f>
        <v/>
      </c>
      <c r="CE90" s="5" t="n"/>
      <c r="CF90" s="5">
        <f>IF(A90="","",N(INDEX(Projects[Est Mech Inst],89)))</f>
        <v/>
      </c>
      <c r="CG90" s="5">
        <f>IF(A90="","",N(INDEX(Projects[Est Elec Inst],89)))</f>
        <v/>
      </c>
      <c r="CH90" s="5">
        <f>IF(A90="","",N(INDEX(Projects[Est Project Management],89)))</f>
        <v/>
      </c>
      <c r="CI90" s="5">
        <f>IF(A90="","",N(INDEX(Projects[Est Systems Eng],89)))</f>
        <v/>
      </c>
      <c r="CJ90" s="5">
        <f>IF(A90="","",N(INDEX(Projects[Est Mechanical Eng],89)))</f>
        <v/>
      </c>
      <c r="CK90" s="5">
        <f>IF(A90="","",N(INDEX(Projects[Est Structural Engineering],89)))</f>
        <v/>
      </c>
      <c r="CL90" s="5">
        <f>IF(A90="","",N(INDEX(Projects[Est Site Sup],89)))</f>
        <v/>
      </c>
      <c r="CM90" s="5">
        <f>IF(A90="","",N(INDEX(Projects[Est Controls Commissioning],89)))</f>
        <v/>
      </c>
      <c r="CN90" s="5">
        <f>IF(A90="","",N(INDEX(Projects[Est Systems Commissioning],89)))</f>
        <v/>
      </c>
      <c r="CO90" s="5">
        <f>IF(A90="","",N(INDEX(Projects[Est Service Commissioning],89)))</f>
        <v/>
      </c>
      <c r="CP90" s="5">
        <f>IF(A90="","",N(INDEX(Projects[Est Controls Eng],89)))</f>
        <v/>
      </c>
      <c r="CQ90" s="5">
        <f>IF(A90="","",N(INDEX(Projects[Est Controls Purchase],89)))</f>
        <v/>
      </c>
      <c r="CR90" s="5">
        <f>IF(A90="","",N(INDEX(Projects[Est Software Eng],89)))</f>
        <v/>
      </c>
      <c r="CS90" s="5">
        <f>IF(A90="","",N(INDEX(Projects[Est Misc],89)))</f>
        <v/>
      </c>
      <c r="CT90" s="5">
        <f>IF(A90="","",SUM(CF90:CS90))</f>
        <v/>
      </c>
      <c r="CU90" s="5">
        <f>INDEX(Projects[Est Cost (M)],89)</f>
        <v/>
      </c>
      <c r="CV90" s="5">
        <f>INDEX(Projects[Act Cost (M)],89)</f>
        <v/>
      </c>
      <c r="CW90" s="5">
        <f>INDEX(Projects[Plan Mech Eng (wks)],89)</f>
        <v/>
      </c>
      <c r="CX90" s="5">
        <f>INDEX(Projects[Plan Controls Eng (wks)],89)</f>
        <v/>
      </c>
      <c r="CY90" s="5">
        <f>INDEX(Projects[Plan Systems Eng (wks)],89)</f>
        <v/>
      </c>
      <c r="CZ90" s="5">
        <f>INDEX(Projects[Plan Software Eng (wks)],89)</f>
        <v/>
      </c>
      <c r="DA90" s="5">
        <f>INDEX(Projects[Plan M&amp;E Installation (wks)],89)</f>
        <v/>
      </c>
      <c r="DB90" s="5">
        <f>INDEX(Projects[Plan Commissioning (wks)],89)</f>
        <v/>
      </c>
      <c r="DC90" s="5">
        <f>INDEX(Projects[Plan Total (wks)],89)</f>
        <v/>
      </c>
      <c r="DD90" s="5">
        <f>INDEX(Projects[Act Mech Eng (wks)],89)</f>
        <v/>
      </c>
      <c r="DE90" s="5">
        <f>INDEX(Projects[Act Controls Eng (wks)],89)</f>
        <v/>
      </c>
      <c r="DF90" s="5">
        <f>INDEX(Projects[Act Systems Eng (wks)],89)</f>
        <v/>
      </c>
      <c r="DG90" s="5">
        <f>INDEX(Projects[Act Software Eng (wks)],89)</f>
        <v/>
      </c>
      <c r="DH90" s="5">
        <f>INDEX(Projects[Act M&amp;E Installation (wks)],89)</f>
        <v/>
      </c>
      <c r="DI90" s="5">
        <f>INDEX(Projects[Act Commissioning (wks)],89)</f>
        <v/>
      </c>
      <c r="DJ90" s="5">
        <f>INDEX(Projects[Act Total (wks)],89)</f>
        <v/>
      </c>
    </row>
    <row r="91" ht="15" customHeight="1" s="82">
      <c r="A91" s="64">
        <f>INDEX(Projects[Project ID *],90)&amp;""</f>
        <v/>
      </c>
      <c r="B91" s="64">
        <f>INDEX(Projects[Project Name *],90)&amp;""</f>
        <v/>
      </c>
      <c r="C91" s="64">
        <f>INDEX(Projects[MS Shuttles],90)</f>
        <v/>
      </c>
      <c r="D91" s="64">
        <f>INDEX(Projects[MS Tote Locations],90)</f>
        <v/>
      </c>
      <c r="E91" s="64">
        <f>INDEX(Projects[AS Robots],90)</f>
        <v/>
      </c>
      <c r="F91" s="64">
        <f>INDEX(Projects[AS Tote Locations],90)</f>
        <v/>
      </c>
      <c r="G91" s="64">
        <f>INDEX(Projects[PS Shuttles],90)</f>
        <v/>
      </c>
      <c r="H91" s="64">
        <f>INDEX(Projects[PS Pallet Locations],90)</f>
        <v/>
      </c>
      <c r="I91" s="64">
        <f>INDEX(Projects[SRM Cranes],90)</f>
        <v/>
      </c>
      <c r="J91" s="64">
        <f>INDEX(Projects[SRM Pallet Locations],90)</f>
        <v/>
      </c>
      <c r="K91" s="64">
        <f>INDEX(Projects[Case Conv (m)],90)</f>
        <v/>
      </c>
      <c r="L91" s="64">
        <f>INDEX(Projects[Pallet Conv (m)],90)</f>
        <v/>
      </c>
      <c r="M91" s="64">
        <f>IF(N(DJ91)&gt;0,DD91,CW91)</f>
        <v/>
      </c>
      <c r="N91" s="64">
        <f>IF(N(DJ91)&gt;0,DE91,CX91)</f>
        <v/>
      </c>
      <c r="O91" s="64">
        <f>IF(N(DJ91)&gt;0,DF91,CY91)</f>
        <v/>
      </c>
      <c r="P91" s="64">
        <f>IF(N(DJ91)&gt;0,DG91,CZ91)</f>
        <v/>
      </c>
      <c r="Q91" s="64">
        <f>IF(N(DJ91)&gt;0,DH91,DA91)</f>
        <v/>
      </c>
      <c r="R91" s="64">
        <f>IF(N(DJ91)&gt;0,DI91,DB91)</f>
        <v/>
      </c>
      <c r="S91" s="64">
        <f>IF(N(DJ91)&gt;0,DJ91,DC91)</f>
        <v/>
      </c>
      <c r="T91" s="64">
        <f>INDEX(Projects[Currency],90)&amp;""</f>
        <v/>
      </c>
      <c r="U91" s="65">
        <f>INDEX(Projects[Sold Value (M)],90)</f>
        <v/>
      </c>
      <c r="V91" s="64">
        <f>IF('Smart Search'!B13=1,IFERROR(1/'Smart Search'!H13,0),0)</f>
        <v/>
      </c>
      <c r="W91" s="64">
        <f>IF('Smart Search'!B13=1,IFERROR(1/'Smart Search'!H13,0),0)</f>
        <v/>
      </c>
      <c r="X91" s="64">
        <f>IF('Smart Search'!C13=1,IFERROR(1/'Smart Search'!H13,0),0)</f>
        <v/>
      </c>
      <c r="Y91" s="64">
        <f>IF('Smart Search'!C13=1,IFERROR(1/'Smart Search'!H13,0),0)</f>
        <v/>
      </c>
      <c r="Z91" s="64">
        <f>IF('Smart Search'!D13=1,IFERROR(1/'Smart Search'!H13,0),0)</f>
        <v/>
      </c>
      <c r="AA91" s="64">
        <f>IF('Smart Search'!D13=1,IFERROR(1/'Smart Search'!H13,0),0)</f>
        <v/>
      </c>
      <c r="AB91" s="64">
        <f>IF('Smart Search'!E13=1,IFERROR(1/'Smart Search'!H13,0),0)</f>
        <v/>
      </c>
      <c r="AC91" s="64">
        <f>IF('Smart Search'!E13=1,IFERROR(1/'Smart Search'!H13,0),0)</f>
        <v/>
      </c>
      <c r="AD91" s="64">
        <f>IF('Smart Search'!F13=1,IFERROR(1/'Smart Search'!H13,0),0)</f>
        <v/>
      </c>
      <c r="AE91" s="64">
        <f>IF('Smart Search'!F13=1,IFERROR(1/'Smart Search'!H13,0),0)</f>
        <v/>
      </c>
      <c r="AF91" s="64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4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4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4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4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4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4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4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4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4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4">
        <f>AF91*V91</f>
        <v/>
      </c>
      <c r="AQ91" s="64">
        <f>AG91*W91</f>
        <v/>
      </c>
      <c r="AR91" s="64">
        <f>AH91*X91</f>
        <v/>
      </c>
      <c r="AS91" s="64">
        <f>AI91*Y91</f>
        <v/>
      </c>
      <c r="AT91" s="64">
        <f>AJ91*Z91</f>
        <v/>
      </c>
      <c r="AU91" s="64">
        <f>AK91*AA91</f>
        <v/>
      </c>
      <c r="AV91" s="64">
        <f>AL91*AB91</f>
        <v/>
      </c>
      <c r="AW91" s="64">
        <f>AM91*AC91</f>
        <v/>
      </c>
      <c r="AX91" s="64">
        <f>AN91*AD91</f>
        <v/>
      </c>
      <c r="AY91" s="64">
        <f>AO91*AE91</f>
        <v/>
      </c>
      <c r="AZ91" s="64">
        <f>INDEX(Projects[Automation Equipment],90)&amp;""</f>
        <v/>
      </c>
      <c r="BA91" s="64">
        <f>IF(OR(A91="",'Smart Search'!H13=0),"",MAX(0,BE91*BF91*MAX(0,1-BG91)))</f>
        <v/>
      </c>
      <c r="BB91" s="64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4">
        <f>IF('Smart Search'!G13=1,IFERROR(1/'Smart Search'!H13,0),0)</f>
        <v/>
      </c>
      <c r="BD91" s="64">
        <f>BB91*BC91</f>
        <v/>
      </c>
      <c r="BE91" s="64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IF(A91="","",N(INDEX(Projects[Act Mech Inst],90)))</f>
        <v/>
      </c>
      <c r="BK91" s="5">
        <f>IF(A91="","",N(INDEX(Projects[Act Elec Inst],90)))</f>
        <v/>
      </c>
      <c r="BL91" s="5">
        <f>IF(A91="","",N(INDEX(Projects[Act Project Management],90)))</f>
        <v/>
      </c>
      <c r="BM91" s="5">
        <f>IF(A91="","",N(INDEX(Projects[Act Systems Eng],90)))</f>
        <v/>
      </c>
      <c r="BN91" s="5">
        <f>IF(A91="","",N(INDEX(Projects[Act Mechanical Eng],90)))</f>
        <v/>
      </c>
      <c r="BO91" s="5">
        <f>IF(A91="","",N(INDEX(Projects[Act Structural Engineering],90)))</f>
        <v/>
      </c>
      <c r="BP91" s="5">
        <f>IF(A91="","",N(INDEX(Projects[Act Site Sup],90)))</f>
        <v/>
      </c>
      <c r="BQ91" s="5">
        <f>IF(A91="","",N(INDEX(Projects[Act Controls Commissioning],90)))</f>
        <v/>
      </c>
      <c r="BR91" s="5">
        <f>IF(A91="","",N(INDEX(Projects[Act Systems Commissioning],90)))</f>
        <v/>
      </c>
      <c r="BS91" s="5">
        <f>IF(A91="","",N(INDEX(Projects[Act Service Commissioning],90)))</f>
        <v/>
      </c>
      <c r="BT91" s="5">
        <f>IF(A91="","",N(INDEX(Projects[Act Controls Eng],90)))</f>
        <v/>
      </c>
      <c r="BU91" s="5">
        <f>IF(A91="","",N(INDEX(Projects[Act Controls Purchase],90)))</f>
        <v/>
      </c>
      <c r="BV91" s="5">
        <f>IF(A91="","",N(INDEX(Projects[Act Software Eng],90)))</f>
        <v/>
      </c>
      <c r="BW91" s="5">
        <f>IF(A91="","",N(INDEX(Projects[Act 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INDEX(Projects[Sold Value (USD M)],90)</f>
        <v/>
      </c>
      <c r="CE91" s="5" t="n"/>
      <c r="CF91" s="5">
        <f>IF(A91="","",N(INDEX(Projects[Est Mech Inst],90)))</f>
        <v/>
      </c>
      <c r="CG91" s="5">
        <f>IF(A91="","",N(INDEX(Projects[Est Elec Inst],90)))</f>
        <v/>
      </c>
      <c r="CH91" s="5">
        <f>IF(A91="","",N(INDEX(Projects[Est Project Management],90)))</f>
        <v/>
      </c>
      <c r="CI91" s="5">
        <f>IF(A91="","",N(INDEX(Projects[Est Systems Eng],90)))</f>
        <v/>
      </c>
      <c r="CJ91" s="5">
        <f>IF(A91="","",N(INDEX(Projects[Est Mechanical Eng],90)))</f>
        <v/>
      </c>
      <c r="CK91" s="5">
        <f>IF(A91="","",N(INDEX(Projects[Est Structural Engineering],90)))</f>
        <v/>
      </c>
      <c r="CL91" s="5">
        <f>IF(A91="","",N(INDEX(Projects[Est Site Sup],90)))</f>
        <v/>
      </c>
      <c r="CM91" s="5">
        <f>IF(A91="","",N(INDEX(Projects[Est Controls Commissioning],90)))</f>
        <v/>
      </c>
      <c r="CN91" s="5">
        <f>IF(A91="","",N(INDEX(Projects[Est Systems Commissioning],90)))</f>
        <v/>
      </c>
      <c r="CO91" s="5">
        <f>IF(A91="","",N(INDEX(Projects[Est Service Commissioning],90)))</f>
        <v/>
      </c>
      <c r="CP91" s="5">
        <f>IF(A91="","",N(INDEX(Projects[Est Controls Eng],90)))</f>
        <v/>
      </c>
      <c r="CQ91" s="5">
        <f>IF(A91="","",N(INDEX(Projects[Est Controls Purchase],90)))</f>
        <v/>
      </c>
      <c r="CR91" s="5">
        <f>IF(A91="","",N(INDEX(Projects[Est Software Eng],90)))</f>
        <v/>
      </c>
      <c r="CS91" s="5">
        <f>IF(A91="","",N(INDEX(Projects[Est Misc],90)))</f>
        <v/>
      </c>
      <c r="CT91" s="5">
        <f>IF(A91="","",SUM(CF91:CS91))</f>
        <v/>
      </c>
      <c r="CU91" s="5">
        <f>INDEX(Projects[Est Cost (M)],90)</f>
        <v/>
      </c>
      <c r="CV91" s="5">
        <f>INDEX(Projects[Act Cost (M)],90)</f>
        <v/>
      </c>
      <c r="CW91" s="5">
        <f>INDEX(Projects[Plan Mech Eng (wks)],90)</f>
        <v/>
      </c>
      <c r="CX91" s="5">
        <f>INDEX(Projects[Plan Controls Eng (wks)],90)</f>
        <v/>
      </c>
      <c r="CY91" s="5">
        <f>INDEX(Projects[Plan Systems Eng (wks)],90)</f>
        <v/>
      </c>
      <c r="CZ91" s="5">
        <f>INDEX(Projects[Plan Software Eng (wks)],90)</f>
        <v/>
      </c>
      <c r="DA91" s="5">
        <f>INDEX(Projects[Plan M&amp;E Installation (wks)],90)</f>
        <v/>
      </c>
      <c r="DB91" s="5">
        <f>INDEX(Projects[Plan Commissioning (wks)],90)</f>
        <v/>
      </c>
      <c r="DC91" s="5">
        <f>INDEX(Projects[Plan Total (wks)],90)</f>
        <v/>
      </c>
      <c r="DD91" s="5">
        <f>INDEX(Projects[Act Mech Eng (wks)],90)</f>
        <v/>
      </c>
      <c r="DE91" s="5">
        <f>INDEX(Projects[Act Controls Eng (wks)],90)</f>
        <v/>
      </c>
      <c r="DF91" s="5">
        <f>INDEX(Projects[Act Systems Eng (wks)],90)</f>
        <v/>
      </c>
      <c r="DG91" s="5">
        <f>INDEX(Projects[Act Software Eng (wks)],90)</f>
        <v/>
      </c>
      <c r="DH91" s="5">
        <f>INDEX(Projects[Act M&amp;E Installation (wks)],90)</f>
        <v/>
      </c>
      <c r="DI91" s="5">
        <f>INDEX(Projects[Act Commissioning (wks)],90)</f>
        <v/>
      </c>
      <c r="DJ91" s="5">
        <f>INDEX(Projects[Act Total (wks)],90)</f>
        <v/>
      </c>
    </row>
    <row r="92" ht="15" customHeight="1" s="82">
      <c r="A92" s="64">
        <f>INDEX(Projects[Project ID *],91)&amp;""</f>
        <v/>
      </c>
      <c r="B92" s="64">
        <f>INDEX(Projects[Project Name *],91)&amp;""</f>
        <v/>
      </c>
      <c r="C92" s="64">
        <f>INDEX(Projects[MS Shuttles],91)</f>
        <v/>
      </c>
      <c r="D92" s="64">
        <f>INDEX(Projects[MS Tote Locations],91)</f>
        <v/>
      </c>
      <c r="E92" s="64">
        <f>INDEX(Projects[AS Robots],91)</f>
        <v/>
      </c>
      <c r="F92" s="64">
        <f>INDEX(Projects[AS Tote Locations],91)</f>
        <v/>
      </c>
      <c r="G92" s="64">
        <f>INDEX(Projects[PS Shuttles],91)</f>
        <v/>
      </c>
      <c r="H92" s="64">
        <f>INDEX(Projects[PS Pallet Locations],91)</f>
        <v/>
      </c>
      <c r="I92" s="64">
        <f>INDEX(Projects[SRM Cranes],91)</f>
        <v/>
      </c>
      <c r="J92" s="64">
        <f>INDEX(Projects[SRM Pallet Locations],91)</f>
        <v/>
      </c>
      <c r="K92" s="64">
        <f>INDEX(Projects[Case Conv (m)],91)</f>
        <v/>
      </c>
      <c r="L92" s="64">
        <f>INDEX(Projects[Pallet Conv (m)],91)</f>
        <v/>
      </c>
      <c r="M92" s="64">
        <f>IF(N(DJ92)&gt;0,DD92,CW92)</f>
        <v/>
      </c>
      <c r="N92" s="64">
        <f>IF(N(DJ92)&gt;0,DE92,CX92)</f>
        <v/>
      </c>
      <c r="O92" s="64">
        <f>IF(N(DJ92)&gt;0,DF92,CY92)</f>
        <v/>
      </c>
      <c r="P92" s="64">
        <f>IF(N(DJ92)&gt;0,DG92,CZ92)</f>
        <v/>
      </c>
      <c r="Q92" s="64">
        <f>IF(N(DJ92)&gt;0,DH92,DA92)</f>
        <v/>
      </c>
      <c r="R92" s="64">
        <f>IF(N(DJ92)&gt;0,DI92,DB92)</f>
        <v/>
      </c>
      <c r="S92" s="64">
        <f>IF(N(DJ92)&gt;0,DJ92,DC92)</f>
        <v/>
      </c>
      <c r="T92" s="64">
        <f>INDEX(Projects[Currency],91)&amp;""</f>
        <v/>
      </c>
      <c r="U92" s="65">
        <f>INDEX(Projects[Sold Value (M)],91)</f>
        <v/>
      </c>
      <c r="V92" s="64">
        <f>IF('Smart Search'!B13=1,IFERROR(1/'Smart Search'!H13,0),0)</f>
        <v/>
      </c>
      <c r="W92" s="64">
        <f>IF('Smart Search'!B13=1,IFERROR(1/'Smart Search'!H13,0),0)</f>
        <v/>
      </c>
      <c r="X92" s="64">
        <f>IF('Smart Search'!C13=1,IFERROR(1/'Smart Search'!H13,0),0)</f>
        <v/>
      </c>
      <c r="Y92" s="64">
        <f>IF('Smart Search'!C13=1,IFERROR(1/'Smart Search'!H13,0),0)</f>
        <v/>
      </c>
      <c r="Z92" s="64">
        <f>IF('Smart Search'!D13=1,IFERROR(1/'Smart Search'!H13,0),0)</f>
        <v/>
      </c>
      <c r="AA92" s="64">
        <f>IF('Smart Search'!D13=1,IFERROR(1/'Smart Search'!H13,0),0)</f>
        <v/>
      </c>
      <c r="AB92" s="64">
        <f>IF('Smart Search'!E13=1,IFERROR(1/'Smart Search'!H13,0),0)</f>
        <v/>
      </c>
      <c r="AC92" s="64">
        <f>IF('Smart Search'!E13=1,IFERROR(1/'Smart Search'!H13,0),0)</f>
        <v/>
      </c>
      <c r="AD92" s="64">
        <f>IF('Smart Search'!F13=1,IFERROR(1/'Smart Search'!H13,0),0)</f>
        <v/>
      </c>
      <c r="AE92" s="64">
        <f>IF('Smart Search'!F13=1,IFERROR(1/'Smart Search'!H13,0),0)</f>
        <v/>
      </c>
      <c r="AF92" s="64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4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4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4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4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4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4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4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4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4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4">
        <f>AF92*V92</f>
        <v/>
      </c>
      <c r="AQ92" s="64">
        <f>AG92*W92</f>
        <v/>
      </c>
      <c r="AR92" s="64">
        <f>AH92*X92</f>
        <v/>
      </c>
      <c r="AS92" s="64">
        <f>AI92*Y92</f>
        <v/>
      </c>
      <c r="AT92" s="64">
        <f>AJ92*Z92</f>
        <v/>
      </c>
      <c r="AU92" s="64">
        <f>AK92*AA92</f>
        <v/>
      </c>
      <c r="AV92" s="64">
        <f>AL92*AB92</f>
        <v/>
      </c>
      <c r="AW92" s="64">
        <f>AM92*AC92</f>
        <v/>
      </c>
      <c r="AX92" s="64">
        <f>AN92*AD92</f>
        <v/>
      </c>
      <c r="AY92" s="64">
        <f>AO92*AE92</f>
        <v/>
      </c>
      <c r="AZ92" s="64">
        <f>INDEX(Projects[Automation Equipment],91)&amp;""</f>
        <v/>
      </c>
      <c r="BA92" s="64">
        <f>IF(OR(A92="",'Smart Search'!H13=0),"",MAX(0,BE92*BF92*MAX(0,1-BG92)))</f>
        <v/>
      </c>
      <c r="BB92" s="64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4">
        <f>IF('Smart Search'!G13=1,IFERROR(1/'Smart Search'!H13,0),0)</f>
        <v/>
      </c>
      <c r="BD92" s="64">
        <f>BB92*BC92</f>
        <v/>
      </c>
      <c r="BE92" s="64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IF(A92="","",N(INDEX(Projects[Act Mech Inst],91)))</f>
        <v/>
      </c>
      <c r="BK92" s="5">
        <f>IF(A92="","",N(INDEX(Projects[Act Elec Inst],91)))</f>
        <v/>
      </c>
      <c r="BL92" s="5">
        <f>IF(A92="","",N(INDEX(Projects[Act Project Management],91)))</f>
        <v/>
      </c>
      <c r="BM92" s="5">
        <f>IF(A92="","",N(INDEX(Projects[Act Systems Eng],91)))</f>
        <v/>
      </c>
      <c r="BN92" s="5">
        <f>IF(A92="","",N(INDEX(Projects[Act Mechanical Eng],91)))</f>
        <v/>
      </c>
      <c r="BO92" s="5">
        <f>IF(A92="","",N(INDEX(Projects[Act Structural Engineering],91)))</f>
        <v/>
      </c>
      <c r="BP92" s="5">
        <f>IF(A92="","",N(INDEX(Projects[Act Site Sup],91)))</f>
        <v/>
      </c>
      <c r="BQ92" s="5">
        <f>IF(A92="","",N(INDEX(Projects[Act Controls Commissioning],91)))</f>
        <v/>
      </c>
      <c r="BR92" s="5">
        <f>IF(A92="","",N(INDEX(Projects[Act Systems Commissioning],91)))</f>
        <v/>
      </c>
      <c r="BS92" s="5">
        <f>IF(A92="","",N(INDEX(Projects[Act Service Commissioning],91)))</f>
        <v/>
      </c>
      <c r="BT92" s="5">
        <f>IF(A92="","",N(INDEX(Projects[Act Controls Eng],91)))</f>
        <v/>
      </c>
      <c r="BU92" s="5">
        <f>IF(A92="","",N(INDEX(Projects[Act Controls Purchase],91)))</f>
        <v/>
      </c>
      <c r="BV92" s="5">
        <f>IF(A92="","",N(INDEX(Projects[Act Software Eng],91)))</f>
        <v/>
      </c>
      <c r="BW92" s="5">
        <f>IF(A92="","",N(INDEX(Projects[Act 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INDEX(Projects[Sold Value (USD M)],91)</f>
        <v/>
      </c>
      <c r="CE92" s="5" t="n"/>
      <c r="CF92" s="5">
        <f>IF(A92="","",N(INDEX(Projects[Est Mech Inst],91)))</f>
        <v/>
      </c>
      <c r="CG92" s="5">
        <f>IF(A92="","",N(INDEX(Projects[Est Elec Inst],91)))</f>
        <v/>
      </c>
      <c r="CH92" s="5">
        <f>IF(A92="","",N(INDEX(Projects[Est Project Management],91)))</f>
        <v/>
      </c>
      <c r="CI92" s="5">
        <f>IF(A92="","",N(INDEX(Projects[Est Systems Eng],91)))</f>
        <v/>
      </c>
      <c r="CJ92" s="5">
        <f>IF(A92="","",N(INDEX(Projects[Est Mechanical Eng],91)))</f>
        <v/>
      </c>
      <c r="CK92" s="5">
        <f>IF(A92="","",N(INDEX(Projects[Est Structural Engineering],91)))</f>
        <v/>
      </c>
      <c r="CL92" s="5">
        <f>IF(A92="","",N(INDEX(Projects[Est Site Sup],91)))</f>
        <v/>
      </c>
      <c r="CM92" s="5">
        <f>IF(A92="","",N(INDEX(Projects[Est Controls Commissioning],91)))</f>
        <v/>
      </c>
      <c r="CN92" s="5">
        <f>IF(A92="","",N(INDEX(Projects[Est Systems Commissioning],91)))</f>
        <v/>
      </c>
      <c r="CO92" s="5">
        <f>IF(A92="","",N(INDEX(Projects[Est Service Commissioning],91)))</f>
        <v/>
      </c>
      <c r="CP92" s="5">
        <f>IF(A92="","",N(INDEX(Projects[Est Controls Eng],91)))</f>
        <v/>
      </c>
      <c r="CQ92" s="5">
        <f>IF(A92="","",N(INDEX(Projects[Est Controls Purchase],91)))</f>
        <v/>
      </c>
      <c r="CR92" s="5">
        <f>IF(A92="","",N(INDEX(Projects[Est Software Eng],91)))</f>
        <v/>
      </c>
      <c r="CS92" s="5">
        <f>IF(A92="","",N(INDEX(Projects[Est Misc],91)))</f>
        <v/>
      </c>
      <c r="CT92" s="5">
        <f>IF(A92="","",SUM(CF92:CS92))</f>
        <v/>
      </c>
      <c r="CU92" s="5">
        <f>INDEX(Projects[Est Cost (M)],91)</f>
        <v/>
      </c>
      <c r="CV92" s="5">
        <f>INDEX(Projects[Act Cost (M)],91)</f>
        <v/>
      </c>
      <c r="CW92" s="5">
        <f>INDEX(Projects[Plan Mech Eng (wks)],91)</f>
        <v/>
      </c>
      <c r="CX92" s="5">
        <f>INDEX(Projects[Plan Controls Eng (wks)],91)</f>
        <v/>
      </c>
      <c r="CY92" s="5">
        <f>INDEX(Projects[Plan Systems Eng (wks)],91)</f>
        <v/>
      </c>
      <c r="CZ92" s="5">
        <f>INDEX(Projects[Plan Software Eng (wks)],91)</f>
        <v/>
      </c>
      <c r="DA92" s="5">
        <f>INDEX(Projects[Plan M&amp;E Installation (wks)],91)</f>
        <v/>
      </c>
      <c r="DB92" s="5">
        <f>INDEX(Projects[Plan Commissioning (wks)],91)</f>
        <v/>
      </c>
      <c r="DC92" s="5">
        <f>INDEX(Projects[Plan Total (wks)],91)</f>
        <v/>
      </c>
      <c r="DD92" s="5">
        <f>INDEX(Projects[Act Mech Eng (wks)],91)</f>
        <v/>
      </c>
      <c r="DE92" s="5">
        <f>INDEX(Projects[Act Controls Eng (wks)],91)</f>
        <v/>
      </c>
      <c r="DF92" s="5">
        <f>INDEX(Projects[Act Systems Eng (wks)],91)</f>
        <v/>
      </c>
      <c r="DG92" s="5">
        <f>INDEX(Projects[Act Software Eng (wks)],91)</f>
        <v/>
      </c>
      <c r="DH92" s="5">
        <f>INDEX(Projects[Act M&amp;E Installation (wks)],91)</f>
        <v/>
      </c>
      <c r="DI92" s="5">
        <f>INDEX(Projects[Act Commissioning (wks)],91)</f>
        <v/>
      </c>
      <c r="DJ92" s="5">
        <f>INDEX(Projects[Act Total (wks)],91)</f>
        <v/>
      </c>
    </row>
    <row r="93" ht="15" customHeight="1" s="82">
      <c r="A93" s="64">
        <f>INDEX(Projects[Project ID *],92)&amp;""</f>
        <v/>
      </c>
      <c r="B93" s="64">
        <f>INDEX(Projects[Project Name *],92)&amp;""</f>
        <v/>
      </c>
      <c r="C93" s="64">
        <f>INDEX(Projects[MS Shuttles],92)</f>
        <v/>
      </c>
      <c r="D93" s="64">
        <f>INDEX(Projects[MS Tote Locations],92)</f>
        <v/>
      </c>
      <c r="E93" s="64">
        <f>INDEX(Projects[AS Robots],92)</f>
        <v/>
      </c>
      <c r="F93" s="64">
        <f>INDEX(Projects[AS Tote Locations],92)</f>
        <v/>
      </c>
      <c r="G93" s="64">
        <f>INDEX(Projects[PS Shuttles],92)</f>
        <v/>
      </c>
      <c r="H93" s="64">
        <f>INDEX(Projects[PS Pallet Locations],92)</f>
        <v/>
      </c>
      <c r="I93" s="64">
        <f>INDEX(Projects[SRM Cranes],92)</f>
        <v/>
      </c>
      <c r="J93" s="64">
        <f>INDEX(Projects[SRM Pallet Locations],92)</f>
        <v/>
      </c>
      <c r="K93" s="64">
        <f>INDEX(Projects[Case Conv (m)],92)</f>
        <v/>
      </c>
      <c r="L93" s="64">
        <f>INDEX(Projects[Pallet Conv (m)],92)</f>
        <v/>
      </c>
      <c r="M93" s="64">
        <f>IF(N(DJ93)&gt;0,DD93,CW93)</f>
        <v/>
      </c>
      <c r="N93" s="64">
        <f>IF(N(DJ93)&gt;0,DE93,CX93)</f>
        <v/>
      </c>
      <c r="O93" s="64">
        <f>IF(N(DJ93)&gt;0,DF93,CY93)</f>
        <v/>
      </c>
      <c r="P93" s="64">
        <f>IF(N(DJ93)&gt;0,DG93,CZ93)</f>
        <v/>
      </c>
      <c r="Q93" s="64">
        <f>IF(N(DJ93)&gt;0,DH93,DA93)</f>
        <v/>
      </c>
      <c r="R93" s="64">
        <f>IF(N(DJ93)&gt;0,DI93,DB93)</f>
        <v/>
      </c>
      <c r="S93" s="64">
        <f>IF(N(DJ93)&gt;0,DJ93,DC93)</f>
        <v/>
      </c>
      <c r="T93" s="64">
        <f>INDEX(Projects[Currency],92)&amp;""</f>
        <v/>
      </c>
      <c r="U93" s="65">
        <f>INDEX(Projects[Sold Value (M)],92)</f>
        <v/>
      </c>
      <c r="V93" s="64">
        <f>IF('Smart Search'!B13=1,IFERROR(1/'Smart Search'!H13,0),0)</f>
        <v/>
      </c>
      <c r="W93" s="64">
        <f>IF('Smart Search'!B13=1,IFERROR(1/'Smart Search'!H13,0),0)</f>
        <v/>
      </c>
      <c r="X93" s="64">
        <f>IF('Smart Search'!C13=1,IFERROR(1/'Smart Search'!H13,0),0)</f>
        <v/>
      </c>
      <c r="Y93" s="64">
        <f>IF('Smart Search'!C13=1,IFERROR(1/'Smart Search'!H13,0),0)</f>
        <v/>
      </c>
      <c r="Z93" s="64">
        <f>IF('Smart Search'!D13=1,IFERROR(1/'Smart Search'!H13,0),0)</f>
        <v/>
      </c>
      <c r="AA93" s="64">
        <f>IF('Smart Search'!D13=1,IFERROR(1/'Smart Search'!H13,0),0)</f>
        <v/>
      </c>
      <c r="AB93" s="64">
        <f>IF('Smart Search'!E13=1,IFERROR(1/'Smart Search'!H13,0),0)</f>
        <v/>
      </c>
      <c r="AC93" s="64">
        <f>IF('Smart Search'!E13=1,IFERROR(1/'Smart Search'!H13,0),0)</f>
        <v/>
      </c>
      <c r="AD93" s="64">
        <f>IF('Smart Search'!F13=1,IFERROR(1/'Smart Search'!H13,0),0)</f>
        <v/>
      </c>
      <c r="AE93" s="64">
        <f>IF('Smart Search'!F13=1,IFERROR(1/'Smart Search'!H13,0),0)</f>
        <v/>
      </c>
      <c r="AF93" s="64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4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4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4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4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4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4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4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4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4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4">
        <f>AF93*V93</f>
        <v/>
      </c>
      <c r="AQ93" s="64">
        <f>AG93*W93</f>
        <v/>
      </c>
      <c r="AR93" s="64">
        <f>AH93*X93</f>
        <v/>
      </c>
      <c r="AS93" s="64">
        <f>AI93*Y93</f>
        <v/>
      </c>
      <c r="AT93" s="64">
        <f>AJ93*Z93</f>
        <v/>
      </c>
      <c r="AU93" s="64">
        <f>AK93*AA93</f>
        <v/>
      </c>
      <c r="AV93" s="64">
        <f>AL93*AB93</f>
        <v/>
      </c>
      <c r="AW93" s="64">
        <f>AM93*AC93</f>
        <v/>
      </c>
      <c r="AX93" s="64">
        <f>AN93*AD93</f>
        <v/>
      </c>
      <c r="AY93" s="64">
        <f>AO93*AE93</f>
        <v/>
      </c>
      <c r="AZ93" s="64">
        <f>INDEX(Projects[Automation Equipment],92)&amp;""</f>
        <v/>
      </c>
      <c r="BA93" s="64">
        <f>IF(OR(A93="",'Smart Search'!H13=0),"",MAX(0,BE93*BF93*MAX(0,1-BG93)))</f>
        <v/>
      </c>
      <c r="BB93" s="64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4">
        <f>IF('Smart Search'!G13=1,IFERROR(1/'Smart Search'!H13,0),0)</f>
        <v/>
      </c>
      <c r="BD93" s="64">
        <f>BB93*BC93</f>
        <v/>
      </c>
      <c r="BE93" s="64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IF(A93="","",N(INDEX(Projects[Act Mech Inst],92)))</f>
        <v/>
      </c>
      <c r="BK93" s="5">
        <f>IF(A93="","",N(INDEX(Projects[Act Elec Inst],92)))</f>
        <v/>
      </c>
      <c r="BL93" s="5">
        <f>IF(A93="","",N(INDEX(Projects[Act Project Management],92)))</f>
        <v/>
      </c>
      <c r="BM93" s="5">
        <f>IF(A93="","",N(INDEX(Projects[Act Systems Eng],92)))</f>
        <v/>
      </c>
      <c r="BN93" s="5">
        <f>IF(A93="","",N(INDEX(Projects[Act Mechanical Eng],92)))</f>
        <v/>
      </c>
      <c r="BO93" s="5">
        <f>IF(A93="","",N(INDEX(Projects[Act Structural Engineering],92)))</f>
        <v/>
      </c>
      <c r="BP93" s="5">
        <f>IF(A93="","",N(INDEX(Projects[Act Site Sup],92)))</f>
        <v/>
      </c>
      <c r="BQ93" s="5">
        <f>IF(A93="","",N(INDEX(Projects[Act Controls Commissioning],92)))</f>
        <v/>
      </c>
      <c r="BR93" s="5">
        <f>IF(A93="","",N(INDEX(Projects[Act Systems Commissioning],92)))</f>
        <v/>
      </c>
      <c r="BS93" s="5">
        <f>IF(A93="","",N(INDEX(Projects[Act Service Commissioning],92)))</f>
        <v/>
      </c>
      <c r="BT93" s="5">
        <f>IF(A93="","",N(INDEX(Projects[Act Controls Eng],92)))</f>
        <v/>
      </c>
      <c r="BU93" s="5">
        <f>IF(A93="","",N(INDEX(Projects[Act Controls Purchase],92)))</f>
        <v/>
      </c>
      <c r="BV93" s="5">
        <f>IF(A93="","",N(INDEX(Projects[Act Software Eng],92)))</f>
        <v/>
      </c>
      <c r="BW93" s="5">
        <f>IF(A93="","",N(INDEX(Projects[Act 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INDEX(Projects[Sold Value (USD M)],92)</f>
        <v/>
      </c>
      <c r="CE93" s="5" t="n"/>
      <c r="CF93" s="5">
        <f>IF(A93="","",N(INDEX(Projects[Est Mech Inst],92)))</f>
        <v/>
      </c>
      <c r="CG93" s="5">
        <f>IF(A93="","",N(INDEX(Projects[Est Elec Inst],92)))</f>
        <v/>
      </c>
      <c r="CH93" s="5">
        <f>IF(A93="","",N(INDEX(Projects[Est Project Management],92)))</f>
        <v/>
      </c>
      <c r="CI93" s="5">
        <f>IF(A93="","",N(INDEX(Projects[Est Systems Eng],92)))</f>
        <v/>
      </c>
      <c r="CJ93" s="5">
        <f>IF(A93="","",N(INDEX(Projects[Est Mechanical Eng],92)))</f>
        <v/>
      </c>
      <c r="CK93" s="5">
        <f>IF(A93="","",N(INDEX(Projects[Est Structural Engineering],92)))</f>
        <v/>
      </c>
      <c r="CL93" s="5">
        <f>IF(A93="","",N(INDEX(Projects[Est Site Sup],92)))</f>
        <v/>
      </c>
      <c r="CM93" s="5">
        <f>IF(A93="","",N(INDEX(Projects[Est Controls Commissioning],92)))</f>
        <v/>
      </c>
      <c r="CN93" s="5">
        <f>IF(A93="","",N(INDEX(Projects[Est Systems Commissioning],92)))</f>
        <v/>
      </c>
      <c r="CO93" s="5">
        <f>IF(A93="","",N(INDEX(Projects[Est Service Commissioning],92)))</f>
        <v/>
      </c>
      <c r="CP93" s="5">
        <f>IF(A93="","",N(INDEX(Projects[Est Controls Eng],92)))</f>
        <v/>
      </c>
      <c r="CQ93" s="5">
        <f>IF(A93="","",N(INDEX(Projects[Est Controls Purchase],92)))</f>
        <v/>
      </c>
      <c r="CR93" s="5">
        <f>IF(A93="","",N(INDEX(Projects[Est Software Eng],92)))</f>
        <v/>
      </c>
      <c r="CS93" s="5">
        <f>IF(A93="","",N(INDEX(Projects[Est Misc],92)))</f>
        <v/>
      </c>
      <c r="CT93" s="5">
        <f>IF(A93="","",SUM(CF93:CS93))</f>
        <v/>
      </c>
      <c r="CU93" s="5">
        <f>INDEX(Projects[Est Cost (M)],92)</f>
        <v/>
      </c>
      <c r="CV93" s="5">
        <f>INDEX(Projects[Act Cost (M)],92)</f>
        <v/>
      </c>
      <c r="CW93" s="5">
        <f>INDEX(Projects[Plan Mech Eng (wks)],92)</f>
        <v/>
      </c>
      <c r="CX93" s="5">
        <f>INDEX(Projects[Plan Controls Eng (wks)],92)</f>
        <v/>
      </c>
      <c r="CY93" s="5">
        <f>INDEX(Projects[Plan Systems Eng (wks)],92)</f>
        <v/>
      </c>
      <c r="CZ93" s="5">
        <f>INDEX(Projects[Plan Software Eng (wks)],92)</f>
        <v/>
      </c>
      <c r="DA93" s="5">
        <f>INDEX(Projects[Plan M&amp;E Installation (wks)],92)</f>
        <v/>
      </c>
      <c r="DB93" s="5">
        <f>INDEX(Projects[Plan Commissioning (wks)],92)</f>
        <v/>
      </c>
      <c r="DC93" s="5">
        <f>INDEX(Projects[Plan Total (wks)],92)</f>
        <v/>
      </c>
      <c r="DD93" s="5">
        <f>INDEX(Projects[Act Mech Eng (wks)],92)</f>
        <v/>
      </c>
      <c r="DE93" s="5">
        <f>INDEX(Projects[Act Controls Eng (wks)],92)</f>
        <v/>
      </c>
      <c r="DF93" s="5">
        <f>INDEX(Projects[Act Systems Eng (wks)],92)</f>
        <v/>
      </c>
      <c r="DG93" s="5">
        <f>INDEX(Projects[Act Software Eng (wks)],92)</f>
        <v/>
      </c>
      <c r="DH93" s="5">
        <f>INDEX(Projects[Act M&amp;E Installation (wks)],92)</f>
        <v/>
      </c>
      <c r="DI93" s="5">
        <f>INDEX(Projects[Act Commissioning (wks)],92)</f>
        <v/>
      </c>
      <c r="DJ93" s="5">
        <f>INDEX(Projects[Act Total (wks)],92)</f>
        <v/>
      </c>
    </row>
    <row r="94" ht="15" customHeight="1" s="82">
      <c r="A94" s="64">
        <f>INDEX(Projects[Project ID *],93)&amp;""</f>
        <v/>
      </c>
      <c r="B94" s="64">
        <f>INDEX(Projects[Project Name *],93)&amp;""</f>
        <v/>
      </c>
      <c r="C94" s="64">
        <f>INDEX(Projects[MS Shuttles],93)</f>
        <v/>
      </c>
      <c r="D94" s="64">
        <f>INDEX(Projects[MS Tote Locations],93)</f>
        <v/>
      </c>
      <c r="E94" s="64">
        <f>INDEX(Projects[AS Robots],93)</f>
        <v/>
      </c>
      <c r="F94" s="64">
        <f>INDEX(Projects[AS Tote Locations],93)</f>
        <v/>
      </c>
      <c r="G94" s="64">
        <f>INDEX(Projects[PS Shuttles],93)</f>
        <v/>
      </c>
      <c r="H94" s="64">
        <f>INDEX(Projects[PS Pallet Locations],93)</f>
        <v/>
      </c>
      <c r="I94" s="64">
        <f>INDEX(Projects[SRM Cranes],93)</f>
        <v/>
      </c>
      <c r="J94" s="64">
        <f>INDEX(Projects[SRM Pallet Locations],93)</f>
        <v/>
      </c>
      <c r="K94" s="64">
        <f>INDEX(Projects[Case Conv (m)],93)</f>
        <v/>
      </c>
      <c r="L94" s="64">
        <f>INDEX(Projects[Pallet Conv (m)],93)</f>
        <v/>
      </c>
      <c r="M94" s="64">
        <f>IF(N(DJ94)&gt;0,DD94,CW94)</f>
        <v/>
      </c>
      <c r="N94" s="64">
        <f>IF(N(DJ94)&gt;0,DE94,CX94)</f>
        <v/>
      </c>
      <c r="O94" s="64">
        <f>IF(N(DJ94)&gt;0,DF94,CY94)</f>
        <v/>
      </c>
      <c r="P94" s="64">
        <f>IF(N(DJ94)&gt;0,DG94,CZ94)</f>
        <v/>
      </c>
      <c r="Q94" s="64">
        <f>IF(N(DJ94)&gt;0,DH94,DA94)</f>
        <v/>
      </c>
      <c r="R94" s="64">
        <f>IF(N(DJ94)&gt;0,DI94,DB94)</f>
        <v/>
      </c>
      <c r="S94" s="64">
        <f>IF(N(DJ94)&gt;0,DJ94,DC94)</f>
        <v/>
      </c>
      <c r="T94" s="64">
        <f>INDEX(Projects[Currency],93)&amp;""</f>
        <v/>
      </c>
      <c r="U94" s="65">
        <f>INDEX(Projects[Sold Value (M)],93)</f>
        <v/>
      </c>
      <c r="V94" s="64">
        <f>IF('Smart Search'!B13=1,IFERROR(1/'Smart Search'!H13,0),0)</f>
        <v/>
      </c>
      <c r="W94" s="64">
        <f>IF('Smart Search'!B13=1,IFERROR(1/'Smart Search'!H13,0),0)</f>
        <v/>
      </c>
      <c r="X94" s="64">
        <f>IF('Smart Search'!C13=1,IFERROR(1/'Smart Search'!H13,0),0)</f>
        <v/>
      </c>
      <c r="Y94" s="64">
        <f>IF('Smart Search'!C13=1,IFERROR(1/'Smart Search'!H13,0),0)</f>
        <v/>
      </c>
      <c r="Z94" s="64">
        <f>IF('Smart Search'!D13=1,IFERROR(1/'Smart Search'!H13,0),0)</f>
        <v/>
      </c>
      <c r="AA94" s="64">
        <f>IF('Smart Search'!D13=1,IFERROR(1/'Smart Search'!H13,0),0)</f>
        <v/>
      </c>
      <c r="AB94" s="64">
        <f>IF('Smart Search'!E13=1,IFERROR(1/'Smart Search'!H13,0),0)</f>
        <v/>
      </c>
      <c r="AC94" s="64">
        <f>IF('Smart Search'!E13=1,IFERROR(1/'Smart Search'!H13,0),0)</f>
        <v/>
      </c>
      <c r="AD94" s="64">
        <f>IF('Smart Search'!F13=1,IFERROR(1/'Smart Search'!H13,0),0)</f>
        <v/>
      </c>
      <c r="AE94" s="64">
        <f>IF('Smart Search'!F13=1,IFERROR(1/'Smart Search'!H13,0),0)</f>
        <v/>
      </c>
      <c r="AF94" s="64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4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4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4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4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4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4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4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4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4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4">
        <f>AF94*V94</f>
        <v/>
      </c>
      <c r="AQ94" s="64">
        <f>AG94*W94</f>
        <v/>
      </c>
      <c r="AR94" s="64">
        <f>AH94*X94</f>
        <v/>
      </c>
      <c r="AS94" s="64">
        <f>AI94*Y94</f>
        <v/>
      </c>
      <c r="AT94" s="64">
        <f>AJ94*Z94</f>
        <v/>
      </c>
      <c r="AU94" s="64">
        <f>AK94*AA94</f>
        <v/>
      </c>
      <c r="AV94" s="64">
        <f>AL94*AB94</f>
        <v/>
      </c>
      <c r="AW94" s="64">
        <f>AM94*AC94</f>
        <v/>
      </c>
      <c r="AX94" s="64">
        <f>AN94*AD94</f>
        <v/>
      </c>
      <c r="AY94" s="64">
        <f>AO94*AE94</f>
        <v/>
      </c>
      <c r="AZ94" s="64">
        <f>INDEX(Projects[Automation Equipment],93)&amp;""</f>
        <v/>
      </c>
      <c r="BA94" s="64">
        <f>IF(OR(A94="",'Smart Search'!H13=0),"",MAX(0,BE94*BF94*MAX(0,1-BG94)))</f>
        <v/>
      </c>
      <c r="BB94" s="64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4">
        <f>IF('Smart Search'!G13=1,IFERROR(1/'Smart Search'!H13,0),0)</f>
        <v/>
      </c>
      <c r="BD94" s="64">
        <f>BB94*BC94</f>
        <v/>
      </c>
      <c r="BE94" s="64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IF(A94="","",N(INDEX(Projects[Act Mech Inst],93)))</f>
        <v/>
      </c>
      <c r="BK94" s="5">
        <f>IF(A94="","",N(INDEX(Projects[Act Elec Inst],93)))</f>
        <v/>
      </c>
      <c r="BL94" s="5">
        <f>IF(A94="","",N(INDEX(Projects[Act Project Management],93)))</f>
        <v/>
      </c>
      <c r="BM94" s="5">
        <f>IF(A94="","",N(INDEX(Projects[Act Systems Eng],93)))</f>
        <v/>
      </c>
      <c r="BN94" s="5">
        <f>IF(A94="","",N(INDEX(Projects[Act Mechanical Eng],93)))</f>
        <v/>
      </c>
      <c r="BO94" s="5">
        <f>IF(A94="","",N(INDEX(Projects[Act Structural Engineering],93)))</f>
        <v/>
      </c>
      <c r="BP94" s="5">
        <f>IF(A94="","",N(INDEX(Projects[Act Site Sup],93)))</f>
        <v/>
      </c>
      <c r="BQ94" s="5">
        <f>IF(A94="","",N(INDEX(Projects[Act Controls Commissioning],93)))</f>
        <v/>
      </c>
      <c r="BR94" s="5">
        <f>IF(A94="","",N(INDEX(Projects[Act Systems Commissioning],93)))</f>
        <v/>
      </c>
      <c r="BS94" s="5">
        <f>IF(A94="","",N(INDEX(Projects[Act Service Commissioning],93)))</f>
        <v/>
      </c>
      <c r="BT94" s="5">
        <f>IF(A94="","",N(INDEX(Projects[Act Controls Eng],93)))</f>
        <v/>
      </c>
      <c r="BU94" s="5">
        <f>IF(A94="","",N(INDEX(Projects[Act Controls Purchase],93)))</f>
        <v/>
      </c>
      <c r="BV94" s="5">
        <f>IF(A94="","",N(INDEX(Projects[Act Software Eng],93)))</f>
        <v/>
      </c>
      <c r="BW94" s="5">
        <f>IF(A94="","",N(INDEX(Projects[Act 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INDEX(Projects[Sold Value (USD M)],93)</f>
        <v/>
      </c>
      <c r="CE94" s="5" t="n"/>
      <c r="CF94" s="5">
        <f>IF(A94="","",N(INDEX(Projects[Est Mech Inst],93)))</f>
        <v/>
      </c>
      <c r="CG94" s="5">
        <f>IF(A94="","",N(INDEX(Projects[Est Elec Inst],93)))</f>
        <v/>
      </c>
      <c r="CH94" s="5">
        <f>IF(A94="","",N(INDEX(Projects[Est Project Management],93)))</f>
        <v/>
      </c>
      <c r="CI94" s="5">
        <f>IF(A94="","",N(INDEX(Projects[Est Systems Eng],93)))</f>
        <v/>
      </c>
      <c r="CJ94" s="5">
        <f>IF(A94="","",N(INDEX(Projects[Est Mechanical Eng],93)))</f>
        <v/>
      </c>
      <c r="CK94" s="5">
        <f>IF(A94="","",N(INDEX(Projects[Est Structural Engineering],93)))</f>
        <v/>
      </c>
      <c r="CL94" s="5">
        <f>IF(A94="","",N(INDEX(Projects[Est Site Sup],93)))</f>
        <v/>
      </c>
      <c r="CM94" s="5">
        <f>IF(A94="","",N(INDEX(Projects[Est Controls Commissioning],93)))</f>
        <v/>
      </c>
      <c r="CN94" s="5">
        <f>IF(A94="","",N(INDEX(Projects[Est Systems Commissioning],93)))</f>
        <v/>
      </c>
      <c r="CO94" s="5">
        <f>IF(A94="","",N(INDEX(Projects[Est Service Commissioning],93)))</f>
        <v/>
      </c>
      <c r="CP94" s="5">
        <f>IF(A94="","",N(INDEX(Projects[Est Controls Eng],93)))</f>
        <v/>
      </c>
      <c r="CQ94" s="5">
        <f>IF(A94="","",N(INDEX(Projects[Est Controls Purchase],93)))</f>
        <v/>
      </c>
      <c r="CR94" s="5">
        <f>IF(A94="","",N(INDEX(Projects[Est Software Eng],93)))</f>
        <v/>
      </c>
      <c r="CS94" s="5">
        <f>IF(A94="","",N(INDEX(Projects[Est Misc],93)))</f>
        <v/>
      </c>
      <c r="CT94" s="5">
        <f>IF(A94="","",SUM(CF94:CS94))</f>
        <v/>
      </c>
      <c r="CU94" s="5">
        <f>INDEX(Projects[Est Cost (M)],93)</f>
        <v/>
      </c>
      <c r="CV94" s="5">
        <f>INDEX(Projects[Act Cost (M)],93)</f>
        <v/>
      </c>
      <c r="CW94" s="5">
        <f>INDEX(Projects[Plan Mech Eng (wks)],93)</f>
        <v/>
      </c>
      <c r="CX94" s="5">
        <f>INDEX(Projects[Plan Controls Eng (wks)],93)</f>
        <v/>
      </c>
      <c r="CY94" s="5">
        <f>INDEX(Projects[Plan Systems Eng (wks)],93)</f>
        <v/>
      </c>
      <c r="CZ94" s="5">
        <f>INDEX(Projects[Plan Software Eng (wks)],93)</f>
        <v/>
      </c>
      <c r="DA94" s="5">
        <f>INDEX(Projects[Plan M&amp;E Installation (wks)],93)</f>
        <v/>
      </c>
      <c r="DB94" s="5">
        <f>INDEX(Projects[Plan Commissioning (wks)],93)</f>
        <v/>
      </c>
      <c r="DC94" s="5">
        <f>INDEX(Projects[Plan Total (wks)],93)</f>
        <v/>
      </c>
      <c r="DD94" s="5">
        <f>INDEX(Projects[Act Mech Eng (wks)],93)</f>
        <v/>
      </c>
      <c r="DE94" s="5">
        <f>INDEX(Projects[Act Controls Eng (wks)],93)</f>
        <v/>
      </c>
      <c r="DF94" s="5">
        <f>INDEX(Projects[Act Systems Eng (wks)],93)</f>
        <v/>
      </c>
      <c r="DG94" s="5">
        <f>INDEX(Projects[Act Software Eng (wks)],93)</f>
        <v/>
      </c>
      <c r="DH94" s="5">
        <f>INDEX(Projects[Act M&amp;E Installation (wks)],93)</f>
        <v/>
      </c>
      <c r="DI94" s="5">
        <f>INDEX(Projects[Act Commissioning (wks)],93)</f>
        <v/>
      </c>
      <c r="DJ94" s="5">
        <f>INDEX(Projects[Act Total (wks)],93)</f>
        <v/>
      </c>
    </row>
    <row r="95" ht="15" customHeight="1" s="82">
      <c r="A95" s="64">
        <f>INDEX(Projects[Project ID *],94)&amp;""</f>
        <v/>
      </c>
      <c r="B95" s="64">
        <f>INDEX(Projects[Project Name *],94)&amp;""</f>
        <v/>
      </c>
      <c r="C95" s="64">
        <f>INDEX(Projects[MS Shuttles],94)</f>
        <v/>
      </c>
      <c r="D95" s="64">
        <f>INDEX(Projects[MS Tote Locations],94)</f>
        <v/>
      </c>
      <c r="E95" s="64">
        <f>INDEX(Projects[AS Robots],94)</f>
        <v/>
      </c>
      <c r="F95" s="64">
        <f>INDEX(Projects[AS Tote Locations],94)</f>
        <v/>
      </c>
      <c r="G95" s="64">
        <f>INDEX(Projects[PS Shuttles],94)</f>
        <v/>
      </c>
      <c r="H95" s="64">
        <f>INDEX(Projects[PS Pallet Locations],94)</f>
        <v/>
      </c>
      <c r="I95" s="64">
        <f>INDEX(Projects[SRM Cranes],94)</f>
        <v/>
      </c>
      <c r="J95" s="64">
        <f>INDEX(Projects[SRM Pallet Locations],94)</f>
        <v/>
      </c>
      <c r="K95" s="64">
        <f>INDEX(Projects[Case Conv (m)],94)</f>
        <v/>
      </c>
      <c r="L95" s="64">
        <f>INDEX(Projects[Pallet Conv (m)],94)</f>
        <v/>
      </c>
      <c r="M95" s="64">
        <f>IF(N(DJ95)&gt;0,DD95,CW95)</f>
        <v/>
      </c>
      <c r="N95" s="64">
        <f>IF(N(DJ95)&gt;0,DE95,CX95)</f>
        <v/>
      </c>
      <c r="O95" s="64">
        <f>IF(N(DJ95)&gt;0,DF95,CY95)</f>
        <v/>
      </c>
      <c r="P95" s="64">
        <f>IF(N(DJ95)&gt;0,DG95,CZ95)</f>
        <v/>
      </c>
      <c r="Q95" s="64">
        <f>IF(N(DJ95)&gt;0,DH95,DA95)</f>
        <v/>
      </c>
      <c r="R95" s="64">
        <f>IF(N(DJ95)&gt;0,DI95,DB95)</f>
        <v/>
      </c>
      <c r="S95" s="64">
        <f>IF(N(DJ95)&gt;0,DJ95,DC95)</f>
        <v/>
      </c>
      <c r="T95" s="64">
        <f>INDEX(Projects[Currency],94)&amp;""</f>
        <v/>
      </c>
      <c r="U95" s="65">
        <f>INDEX(Projects[Sold Value (M)],94)</f>
        <v/>
      </c>
      <c r="V95" s="64">
        <f>IF('Smart Search'!B13=1,IFERROR(1/'Smart Search'!H13,0),0)</f>
        <v/>
      </c>
      <c r="W95" s="64">
        <f>IF('Smart Search'!B13=1,IFERROR(1/'Smart Search'!H13,0),0)</f>
        <v/>
      </c>
      <c r="X95" s="64">
        <f>IF('Smart Search'!C13=1,IFERROR(1/'Smart Search'!H13,0),0)</f>
        <v/>
      </c>
      <c r="Y95" s="64">
        <f>IF('Smart Search'!C13=1,IFERROR(1/'Smart Search'!H13,0),0)</f>
        <v/>
      </c>
      <c r="Z95" s="64">
        <f>IF('Smart Search'!D13=1,IFERROR(1/'Smart Search'!H13,0),0)</f>
        <v/>
      </c>
      <c r="AA95" s="64">
        <f>IF('Smart Search'!D13=1,IFERROR(1/'Smart Search'!H13,0),0)</f>
        <v/>
      </c>
      <c r="AB95" s="64">
        <f>IF('Smart Search'!E13=1,IFERROR(1/'Smart Search'!H13,0),0)</f>
        <v/>
      </c>
      <c r="AC95" s="64">
        <f>IF('Smart Search'!E13=1,IFERROR(1/'Smart Search'!H13,0),0)</f>
        <v/>
      </c>
      <c r="AD95" s="64">
        <f>IF('Smart Search'!F13=1,IFERROR(1/'Smart Search'!H13,0),0)</f>
        <v/>
      </c>
      <c r="AE95" s="64">
        <f>IF('Smart Search'!F13=1,IFERROR(1/'Smart Search'!H13,0),0)</f>
        <v/>
      </c>
      <c r="AF95" s="64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4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4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4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4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4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4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4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4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4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4">
        <f>AF95*V95</f>
        <v/>
      </c>
      <c r="AQ95" s="64">
        <f>AG95*W95</f>
        <v/>
      </c>
      <c r="AR95" s="64">
        <f>AH95*X95</f>
        <v/>
      </c>
      <c r="AS95" s="64">
        <f>AI95*Y95</f>
        <v/>
      </c>
      <c r="AT95" s="64">
        <f>AJ95*Z95</f>
        <v/>
      </c>
      <c r="AU95" s="64">
        <f>AK95*AA95</f>
        <v/>
      </c>
      <c r="AV95" s="64">
        <f>AL95*AB95</f>
        <v/>
      </c>
      <c r="AW95" s="64">
        <f>AM95*AC95</f>
        <v/>
      </c>
      <c r="AX95" s="64">
        <f>AN95*AD95</f>
        <v/>
      </c>
      <c r="AY95" s="64">
        <f>AO95*AE95</f>
        <v/>
      </c>
      <c r="AZ95" s="64">
        <f>INDEX(Projects[Automation Equipment],94)&amp;""</f>
        <v/>
      </c>
      <c r="BA95" s="64">
        <f>IF(OR(A95="",'Smart Search'!H13=0),"",MAX(0,BE95*BF95*MAX(0,1-BG95)))</f>
        <v/>
      </c>
      <c r="BB95" s="64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4">
        <f>IF('Smart Search'!G13=1,IFERROR(1/'Smart Search'!H13,0),0)</f>
        <v/>
      </c>
      <c r="BD95" s="64">
        <f>BB95*BC95</f>
        <v/>
      </c>
      <c r="BE95" s="64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IF(A95="","",N(INDEX(Projects[Act Mech Inst],94)))</f>
        <v/>
      </c>
      <c r="BK95" s="5">
        <f>IF(A95="","",N(INDEX(Projects[Act Elec Inst],94)))</f>
        <v/>
      </c>
      <c r="BL95" s="5">
        <f>IF(A95="","",N(INDEX(Projects[Act Project Management],94)))</f>
        <v/>
      </c>
      <c r="BM95" s="5">
        <f>IF(A95="","",N(INDEX(Projects[Act Systems Eng],94)))</f>
        <v/>
      </c>
      <c r="BN95" s="5">
        <f>IF(A95="","",N(INDEX(Projects[Act Mechanical Eng],94)))</f>
        <v/>
      </c>
      <c r="BO95" s="5">
        <f>IF(A95="","",N(INDEX(Projects[Act Structural Engineering],94)))</f>
        <v/>
      </c>
      <c r="BP95" s="5">
        <f>IF(A95="","",N(INDEX(Projects[Act Site Sup],94)))</f>
        <v/>
      </c>
      <c r="BQ95" s="5">
        <f>IF(A95="","",N(INDEX(Projects[Act Controls Commissioning],94)))</f>
        <v/>
      </c>
      <c r="BR95" s="5">
        <f>IF(A95="","",N(INDEX(Projects[Act Systems Commissioning],94)))</f>
        <v/>
      </c>
      <c r="BS95" s="5">
        <f>IF(A95="","",N(INDEX(Projects[Act Service Commissioning],94)))</f>
        <v/>
      </c>
      <c r="BT95" s="5">
        <f>IF(A95="","",N(INDEX(Projects[Act Controls Eng],94)))</f>
        <v/>
      </c>
      <c r="BU95" s="5">
        <f>IF(A95="","",N(INDEX(Projects[Act Controls Purchase],94)))</f>
        <v/>
      </c>
      <c r="BV95" s="5">
        <f>IF(A95="","",N(INDEX(Projects[Act Software Eng],94)))</f>
        <v/>
      </c>
      <c r="BW95" s="5">
        <f>IF(A95="","",N(INDEX(Projects[Act 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INDEX(Projects[Sold Value (USD M)],94)</f>
        <v/>
      </c>
      <c r="CE95" s="5" t="n"/>
      <c r="CF95" s="5">
        <f>IF(A95="","",N(INDEX(Projects[Est Mech Inst],94)))</f>
        <v/>
      </c>
      <c r="CG95" s="5">
        <f>IF(A95="","",N(INDEX(Projects[Est Elec Inst],94)))</f>
        <v/>
      </c>
      <c r="CH95" s="5">
        <f>IF(A95="","",N(INDEX(Projects[Est Project Management],94)))</f>
        <v/>
      </c>
      <c r="CI95" s="5">
        <f>IF(A95="","",N(INDEX(Projects[Est Systems Eng],94)))</f>
        <v/>
      </c>
      <c r="CJ95" s="5">
        <f>IF(A95="","",N(INDEX(Projects[Est Mechanical Eng],94)))</f>
        <v/>
      </c>
      <c r="CK95" s="5">
        <f>IF(A95="","",N(INDEX(Projects[Est Structural Engineering],94)))</f>
        <v/>
      </c>
      <c r="CL95" s="5">
        <f>IF(A95="","",N(INDEX(Projects[Est Site Sup],94)))</f>
        <v/>
      </c>
      <c r="CM95" s="5">
        <f>IF(A95="","",N(INDEX(Projects[Est Controls Commissioning],94)))</f>
        <v/>
      </c>
      <c r="CN95" s="5">
        <f>IF(A95="","",N(INDEX(Projects[Est Systems Commissioning],94)))</f>
        <v/>
      </c>
      <c r="CO95" s="5">
        <f>IF(A95="","",N(INDEX(Projects[Est Service Commissioning],94)))</f>
        <v/>
      </c>
      <c r="CP95" s="5">
        <f>IF(A95="","",N(INDEX(Projects[Est Controls Eng],94)))</f>
        <v/>
      </c>
      <c r="CQ95" s="5">
        <f>IF(A95="","",N(INDEX(Projects[Est Controls Purchase],94)))</f>
        <v/>
      </c>
      <c r="CR95" s="5">
        <f>IF(A95="","",N(INDEX(Projects[Est Software Eng],94)))</f>
        <v/>
      </c>
      <c r="CS95" s="5">
        <f>IF(A95="","",N(INDEX(Projects[Est Misc],94)))</f>
        <v/>
      </c>
      <c r="CT95" s="5">
        <f>IF(A95="","",SUM(CF95:CS95))</f>
        <v/>
      </c>
      <c r="CU95" s="5">
        <f>INDEX(Projects[Est Cost (M)],94)</f>
        <v/>
      </c>
      <c r="CV95" s="5">
        <f>INDEX(Projects[Act Cost (M)],94)</f>
        <v/>
      </c>
      <c r="CW95" s="5">
        <f>INDEX(Projects[Plan Mech Eng (wks)],94)</f>
        <v/>
      </c>
      <c r="CX95" s="5">
        <f>INDEX(Projects[Plan Controls Eng (wks)],94)</f>
        <v/>
      </c>
      <c r="CY95" s="5">
        <f>INDEX(Projects[Plan Systems Eng (wks)],94)</f>
        <v/>
      </c>
      <c r="CZ95" s="5">
        <f>INDEX(Projects[Plan Software Eng (wks)],94)</f>
        <v/>
      </c>
      <c r="DA95" s="5">
        <f>INDEX(Projects[Plan M&amp;E Installation (wks)],94)</f>
        <v/>
      </c>
      <c r="DB95" s="5">
        <f>INDEX(Projects[Plan Commissioning (wks)],94)</f>
        <v/>
      </c>
      <c r="DC95" s="5">
        <f>INDEX(Projects[Plan Total (wks)],94)</f>
        <v/>
      </c>
      <c r="DD95" s="5">
        <f>INDEX(Projects[Act Mech Eng (wks)],94)</f>
        <v/>
      </c>
      <c r="DE95" s="5">
        <f>INDEX(Projects[Act Controls Eng (wks)],94)</f>
        <v/>
      </c>
      <c r="DF95" s="5">
        <f>INDEX(Projects[Act Systems Eng (wks)],94)</f>
        <v/>
      </c>
      <c r="DG95" s="5">
        <f>INDEX(Projects[Act Software Eng (wks)],94)</f>
        <v/>
      </c>
      <c r="DH95" s="5">
        <f>INDEX(Projects[Act M&amp;E Installation (wks)],94)</f>
        <v/>
      </c>
      <c r="DI95" s="5">
        <f>INDEX(Projects[Act Commissioning (wks)],94)</f>
        <v/>
      </c>
      <c r="DJ95" s="5">
        <f>INDEX(Projects[Act Total (wks)],94)</f>
        <v/>
      </c>
    </row>
    <row r="96" ht="15" customHeight="1" s="82">
      <c r="A96" s="64">
        <f>INDEX(Projects[Project ID *],95)&amp;""</f>
        <v/>
      </c>
      <c r="B96" s="64">
        <f>INDEX(Projects[Project Name *],95)&amp;""</f>
        <v/>
      </c>
      <c r="C96" s="64">
        <f>INDEX(Projects[MS Shuttles],95)</f>
        <v/>
      </c>
      <c r="D96" s="64">
        <f>INDEX(Projects[MS Tote Locations],95)</f>
        <v/>
      </c>
      <c r="E96" s="64">
        <f>INDEX(Projects[AS Robots],95)</f>
        <v/>
      </c>
      <c r="F96" s="64">
        <f>INDEX(Projects[AS Tote Locations],95)</f>
        <v/>
      </c>
      <c r="G96" s="64">
        <f>INDEX(Projects[PS Shuttles],95)</f>
        <v/>
      </c>
      <c r="H96" s="64">
        <f>INDEX(Projects[PS Pallet Locations],95)</f>
        <v/>
      </c>
      <c r="I96" s="64">
        <f>INDEX(Projects[SRM Cranes],95)</f>
        <v/>
      </c>
      <c r="J96" s="64">
        <f>INDEX(Projects[SRM Pallet Locations],95)</f>
        <v/>
      </c>
      <c r="K96" s="64">
        <f>INDEX(Projects[Case Conv (m)],95)</f>
        <v/>
      </c>
      <c r="L96" s="64">
        <f>INDEX(Projects[Pallet Conv (m)],95)</f>
        <v/>
      </c>
      <c r="M96" s="64">
        <f>IF(N(DJ96)&gt;0,DD96,CW96)</f>
        <v/>
      </c>
      <c r="N96" s="64">
        <f>IF(N(DJ96)&gt;0,DE96,CX96)</f>
        <v/>
      </c>
      <c r="O96" s="64">
        <f>IF(N(DJ96)&gt;0,DF96,CY96)</f>
        <v/>
      </c>
      <c r="P96" s="64">
        <f>IF(N(DJ96)&gt;0,DG96,CZ96)</f>
        <v/>
      </c>
      <c r="Q96" s="64">
        <f>IF(N(DJ96)&gt;0,DH96,DA96)</f>
        <v/>
      </c>
      <c r="R96" s="64">
        <f>IF(N(DJ96)&gt;0,DI96,DB96)</f>
        <v/>
      </c>
      <c r="S96" s="64">
        <f>IF(N(DJ96)&gt;0,DJ96,DC96)</f>
        <v/>
      </c>
      <c r="T96" s="64">
        <f>INDEX(Projects[Currency],95)&amp;""</f>
        <v/>
      </c>
      <c r="U96" s="65">
        <f>INDEX(Projects[Sold Value (M)],95)</f>
        <v/>
      </c>
      <c r="V96" s="64">
        <f>IF('Smart Search'!B13=1,IFERROR(1/'Smart Search'!H13,0),0)</f>
        <v/>
      </c>
      <c r="W96" s="64">
        <f>IF('Smart Search'!B13=1,IFERROR(1/'Smart Search'!H13,0),0)</f>
        <v/>
      </c>
      <c r="X96" s="64">
        <f>IF('Smart Search'!C13=1,IFERROR(1/'Smart Search'!H13,0),0)</f>
        <v/>
      </c>
      <c r="Y96" s="64">
        <f>IF('Smart Search'!C13=1,IFERROR(1/'Smart Search'!H13,0),0)</f>
        <v/>
      </c>
      <c r="Z96" s="64">
        <f>IF('Smart Search'!D13=1,IFERROR(1/'Smart Search'!H13,0),0)</f>
        <v/>
      </c>
      <c r="AA96" s="64">
        <f>IF('Smart Search'!D13=1,IFERROR(1/'Smart Search'!H13,0),0)</f>
        <v/>
      </c>
      <c r="AB96" s="64">
        <f>IF('Smart Search'!E13=1,IFERROR(1/'Smart Search'!H13,0),0)</f>
        <v/>
      </c>
      <c r="AC96" s="64">
        <f>IF('Smart Search'!E13=1,IFERROR(1/'Smart Search'!H13,0),0)</f>
        <v/>
      </c>
      <c r="AD96" s="64">
        <f>IF('Smart Search'!F13=1,IFERROR(1/'Smart Search'!H13,0),0)</f>
        <v/>
      </c>
      <c r="AE96" s="64">
        <f>IF('Smart Search'!F13=1,IFERROR(1/'Smart Search'!H13,0),0)</f>
        <v/>
      </c>
      <c r="AF96" s="64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4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4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4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4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4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4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4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4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4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4">
        <f>AF96*V96</f>
        <v/>
      </c>
      <c r="AQ96" s="64">
        <f>AG96*W96</f>
        <v/>
      </c>
      <c r="AR96" s="64">
        <f>AH96*X96</f>
        <v/>
      </c>
      <c r="AS96" s="64">
        <f>AI96*Y96</f>
        <v/>
      </c>
      <c r="AT96" s="64">
        <f>AJ96*Z96</f>
        <v/>
      </c>
      <c r="AU96" s="64">
        <f>AK96*AA96</f>
        <v/>
      </c>
      <c r="AV96" s="64">
        <f>AL96*AB96</f>
        <v/>
      </c>
      <c r="AW96" s="64">
        <f>AM96*AC96</f>
        <v/>
      </c>
      <c r="AX96" s="64">
        <f>AN96*AD96</f>
        <v/>
      </c>
      <c r="AY96" s="64">
        <f>AO96*AE96</f>
        <v/>
      </c>
      <c r="AZ96" s="64">
        <f>INDEX(Projects[Automation Equipment],95)&amp;""</f>
        <v/>
      </c>
      <c r="BA96" s="64">
        <f>IF(OR(A96="",'Smart Search'!H13=0),"",MAX(0,BE96*BF96*MAX(0,1-BG96)))</f>
        <v/>
      </c>
      <c r="BB96" s="64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4">
        <f>IF('Smart Search'!G13=1,IFERROR(1/'Smart Search'!H13,0),0)</f>
        <v/>
      </c>
      <c r="BD96" s="64">
        <f>BB96*BC96</f>
        <v/>
      </c>
      <c r="BE96" s="64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IF(A96="","",N(INDEX(Projects[Act Mech Inst],95)))</f>
        <v/>
      </c>
      <c r="BK96" s="5">
        <f>IF(A96="","",N(INDEX(Projects[Act Elec Inst],95)))</f>
        <v/>
      </c>
      <c r="BL96" s="5">
        <f>IF(A96="","",N(INDEX(Projects[Act Project Management],95)))</f>
        <v/>
      </c>
      <c r="BM96" s="5">
        <f>IF(A96="","",N(INDEX(Projects[Act Systems Eng],95)))</f>
        <v/>
      </c>
      <c r="BN96" s="5">
        <f>IF(A96="","",N(INDEX(Projects[Act Mechanical Eng],95)))</f>
        <v/>
      </c>
      <c r="BO96" s="5">
        <f>IF(A96="","",N(INDEX(Projects[Act Structural Engineering],95)))</f>
        <v/>
      </c>
      <c r="BP96" s="5">
        <f>IF(A96="","",N(INDEX(Projects[Act Site Sup],95)))</f>
        <v/>
      </c>
      <c r="BQ96" s="5">
        <f>IF(A96="","",N(INDEX(Projects[Act Controls Commissioning],95)))</f>
        <v/>
      </c>
      <c r="BR96" s="5">
        <f>IF(A96="","",N(INDEX(Projects[Act Systems Commissioning],95)))</f>
        <v/>
      </c>
      <c r="BS96" s="5">
        <f>IF(A96="","",N(INDEX(Projects[Act Service Commissioning],95)))</f>
        <v/>
      </c>
      <c r="BT96" s="5">
        <f>IF(A96="","",N(INDEX(Projects[Act Controls Eng],95)))</f>
        <v/>
      </c>
      <c r="BU96" s="5">
        <f>IF(A96="","",N(INDEX(Projects[Act Controls Purchase],95)))</f>
        <v/>
      </c>
      <c r="BV96" s="5">
        <f>IF(A96="","",N(INDEX(Projects[Act Software Eng],95)))</f>
        <v/>
      </c>
      <c r="BW96" s="5">
        <f>IF(A96="","",N(INDEX(Projects[Act 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INDEX(Projects[Sold Value (USD M)],95)</f>
        <v/>
      </c>
      <c r="CE96" s="5" t="n"/>
      <c r="CF96" s="5">
        <f>IF(A96="","",N(INDEX(Projects[Est Mech Inst],95)))</f>
        <v/>
      </c>
      <c r="CG96" s="5">
        <f>IF(A96="","",N(INDEX(Projects[Est Elec Inst],95)))</f>
        <v/>
      </c>
      <c r="CH96" s="5">
        <f>IF(A96="","",N(INDEX(Projects[Est Project Management],95)))</f>
        <v/>
      </c>
      <c r="CI96" s="5">
        <f>IF(A96="","",N(INDEX(Projects[Est Systems Eng],95)))</f>
        <v/>
      </c>
      <c r="CJ96" s="5">
        <f>IF(A96="","",N(INDEX(Projects[Est Mechanical Eng],95)))</f>
        <v/>
      </c>
      <c r="CK96" s="5">
        <f>IF(A96="","",N(INDEX(Projects[Est Structural Engineering],95)))</f>
        <v/>
      </c>
      <c r="CL96" s="5">
        <f>IF(A96="","",N(INDEX(Projects[Est Site Sup],95)))</f>
        <v/>
      </c>
      <c r="CM96" s="5">
        <f>IF(A96="","",N(INDEX(Projects[Est Controls Commissioning],95)))</f>
        <v/>
      </c>
      <c r="CN96" s="5">
        <f>IF(A96="","",N(INDEX(Projects[Est Systems Commissioning],95)))</f>
        <v/>
      </c>
      <c r="CO96" s="5">
        <f>IF(A96="","",N(INDEX(Projects[Est Service Commissioning],95)))</f>
        <v/>
      </c>
      <c r="CP96" s="5">
        <f>IF(A96="","",N(INDEX(Projects[Est Controls Eng],95)))</f>
        <v/>
      </c>
      <c r="CQ96" s="5">
        <f>IF(A96="","",N(INDEX(Projects[Est Controls Purchase],95)))</f>
        <v/>
      </c>
      <c r="CR96" s="5">
        <f>IF(A96="","",N(INDEX(Projects[Est Software Eng],95)))</f>
        <v/>
      </c>
      <c r="CS96" s="5">
        <f>IF(A96="","",N(INDEX(Projects[Est Misc],95)))</f>
        <v/>
      </c>
      <c r="CT96" s="5">
        <f>IF(A96="","",SUM(CF96:CS96))</f>
        <v/>
      </c>
      <c r="CU96" s="5">
        <f>INDEX(Projects[Est Cost (M)],95)</f>
        <v/>
      </c>
      <c r="CV96" s="5">
        <f>INDEX(Projects[Act Cost (M)],95)</f>
        <v/>
      </c>
      <c r="CW96" s="5">
        <f>INDEX(Projects[Plan Mech Eng (wks)],95)</f>
        <v/>
      </c>
      <c r="CX96" s="5">
        <f>INDEX(Projects[Plan Controls Eng (wks)],95)</f>
        <v/>
      </c>
      <c r="CY96" s="5">
        <f>INDEX(Projects[Plan Systems Eng (wks)],95)</f>
        <v/>
      </c>
      <c r="CZ96" s="5">
        <f>INDEX(Projects[Plan Software Eng (wks)],95)</f>
        <v/>
      </c>
      <c r="DA96" s="5">
        <f>INDEX(Projects[Plan M&amp;E Installation (wks)],95)</f>
        <v/>
      </c>
      <c r="DB96" s="5">
        <f>INDEX(Projects[Plan Commissioning (wks)],95)</f>
        <v/>
      </c>
      <c r="DC96" s="5">
        <f>INDEX(Projects[Plan Total (wks)],95)</f>
        <v/>
      </c>
      <c r="DD96" s="5">
        <f>INDEX(Projects[Act Mech Eng (wks)],95)</f>
        <v/>
      </c>
      <c r="DE96" s="5">
        <f>INDEX(Projects[Act Controls Eng (wks)],95)</f>
        <v/>
      </c>
      <c r="DF96" s="5">
        <f>INDEX(Projects[Act Systems Eng (wks)],95)</f>
        <v/>
      </c>
      <c r="DG96" s="5">
        <f>INDEX(Projects[Act Software Eng (wks)],95)</f>
        <v/>
      </c>
      <c r="DH96" s="5">
        <f>INDEX(Projects[Act M&amp;E Installation (wks)],95)</f>
        <v/>
      </c>
      <c r="DI96" s="5">
        <f>INDEX(Projects[Act Commissioning (wks)],95)</f>
        <v/>
      </c>
      <c r="DJ96" s="5">
        <f>INDEX(Projects[Act Total (wks)],95)</f>
        <v/>
      </c>
    </row>
    <row r="97" ht="15" customHeight="1" s="82">
      <c r="A97" s="64">
        <f>INDEX(Projects[Project ID *],96)&amp;""</f>
        <v/>
      </c>
      <c r="B97" s="64">
        <f>INDEX(Projects[Project Name *],96)&amp;""</f>
        <v/>
      </c>
      <c r="C97" s="64">
        <f>INDEX(Projects[MS Shuttles],96)</f>
        <v/>
      </c>
      <c r="D97" s="64">
        <f>INDEX(Projects[MS Tote Locations],96)</f>
        <v/>
      </c>
      <c r="E97" s="64">
        <f>INDEX(Projects[AS Robots],96)</f>
        <v/>
      </c>
      <c r="F97" s="64">
        <f>INDEX(Projects[AS Tote Locations],96)</f>
        <v/>
      </c>
      <c r="G97" s="64">
        <f>INDEX(Projects[PS Shuttles],96)</f>
        <v/>
      </c>
      <c r="H97" s="64">
        <f>INDEX(Projects[PS Pallet Locations],96)</f>
        <v/>
      </c>
      <c r="I97" s="64">
        <f>INDEX(Projects[SRM Cranes],96)</f>
        <v/>
      </c>
      <c r="J97" s="64">
        <f>INDEX(Projects[SRM Pallet Locations],96)</f>
        <v/>
      </c>
      <c r="K97" s="64">
        <f>INDEX(Projects[Case Conv (m)],96)</f>
        <v/>
      </c>
      <c r="L97" s="64">
        <f>INDEX(Projects[Pallet Conv (m)],96)</f>
        <v/>
      </c>
      <c r="M97" s="64">
        <f>IF(N(DJ97)&gt;0,DD97,CW97)</f>
        <v/>
      </c>
      <c r="N97" s="64">
        <f>IF(N(DJ97)&gt;0,DE97,CX97)</f>
        <v/>
      </c>
      <c r="O97" s="64">
        <f>IF(N(DJ97)&gt;0,DF97,CY97)</f>
        <v/>
      </c>
      <c r="P97" s="64">
        <f>IF(N(DJ97)&gt;0,DG97,CZ97)</f>
        <v/>
      </c>
      <c r="Q97" s="64">
        <f>IF(N(DJ97)&gt;0,DH97,DA97)</f>
        <v/>
      </c>
      <c r="R97" s="64">
        <f>IF(N(DJ97)&gt;0,DI97,DB97)</f>
        <v/>
      </c>
      <c r="S97" s="64">
        <f>IF(N(DJ97)&gt;0,DJ97,DC97)</f>
        <v/>
      </c>
      <c r="T97" s="64">
        <f>INDEX(Projects[Currency],96)&amp;""</f>
        <v/>
      </c>
      <c r="U97" s="65">
        <f>INDEX(Projects[Sold Value (M)],96)</f>
        <v/>
      </c>
      <c r="V97" s="64">
        <f>IF('Smart Search'!B13=1,IFERROR(1/'Smart Search'!H13,0),0)</f>
        <v/>
      </c>
      <c r="W97" s="64">
        <f>IF('Smart Search'!B13=1,IFERROR(1/'Smart Search'!H13,0),0)</f>
        <v/>
      </c>
      <c r="X97" s="64">
        <f>IF('Smart Search'!C13=1,IFERROR(1/'Smart Search'!H13,0),0)</f>
        <v/>
      </c>
      <c r="Y97" s="64">
        <f>IF('Smart Search'!C13=1,IFERROR(1/'Smart Search'!H13,0),0)</f>
        <v/>
      </c>
      <c r="Z97" s="64">
        <f>IF('Smart Search'!D13=1,IFERROR(1/'Smart Search'!H13,0),0)</f>
        <v/>
      </c>
      <c r="AA97" s="64">
        <f>IF('Smart Search'!D13=1,IFERROR(1/'Smart Search'!H13,0),0)</f>
        <v/>
      </c>
      <c r="AB97" s="64">
        <f>IF('Smart Search'!E13=1,IFERROR(1/'Smart Search'!H13,0),0)</f>
        <v/>
      </c>
      <c r="AC97" s="64">
        <f>IF('Smart Search'!E13=1,IFERROR(1/'Smart Search'!H13,0),0)</f>
        <v/>
      </c>
      <c r="AD97" s="64">
        <f>IF('Smart Search'!F13=1,IFERROR(1/'Smart Search'!H13,0),0)</f>
        <v/>
      </c>
      <c r="AE97" s="64">
        <f>IF('Smart Search'!F13=1,IFERROR(1/'Smart Search'!H13,0),0)</f>
        <v/>
      </c>
      <c r="AF97" s="64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4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4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4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4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4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4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4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4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4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4">
        <f>AF97*V97</f>
        <v/>
      </c>
      <c r="AQ97" s="64">
        <f>AG97*W97</f>
        <v/>
      </c>
      <c r="AR97" s="64">
        <f>AH97*X97</f>
        <v/>
      </c>
      <c r="AS97" s="64">
        <f>AI97*Y97</f>
        <v/>
      </c>
      <c r="AT97" s="64">
        <f>AJ97*Z97</f>
        <v/>
      </c>
      <c r="AU97" s="64">
        <f>AK97*AA97</f>
        <v/>
      </c>
      <c r="AV97" s="64">
        <f>AL97*AB97</f>
        <v/>
      </c>
      <c r="AW97" s="64">
        <f>AM97*AC97</f>
        <v/>
      </c>
      <c r="AX97" s="64">
        <f>AN97*AD97</f>
        <v/>
      </c>
      <c r="AY97" s="64">
        <f>AO97*AE97</f>
        <v/>
      </c>
      <c r="AZ97" s="64">
        <f>INDEX(Projects[Automation Equipment],96)&amp;""</f>
        <v/>
      </c>
      <c r="BA97" s="64">
        <f>IF(OR(A97="",'Smart Search'!H13=0),"",MAX(0,BE97*BF97*MAX(0,1-BG97)))</f>
        <v/>
      </c>
      <c r="BB97" s="64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4">
        <f>IF('Smart Search'!G13=1,IFERROR(1/'Smart Search'!H13,0),0)</f>
        <v/>
      </c>
      <c r="BD97" s="64">
        <f>BB97*BC97</f>
        <v/>
      </c>
      <c r="BE97" s="64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IF(A97="","",N(INDEX(Projects[Act Mech Inst],96)))</f>
        <v/>
      </c>
      <c r="BK97" s="5">
        <f>IF(A97="","",N(INDEX(Projects[Act Elec Inst],96)))</f>
        <v/>
      </c>
      <c r="BL97" s="5">
        <f>IF(A97="","",N(INDEX(Projects[Act Project Management],96)))</f>
        <v/>
      </c>
      <c r="BM97" s="5">
        <f>IF(A97="","",N(INDEX(Projects[Act Systems Eng],96)))</f>
        <v/>
      </c>
      <c r="BN97" s="5">
        <f>IF(A97="","",N(INDEX(Projects[Act Mechanical Eng],96)))</f>
        <v/>
      </c>
      <c r="BO97" s="5">
        <f>IF(A97="","",N(INDEX(Projects[Act Structural Engineering],96)))</f>
        <v/>
      </c>
      <c r="BP97" s="5">
        <f>IF(A97="","",N(INDEX(Projects[Act Site Sup],96)))</f>
        <v/>
      </c>
      <c r="BQ97" s="5">
        <f>IF(A97="","",N(INDEX(Projects[Act Controls Commissioning],96)))</f>
        <v/>
      </c>
      <c r="BR97" s="5">
        <f>IF(A97="","",N(INDEX(Projects[Act Systems Commissioning],96)))</f>
        <v/>
      </c>
      <c r="BS97" s="5">
        <f>IF(A97="","",N(INDEX(Projects[Act Service Commissioning],96)))</f>
        <v/>
      </c>
      <c r="BT97" s="5">
        <f>IF(A97="","",N(INDEX(Projects[Act Controls Eng],96)))</f>
        <v/>
      </c>
      <c r="BU97" s="5">
        <f>IF(A97="","",N(INDEX(Projects[Act Controls Purchase],96)))</f>
        <v/>
      </c>
      <c r="BV97" s="5">
        <f>IF(A97="","",N(INDEX(Projects[Act Software Eng],96)))</f>
        <v/>
      </c>
      <c r="BW97" s="5">
        <f>IF(A97="","",N(INDEX(Projects[Act 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INDEX(Projects[Sold Value (USD M)],96)</f>
        <v/>
      </c>
      <c r="CE97" s="5" t="n"/>
      <c r="CF97" s="5">
        <f>IF(A97="","",N(INDEX(Projects[Est Mech Inst],96)))</f>
        <v/>
      </c>
      <c r="CG97" s="5">
        <f>IF(A97="","",N(INDEX(Projects[Est Elec Inst],96)))</f>
        <v/>
      </c>
      <c r="CH97" s="5">
        <f>IF(A97="","",N(INDEX(Projects[Est Project Management],96)))</f>
        <v/>
      </c>
      <c r="CI97" s="5">
        <f>IF(A97="","",N(INDEX(Projects[Est Systems Eng],96)))</f>
        <v/>
      </c>
      <c r="CJ97" s="5">
        <f>IF(A97="","",N(INDEX(Projects[Est Mechanical Eng],96)))</f>
        <v/>
      </c>
      <c r="CK97" s="5">
        <f>IF(A97="","",N(INDEX(Projects[Est Structural Engineering],96)))</f>
        <v/>
      </c>
      <c r="CL97" s="5">
        <f>IF(A97="","",N(INDEX(Projects[Est Site Sup],96)))</f>
        <v/>
      </c>
      <c r="CM97" s="5">
        <f>IF(A97="","",N(INDEX(Projects[Est Controls Commissioning],96)))</f>
        <v/>
      </c>
      <c r="CN97" s="5">
        <f>IF(A97="","",N(INDEX(Projects[Est Systems Commissioning],96)))</f>
        <v/>
      </c>
      <c r="CO97" s="5">
        <f>IF(A97="","",N(INDEX(Projects[Est Service Commissioning],96)))</f>
        <v/>
      </c>
      <c r="CP97" s="5">
        <f>IF(A97="","",N(INDEX(Projects[Est Controls Eng],96)))</f>
        <v/>
      </c>
      <c r="CQ97" s="5">
        <f>IF(A97="","",N(INDEX(Projects[Est Controls Purchase],96)))</f>
        <v/>
      </c>
      <c r="CR97" s="5">
        <f>IF(A97="","",N(INDEX(Projects[Est Software Eng],96)))</f>
        <v/>
      </c>
      <c r="CS97" s="5">
        <f>IF(A97="","",N(INDEX(Projects[Est Misc],96)))</f>
        <v/>
      </c>
      <c r="CT97" s="5">
        <f>IF(A97="","",SUM(CF97:CS97))</f>
        <v/>
      </c>
      <c r="CU97" s="5">
        <f>INDEX(Projects[Est Cost (M)],96)</f>
        <v/>
      </c>
      <c r="CV97" s="5">
        <f>INDEX(Projects[Act Cost (M)],96)</f>
        <v/>
      </c>
      <c r="CW97" s="5">
        <f>INDEX(Projects[Plan Mech Eng (wks)],96)</f>
        <v/>
      </c>
      <c r="CX97" s="5">
        <f>INDEX(Projects[Plan Controls Eng (wks)],96)</f>
        <v/>
      </c>
      <c r="CY97" s="5">
        <f>INDEX(Projects[Plan Systems Eng (wks)],96)</f>
        <v/>
      </c>
      <c r="CZ97" s="5">
        <f>INDEX(Projects[Plan Software Eng (wks)],96)</f>
        <v/>
      </c>
      <c r="DA97" s="5">
        <f>INDEX(Projects[Plan M&amp;E Installation (wks)],96)</f>
        <v/>
      </c>
      <c r="DB97" s="5">
        <f>INDEX(Projects[Plan Commissioning (wks)],96)</f>
        <v/>
      </c>
      <c r="DC97" s="5">
        <f>INDEX(Projects[Plan Total (wks)],96)</f>
        <v/>
      </c>
      <c r="DD97" s="5">
        <f>INDEX(Projects[Act Mech Eng (wks)],96)</f>
        <v/>
      </c>
      <c r="DE97" s="5">
        <f>INDEX(Projects[Act Controls Eng (wks)],96)</f>
        <v/>
      </c>
      <c r="DF97" s="5">
        <f>INDEX(Projects[Act Systems Eng (wks)],96)</f>
        <v/>
      </c>
      <c r="DG97" s="5">
        <f>INDEX(Projects[Act Software Eng (wks)],96)</f>
        <v/>
      </c>
      <c r="DH97" s="5">
        <f>INDEX(Projects[Act M&amp;E Installation (wks)],96)</f>
        <v/>
      </c>
      <c r="DI97" s="5">
        <f>INDEX(Projects[Act Commissioning (wks)],96)</f>
        <v/>
      </c>
      <c r="DJ97" s="5">
        <f>INDEX(Projects[Act Total (wks)],96)</f>
        <v/>
      </c>
    </row>
    <row r="98" ht="15" customHeight="1" s="82">
      <c r="A98" s="64">
        <f>INDEX(Projects[Project ID *],97)&amp;""</f>
        <v/>
      </c>
      <c r="B98" s="64">
        <f>INDEX(Projects[Project Name *],97)&amp;""</f>
        <v/>
      </c>
      <c r="C98" s="64">
        <f>INDEX(Projects[MS Shuttles],97)</f>
        <v/>
      </c>
      <c r="D98" s="64">
        <f>INDEX(Projects[MS Tote Locations],97)</f>
        <v/>
      </c>
      <c r="E98" s="64">
        <f>INDEX(Projects[AS Robots],97)</f>
        <v/>
      </c>
      <c r="F98" s="64">
        <f>INDEX(Projects[AS Tote Locations],97)</f>
        <v/>
      </c>
      <c r="G98" s="64">
        <f>INDEX(Projects[PS Shuttles],97)</f>
        <v/>
      </c>
      <c r="H98" s="64">
        <f>INDEX(Projects[PS Pallet Locations],97)</f>
        <v/>
      </c>
      <c r="I98" s="64">
        <f>INDEX(Projects[SRM Cranes],97)</f>
        <v/>
      </c>
      <c r="J98" s="64">
        <f>INDEX(Projects[SRM Pallet Locations],97)</f>
        <v/>
      </c>
      <c r="K98" s="64">
        <f>INDEX(Projects[Case Conv (m)],97)</f>
        <v/>
      </c>
      <c r="L98" s="64">
        <f>INDEX(Projects[Pallet Conv (m)],97)</f>
        <v/>
      </c>
      <c r="M98" s="64">
        <f>IF(N(DJ98)&gt;0,DD98,CW98)</f>
        <v/>
      </c>
      <c r="N98" s="64">
        <f>IF(N(DJ98)&gt;0,DE98,CX98)</f>
        <v/>
      </c>
      <c r="O98" s="64">
        <f>IF(N(DJ98)&gt;0,DF98,CY98)</f>
        <v/>
      </c>
      <c r="P98" s="64">
        <f>IF(N(DJ98)&gt;0,DG98,CZ98)</f>
        <v/>
      </c>
      <c r="Q98" s="64">
        <f>IF(N(DJ98)&gt;0,DH98,DA98)</f>
        <v/>
      </c>
      <c r="R98" s="64">
        <f>IF(N(DJ98)&gt;0,DI98,DB98)</f>
        <v/>
      </c>
      <c r="S98" s="64">
        <f>IF(N(DJ98)&gt;0,DJ98,DC98)</f>
        <v/>
      </c>
      <c r="T98" s="64">
        <f>INDEX(Projects[Currency],97)&amp;""</f>
        <v/>
      </c>
      <c r="U98" s="65">
        <f>INDEX(Projects[Sold Value (M)],97)</f>
        <v/>
      </c>
      <c r="V98" s="64">
        <f>IF('Smart Search'!B13=1,IFERROR(1/'Smart Search'!H13,0),0)</f>
        <v/>
      </c>
      <c r="W98" s="64">
        <f>IF('Smart Search'!B13=1,IFERROR(1/'Smart Search'!H13,0),0)</f>
        <v/>
      </c>
      <c r="X98" s="64">
        <f>IF('Smart Search'!C13=1,IFERROR(1/'Smart Search'!H13,0),0)</f>
        <v/>
      </c>
      <c r="Y98" s="64">
        <f>IF('Smart Search'!C13=1,IFERROR(1/'Smart Search'!H13,0),0)</f>
        <v/>
      </c>
      <c r="Z98" s="64">
        <f>IF('Smart Search'!D13=1,IFERROR(1/'Smart Search'!H13,0),0)</f>
        <v/>
      </c>
      <c r="AA98" s="64">
        <f>IF('Smart Search'!D13=1,IFERROR(1/'Smart Search'!H13,0),0)</f>
        <v/>
      </c>
      <c r="AB98" s="64">
        <f>IF('Smart Search'!E13=1,IFERROR(1/'Smart Search'!H13,0),0)</f>
        <v/>
      </c>
      <c r="AC98" s="64">
        <f>IF('Smart Search'!E13=1,IFERROR(1/'Smart Search'!H13,0),0)</f>
        <v/>
      </c>
      <c r="AD98" s="64">
        <f>IF('Smart Search'!F13=1,IFERROR(1/'Smart Search'!H13,0),0)</f>
        <v/>
      </c>
      <c r="AE98" s="64">
        <f>IF('Smart Search'!F13=1,IFERROR(1/'Smart Search'!H13,0),0)</f>
        <v/>
      </c>
      <c r="AF98" s="64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4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4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4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4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4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4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4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4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4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4">
        <f>AF98*V98</f>
        <v/>
      </c>
      <c r="AQ98" s="64">
        <f>AG98*W98</f>
        <v/>
      </c>
      <c r="AR98" s="64">
        <f>AH98*X98</f>
        <v/>
      </c>
      <c r="AS98" s="64">
        <f>AI98*Y98</f>
        <v/>
      </c>
      <c r="AT98" s="64">
        <f>AJ98*Z98</f>
        <v/>
      </c>
      <c r="AU98" s="64">
        <f>AK98*AA98</f>
        <v/>
      </c>
      <c r="AV98" s="64">
        <f>AL98*AB98</f>
        <v/>
      </c>
      <c r="AW98" s="64">
        <f>AM98*AC98</f>
        <v/>
      </c>
      <c r="AX98" s="64">
        <f>AN98*AD98</f>
        <v/>
      </c>
      <c r="AY98" s="64">
        <f>AO98*AE98</f>
        <v/>
      </c>
      <c r="AZ98" s="64">
        <f>INDEX(Projects[Automation Equipment],97)&amp;""</f>
        <v/>
      </c>
      <c r="BA98" s="64">
        <f>IF(OR(A98="",'Smart Search'!H13=0),"",MAX(0,BE98*BF98*MAX(0,1-BG98)))</f>
        <v/>
      </c>
      <c r="BB98" s="64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4">
        <f>IF('Smart Search'!G13=1,IFERROR(1/'Smart Search'!H13,0),0)</f>
        <v/>
      </c>
      <c r="BD98" s="64">
        <f>BB98*BC98</f>
        <v/>
      </c>
      <c r="BE98" s="64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IF(A98="","",N(INDEX(Projects[Act Mech Inst],97)))</f>
        <v/>
      </c>
      <c r="BK98" s="5">
        <f>IF(A98="","",N(INDEX(Projects[Act Elec Inst],97)))</f>
        <v/>
      </c>
      <c r="BL98" s="5">
        <f>IF(A98="","",N(INDEX(Projects[Act Project Management],97)))</f>
        <v/>
      </c>
      <c r="BM98" s="5">
        <f>IF(A98="","",N(INDEX(Projects[Act Systems Eng],97)))</f>
        <v/>
      </c>
      <c r="BN98" s="5">
        <f>IF(A98="","",N(INDEX(Projects[Act Mechanical Eng],97)))</f>
        <v/>
      </c>
      <c r="BO98" s="5">
        <f>IF(A98="","",N(INDEX(Projects[Act Structural Engineering],97)))</f>
        <v/>
      </c>
      <c r="BP98" s="5">
        <f>IF(A98="","",N(INDEX(Projects[Act Site Sup],97)))</f>
        <v/>
      </c>
      <c r="BQ98" s="5">
        <f>IF(A98="","",N(INDEX(Projects[Act Controls Commissioning],97)))</f>
        <v/>
      </c>
      <c r="BR98" s="5">
        <f>IF(A98="","",N(INDEX(Projects[Act Systems Commissioning],97)))</f>
        <v/>
      </c>
      <c r="BS98" s="5">
        <f>IF(A98="","",N(INDEX(Projects[Act Service Commissioning],97)))</f>
        <v/>
      </c>
      <c r="BT98" s="5">
        <f>IF(A98="","",N(INDEX(Projects[Act Controls Eng],97)))</f>
        <v/>
      </c>
      <c r="BU98" s="5">
        <f>IF(A98="","",N(INDEX(Projects[Act Controls Purchase],97)))</f>
        <v/>
      </c>
      <c r="BV98" s="5">
        <f>IF(A98="","",N(INDEX(Projects[Act Software Eng],97)))</f>
        <v/>
      </c>
      <c r="BW98" s="5">
        <f>IF(A98="","",N(INDEX(Projects[Act 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INDEX(Projects[Sold Value (USD M)],97)</f>
        <v/>
      </c>
      <c r="CE98" s="5" t="n"/>
      <c r="CF98" s="5">
        <f>IF(A98="","",N(INDEX(Projects[Est Mech Inst],97)))</f>
        <v/>
      </c>
      <c r="CG98" s="5">
        <f>IF(A98="","",N(INDEX(Projects[Est Elec Inst],97)))</f>
        <v/>
      </c>
      <c r="CH98" s="5">
        <f>IF(A98="","",N(INDEX(Projects[Est Project Management],97)))</f>
        <v/>
      </c>
      <c r="CI98" s="5">
        <f>IF(A98="","",N(INDEX(Projects[Est Systems Eng],97)))</f>
        <v/>
      </c>
      <c r="CJ98" s="5">
        <f>IF(A98="","",N(INDEX(Projects[Est Mechanical Eng],97)))</f>
        <v/>
      </c>
      <c r="CK98" s="5">
        <f>IF(A98="","",N(INDEX(Projects[Est Structural Engineering],97)))</f>
        <v/>
      </c>
      <c r="CL98" s="5">
        <f>IF(A98="","",N(INDEX(Projects[Est Site Sup],97)))</f>
        <v/>
      </c>
      <c r="CM98" s="5">
        <f>IF(A98="","",N(INDEX(Projects[Est Controls Commissioning],97)))</f>
        <v/>
      </c>
      <c r="CN98" s="5">
        <f>IF(A98="","",N(INDEX(Projects[Est Systems Commissioning],97)))</f>
        <v/>
      </c>
      <c r="CO98" s="5">
        <f>IF(A98="","",N(INDEX(Projects[Est Service Commissioning],97)))</f>
        <v/>
      </c>
      <c r="CP98" s="5">
        <f>IF(A98="","",N(INDEX(Projects[Est Controls Eng],97)))</f>
        <v/>
      </c>
      <c r="CQ98" s="5">
        <f>IF(A98="","",N(INDEX(Projects[Est Controls Purchase],97)))</f>
        <v/>
      </c>
      <c r="CR98" s="5">
        <f>IF(A98="","",N(INDEX(Projects[Est Software Eng],97)))</f>
        <v/>
      </c>
      <c r="CS98" s="5">
        <f>IF(A98="","",N(INDEX(Projects[Est Misc],97)))</f>
        <v/>
      </c>
      <c r="CT98" s="5">
        <f>IF(A98="","",SUM(CF98:CS98))</f>
        <v/>
      </c>
      <c r="CU98" s="5">
        <f>INDEX(Projects[Est Cost (M)],97)</f>
        <v/>
      </c>
      <c r="CV98" s="5">
        <f>INDEX(Projects[Act Cost (M)],97)</f>
        <v/>
      </c>
      <c r="CW98" s="5">
        <f>INDEX(Projects[Plan Mech Eng (wks)],97)</f>
        <v/>
      </c>
      <c r="CX98" s="5">
        <f>INDEX(Projects[Plan Controls Eng (wks)],97)</f>
        <v/>
      </c>
      <c r="CY98" s="5">
        <f>INDEX(Projects[Plan Systems Eng (wks)],97)</f>
        <v/>
      </c>
      <c r="CZ98" s="5">
        <f>INDEX(Projects[Plan Software Eng (wks)],97)</f>
        <v/>
      </c>
      <c r="DA98" s="5">
        <f>INDEX(Projects[Plan M&amp;E Installation (wks)],97)</f>
        <v/>
      </c>
      <c r="DB98" s="5">
        <f>INDEX(Projects[Plan Commissioning (wks)],97)</f>
        <v/>
      </c>
      <c r="DC98" s="5">
        <f>INDEX(Projects[Plan Total (wks)],97)</f>
        <v/>
      </c>
      <c r="DD98" s="5">
        <f>INDEX(Projects[Act Mech Eng (wks)],97)</f>
        <v/>
      </c>
      <c r="DE98" s="5">
        <f>INDEX(Projects[Act Controls Eng (wks)],97)</f>
        <v/>
      </c>
      <c r="DF98" s="5">
        <f>INDEX(Projects[Act Systems Eng (wks)],97)</f>
        <v/>
      </c>
      <c r="DG98" s="5">
        <f>INDEX(Projects[Act Software Eng (wks)],97)</f>
        <v/>
      </c>
      <c r="DH98" s="5">
        <f>INDEX(Projects[Act M&amp;E Installation (wks)],97)</f>
        <v/>
      </c>
      <c r="DI98" s="5">
        <f>INDEX(Projects[Act Commissioning (wks)],97)</f>
        <v/>
      </c>
      <c r="DJ98" s="5">
        <f>INDEX(Projects[Act Total (wks)],97)</f>
        <v/>
      </c>
    </row>
    <row r="99" ht="15" customHeight="1" s="82">
      <c r="A99" s="64">
        <f>INDEX(Projects[Project ID *],98)&amp;""</f>
        <v/>
      </c>
      <c r="B99" s="64">
        <f>INDEX(Projects[Project Name *],98)&amp;""</f>
        <v/>
      </c>
      <c r="C99" s="64">
        <f>INDEX(Projects[MS Shuttles],98)</f>
        <v/>
      </c>
      <c r="D99" s="64">
        <f>INDEX(Projects[MS Tote Locations],98)</f>
        <v/>
      </c>
      <c r="E99" s="64">
        <f>INDEX(Projects[AS Robots],98)</f>
        <v/>
      </c>
      <c r="F99" s="64">
        <f>INDEX(Projects[AS Tote Locations],98)</f>
        <v/>
      </c>
      <c r="G99" s="64">
        <f>INDEX(Projects[PS Shuttles],98)</f>
        <v/>
      </c>
      <c r="H99" s="64">
        <f>INDEX(Projects[PS Pallet Locations],98)</f>
        <v/>
      </c>
      <c r="I99" s="64">
        <f>INDEX(Projects[SRM Cranes],98)</f>
        <v/>
      </c>
      <c r="J99" s="64">
        <f>INDEX(Projects[SRM Pallet Locations],98)</f>
        <v/>
      </c>
      <c r="K99" s="64">
        <f>INDEX(Projects[Case Conv (m)],98)</f>
        <v/>
      </c>
      <c r="L99" s="64">
        <f>INDEX(Projects[Pallet Conv (m)],98)</f>
        <v/>
      </c>
      <c r="M99" s="64">
        <f>IF(N(DJ99)&gt;0,DD99,CW99)</f>
        <v/>
      </c>
      <c r="N99" s="64">
        <f>IF(N(DJ99)&gt;0,DE99,CX99)</f>
        <v/>
      </c>
      <c r="O99" s="64">
        <f>IF(N(DJ99)&gt;0,DF99,CY99)</f>
        <v/>
      </c>
      <c r="P99" s="64">
        <f>IF(N(DJ99)&gt;0,DG99,CZ99)</f>
        <v/>
      </c>
      <c r="Q99" s="64">
        <f>IF(N(DJ99)&gt;0,DH99,DA99)</f>
        <v/>
      </c>
      <c r="R99" s="64">
        <f>IF(N(DJ99)&gt;0,DI99,DB99)</f>
        <v/>
      </c>
      <c r="S99" s="64">
        <f>IF(N(DJ99)&gt;0,DJ99,DC99)</f>
        <v/>
      </c>
      <c r="T99" s="64">
        <f>INDEX(Projects[Currency],98)&amp;""</f>
        <v/>
      </c>
      <c r="U99" s="65">
        <f>INDEX(Projects[Sold Value (M)],98)</f>
        <v/>
      </c>
      <c r="V99" s="64">
        <f>IF('Smart Search'!B13=1,IFERROR(1/'Smart Search'!H13,0),0)</f>
        <v/>
      </c>
      <c r="W99" s="64">
        <f>IF('Smart Search'!B13=1,IFERROR(1/'Smart Search'!H13,0),0)</f>
        <v/>
      </c>
      <c r="X99" s="64">
        <f>IF('Smart Search'!C13=1,IFERROR(1/'Smart Search'!H13,0),0)</f>
        <v/>
      </c>
      <c r="Y99" s="64">
        <f>IF('Smart Search'!C13=1,IFERROR(1/'Smart Search'!H13,0),0)</f>
        <v/>
      </c>
      <c r="Z99" s="64">
        <f>IF('Smart Search'!D13=1,IFERROR(1/'Smart Search'!H13,0),0)</f>
        <v/>
      </c>
      <c r="AA99" s="64">
        <f>IF('Smart Search'!D13=1,IFERROR(1/'Smart Search'!H13,0),0)</f>
        <v/>
      </c>
      <c r="AB99" s="64">
        <f>IF('Smart Search'!E13=1,IFERROR(1/'Smart Search'!H13,0),0)</f>
        <v/>
      </c>
      <c r="AC99" s="64">
        <f>IF('Smart Search'!E13=1,IFERROR(1/'Smart Search'!H13,0),0)</f>
        <v/>
      </c>
      <c r="AD99" s="64">
        <f>IF('Smart Search'!F13=1,IFERROR(1/'Smart Search'!H13,0),0)</f>
        <v/>
      </c>
      <c r="AE99" s="64">
        <f>IF('Smart Search'!F13=1,IFERROR(1/'Smart Search'!H13,0),0)</f>
        <v/>
      </c>
      <c r="AF99" s="64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4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4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4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4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4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4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4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4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4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4">
        <f>AF99*V99</f>
        <v/>
      </c>
      <c r="AQ99" s="64">
        <f>AG99*W99</f>
        <v/>
      </c>
      <c r="AR99" s="64">
        <f>AH99*X99</f>
        <v/>
      </c>
      <c r="AS99" s="64">
        <f>AI99*Y99</f>
        <v/>
      </c>
      <c r="AT99" s="64">
        <f>AJ99*Z99</f>
        <v/>
      </c>
      <c r="AU99" s="64">
        <f>AK99*AA99</f>
        <v/>
      </c>
      <c r="AV99" s="64">
        <f>AL99*AB99</f>
        <v/>
      </c>
      <c r="AW99" s="64">
        <f>AM99*AC99</f>
        <v/>
      </c>
      <c r="AX99" s="64">
        <f>AN99*AD99</f>
        <v/>
      </c>
      <c r="AY99" s="64">
        <f>AO99*AE99</f>
        <v/>
      </c>
      <c r="AZ99" s="64">
        <f>INDEX(Projects[Automation Equipment],98)&amp;""</f>
        <v/>
      </c>
      <c r="BA99" s="64">
        <f>IF(OR(A99="",'Smart Search'!H13=0),"",MAX(0,BE99*BF99*MAX(0,1-BG99)))</f>
        <v/>
      </c>
      <c r="BB99" s="64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4">
        <f>IF('Smart Search'!G13=1,IFERROR(1/'Smart Search'!H13,0),0)</f>
        <v/>
      </c>
      <c r="BD99" s="64">
        <f>BB99*BC99</f>
        <v/>
      </c>
      <c r="BE99" s="64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IF(A99="","",N(INDEX(Projects[Act Mech Inst],98)))</f>
        <v/>
      </c>
      <c r="BK99" s="5">
        <f>IF(A99="","",N(INDEX(Projects[Act Elec Inst],98)))</f>
        <v/>
      </c>
      <c r="BL99" s="5">
        <f>IF(A99="","",N(INDEX(Projects[Act Project Management],98)))</f>
        <v/>
      </c>
      <c r="BM99" s="5">
        <f>IF(A99="","",N(INDEX(Projects[Act Systems Eng],98)))</f>
        <v/>
      </c>
      <c r="BN99" s="5">
        <f>IF(A99="","",N(INDEX(Projects[Act Mechanical Eng],98)))</f>
        <v/>
      </c>
      <c r="BO99" s="5">
        <f>IF(A99="","",N(INDEX(Projects[Act Structural Engineering],98)))</f>
        <v/>
      </c>
      <c r="BP99" s="5">
        <f>IF(A99="","",N(INDEX(Projects[Act Site Sup],98)))</f>
        <v/>
      </c>
      <c r="BQ99" s="5">
        <f>IF(A99="","",N(INDEX(Projects[Act Controls Commissioning],98)))</f>
        <v/>
      </c>
      <c r="BR99" s="5">
        <f>IF(A99="","",N(INDEX(Projects[Act Systems Commissioning],98)))</f>
        <v/>
      </c>
      <c r="BS99" s="5">
        <f>IF(A99="","",N(INDEX(Projects[Act Service Commissioning],98)))</f>
        <v/>
      </c>
      <c r="BT99" s="5">
        <f>IF(A99="","",N(INDEX(Projects[Act Controls Eng],98)))</f>
        <v/>
      </c>
      <c r="BU99" s="5">
        <f>IF(A99="","",N(INDEX(Projects[Act Controls Purchase],98)))</f>
        <v/>
      </c>
      <c r="BV99" s="5">
        <f>IF(A99="","",N(INDEX(Projects[Act Software Eng],98)))</f>
        <v/>
      </c>
      <c r="BW99" s="5">
        <f>IF(A99="","",N(INDEX(Projects[Act 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INDEX(Projects[Sold Value (USD M)],98)</f>
        <v/>
      </c>
      <c r="CE99" s="5" t="n"/>
      <c r="CF99" s="5">
        <f>IF(A99="","",N(INDEX(Projects[Est Mech Inst],98)))</f>
        <v/>
      </c>
      <c r="CG99" s="5">
        <f>IF(A99="","",N(INDEX(Projects[Est Elec Inst],98)))</f>
        <v/>
      </c>
      <c r="CH99" s="5">
        <f>IF(A99="","",N(INDEX(Projects[Est Project Management],98)))</f>
        <v/>
      </c>
      <c r="CI99" s="5">
        <f>IF(A99="","",N(INDEX(Projects[Est Systems Eng],98)))</f>
        <v/>
      </c>
      <c r="CJ99" s="5">
        <f>IF(A99="","",N(INDEX(Projects[Est Mechanical Eng],98)))</f>
        <v/>
      </c>
      <c r="CK99" s="5">
        <f>IF(A99="","",N(INDEX(Projects[Est Structural Engineering],98)))</f>
        <v/>
      </c>
      <c r="CL99" s="5">
        <f>IF(A99="","",N(INDEX(Projects[Est Site Sup],98)))</f>
        <v/>
      </c>
      <c r="CM99" s="5">
        <f>IF(A99="","",N(INDEX(Projects[Est Controls Commissioning],98)))</f>
        <v/>
      </c>
      <c r="CN99" s="5">
        <f>IF(A99="","",N(INDEX(Projects[Est Systems Commissioning],98)))</f>
        <v/>
      </c>
      <c r="CO99" s="5">
        <f>IF(A99="","",N(INDEX(Projects[Est Service Commissioning],98)))</f>
        <v/>
      </c>
      <c r="CP99" s="5">
        <f>IF(A99="","",N(INDEX(Projects[Est Controls Eng],98)))</f>
        <v/>
      </c>
      <c r="CQ99" s="5">
        <f>IF(A99="","",N(INDEX(Projects[Est Controls Purchase],98)))</f>
        <v/>
      </c>
      <c r="CR99" s="5">
        <f>IF(A99="","",N(INDEX(Projects[Est Software Eng],98)))</f>
        <v/>
      </c>
      <c r="CS99" s="5">
        <f>IF(A99="","",N(INDEX(Projects[Est Misc],98)))</f>
        <v/>
      </c>
      <c r="CT99" s="5">
        <f>IF(A99="","",SUM(CF99:CS99))</f>
        <v/>
      </c>
      <c r="CU99" s="5">
        <f>INDEX(Projects[Est Cost (M)],98)</f>
        <v/>
      </c>
      <c r="CV99" s="5">
        <f>INDEX(Projects[Act Cost (M)],98)</f>
        <v/>
      </c>
      <c r="CW99" s="5">
        <f>INDEX(Projects[Plan Mech Eng (wks)],98)</f>
        <v/>
      </c>
      <c r="CX99" s="5">
        <f>INDEX(Projects[Plan Controls Eng (wks)],98)</f>
        <v/>
      </c>
      <c r="CY99" s="5">
        <f>INDEX(Projects[Plan Systems Eng (wks)],98)</f>
        <v/>
      </c>
      <c r="CZ99" s="5">
        <f>INDEX(Projects[Plan Software Eng (wks)],98)</f>
        <v/>
      </c>
      <c r="DA99" s="5">
        <f>INDEX(Projects[Plan M&amp;E Installation (wks)],98)</f>
        <v/>
      </c>
      <c r="DB99" s="5">
        <f>INDEX(Projects[Plan Commissioning (wks)],98)</f>
        <v/>
      </c>
      <c r="DC99" s="5">
        <f>INDEX(Projects[Plan Total (wks)],98)</f>
        <v/>
      </c>
      <c r="DD99" s="5">
        <f>INDEX(Projects[Act Mech Eng (wks)],98)</f>
        <v/>
      </c>
      <c r="DE99" s="5">
        <f>INDEX(Projects[Act Controls Eng (wks)],98)</f>
        <v/>
      </c>
      <c r="DF99" s="5">
        <f>INDEX(Projects[Act Systems Eng (wks)],98)</f>
        <v/>
      </c>
      <c r="DG99" s="5">
        <f>INDEX(Projects[Act Software Eng (wks)],98)</f>
        <v/>
      </c>
      <c r="DH99" s="5">
        <f>INDEX(Projects[Act M&amp;E Installation (wks)],98)</f>
        <v/>
      </c>
      <c r="DI99" s="5">
        <f>INDEX(Projects[Act Commissioning (wks)],98)</f>
        <v/>
      </c>
      <c r="DJ99" s="5">
        <f>INDEX(Projects[Act Total (wks)],98)</f>
        <v/>
      </c>
    </row>
    <row r="100" ht="15" customHeight="1" s="82">
      <c r="A100" s="64">
        <f>INDEX(Projects[Project ID *],99)&amp;""</f>
        <v/>
      </c>
      <c r="B100" s="64">
        <f>INDEX(Projects[Project Name *],99)&amp;""</f>
        <v/>
      </c>
      <c r="C100" s="64">
        <f>INDEX(Projects[MS Shuttles],99)</f>
        <v/>
      </c>
      <c r="D100" s="64">
        <f>INDEX(Projects[MS Tote Locations],99)</f>
        <v/>
      </c>
      <c r="E100" s="64">
        <f>INDEX(Projects[AS Robots],99)</f>
        <v/>
      </c>
      <c r="F100" s="64">
        <f>INDEX(Projects[AS Tote Locations],99)</f>
        <v/>
      </c>
      <c r="G100" s="64">
        <f>INDEX(Projects[PS Shuttles],99)</f>
        <v/>
      </c>
      <c r="H100" s="64">
        <f>INDEX(Projects[PS Pallet Locations],99)</f>
        <v/>
      </c>
      <c r="I100" s="64">
        <f>INDEX(Projects[SRM Cranes],99)</f>
        <v/>
      </c>
      <c r="J100" s="64">
        <f>INDEX(Projects[SRM Pallet Locations],99)</f>
        <v/>
      </c>
      <c r="K100" s="64">
        <f>INDEX(Projects[Case Conv (m)],99)</f>
        <v/>
      </c>
      <c r="L100" s="64">
        <f>INDEX(Projects[Pallet Conv (m)],99)</f>
        <v/>
      </c>
      <c r="M100" s="64">
        <f>IF(N(DJ100)&gt;0,DD100,CW100)</f>
        <v/>
      </c>
      <c r="N100" s="64">
        <f>IF(N(DJ100)&gt;0,DE100,CX100)</f>
        <v/>
      </c>
      <c r="O100" s="64">
        <f>IF(N(DJ100)&gt;0,DF100,CY100)</f>
        <v/>
      </c>
      <c r="P100" s="64">
        <f>IF(N(DJ100)&gt;0,DG100,CZ100)</f>
        <v/>
      </c>
      <c r="Q100" s="64">
        <f>IF(N(DJ100)&gt;0,DH100,DA100)</f>
        <v/>
      </c>
      <c r="R100" s="64">
        <f>IF(N(DJ100)&gt;0,DI100,DB100)</f>
        <v/>
      </c>
      <c r="S100" s="64">
        <f>IF(N(DJ100)&gt;0,DJ100,DC100)</f>
        <v/>
      </c>
      <c r="T100" s="64">
        <f>INDEX(Projects[Currency],99)&amp;""</f>
        <v/>
      </c>
      <c r="U100" s="65">
        <f>INDEX(Projects[Sold Value (M)],99)</f>
        <v/>
      </c>
      <c r="V100" s="64">
        <f>IF('Smart Search'!B13=1,IFERROR(1/'Smart Search'!H13,0),0)</f>
        <v/>
      </c>
      <c r="W100" s="64">
        <f>IF('Smart Search'!B13=1,IFERROR(1/'Smart Search'!H13,0),0)</f>
        <v/>
      </c>
      <c r="X100" s="64">
        <f>IF('Smart Search'!C13=1,IFERROR(1/'Smart Search'!H13,0),0)</f>
        <v/>
      </c>
      <c r="Y100" s="64">
        <f>IF('Smart Search'!C13=1,IFERROR(1/'Smart Search'!H13,0),0)</f>
        <v/>
      </c>
      <c r="Z100" s="64">
        <f>IF('Smart Search'!D13=1,IFERROR(1/'Smart Search'!H13,0),0)</f>
        <v/>
      </c>
      <c r="AA100" s="64">
        <f>IF('Smart Search'!D13=1,IFERROR(1/'Smart Search'!H13,0),0)</f>
        <v/>
      </c>
      <c r="AB100" s="64">
        <f>IF('Smart Search'!E13=1,IFERROR(1/'Smart Search'!H13,0),0)</f>
        <v/>
      </c>
      <c r="AC100" s="64">
        <f>IF('Smart Search'!E13=1,IFERROR(1/'Smart Search'!H13,0),0)</f>
        <v/>
      </c>
      <c r="AD100" s="64">
        <f>IF('Smart Search'!F13=1,IFERROR(1/'Smart Search'!H13,0),0)</f>
        <v/>
      </c>
      <c r="AE100" s="64">
        <f>IF('Smart Search'!F13=1,IFERROR(1/'Smart Search'!H13,0),0)</f>
        <v/>
      </c>
      <c r="AF100" s="64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4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4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4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4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4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4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4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4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4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4">
        <f>AF100*V100</f>
        <v/>
      </c>
      <c r="AQ100" s="64">
        <f>AG100*W100</f>
        <v/>
      </c>
      <c r="AR100" s="64">
        <f>AH100*X100</f>
        <v/>
      </c>
      <c r="AS100" s="64">
        <f>AI100*Y100</f>
        <v/>
      </c>
      <c r="AT100" s="64">
        <f>AJ100*Z100</f>
        <v/>
      </c>
      <c r="AU100" s="64">
        <f>AK100*AA100</f>
        <v/>
      </c>
      <c r="AV100" s="64">
        <f>AL100*AB100</f>
        <v/>
      </c>
      <c r="AW100" s="64">
        <f>AM100*AC100</f>
        <v/>
      </c>
      <c r="AX100" s="64">
        <f>AN100*AD100</f>
        <v/>
      </c>
      <c r="AY100" s="64">
        <f>AO100*AE100</f>
        <v/>
      </c>
      <c r="AZ100" s="64">
        <f>INDEX(Projects[Automation Equipment],99)&amp;""</f>
        <v/>
      </c>
      <c r="BA100" s="64">
        <f>IF(OR(A100="",'Smart Search'!H13=0),"",MAX(0,BE100*BF100*MAX(0,1-BG100)))</f>
        <v/>
      </c>
      <c r="BB100" s="64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4">
        <f>IF('Smart Search'!G13=1,IFERROR(1/'Smart Search'!H13,0),0)</f>
        <v/>
      </c>
      <c r="BD100" s="64">
        <f>BB100*BC100</f>
        <v/>
      </c>
      <c r="BE100" s="64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IF(A100="","",N(INDEX(Projects[Act Mech Inst],99)))</f>
        <v/>
      </c>
      <c r="BK100" s="5">
        <f>IF(A100="","",N(INDEX(Projects[Act Elec Inst],99)))</f>
        <v/>
      </c>
      <c r="BL100" s="5">
        <f>IF(A100="","",N(INDEX(Projects[Act Project Management],99)))</f>
        <v/>
      </c>
      <c r="BM100" s="5">
        <f>IF(A100="","",N(INDEX(Projects[Act Systems Eng],99)))</f>
        <v/>
      </c>
      <c r="BN100" s="5">
        <f>IF(A100="","",N(INDEX(Projects[Act Mechanical Eng],99)))</f>
        <v/>
      </c>
      <c r="BO100" s="5">
        <f>IF(A100="","",N(INDEX(Projects[Act Structural Engineering],99)))</f>
        <v/>
      </c>
      <c r="BP100" s="5">
        <f>IF(A100="","",N(INDEX(Projects[Act Site Sup],99)))</f>
        <v/>
      </c>
      <c r="BQ100" s="5">
        <f>IF(A100="","",N(INDEX(Projects[Act Controls Commissioning],99)))</f>
        <v/>
      </c>
      <c r="BR100" s="5">
        <f>IF(A100="","",N(INDEX(Projects[Act Systems Commissioning],99)))</f>
        <v/>
      </c>
      <c r="BS100" s="5">
        <f>IF(A100="","",N(INDEX(Projects[Act Service Commissioning],99)))</f>
        <v/>
      </c>
      <c r="BT100" s="5">
        <f>IF(A100="","",N(INDEX(Projects[Act Controls Eng],99)))</f>
        <v/>
      </c>
      <c r="BU100" s="5">
        <f>IF(A100="","",N(INDEX(Projects[Act Controls Purchase],99)))</f>
        <v/>
      </c>
      <c r="BV100" s="5">
        <f>IF(A100="","",N(INDEX(Projects[Act Software Eng],99)))</f>
        <v/>
      </c>
      <c r="BW100" s="5">
        <f>IF(A100="","",N(INDEX(Projects[Act 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INDEX(Projects[Sold Value (USD M)],99)</f>
        <v/>
      </c>
      <c r="CE100" s="5" t="n"/>
      <c r="CF100" s="5">
        <f>IF(A100="","",N(INDEX(Projects[Est Mech Inst],99)))</f>
        <v/>
      </c>
      <c r="CG100" s="5">
        <f>IF(A100="","",N(INDEX(Projects[Est Elec Inst],99)))</f>
        <v/>
      </c>
      <c r="CH100" s="5">
        <f>IF(A100="","",N(INDEX(Projects[Est Project Management],99)))</f>
        <v/>
      </c>
      <c r="CI100" s="5">
        <f>IF(A100="","",N(INDEX(Projects[Est Systems Eng],99)))</f>
        <v/>
      </c>
      <c r="CJ100" s="5">
        <f>IF(A100="","",N(INDEX(Projects[Est Mechanical Eng],99)))</f>
        <v/>
      </c>
      <c r="CK100" s="5">
        <f>IF(A100="","",N(INDEX(Projects[Est Structural Engineering],99)))</f>
        <v/>
      </c>
      <c r="CL100" s="5">
        <f>IF(A100="","",N(INDEX(Projects[Est Site Sup],99)))</f>
        <v/>
      </c>
      <c r="CM100" s="5">
        <f>IF(A100="","",N(INDEX(Projects[Est Controls Commissioning],99)))</f>
        <v/>
      </c>
      <c r="CN100" s="5">
        <f>IF(A100="","",N(INDEX(Projects[Est Systems Commissioning],99)))</f>
        <v/>
      </c>
      <c r="CO100" s="5">
        <f>IF(A100="","",N(INDEX(Projects[Est Service Commissioning],99)))</f>
        <v/>
      </c>
      <c r="CP100" s="5">
        <f>IF(A100="","",N(INDEX(Projects[Est Controls Eng],99)))</f>
        <v/>
      </c>
      <c r="CQ100" s="5">
        <f>IF(A100="","",N(INDEX(Projects[Est Controls Purchase],99)))</f>
        <v/>
      </c>
      <c r="CR100" s="5">
        <f>IF(A100="","",N(INDEX(Projects[Est Software Eng],99)))</f>
        <v/>
      </c>
      <c r="CS100" s="5">
        <f>IF(A100="","",N(INDEX(Projects[Est Misc],99)))</f>
        <v/>
      </c>
      <c r="CT100" s="5">
        <f>IF(A100="","",SUM(CF100:CS100))</f>
        <v/>
      </c>
      <c r="CU100" s="5">
        <f>INDEX(Projects[Est Cost (M)],99)</f>
        <v/>
      </c>
      <c r="CV100" s="5">
        <f>INDEX(Projects[Act Cost (M)],99)</f>
        <v/>
      </c>
      <c r="CW100" s="5">
        <f>INDEX(Projects[Plan Mech Eng (wks)],99)</f>
        <v/>
      </c>
      <c r="CX100" s="5">
        <f>INDEX(Projects[Plan Controls Eng (wks)],99)</f>
        <v/>
      </c>
      <c r="CY100" s="5">
        <f>INDEX(Projects[Plan Systems Eng (wks)],99)</f>
        <v/>
      </c>
      <c r="CZ100" s="5">
        <f>INDEX(Projects[Plan Software Eng (wks)],99)</f>
        <v/>
      </c>
      <c r="DA100" s="5">
        <f>INDEX(Projects[Plan M&amp;E Installation (wks)],99)</f>
        <v/>
      </c>
      <c r="DB100" s="5">
        <f>INDEX(Projects[Plan Commissioning (wks)],99)</f>
        <v/>
      </c>
      <c r="DC100" s="5">
        <f>INDEX(Projects[Plan Total (wks)],99)</f>
        <v/>
      </c>
      <c r="DD100" s="5">
        <f>INDEX(Projects[Act Mech Eng (wks)],99)</f>
        <v/>
      </c>
      <c r="DE100" s="5">
        <f>INDEX(Projects[Act Controls Eng (wks)],99)</f>
        <v/>
      </c>
      <c r="DF100" s="5">
        <f>INDEX(Projects[Act Systems Eng (wks)],99)</f>
        <v/>
      </c>
      <c r="DG100" s="5">
        <f>INDEX(Projects[Act Software Eng (wks)],99)</f>
        <v/>
      </c>
      <c r="DH100" s="5">
        <f>INDEX(Projects[Act M&amp;E Installation (wks)],99)</f>
        <v/>
      </c>
      <c r="DI100" s="5">
        <f>INDEX(Projects[Act Commissioning (wks)],99)</f>
        <v/>
      </c>
      <c r="DJ100" s="5">
        <f>INDEX(Projects[Act Total (wks)],99)</f>
        <v/>
      </c>
    </row>
    <row r="101" ht="15" customHeight="1" s="82">
      <c r="A101" s="64">
        <f>INDEX(Projects[Project ID *],100)&amp;""</f>
        <v/>
      </c>
      <c r="B101" s="64">
        <f>INDEX(Projects[Project Name *],100)&amp;""</f>
        <v/>
      </c>
      <c r="C101" s="64">
        <f>INDEX(Projects[MS Shuttles],100)</f>
        <v/>
      </c>
      <c r="D101" s="64">
        <f>INDEX(Projects[MS Tote Locations],100)</f>
        <v/>
      </c>
      <c r="E101" s="64">
        <f>INDEX(Projects[AS Robots],100)</f>
        <v/>
      </c>
      <c r="F101" s="64">
        <f>INDEX(Projects[AS Tote Locations],100)</f>
        <v/>
      </c>
      <c r="G101" s="64">
        <f>INDEX(Projects[PS Shuttles],100)</f>
        <v/>
      </c>
      <c r="H101" s="64">
        <f>INDEX(Projects[PS Pallet Locations],100)</f>
        <v/>
      </c>
      <c r="I101" s="64">
        <f>INDEX(Projects[SRM Cranes],100)</f>
        <v/>
      </c>
      <c r="J101" s="64">
        <f>INDEX(Projects[SRM Pallet Locations],100)</f>
        <v/>
      </c>
      <c r="K101" s="64">
        <f>INDEX(Projects[Case Conv (m)],100)</f>
        <v/>
      </c>
      <c r="L101" s="64">
        <f>INDEX(Projects[Pallet Conv (m)],100)</f>
        <v/>
      </c>
      <c r="M101" s="64">
        <f>IF(N(DJ101)&gt;0,DD101,CW101)</f>
        <v/>
      </c>
      <c r="N101" s="64">
        <f>IF(N(DJ101)&gt;0,DE101,CX101)</f>
        <v/>
      </c>
      <c r="O101" s="64">
        <f>IF(N(DJ101)&gt;0,DF101,CY101)</f>
        <v/>
      </c>
      <c r="P101" s="64">
        <f>IF(N(DJ101)&gt;0,DG101,CZ101)</f>
        <v/>
      </c>
      <c r="Q101" s="64">
        <f>IF(N(DJ101)&gt;0,DH101,DA101)</f>
        <v/>
      </c>
      <c r="R101" s="64">
        <f>IF(N(DJ101)&gt;0,DI101,DB101)</f>
        <v/>
      </c>
      <c r="S101" s="64">
        <f>IF(N(DJ101)&gt;0,DJ101,DC101)</f>
        <v/>
      </c>
      <c r="T101" s="64">
        <f>INDEX(Projects[Currency],100)&amp;""</f>
        <v/>
      </c>
      <c r="U101" s="65">
        <f>INDEX(Projects[Sold Value (M)],100)</f>
        <v/>
      </c>
      <c r="V101" s="64">
        <f>IF('Smart Search'!B13=1,IFERROR(1/'Smart Search'!H13,0),0)</f>
        <v/>
      </c>
      <c r="W101" s="64">
        <f>IF('Smart Search'!B13=1,IFERROR(1/'Smart Search'!H13,0),0)</f>
        <v/>
      </c>
      <c r="X101" s="64">
        <f>IF('Smart Search'!C13=1,IFERROR(1/'Smart Search'!H13,0),0)</f>
        <v/>
      </c>
      <c r="Y101" s="64">
        <f>IF('Smart Search'!C13=1,IFERROR(1/'Smart Search'!H13,0),0)</f>
        <v/>
      </c>
      <c r="Z101" s="64">
        <f>IF('Smart Search'!D13=1,IFERROR(1/'Smart Search'!H13,0),0)</f>
        <v/>
      </c>
      <c r="AA101" s="64">
        <f>IF('Smart Search'!D13=1,IFERROR(1/'Smart Search'!H13,0),0)</f>
        <v/>
      </c>
      <c r="AB101" s="64">
        <f>IF('Smart Search'!E13=1,IFERROR(1/'Smart Search'!H13,0),0)</f>
        <v/>
      </c>
      <c r="AC101" s="64">
        <f>IF('Smart Search'!E13=1,IFERROR(1/'Smart Search'!H13,0),0)</f>
        <v/>
      </c>
      <c r="AD101" s="64">
        <f>IF('Smart Search'!F13=1,IFERROR(1/'Smart Search'!H13,0),0)</f>
        <v/>
      </c>
      <c r="AE101" s="64">
        <f>IF('Smart Search'!F13=1,IFERROR(1/'Smart Search'!H13,0),0)</f>
        <v/>
      </c>
      <c r="AF101" s="64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4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4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4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4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4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4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4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4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4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4">
        <f>AF101*V101</f>
        <v/>
      </c>
      <c r="AQ101" s="64">
        <f>AG101*W101</f>
        <v/>
      </c>
      <c r="AR101" s="64">
        <f>AH101*X101</f>
        <v/>
      </c>
      <c r="AS101" s="64">
        <f>AI101*Y101</f>
        <v/>
      </c>
      <c r="AT101" s="64">
        <f>AJ101*Z101</f>
        <v/>
      </c>
      <c r="AU101" s="64">
        <f>AK101*AA101</f>
        <v/>
      </c>
      <c r="AV101" s="64">
        <f>AL101*AB101</f>
        <v/>
      </c>
      <c r="AW101" s="64">
        <f>AM101*AC101</f>
        <v/>
      </c>
      <c r="AX101" s="64">
        <f>AN101*AD101</f>
        <v/>
      </c>
      <c r="AY101" s="64">
        <f>AO101*AE101</f>
        <v/>
      </c>
      <c r="AZ101" s="64">
        <f>INDEX(Projects[Automation Equipment],100)&amp;""</f>
        <v/>
      </c>
      <c r="BA101" s="64">
        <f>IF(OR(A101="",'Smart Search'!H13=0),"",MAX(0,BE101*BF101*MAX(0,1-BG101)))</f>
        <v/>
      </c>
      <c r="BB101" s="64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4">
        <f>IF('Smart Search'!G13=1,IFERROR(1/'Smart Search'!H13,0),0)</f>
        <v/>
      </c>
      <c r="BD101" s="64">
        <f>BB101*BC101</f>
        <v/>
      </c>
      <c r="BE101" s="64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IF(A101="","",N(INDEX(Projects[Act Mech Inst],100)))</f>
        <v/>
      </c>
      <c r="BK101" s="5">
        <f>IF(A101="","",N(INDEX(Projects[Act Elec Inst],100)))</f>
        <v/>
      </c>
      <c r="BL101" s="5">
        <f>IF(A101="","",N(INDEX(Projects[Act Project Management],100)))</f>
        <v/>
      </c>
      <c r="BM101" s="5">
        <f>IF(A101="","",N(INDEX(Projects[Act Systems Eng],100)))</f>
        <v/>
      </c>
      <c r="BN101" s="5">
        <f>IF(A101="","",N(INDEX(Projects[Act Mechanical Eng],100)))</f>
        <v/>
      </c>
      <c r="BO101" s="5">
        <f>IF(A101="","",N(INDEX(Projects[Act Structural Engineering],100)))</f>
        <v/>
      </c>
      <c r="BP101" s="5">
        <f>IF(A101="","",N(INDEX(Projects[Act Site Sup],100)))</f>
        <v/>
      </c>
      <c r="BQ101" s="5">
        <f>IF(A101="","",N(INDEX(Projects[Act Controls Commissioning],100)))</f>
        <v/>
      </c>
      <c r="BR101" s="5">
        <f>IF(A101="","",N(INDEX(Projects[Act Systems Commissioning],100)))</f>
        <v/>
      </c>
      <c r="BS101" s="5">
        <f>IF(A101="","",N(INDEX(Projects[Act Service Commissioning],100)))</f>
        <v/>
      </c>
      <c r="BT101" s="5">
        <f>IF(A101="","",N(INDEX(Projects[Act Controls Eng],100)))</f>
        <v/>
      </c>
      <c r="BU101" s="5">
        <f>IF(A101="","",N(INDEX(Projects[Act Controls Purchase],100)))</f>
        <v/>
      </c>
      <c r="BV101" s="5">
        <f>IF(A101="","",N(INDEX(Projects[Act Software Eng],100)))</f>
        <v/>
      </c>
      <c r="BW101" s="5">
        <f>IF(A101="","",N(INDEX(Projects[Act 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INDEX(Projects[Sold Value (USD M)],100)</f>
        <v/>
      </c>
      <c r="CE101" s="5" t="n"/>
      <c r="CF101" s="5">
        <f>IF(A101="","",N(INDEX(Projects[Est Mech Inst],100)))</f>
        <v/>
      </c>
      <c r="CG101" s="5">
        <f>IF(A101="","",N(INDEX(Projects[Est Elec Inst],100)))</f>
        <v/>
      </c>
      <c r="CH101" s="5">
        <f>IF(A101="","",N(INDEX(Projects[Est Project Management],100)))</f>
        <v/>
      </c>
      <c r="CI101" s="5">
        <f>IF(A101="","",N(INDEX(Projects[Est Systems Eng],100)))</f>
        <v/>
      </c>
      <c r="CJ101" s="5">
        <f>IF(A101="","",N(INDEX(Projects[Est Mechanical Eng],100)))</f>
        <v/>
      </c>
      <c r="CK101" s="5">
        <f>IF(A101="","",N(INDEX(Projects[Est Structural Engineering],100)))</f>
        <v/>
      </c>
      <c r="CL101" s="5">
        <f>IF(A101="","",N(INDEX(Projects[Est Site Sup],100)))</f>
        <v/>
      </c>
      <c r="CM101" s="5">
        <f>IF(A101="","",N(INDEX(Projects[Est Controls Commissioning],100)))</f>
        <v/>
      </c>
      <c r="CN101" s="5">
        <f>IF(A101="","",N(INDEX(Projects[Est Systems Commissioning],100)))</f>
        <v/>
      </c>
      <c r="CO101" s="5">
        <f>IF(A101="","",N(INDEX(Projects[Est Service Commissioning],100)))</f>
        <v/>
      </c>
      <c r="CP101" s="5">
        <f>IF(A101="","",N(INDEX(Projects[Est Controls Eng],100)))</f>
        <v/>
      </c>
      <c r="CQ101" s="5">
        <f>IF(A101="","",N(INDEX(Projects[Est Controls Purchase],100)))</f>
        <v/>
      </c>
      <c r="CR101" s="5">
        <f>IF(A101="","",N(INDEX(Projects[Est Software Eng],100)))</f>
        <v/>
      </c>
      <c r="CS101" s="5">
        <f>IF(A101="","",N(INDEX(Projects[Est Misc],100)))</f>
        <v/>
      </c>
      <c r="CT101" s="5">
        <f>IF(A101="","",SUM(CF101:CS101))</f>
        <v/>
      </c>
      <c r="CU101" s="5">
        <f>INDEX(Projects[Est Cost (M)],100)</f>
        <v/>
      </c>
      <c r="CV101" s="5">
        <f>INDEX(Projects[Act Cost (M)],100)</f>
        <v/>
      </c>
      <c r="CW101" s="5">
        <f>INDEX(Projects[Plan Mech Eng (wks)],100)</f>
        <v/>
      </c>
      <c r="CX101" s="5">
        <f>INDEX(Projects[Plan Controls Eng (wks)],100)</f>
        <v/>
      </c>
      <c r="CY101" s="5">
        <f>INDEX(Projects[Plan Systems Eng (wks)],100)</f>
        <v/>
      </c>
      <c r="CZ101" s="5">
        <f>INDEX(Projects[Plan Software Eng (wks)],100)</f>
        <v/>
      </c>
      <c r="DA101" s="5">
        <f>INDEX(Projects[Plan M&amp;E Installation (wks)],100)</f>
        <v/>
      </c>
      <c r="DB101" s="5">
        <f>INDEX(Projects[Plan Commissioning (wks)],100)</f>
        <v/>
      </c>
      <c r="DC101" s="5">
        <f>INDEX(Projects[Plan Total (wks)],100)</f>
        <v/>
      </c>
      <c r="DD101" s="5">
        <f>INDEX(Projects[Act Mech Eng (wks)],100)</f>
        <v/>
      </c>
      <c r="DE101" s="5">
        <f>INDEX(Projects[Act Controls Eng (wks)],100)</f>
        <v/>
      </c>
      <c r="DF101" s="5">
        <f>INDEX(Projects[Act Systems Eng (wks)],100)</f>
        <v/>
      </c>
      <c r="DG101" s="5">
        <f>INDEX(Projects[Act Software Eng (wks)],100)</f>
        <v/>
      </c>
      <c r="DH101" s="5">
        <f>INDEX(Projects[Act M&amp;E Installation (wks)],100)</f>
        <v/>
      </c>
      <c r="DI101" s="5">
        <f>INDEX(Projects[Act Commissioning (wks)],100)</f>
        <v/>
      </c>
      <c r="DJ101" s="5">
        <f>INDEX(Projects[Act Total (wks)],100)</f>
        <v/>
      </c>
    </row>
    <row r="102" ht="15" customHeight="1" s="82">
      <c r="A102" s="64">
        <f>INDEX(Projects[Project ID *],101)&amp;""</f>
        <v/>
      </c>
      <c r="B102" s="64">
        <f>INDEX(Projects[Project Name *],101)&amp;""</f>
        <v/>
      </c>
      <c r="C102" s="64">
        <f>INDEX(Projects[MS Shuttles],101)</f>
        <v/>
      </c>
      <c r="D102" s="64">
        <f>INDEX(Projects[MS Tote Locations],101)</f>
        <v/>
      </c>
      <c r="E102" s="64">
        <f>INDEX(Projects[AS Robots],101)</f>
        <v/>
      </c>
      <c r="F102" s="64">
        <f>INDEX(Projects[AS Tote Locations],101)</f>
        <v/>
      </c>
      <c r="G102" s="64">
        <f>INDEX(Projects[PS Shuttles],101)</f>
        <v/>
      </c>
      <c r="H102" s="64">
        <f>INDEX(Projects[PS Pallet Locations],101)</f>
        <v/>
      </c>
      <c r="I102" s="64">
        <f>INDEX(Projects[SRM Cranes],101)</f>
        <v/>
      </c>
      <c r="J102" s="64">
        <f>INDEX(Projects[SRM Pallet Locations],101)</f>
        <v/>
      </c>
      <c r="K102" s="64">
        <f>INDEX(Projects[Case Conv (m)],101)</f>
        <v/>
      </c>
      <c r="L102" s="64">
        <f>INDEX(Projects[Pallet Conv (m)],101)</f>
        <v/>
      </c>
      <c r="M102" s="64">
        <f>IF(N(DJ102)&gt;0,DD102,CW102)</f>
        <v/>
      </c>
      <c r="N102" s="64">
        <f>IF(N(DJ102)&gt;0,DE102,CX102)</f>
        <v/>
      </c>
      <c r="O102" s="64">
        <f>IF(N(DJ102)&gt;0,DF102,CY102)</f>
        <v/>
      </c>
      <c r="P102" s="64">
        <f>IF(N(DJ102)&gt;0,DG102,CZ102)</f>
        <v/>
      </c>
      <c r="Q102" s="64">
        <f>IF(N(DJ102)&gt;0,DH102,DA102)</f>
        <v/>
      </c>
      <c r="R102" s="64">
        <f>IF(N(DJ102)&gt;0,DI102,DB102)</f>
        <v/>
      </c>
      <c r="S102" s="64">
        <f>IF(N(DJ102)&gt;0,DJ102,DC102)</f>
        <v/>
      </c>
      <c r="T102" s="64">
        <f>INDEX(Projects[Currency],101)&amp;""</f>
        <v/>
      </c>
      <c r="U102" s="65">
        <f>INDEX(Projects[Sold Value (M)],101)</f>
        <v/>
      </c>
      <c r="V102" s="64">
        <f>IF('Smart Search'!B13=1,IFERROR(1/'Smart Search'!H13,0),0)</f>
        <v/>
      </c>
      <c r="W102" s="64">
        <f>IF('Smart Search'!B13=1,IFERROR(1/'Smart Search'!H13,0),0)</f>
        <v/>
      </c>
      <c r="X102" s="64">
        <f>IF('Smart Search'!C13=1,IFERROR(1/'Smart Search'!H13,0),0)</f>
        <v/>
      </c>
      <c r="Y102" s="64">
        <f>IF('Smart Search'!C13=1,IFERROR(1/'Smart Search'!H13,0),0)</f>
        <v/>
      </c>
      <c r="Z102" s="64">
        <f>IF('Smart Search'!D13=1,IFERROR(1/'Smart Search'!H13,0),0)</f>
        <v/>
      </c>
      <c r="AA102" s="64">
        <f>IF('Smart Search'!D13=1,IFERROR(1/'Smart Search'!H13,0),0)</f>
        <v/>
      </c>
      <c r="AB102" s="64">
        <f>IF('Smart Search'!E13=1,IFERROR(1/'Smart Search'!H13,0),0)</f>
        <v/>
      </c>
      <c r="AC102" s="64">
        <f>IF('Smart Search'!E13=1,IFERROR(1/'Smart Search'!H13,0),0)</f>
        <v/>
      </c>
      <c r="AD102" s="64">
        <f>IF('Smart Search'!F13=1,IFERROR(1/'Smart Search'!H13,0),0)</f>
        <v/>
      </c>
      <c r="AE102" s="64">
        <f>IF('Smart Search'!F13=1,IFERROR(1/'Smart Search'!H13,0),0)</f>
        <v/>
      </c>
      <c r="AF102" s="64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4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4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4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4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4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4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4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4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4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4">
        <f>AF102*V102</f>
        <v/>
      </c>
      <c r="AQ102" s="64">
        <f>AG102*W102</f>
        <v/>
      </c>
      <c r="AR102" s="64">
        <f>AH102*X102</f>
        <v/>
      </c>
      <c r="AS102" s="64">
        <f>AI102*Y102</f>
        <v/>
      </c>
      <c r="AT102" s="64">
        <f>AJ102*Z102</f>
        <v/>
      </c>
      <c r="AU102" s="64">
        <f>AK102*AA102</f>
        <v/>
      </c>
      <c r="AV102" s="64">
        <f>AL102*AB102</f>
        <v/>
      </c>
      <c r="AW102" s="64">
        <f>AM102*AC102</f>
        <v/>
      </c>
      <c r="AX102" s="64">
        <f>AN102*AD102</f>
        <v/>
      </c>
      <c r="AY102" s="64">
        <f>AO102*AE102</f>
        <v/>
      </c>
      <c r="AZ102" s="64">
        <f>INDEX(Projects[Automation Equipment],101)&amp;""</f>
        <v/>
      </c>
      <c r="BA102" s="64">
        <f>IF(OR(A102="",'Smart Search'!H13=0),"",MAX(0,BE102*BF102*MAX(0,1-BG102)))</f>
        <v/>
      </c>
      <c r="BB102" s="64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4">
        <f>IF('Smart Search'!G13=1,IFERROR(1/'Smart Search'!H13,0),0)</f>
        <v/>
      </c>
      <c r="BD102" s="64">
        <f>BB102*BC102</f>
        <v/>
      </c>
      <c r="BE102" s="64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IF(A102="","",N(INDEX(Projects[Act Mech Inst],101)))</f>
        <v/>
      </c>
      <c r="BK102" s="5">
        <f>IF(A102="","",N(INDEX(Projects[Act Elec Inst],101)))</f>
        <v/>
      </c>
      <c r="BL102" s="5">
        <f>IF(A102="","",N(INDEX(Projects[Act Project Management],101)))</f>
        <v/>
      </c>
      <c r="BM102" s="5">
        <f>IF(A102="","",N(INDEX(Projects[Act Systems Eng],101)))</f>
        <v/>
      </c>
      <c r="BN102" s="5">
        <f>IF(A102="","",N(INDEX(Projects[Act Mechanical Eng],101)))</f>
        <v/>
      </c>
      <c r="BO102" s="5">
        <f>IF(A102="","",N(INDEX(Projects[Act Structural Engineering],101)))</f>
        <v/>
      </c>
      <c r="BP102" s="5">
        <f>IF(A102="","",N(INDEX(Projects[Act Site Sup],101)))</f>
        <v/>
      </c>
      <c r="BQ102" s="5">
        <f>IF(A102="","",N(INDEX(Projects[Act Controls Commissioning],101)))</f>
        <v/>
      </c>
      <c r="BR102" s="5">
        <f>IF(A102="","",N(INDEX(Projects[Act Systems Commissioning],101)))</f>
        <v/>
      </c>
      <c r="BS102" s="5">
        <f>IF(A102="","",N(INDEX(Projects[Act Service Commissioning],101)))</f>
        <v/>
      </c>
      <c r="BT102" s="5">
        <f>IF(A102="","",N(INDEX(Projects[Act Controls Eng],101)))</f>
        <v/>
      </c>
      <c r="BU102" s="5">
        <f>IF(A102="","",N(INDEX(Projects[Act Controls Purchase],101)))</f>
        <v/>
      </c>
      <c r="BV102" s="5">
        <f>IF(A102="","",N(INDEX(Projects[Act Software Eng],101)))</f>
        <v/>
      </c>
      <c r="BW102" s="5">
        <f>IF(A102="","",N(INDEX(Projects[Act 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INDEX(Projects[Sold Value (USD M)],101)</f>
        <v/>
      </c>
      <c r="CE102" s="5" t="n"/>
      <c r="CF102" s="5">
        <f>IF(A102="","",N(INDEX(Projects[Est Mech Inst],101)))</f>
        <v/>
      </c>
      <c r="CG102" s="5">
        <f>IF(A102="","",N(INDEX(Projects[Est Elec Inst],101)))</f>
        <v/>
      </c>
      <c r="CH102" s="5">
        <f>IF(A102="","",N(INDEX(Projects[Est Project Management],101)))</f>
        <v/>
      </c>
      <c r="CI102" s="5">
        <f>IF(A102="","",N(INDEX(Projects[Est Systems Eng],101)))</f>
        <v/>
      </c>
      <c r="CJ102" s="5">
        <f>IF(A102="","",N(INDEX(Projects[Est Mechanical Eng],101)))</f>
        <v/>
      </c>
      <c r="CK102" s="5">
        <f>IF(A102="","",N(INDEX(Projects[Est Structural Engineering],101)))</f>
        <v/>
      </c>
      <c r="CL102" s="5">
        <f>IF(A102="","",N(INDEX(Projects[Est Site Sup],101)))</f>
        <v/>
      </c>
      <c r="CM102" s="5">
        <f>IF(A102="","",N(INDEX(Projects[Est Controls Commissioning],101)))</f>
        <v/>
      </c>
      <c r="CN102" s="5">
        <f>IF(A102="","",N(INDEX(Projects[Est Systems Commissioning],101)))</f>
        <v/>
      </c>
      <c r="CO102" s="5">
        <f>IF(A102="","",N(INDEX(Projects[Est Service Commissioning],101)))</f>
        <v/>
      </c>
      <c r="CP102" s="5">
        <f>IF(A102="","",N(INDEX(Projects[Est Controls Eng],101)))</f>
        <v/>
      </c>
      <c r="CQ102" s="5">
        <f>IF(A102="","",N(INDEX(Projects[Est Controls Purchase],101)))</f>
        <v/>
      </c>
      <c r="CR102" s="5">
        <f>IF(A102="","",N(INDEX(Projects[Est Software Eng],101)))</f>
        <v/>
      </c>
      <c r="CS102" s="5">
        <f>IF(A102="","",N(INDEX(Projects[Est Misc],101)))</f>
        <v/>
      </c>
      <c r="CT102" s="5">
        <f>IF(A102="","",SUM(CF102:CS102))</f>
        <v/>
      </c>
      <c r="CU102" s="5">
        <f>INDEX(Projects[Est Cost (M)],101)</f>
        <v/>
      </c>
      <c r="CV102" s="5">
        <f>INDEX(Projects[Act Cost (M)],101)</f>
        <v/>
      </c>
      <c r="CW102" s="5">
        <f>INDEX(Projects[Plan Mech Eng (wks)],101)</f>
        <v/>
      </c>
      <c r="CX102" s="5">
        <f>INDEX(Projects[Plan Controls Eng (wks)],101)</f>
        <v/>
      </c>
      <c r="CY102" s="5">
        <f>INDEX(Projects[Plan Systems Eng (wks)],101)</f>
        <v/>
      </c>
      <c r="CZ102" s="5">
        <f>INDEX(Projects[Plan Software Eng (wks)],101)</f>
        <v/>
      </c>
      <c r="DA102" s="5">
        <f>INDEX(Projects[Plan M&amp;E Installation (wks)],101)</f>
        <v/>
      </c>
      <c r="DB102" s="5">
        <f>INDEX(Projects[Plan Commissioning (wks)],101)</f>
        <v/>
      </c>
      <c r="DC102" s="5">
        <f>INDEX(Projects[Plan Total (wks)],101)</f>
        <v/>
      </c>
      <c r="DD102" s="5">
        <f>INDEX(Projects[Act Mech Eng (wks)],101)</f>
        <v/>
      </c>
      <c r="DE102" s="5">
        <f>INDEX(Projects[Act Controls Eng (wks)],101)</f>
        <v/>
      </c>
      <c r="DF102" s="5">
        <f>INDEX(Projects[Act Systems Eng (wks)],101)</f>
        <v/>
      </c>
      <c r="DG102" s="5">
        <f>INDEX(Projects[Act Software Eng (wks)],101)</f>
        <v/>
      </c>
      <c r="DH102" s="5">
        <f>INDEX(Projects[Act M&amp;E Installation (wks)],101)</f>
        <v/>
      </c>
      <c r="DI102" s="5">
        <f>INDEX(Projects[Act Commissioning (wks)],101)</f>
        <v/>
      </c>
      <c r="DJ102" s="5">
        <f>INDEX(Projects[Act Total (wks)],101)</f>
        <v/>
      </c>
    </row>
    <row r="103" ht="15" customHeight="1" s="82">
      <c r="A103" s="64">
        <f>INDEX(Projects[Project ID *],102)&amp;""</f>
        <v/>
      </c>
      <c r="B103" s="64">
        <f>INDEX(Projects[Project Name *],102)&amp;""</f>
        <v/>
      </c>
      <c r="C103" s="64">
        <f>INDEX(Projects[MS Shuttles],102)</f>
        <v/>
      </c>
      <c r="D103" s="64">
        <f>INDEX(Projects[MS Tote Locations],102)</f>
        <v/>
      </c>
      <c r="E103" s="64">
        <f>INDEX(Projects[AS Robots],102)</f>
        <v/>
      </c>
      <c r="F103" s="64">
        <f>INDEX(Projects[AS Tote Locations],102)</f>
        <v/>
      </c>
      <c r="G103" s="64">
        <f>INDEX(Projects[PS Shuttles],102)</f>
        <v/>
      </c>
      <c r="H103" s="64">
        <f>INDEX(Projects[PS Pallet Locations],102)</f>
        <v/>
      </c>
      <c r="I103" s="64">
        <f>INDEX(Projects[SRM Cranes],102)</f>
        <v/>
      </c>
      <c r="J103" s="64">
        <f>INDEX(Projects[SRM Pallet Locations],102)</f>
        <v/>
      </c>
      <c r="K103" s="64">
        <f>INDEX(Projects[Case Conv (m)],102)</f>
        <v/>
      </c>
      <c r="L103" s="64">
        <f>INDEX(Projects[Pallet Conv (m)],102)</f>
        <v/>
      </c>
      <c r="M103" s="64">
        <f>IF(N(DJ103)&gt;0,DD103,CW103)</f>
        <v/>
      </c>
      <c r="N103" s="64">
        <f>IF(N(DJ103)&gt;0,DE103,CX103)</f>
        <v/>
      </c>
      <c r="O103" s="64">
        <f>IF(N(DJ103)&gt;0,DF103,CY103)</f>
        <v/>
      </c>
      <c r="P103" s="64">
        <f>IF(N(DJ103)&gt;0,DG103,CZ103)</f>
        <v/>
      </c>
      <c r="Q103" s="64">
        <f>IF(N(DJ103)&gt;0,DH103,DA103)</f>
        <v/>
      </c>
      <c r="R103" s="64">
        <f>IF(N(DJ103)&gt;0,DI103,DB103)</f>
        <v/>
      </c>
      <c r="S103" s="64">
        <f>IF(N(DJ103)&gt;0,DJ103,DC103)</f>
        <v/>
      </c>
      <c r="T103" s="64">
        <f>INDEX(Projects[Currency],102)&amp;""</f>
        <v/>
      </c>
      <c r="U103" s="65">
        <f>INDEX(Projects[Sold Value (M)],102)</f>
        <v/>
      </c>
      <c r="V103" s="64">
        <f>IF('Smart Search'!B13=1,IFERROR(1/'Smart Search'!H13,0),0)</f>
        <v/>
      </c>
      <c r="W103" s="64">
        <f>IF('Smart Search'!B13=1,IFERROR(1/'Smart Search'!H13,0),0)</f>
        <v/>
      </c>
      <c r="X103" s="64">
        <f>IF('Smart Search'!C13=1,IFERROR(1/'Smart Search'!H13,0),0)</f>
        <v/>
      </c>
      <c r="Y103" s="64">
        <f>IF('Smart Search'!C13=1,IFERROR(1/'Smart Search'!H13,0),0)</f>
        <v/>
      </c>
      <c r="Z103" s="64">
        <f>IF('Smart Search'!D13=1,IFERROR(1/'Smart Search'!H13,0),0)</f>
        <v/>
      </c>
      <c r="AA103" s="64">
        <f>IF('Smart Search'!D13=1,IFERROR(1/'Smart Search'!H13,0),0)</f>
        <v/>
      </c>
      <c r="AB103" s="64">
        <f>IF('Smart Search'!E13=1,IFERROR(1/'Smart Search'!H13,0),0)</f>
        <v/>
      </c>
      <c r="AC103" s="64">
        <f>IF('Smart Search'!E13=1,IFERROR(1/'Smart Search'!H13,0),0)</f>
        <v/>
      </c>
      <c r="AD103" s="64">
        <f>IF('Smart Search'!F13=1,IFERROR(1/'Smart Search'!H13,0),0)</f>
        <v/>
      </c>
      <c r="AE103" s="64">
        <f>IF('Smart Search'!F13=1,IFERROR(1/'Smart Search'!H13,0),0)</f>
        <v/>
      </c>
      <c r="AF103" s="64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4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4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4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4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4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4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4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4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4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4">
        <f>AF103*V103</f>
        <v/>
      </c>
      <c r="AQ103" s="64">
        <f>AG103*W103</f>
        <v/>
      </c>
      <c r="AR103" s="64">
        <f>AH103*X103</f>
        <v/>
      </c>
      <c r="AS103" s="64">
        <f>AI103*Y103</f>
        <v/>
      </c>
      <c r="AT103" s="64">
        <f>AJ103*Z103</f>
        <v/>
      </c>
      <c r="AU103" s="64">
        <f>AK103*AA103</f>
        <v/>
      </c>
      <c r="AV103" s="64">
        <f>AL103*AB103</f>
        <v/>
      </c>
      <c r="AW103" s="64">
        <f>AM103*AC103</f>
        <v/>
      </c>
      <c r="AX103" s="64">
        <f>AN103*AD103</f>
        <v/>
      </c>
      <c r="AY103" s="64">
        <f>AO103*AE103</f>
        <v/>
      </c>
      <c r="AZ103" s="64">
        <f>INDEX(Projects[Automation Equipment],102)&amp;""</f>
        <v/>
      </c>
      <c r="BA103" s="64">
        <f>IF(OR(A103="",'Smart Search'!H13=0),"",MAX(0,BE103*BF103*MAX(0,1-BG103)))</f>
        <v/>
      </c>
      <c r="BB103" s="64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4">
        <f>IF('Smart Search'!G13=1,IFERROR(1/'Smart Search'!H13,0),0)</f>
        <v/>
      </c>
      <c r="BD103" s="64">
        <f>BB103*BC103</f>
        <v/>
      </c>
      <c r="BE103" s="64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IF(A103="","",N(INDEX(Projects[Act Mech Inst],102)))</f>
        <v/>
      </c>
      <c r="BK103" s="5">
        <f>IF(A103="","",N(INDEX(Projects[Act Elec Inst],102)))</f>
        <v/>
      </c>
      <c r="BL103" s="5">
        <f>IF(A103="","",N(INDEX(Projects[Act Project Management],102)))</f>
        <v/>
      </c>
      <c r="BM103" s="5">
        <f>IF(A103="","",N(INDEX(Projects[Act Systems Eng],102)))</f>
        <v/>
      </c>
      <c r="BN103" s="5">
        <f>IF(A103="","",N(INDEX(Projects[Act Mechanical Eng],102)))</f>
        <v/>
      </c>
      <c r="BO103" s="5">
        <f>IF(A103="","",N(INDEX(Projects[Act Structural Engineering],102)))</f>
        <v/>
      </c>
      <c r="BP103" s="5">
        <f>IF(A103="","",N(INDEX(Projects[Act Site Sup],102)))</f>
        <v/>
      </c>
      <c r="BQ103" s="5">
        <f>IF(A103="","",N(INDEX(Projects[Act Controls Commissioning],102)))</f>
        <v/>
      </c>
      <c r="BR103" s="5">
        <f>IF(A103="","",N(INDEX(Projects[Act Systems Commissioning],102)))</f>
        <v/>
      </c>
      <c r="BS103" s="5">
        <f>IF(A103="","",N(INDEX(Projects[Act Service Commissioning],102)))</f>
        <v/>
      </c>
      <c r="BT103" s="5">
        <f>IF(A103="","",N(INDEX(Projects[Act Controls Eng],102)))</f>
        <v/>
      </c>
      <c r="BU103" s="5">
        <f>IF(A103="","",N(INDEX(Projects[Act Controls Purchase],102)))</f>
        <v/>
      </c>
      <c r="BV103" s="5">
        <f>IF(A103="","",N(INDEX(Projects[Act Software Eng],102)))</f>
        <v/>
      </c>
      <c r="BW103" s="5">
        <f>IF(A103="","",N(INDEX(Projects[Act 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INDEX(Projects[Sold Value (USD M)],102)</f>
        <v/>
      </c>
      <c r="CE103" s="5" t="n"/>
      <c r="CF103" s="5">
        <f>IF(A103="","",N(INDEX(Projects[Est Mech Inst],102)))</f>
        <v/>
      </c>
      <c r="CG103" s="5">
        <f>IF(A103="","",N(INDEX(Projects[Est Elec Inst],102)))</f>
        <v/>
      </c>
      <c r="CH103" s="5">
        <f>IF(A103="","",N(INDEX(Projects[Est Project Management],102)))</f>
        <v/>
      </c>
      <c r="CI103" s="5">
        <f>IF(A103="","",N(INDEX(Projects[Est Systems Eng],102)))</f>
        <v/>
      </c>
      <c r="CJ103" s="5">
        <f>IF(A103="","",N(INDEX(Projects[Est Mechanical Eng],102)))</f>
        <v/>
      </c>
      <c r="CK103" s="5">
        <f>IF(A103="","",N(INDEX(Projects[Est Structural Engineering],102)))</f>
        <v/>
      </c>
      <c r="CL103" s="5">
        <f>IF(A103="","",N(INDEX(Projects[Est Site Sup],102)))</f>
        <v/>
      </c>
      <c r="CM103" s="5">
        <f>IF(A103="","",N(INDEX(Projects[Est Controls Commissioning],102)))</f>
        <v/>
      </c>
      <c r="CN103" s="5">
        <f>IF(A103="","",N(INDEX(Projects[Est Systems Commissioning],102)))</f>
        <v/>
      </c>
      <c r="CO103" s="5">
        <f>IF(A103="","",N(INDEX(Projects[Est Service Commissioning],102)))</f>
        <v/>
      </c>
      <c r="CP103" s="5">
        <f>IF(A103="","",N(INDEX(Projects[Est Controls Eng],102)))</f>
        <v/>
      </c>
      <c r="CQ103" s="5">
        <f>IF(A103="","",N(INDEX(Projects[Est Controls Purchase],102)))</f>
        <v/>
      </c>
      <c r="CR103" s="5">
        <f>IF(A103="","",N(INDEX(Projects[Est Software Eng],102)))</f>
        <v/>
      </c>
      <c r="CS103" s="5">
        <f>IF(A103="","",N(INDEX(Projects[Est Misc],102)))</f>
        <v/>
      </c>
      <c r="CT103" s="5">
        <f>IF(A103="","",SUM(CF103:CS103))</f>
        <v/>
      </c>
      <c r="CU103" s="5">
        <f>INDEX(Projects[Est Cost (M)],102)</f>
        <v/>
      </c>
      <c r="CV103" s="5">
        <f>INDEX(Projects[Act Cost (M)],102)</f>
        <v/>
      </c>
      <c r="CW103" s="5">
        <f>INDEX(Projects[Plan Mech Eng (wks)],102)</f>
        <v/>
      </c>
      <c r="CX103" s="5">
        <f>INDEX(Projects[Plan Controls Eng (wks)],102)</f>
        <v/>
      </c>
      <c r="CY103" s="5">
        <f>INDEX(Projects[Plan Systems Eng (wks)],102)</f>
        <v/>
      </c>
      <c r="CZ103" s="5">
        <f>INDEX(Projects[Plan Software Eng (wks)],102)</f>
        <v/>
      </c>
      <c r="DA103" s="5">
        <f>INDEX(Projects[Plan M&amp;E Installation (wks)],102)</f>
        <v/>
      </c>
      <c r="DB103" s="5">
        <f>INDEX(Projects[Plan Commissioning (wks)],102)</f>
        <v/>
      </c>
      <c r="DC103" s="5">
        <f>INDEX(Projects[Plan Total (wks)],102)</f>
        <v/>
      </c>
      <c r="DD103" s="5">
        <f>INDEX(Projects[Act Mech Eng (wks)],102)</f>
        <v/>
      </c>
      <c r="DE103" s="5">
        <f>INDEX(Projects[Act Controls Eng (wks)],102)</f>
        <v/>
      </c>
      <c r="DF103" s="5">
        <f>INDEX(Projects[Act Systems Eng (wks)],102)</f>
        <v/>
      </c>
      <c r="DG103" s="5">
        <f>INDEX(Projects[Act Software Eng (wks)],102)</f>
        <v/>
      </c>
      <c r="DH103" s="5">
        <f>INDEX(Projects[Act M&amp;E Installation (wks)],102)</f>
        <v/>
      </c>
      <c r="DI103" s="5">
        <f>INDEX(Projects[Act Commissioning (wks)],102)</f>
        <v/>
      </c>
      <c r="DJ103" s="5">
        <f>INDEX(Projects[Act Total (wks)],102)</f>
        <v/>
      </c>
    </row>
    <row r="104" ht="15" customHeight="1" s="82">
      <c r="A104" s="64">
        <f>INDEX(Projects[Project ID *],103)&amp;""</f>
        <v/>
      </c>
      <c r="B104" s="64">
        <f>INDEX(Projects[Project Name *],103)&amp;""</f>
        <v/>
      </c>
      <c r="C104" s="64">
        <f>INDEX(Projects[MS Shuttles],103)</f>
        <v/>
      </c>
      <c r="D104" s="64">
        <f>INDEX(Projects[MS Tote Locations],103)</f>
        <v/>
      </c>
      <c r="E104" s="64">
        <f>INDEX(Projects[AS Robots],103)</f>
        <v/>
      </c>
      <c r="F104" s="64">
        <f>INDEX(Projects[AS Tote Locations],103)</f>
        <v/>
      </c>
      <c r="G104" s="64">
        <f>INDEX(Projects[PS Shuttles],103)</f>
        <v/>
      </c>
      <c r="H104" s="64">
        <f>INDEX(Projects[PS Pallet Locations],103)</f>
        <v/>
      </c>
      <c r="I104" s="64">
        <f>INDEX(Projects[SRM Cranes],103)</f>
        <v/>
      </c>
      <c r="J104" s="64">
        <f>INDEX(Projects[SRM Pallet Locations],103)</f>
        <v/>
      </c>
      <c r="K104" s="64">
        <f>INDEX(Projects[Case Conv (m)],103)</f>
        <v/>
      </c>
      <c r="L104" s="64">
        <f>INDEX(Projects[Pallet Conv (m)],103)</f>
        <v/>
      </c>
      <c r="M104" s="64">
        <f>IF(N(DJ104)&gt;0,DD104,CW104)</f>
        <v/>
      </c>
      <c r="N104" s="64">
        <f>IF(N(DJ104)&gt;0,DE104,CX104)</f>
        <v/>
      </c>
      <c r="O104" s="64">
        <f>IF(N(DJ104)&gt;0,DF104,CY104)</f>
        <v/>
      </c>
      <c r="P104" s="64">
        <f>IF(N(DJ104)&gt;0,DG104,CZ104)</f>
        <v/>
      </c>
      <c r="Q104" s="64">
        <f>IF(N(DJ104)&gt;0,DH104,DA104)</f>
        <v/>
      </c>
      <c r="R104" s="64">
        <f>IF(N(DJ104)&gt;0,DI104,DB104)</f>
        <v/>
      </c>
      <c r="S104" s="64">
        <f>IF(N(DJ104)&gt;0,DJ104,DC104)</f>
        <v/>
      </c>
      <c r="T104" s="64">
        <f>INDEX(Projects[Currency],103)&amp;""</f>
        <v/>
      </c>
      <c r="U104" s="65">
        <f>INDEX(Projects[Sold Value (M)],103)</f>
        <v/>
      </c>
      <c r="V104" s="64">
        <f>IF('Smart Search'!B13=1,IFERROR(1/'Smart Search'!H13,0),0)</f>
        <v/>
      </c>
      <c r="W104" s="64">
        <f>IF('Smart Search'!B13=1,IFERROR(1/'Smart Search'!H13,0),0)</f>
        <v/>
      </c>
      <c r="X104" s="64">
        <f>IF('Smart Search'!C13=1,IFERROR(1/'Smart Search'!H13,0),0)</f>
        <v/>
      </c>
      <c r="Y104" s="64">
        <f>IF('Smart Search'!C13=1,IFERROR(1/'Smart Search'!H13,0),0)</f>
        <v/>
      </c>
      <c r="Z104" s="64">
        <f>IF('Smart Search'!D13=1,IFERROR(1/'Smart Search'!H13,0),0)</f>
        <v/>
      </c>
      <c r="AA104" s="64">
        <f>IF('Smart Search'!D13=1,IFERROR(1/'Smart Search'!H13,0),0)</f>
        <v/>
      </c>
      <c r="AB104" s="64">
        <f>IF('Smart Search'!E13=1,IFERROR(1/'Smart Search'!H13,0),0)</f>
        <v/>
      </c>
      <c r="AC104" s="64">
        <f>IF('Smart Search'!E13=1,IFERROR(1/'Smart Search'!H13,0),0)</f>
        <v/>
      </c>
      <c r="AD104" s="64">
        <f>IF('Smart Search'!F13=1,IFERROR(1/'Smart Search'!H13,0),0)</f>
        <v/>
      </c>
      <c r="AE104" s="64">
        <f>IF('Smart Search'!F13=1,IFERROR(1/'Smart Search'!H13,0),0)</f>
        <v/>
      </c>
      <c r="AF104" s="64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4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4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4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4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4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4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4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4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4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4">
        <f>AF104*V104</f>
        <v/>
      </c>
      <c r="AQ104" s="64">
        <f>AG104*W104</f>
        <v/>
      </c>
      <c r="AR104" s="64">
        <f>AH104*X104</f>
        <v/>
      </c>
      <c r="AS104" s="64">
        <f>AI104*Y104</f>
        <v/>
      </c>
      <c r="AT104" s="64">
        <f>AJ104*Z104</f>
        <v/>
      </c>
      <c r="AU104" s="64">
        <f>AK104*AA104</f>
        <v/>
      </c>
      <c r="AV104" s="64">
        <f>AL104*AB104</f>
        <v/>
      </c>
      <c r="AW104" s="64">
        <f>AM104*AC104</f>
        <v/>
      </c>
      <c r="AX104" s="64">
        <f>AN104*AD104</f>
        <v/>
      </c>
      <c r="AY104" s="64">
        <f>AO104*AE104</f>
        <v/>
      </c>
      <c r="AZ104" s="64">
        <f>INDEX(Projects[Automation Equipment],103)&amp;""</f>
        <v/>
      </c>
      <c r="BA104" s="64">
        <f>IF(OR(A104="",'Smart Search'!H13=0),"",MAX(0,BE104*BF104*MAX(0,1-BG104)))</f>
        <v/>
      </c>
      <c r="BB104" s="64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4">
        <f>IF('Smart Search'!G13=1,IFERROR(1/'Smart Search'!H13,0),0)</f>
        <v/>
      </c>
      <c r="BD104" s="64">
        <f>BB104*BC104</f>
        <v/>
      </c>
      <c r="BE104" s="64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IF(A104="","",N(INDEX(Projects[Act Mech Inst],103)))</f>
        <v/>
      </c>
      <c r="BK104" s="5">
        <f>IF(A104="","",N(INDEX(Projects[Act Elec Inst],103)))</f>
        <v/>
      </c>
      <c r="BL104" s="5">
        <f>IF(A104="","",N(INDEX(Projects[Act Project Management],103)))</f>
        <v/>
      </c>
      <c r="BM104" s="5">
        <f>IF(A104="","",N(INDEX(Projects[Act Systems Eng],103)))</f>
        <v/>
      </c>
      <c r="BN104" s="5">
        <f>IF(A104="","",N(INDEX(Projects[Act Mechanical Eng],103)))</f>
        <v/>
      </c>
      <c r="BO104" s="5">
        <f>IF(A104="","",N(INDEX(Projects[Act Structural Engineering],103)))</f>
        <v/>
      </c>
      <c r="BP104" s="5">
        <f>IF(A104="","",N(INDEX(Projects[Act Site Sup],103)))</f>
        <v/>
      </c>
      <c r="BQ104" s="5">
        <f>IF(A104="","",N(INDEX(Projects[Act Controls Commissioning],103)))</f>
        <v/>
      </c>
      <c r="BR104" s="5">
        <f>IF(A104="","",N(INDEX(Projects[Act Systems Commissioning],103)))</f>
        <v/>
      </c>
      <c r="BS104" s="5">
        <f>IF(A104="","",N(INDEX(Projects[Act Service Commissioning],103)))</f>
        <v/>
      </c>
      <c r="BT104" s="5">
        <f>IF(A104="","",N(INDEX(Projects[Act Controls Eng],103)))</f>
        <v/>
      </c>
      <c r="BU104" s="5">
        <f>IF(A104="","",N(INDEX(Projects[Act Controls Purchase],103)))</f>
        <v/>
      </c>
      <c r="BV104" s="5">
        <f>IF(A104="","",N(INDEX(Projects[Act Software Eng],103)))</f>
        <v/>
      </c>
      <c r="BW104" s="5">
        <f>IF(A104="","",N(INDEX(Projects[Act 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INDEX(Projects[Sold Value (USD M)],103)</f>
        <v/>
      </c>
      <c r="CE104" s="5" t="n"/>
      <c r="CF104" s="5">
        <f>IF(A104="","",N(INDEX(Projects[Est Mech Inst],103)))</f>
        <v/>
      </c>
      <c r="CG104" s="5">
        <f>IF(A104="","",N(INDEX(Projects[Est Elec Inst],103)))</f>
        <v/>
      </c>
      <c r="CH104" s="5">
        <f>IF(A104="","",N(INDEX(Projects[Est Project Management],103)))</f>
        <v/>
      </c>
      <c r="CI104" s="5">
        <f>IF(A104="","",N(INDEX(Projects[Est Systems Eng],103)))</f>
        <v/>
      </c>
      <c r="CJ104" s="5">
        <f>IF(A104="","",N(INDEX(Projects[Est Mechanical Eng],103)))</f>
        <v/>
      </c>
      <c r="CK104" s="5">
        <f>IF(A104="","",N(INDEX(Projects[Est Structural Engineering],103)))</f>
        <v/>
      </c>
      <c r="CL104" s="5">
        <f>IF(A104="","",N(INDEX(Projects[Est Site Sup],103)))</f>
        <v/>
      </c>
      <c r="CM104" s="5">
        <f>IF(A104="","",N(INDEX(Projects[Est Controls Commissioning],103)))</f>
        <v/>
      </c>
      <c r="CN104" s="5">
        <f>IF(A104="","",N(INDEX(Projects[Est Systems Commissioning],103)))</f>
        <v/>
      </c>
      <c r="CO104" s="5">
        <f>IF(A104="","",N(INDEX(Projects[Est Service Commissioning],103)))</f>
        <v/>
      </c>
      <c r="CP104" s="5">
        <f>IF(A104="","",N(INDEX(Projects[Est Controls Eng],103)))</f>
        <v/>
      </c>
      <c r="CQ104" s="5">
        <f>IF(A104="","",N(INDEX(Projects[Est Controls Purchase],103)))</f>
        <v/>
      </c>
      <c r="CR104" s="5">
        <f>IF(A104="","",N(INDEX(Projects[Est Software Eng],103)))</f>
        <v/>
      </c>
      <c r="CS104" s="5">
        <f>IF(A104="","",N(INDEX(Projects[Est Misc],103)))</f>
        <v/>
      </c>
      <c r="CT104" s="5">
        <f>IF(A104="","",SUM(CF104:CS104))</f>
        <v/>
      </c>
      <c r="CU104" s="5">
        <f>INDEX(Projects[Est Cost (M)],103)</f>
        <v/>
      </c>
      <c r="CV104" s="5">
        <f>INDEX(Projects[Act Cost (M)],103)</f>
        <v/>
      </c>
      <c r="CW104" s="5">
        <f>INDEX(Projects[Plan Mech Eng (wks)],103)</f>
        <v/>
      </c>
      <c r="CX104" s="5">
        <f>INDEX(Projects[Plan Controls Eng (wks)],103)</f>
        <v/>
      </c>
      <c r="CY104" s="5">
        <f>INDEX(Projects[Plan Systems Eng (wks)],103)</f>
        <v/>
      </c>
      <c r="CZ104" s="5">
        <f>INDEX(Projects[Plan Software Eng (wks)],103)</f>
        <v/>
      </c>
      <c r="DA104" s="5">
        <f>INDEX(Projects[Plan M&amp;E Installation (wks)],103)</f>
        <v/>
      </c>
      <c r="DB104" s="5">
        <f>INDEX(Projects[Plan Commissioning (wks)],103)</f>
        <v/>
      </c>
      <c r="DC104" s="5">
        <f>INDEX(Projects[Plan Total (wks)],103)</f>
        <v/>
      </c>
      <c r="DD104" s="5">
        <f>INDEX(Projects[Act Mech Eng (wks)],103)</f>
        <v/>
      </c>
      <c r="DE104" s="5">
        <f>INDEX(Projects[Act Controls Eng (wks)],103)</f>
        <v/>
      </c>
      <c r="DF104" s="5">
        <f>INDEX(Projects[Act Systems Eng (wks)],103)</f>
        <v/>
      </c>
      <c r="DG104" s="5">
        <f>INDEX(Projects[Act Software Eng (wks)],103)</f>
        <v/>
      </c>
      <c r="DH104" s="5">
        <f>INDEX(Projects[Act M&amp;E Installation (wks)],103)</f>
        <v/>
      </c>
      <c r="DI104" s="5">
        <f>INDEX(Projects[Act Commissioning (wks)],103)</f>
        <v/>
      </c>
      <c r="DJ104" s="5">
        <f>INDEX(Projects[Act Total (wks)],103)</f>
        <v/>
      </c>
    </row>
    <row r="105" ht="15" customHeight="1" s="82">
      <c r="A105" s="64">
        <f>INDEX(Projects[Project ID *],104)&amp;""</f>
        <v/>
      </c>
      <c r="B105" s="64">
        <f>INDEX(Projects[Project Name *],104)&amp;""</f>
        <v/>
      </c>
      <c r="C105" s="64">
        <f>INDEX(Projects[MS Shuttles],104)</f>
        <v/>
      </c>
      <c r="D105" s="64">
        <f>INDEX(Projects[MS Tote Locations],104)</f>
        <v/>
      </c>
      <c r="E105" s="64">
        <f>INDEX(Projects[AS Robots],104)</f>
        <v/>
      </c>
      <c r="F105" s="64">
        <f>INDEX(Projects[AS Tote Locations],104)</f>
        <v/>
      </c>
      <c r="G105" s="64">
        <f>INDEX(Projects[PS Shuttles],104)</f>
        <v/>
      </c>
      <c r="H105" s="64">
        <f>INDEX(Projects[PS Pallet Locations],104)</f>
        <v/>
      </c>
      <c r="I105" s="64">
        <f>INDEX(Projects[SRM Cranes],104)</f>
        <v/>
      </c>
      <c r="J105" s="64">
        <f>INDEX(Projects[SRM Pallet Locations],104)</f>
        <v/>
      </c>
      <c r="K105" s="64">
        <f>INDEX(Projects[Case Conv (m)],104)</f>
        <v/>
      </c>
      <c r="L105" s="64">
        <f>INDEX(Projects[Pallet Conv (m)],104)</f>
        <v/>
      </c>
      <c r="M105" s="64">
        <f>IF(N(DJ105)&gt;0,DD105,CW105)</f>
        <v/>
      </c>
      <c r="N105" s="64">
        <f>IF(N(DJ105)&gt;0,DE105,CX105)</f>
        <v/>
      </c>
      <c r="O105" s="64">
        <f>IF(N(DJ105)&gt;0,DF105,CY105)</f>
        <v/>
      </c>
      <c r="P105" s="64">
        <f>IF(N(DJ105)&gt;0,DG105,CZ105)</f>
        <v/>
      </c>
      <c r="Q105" s="64">
        <f>IF(N(DJ105)&gt;0,DH105,DA105)</f>
        <v/>
      </c>
      <c r="R105" s="64">
        <f>IF(N(DJ105)&gt;0,DI105,DB105)</f>
        <v/>
      </c>
      <c r="S105" s="64">
        <f>IF(N(DJ105)&gt;0,DJ105,DC105)</f>
        <v/>
      </c>
      <c r="T105" s="64">
        <f>INDEX(Projects[Currency],104)&amp;""</f>
        <v/>
      </c>
      <c r="U105" s="65">
        <f>INDEX(Projects[Sold Value (M)],104)</f>
        <v/>
      </c>
      <c r="V105" s="64">
        <f>IF('Smart Search'!B13=1,IFERROR(1/'Smart Search'!H13,0),0)</f>
        <v/>
      </c>
      <c r="W105" s="64">
        <f>IF('Smart Search'!B13=1,IFERROR(1/'Smart Search'!H13,0),0)</f>
        <v/>
      </c>
      <c r="X105" s="64">
        <f>IF('Smart Search'!C13=1,IFERROR(1/'Smart Search'!H13,0),0)</f>
        <v/>
      </c>
      <c r="Y105" s="64">
        <f>IF('Smart Search'!C13=1,IFERROR(1/'Smart Search'!H13,0),0)</f>
        <v/>
      </c>
      <c r="Z105" s="64">
        <f>IF('Smart Search'!D13=1,IFERROR(1/'Smart Search'!H13,0),0)</f>
        <v/>
      </c>
      <c r="AA105" s="64">
        <f>IF('Smart Search'!D13=1,IFERROR(1/'Smart Search'!H13,0),0)</f>
        <v/>
      </c>
      <c r="AB105" s="64">
        <f>IF('Smart Search'!E13=1,IFERROR(1/'Smart Search'!H13,0),0)</f>
        <v/>
      </c>
      <c r="AC105" s="64">
        <f>IF('Smart Search'!E13=1,IFERROR(1/'Smart Search'!H13,0),0)</f>
        <v/>
      </c>
      <c r="AD105" s="64">
        <f>IF('Smart Search'!F13=1,IFERROR(1/'Smart Search'!H13,0),0)</f>
        <v/>
      </c>
      <c r="AE105" s="64">
        <f>IF('Smart Search'!F13=1,IFERROR(1/'Smart Search'!H13,0),0)</f>
        <v/>
      </c>
      <c r="AF105" s="64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4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4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4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4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4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4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4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4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4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4">
        <f>AF105*V105</f>
        <v/>
      </c>
      <c r="AQ105" s="64">
        <f>AG105*W105</f>
        <v/>
      </c>
      <c r="AR105" s="64">
        <f>AH105*X105</f>
        <v/>
      </c>
      <c r="AS105" s="64">
        <f>AI105*Y105</f>
        <v/>
      </c>
      <c r="AT105" s="64">
        <f>AJ105*Z105</f>
        <v/>
      </c>
      <c r="AU105" s="64">
        <f>AK105*AA105</f>
        <v/>
      </c>
      <c r="AV105" s="64">
        <f>AL105*AB105</f>
        <v/>
      </c>
      <c r="AW105" s="64">
        <f>AM105*AC105</f>
        <v/>
      </c>
      <c r="AX105" s="64">
        <f>AN105*AD105</f>
        <v/>
      </c>
      <c r="AY105" s="64">
        <f>AO105*AE105</f>
        <v/>
      </c>
      <c r="AZ105" s="64">
        <f>INDEX(Projects[Automation Equipment],104)&amp;""</f>
        <v/>
      </c>
      <c r="BA105" s="64">
        <f>IF(OR(A105="",'Smart Search'!H13=0),"",MAX(0,BE105*BF105*MAX(0,1-BG105)))</f>
        <v/>
      </c>
      <c r="BB105" s="64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4">
        <f>IF('Smart Search'!G13=1,IFERROR(1/'Smart Search'!H13,0),0)</f>
        <v/>
      </c>
      <c r="BD105" s="64">
        <f>BB105*BC105</f>
        <v/>
      </c>
      <c r="BE105" s="64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IF(A105="","",N(INDEX(Projects[Act Mech Inst],104)))</f>
        <v/>
      </c>
      <c r="BK105" s="5">
        <f>IF(A105="","",N(INDEX(Projects[Act Elec Inst],104)))</f>
        <v/>
      </c>
      <c r="BL105" s="5">
        <f>IF(A105="","",N(INDEX(Projects[Act Project Management],104)))</f>
        <v/>
      </c>
      <c r="BM105" s="5">
        <f>IF(A105="","",N(INDEX(Projects[Act Systems Eng],104)))</f>
        <v/>
      </c>
      <c r="BN105" s="5">
        <f>IF(A105="","",N(INDEX(Projects[Act Mechanical Eng],104)))</f>
        <v/>
      </c>
      <c r="BO105" s="5">
        <f>IF(A105="","",N(INDEX(Projects[Act Structural Engineering],104)))</f>
        <v/>
      </c>
      <c r="BP105" s="5">
        <f>IF(A105="","",N(INDEX(Projects[Act Site Sup],104)))</f>
        <v/>
      </c>
      <c r="BQ105" s="5">
        <f>IF(A105="","",N(INDEX(Projects[Act Controls Commissioning],104)))</f>
        <v/>
      </c>
      <c r="BR105" s="5">
        <f>IF(A105="","",N(INDEX(Projects[Act Systems Commissioning],104)))</f>
        <v/>
      </c>
      <c r="BS105" s="5">
        <f>IF(A105="","",N(INDEX(Projects[Act Service Commissioning],104)))</f>
        <v/>
      </c>
      <c r="BT105" s="5">
        <f>IF(A105="","",N(INDEX(Projects[Act Controls Eng],104)))</f>
        <v/>
      </c>
      <c r="BU105" s="5">
        <f>IF(A105="","",N(INDEX(Projects[Act Controls Purchase],104)))</f>
        <v/>
      </c>
      <c r="BV105" s="5">
        <f>IF(A105="","",N(INDEX(Projects[Act Software Eng],104)))</f>
        <v/>
      </c>
      <c r="BW105" s="5">
        <f>IF(A105="","",N(INDEX(Projects[Act 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INDEX(Projects[Sold Value (USD M)],104)</f>
        <v/>
      </c>
      <c r="CE105" s="5" t="n"/>
      <c r="CF105" s="5">
        <f>IF(A105="","",N(INDEX(Projects[Est Mech Inst],104)))</f>
        <v/>
      </c>
      <c r="CG105" s="5">
        <f>IF(A105="","",N(INDEX(Projects[Est Elec Inst],104)))</f>
        <v/>
      </c>
      <c r="CH105" s="5">
        <f>IF(A105="","",N(INDEX(Projects[Est Project Management],104)))</f>
        <v/>
      </c>
      <c r="CI105" s="5">
        <f>IF(A105="","",N(INDEX(Projects[Est Systems Eng],104)))</f>
        <v/>
      </c>
      <c r="CJ105" s="5">
        <f>IF(A105="","",N(INDEX(Projects[Est Mechanical Eng],104)))</f>
        <v/>
      </c>
      <c r="CK105" s="5">
        <f>IF(A105="","",N(INDEX(Projects[Est Structural Engineering],104)))</f>
        <v/>
      </c>
      <c r="CL105" s="5">
        <f>IF(A105="","",N(INDEX(Projects[Est Site Sup],104)))</f>
        <v/>
      </c>
      <c r="CM105" s="5">
        <f>IF(A105="","",N(INDEX(Projects[Est Controls Commissioning],104)))</f>
        <v/>
      </c>
      <c r="CN105" s="5">
        <f>IF(A105="","",N(INDEX(Projects[Est Systems Commissioning],104)))</f>
        <v/>
      </c>
      <c r="CO105" s="5">
        <f>IF(A105="","",N(INDEX(Projects[Est Service Commissioning],104)))</f>
        <v/>
      </c>
      <c r="CP105" s="5">
        <f>IF(A105="","",N(INDEX(Projects[Est Controls Eng],104)))</f>
        <v/>
      </c>
      <c r="CQ105" s="5">
        <f>IF(A105="","",N(INDEX(Projects[Est Controls Purchase],104)))</f>
        <v/>
      </c>
      <c r="CR105" s="5">
        <f>IF(A105="","",N(INDEX(Projects[Est Software Eng],104)))</f>
        <v/>
      </c>
      <c r="CS105" s="5">
        <f>IF(A105="","",N(INDEX(Projects[Est Misc],104)))</f>
        <v/>
      </c>
      <c r="CT105" s="5">
        <f>IF(A105="","",SUM(CF105:CS105))</f>
        <v/>
      </c>
      <c r="CU105" s="5">
        <f>INDEX(Projects[Est Cost (M)],104)</f>
        <v/>
      </c>
      <c r="CV105" s="5">
        <f>INDEX(Projects[Act Cost (M)],104)</f>
        <v/>
      </c>
      <c r="CW105" s="5">
        <f>INDEX(Projects[Plan Mech Eng (wks)],104)</f>
        <v/>
      </c>
      <c r="CX105" s="5">
        <f>INDEX(Projects[Plan Controls Eng (wks)],104)</f>
        <v/>
      </c>
      <c r="CY105" s="5">
        <f>INDEX(Projects[Plan Systems Eng (wks)],104)</f>
        <v/>
      </c>
      <c r="CZ105" s="5">
        <f>INDEX(Projects[Plan Software Eng (wks)],104)</f>
        <v/>
      </c>
      <c r="DA105" s="5">
        <f>INDEX(Projects[Plan M&amp;E Installation (wks)],104)</f>
        <v/>
      </c>
      <c r="DB105" s="5">
        <f>INDEX(Projects[Plan Commissioning (wks)],104)</f>
        <v/>
      </c>
      <c r="DC105" s="5">
        <f>INDEX(Projects[Plan Total (wks)],104)</f>
        <v/>
      </c>
      <c r="DD105" s="5">
        <f>INDEX(Projects[Act Mech Eng (wks)],104)</f>
        <v/>
      </c>
      <c r="DE105" s="5">
        <f>INDEX(Projects[Act Controls Eng (wks)],104)</f>
        <v/>
      </c>
      <c r="DF105" s="5">
        <f>INDEX(Projects[Act Systems Eng (wks)],104)</f>
        <v/>
      </c>
      <c r="DG105" s="5">
        <f>INDEX(Projects[Act Software Eng (wks)],104)</f>
        <v/>
      </c>
      <c r="DH105" s="5">
        <f>INDEX(Projects[Act M&amp;E Installation (wks)],104)</f>
        <v/>
      </c>
      <c r="DI105" s="5">
        <f>INDEX(Projects[Act Commissioning (wks)],104)</f>
        <v/>
      </c>
      <c r="DJ105" s="5">
        <f>INDEX(Projects[Act Total (wks)],104)</f>
        <v/>
      </c>
    </row>
    <row r="106" ht="15" customHeight="1" s="82">
      <c r="A106" s="64">
        <f>INDEX(Projects[Project ID *],105)&amp;""</f>
        <v/>
      </c>
      <c r="B106" s="64">
        <f>INDEX(Projects[Project Name *],105)&amp;""</f>
        <v/>
      </c>
      <c r="C106" s="64">
        <f>INDEX(Projects[MS Shuttles],105)</f>
        <v/>
      </c>
      <c r="D106" s="64">
        <f>INDEX(Projects[MS Tote Locations],105)</f>
        <v/>
      </c>
      <c r="E106" s="64">
        <f>INDEX(Projects[AS Robots],105)</f>
        <v/>
      </c>
      <c r="F106" s="64">
        <f>INDEX(Projects[AS Tote Locations],105)</f>
        <v/>
      </c>
      <c r="G106" s="64">
        <f>INDEX(Projects[PS Shuttles],105)</f>
        <v/>
      </c>
      <c r="H106" s="64">
        <f>INDEX(Projects[PS Pallet Locations],105)</f>
        <v/>
      </c>
      <c r="I106" s="64">
        <f>INDEX(Projects[SRM Cranes],105)</f>
        <v/>
      </c>
      <c r="J106" s="64">
        <f>INDEX(Projects[SRM Pallet Locations],105)</f>
        <v/>
      </c>
      <c r="K106" s="64">
        <f>INDEX(Projects[Case Conv (m)],105)</f>
        <v/>
      </c>
      <c r="L106" s="64">
        <f>INDEX(Projects[Pallet Conv (m)],105)</f>
        <v/>
      </c>
      <c r="M106" s="64">
        <f>IF(N(DJ106)&gt;0,DD106,CW106)</f>
        <v/>
      </c>
      <c r="N106" s="64">
        <f>IF(N(DJ106)&gt;0,DE106,CX106)</f>
        <v/>
      </c>
      <c r="O106" s="64">
        <f>IF(N(DJ106)&gt;0,DF106,CY106)</f>
        <v/>
      </c>
      <c r="P106" s="64">
        <f>IF(N(DJ106)&gt;0,DG106,CZ106)</f>
        <v/>
      </c>
      <c r="Q106" s="64">
        <f>IF(N(DJ106)&gt;0,DH106,DA106)</f>
        <v/>
      </c>
      <c r="R106" s="64">
        <f>IF(N(DJ106)&gt;0,DI106,DB106)</f>
        <v/>
      </c>
      <c r="S106" s="64">
        <f>IF(N(DJ106)&gt;0,DJ106,DC106)</f>
        <v/>
      </c>
      <c r="T106" s="64">
        <f>INDEX(Projects[Currency],105)&amp;""</f>
        <v/>
      </c>
      <c r="U106" s="65">
        <f>INDEX(Projects[Sold Value (M)],105)</f>
        <v/>
      </c>
      <c r="V106" s="64">
        <f>IF('Smart Search'!B13=1,IFERROR(1/'Smart Search'!H13,0),0)</f>
        <v/>
      </c>
      <c r="W106" s="64">
        <f>IF('Smart Search'!B13=1,IFERROR(1/'Smart Search'!H13,0),0)</f>
        <v/>
      </c>
      <c r="X106" s="64">
        <f>IF('Smart Search'!C13=1,IFERROR(1/'Smart Search'!H13,0),0)</f>
        <v/>
      </c>
      <c r="Y106" s="64">
        <f>IF('Smart Search'!C13=1,IFERROR(1/'Smart Search'!H13,0),0)</f>
        <v/>
      </c>
      <c r="Z106" s="64">
        <f>IF('Smart Search'!D13=1,IFERROR(1/'Smart Search'!H13,0),0)</f>
        <v/>
      </c>
      <c r="AA106" s="64">
        <f>IF('Smart Search'!D13=1,IFERROR(1/'Smart Search'!H13,0),0)</f>
        <v/>
      </c>
      <c r="AB106" s="64">
        <f>IF('Smart Search'!E13=1,IFERROR(1/'Smart Search'!H13,0),0)</f>
        <v/>
      </c>
      <c r="AC106" s="64">
        <f>IF('Smart Search'!E13=1,IFERROR(1/'Smart Search'!H13,0),0)</f>
        <v/>
      </c>
      <c r="AD106" s="64">
        <f>IF('Smart Search'!F13=1,IFERROR(1/'Smart Search'!H13,0),0)</f>
        <v/>
      </c>
      <c r="AE106" s="64">
        <f>IF('Smart Search'!F13=1,IFERROR(1/'Smart Search'!H13,0),0)</f>
        <v/>
      </c>
      <c r="AF106" s="64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4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4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4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4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4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4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4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4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4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4">
        <f>AF106*V106</f>
        <v/>
      </c>
      <c r="AQ106" s="64">
        <f>AG106*W106</f>
        <v/>
      </c>
      <c r="AR106" s="64">
        <f>AH106*X106</f>
        <v/>
      </c>
      <c r="AS106" s="64">
        <f>AI106*Y106</f>
        <v/>
      </c>
      <c r="AT106" s="64">
        <f>AJ106*Z106</f>
        <v/>
      </c>
      <c r="AU106" s="64">
        <f>AK106*AA106</f>
        <v/>
      </c>
      <c r="AV106" s="64">
        <f>AL106*AB106</f>
        <v/>
      </c>
      <c r="AW106" s="64">
        <f>AM106*AC106</f>
        <v/>
      </c>
      <c r="AX106" s="64">
        <f>AN106*AD106</f>
        <v/>
      </c>
      <c r="AY106" s="64">
        <f>AO106*AE106</f>
        <v/>
      </c>
      <c r="AZ106" s="64">
        <f>INDEX(Projects[Automation Equipment],105)&amp;""</f>
        <v/>
      </c>
      <c r="BA106" s="64">
        <f>IF(OR(A106="",'Smart Search'!H13=0),"",MAX(0,BE106*BF106*MAX(0,1-BG106)))</f>
        <v/>
      </c>
      <c r="BB106" s="64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4">
        <f>IF('Smart Search'!G13=1,IFERROR(1/'Smart Search'!H13,0),0)</f>
        <v/>
      </c>
      <c r="BD106" s="64">
        <f>BB106*BC106</f>
        <v/>
      </c>
      <c r="BE106" s="64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IF(A106="","",N(INDEX(Projects[Act Mech Inst],105)))</f>
        <v/>
      </c>
      <c r="BK106" s="5">
        <f>IF(A106="","",N(INDEX(Projects[Act Elec Inst],105)))</f>
        <v/>
      </c>
      <c r="BL106" s="5">
        <f>IF(A106="","",N(INDEX(Projects[Act Project Management],105)))</f>
        <v/>
      </c>
      <c r="BM106" s="5">
        <f>IF(A106="","",N(INDEX(Projects[Act Systems Eng],105)))</f>
        <v/>
      </c>
      <c r="BN106" s="5">
        <f>IF(A106="","",N(INDEX(Projects[Act Mechanical Eng],105)))</f>
        <v/>
      </c>
      <c r="BO106" s="5">
        <f>IF(A106="","",N(INDEX(Projects[Act Structural Engineering],105)))</f>
        <v/>
      </c>
      <c r="BP106" s="5">
        <f>IF(A106="","",N(INDEX(Projects[Act Site Sup],105)))</f>
        <v/>
      </c>
      <c r="BQ106" s="5">
        <f>IF(A106="","",N(INDEX(Projects[Act Controls Commissioning],105)))</f>
        <v/>
      </c>
      <c r="BR106" s="5">
        <f>IF(A106="","",N(INDEX(Projects[Act Systems Commissioning],105)))</f>
        <v/>
      </c>
      <c r="BS106" s="5">
        <f>IF(A106="","",N(INDEX(Projects[Act Service Commissioning],105)))</f>
        <v/>
      </c>
      <c r="BT106" s="5">
        <f>IF(A106="","",N(INDEX(Projects[Act Controls Eng],105)))</f>
        <v/>
      </c>
      <c r="BU106" s="5">
        <f>IF(A106="","",N(INDEX(Projects[Act Controls Purchase],105)))</f>
        <v/>
      </c>
      <c r="BV106" s="5">
        <f>IF(A106="","",N(INDEX(Projects[Act Software Eng],105)))</f>
        <v/>
      </c>
      <c r="BW106" s="5">
        <f>IF(A106="","",N(INDEX(Projects[Act 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INDEX(Projects[Sold Value (USD M)],105)</f>
        <v/>
      </c>
      <c r="CE106" s="5" t="n"/>
      <c r="CF106" s="5">
        <f>IF(A106="","",N(INDEX(Projects[Est Mech Inst],105)))</f>
        <v/>
      </c>
      <c r="CG106" s="5">
        <f>IF(A106="","",N(INDEX(Projects[Est Elec Inst],105)))</f>
        <v/>
      </c>
      <c r="CH106" s="5">
        <f>IF(A106="","",N(INDEX(Projects[Est Project Management],105)))</f>
        <v/>
      </c>
      <c r="CI106" s="5">
        <f>IF(A106="","",N(INDEX(Projects[Est Systems Eng],105)))</f>
        <v/>
      </c>
      <c r="CJ106" s="5">
        <f>IF(A106="","",N(INDEX(Projects[Est Mechanical Eng],105)))</f>
        <v/>
      </c>
      <c r="CK106" s="5">
        <f>IF(A106="","",N(INDEX(Projects[Est Structural Engineering],105)))</f>
        <v/>
      </c>
      <c r="CL106" s="5">
        <f>IF(A106="","",N(INDEX(Projects[Est Site Sup],105)))</f>
        <v/>
      </c>
      <c r="CM106" s="5">
        <f>IF(A106="","",N(INDEX(Projects[Est Controls Commissioning],105)))</f>
        <v/>
      </c>
      <c r="CN106" s="5">
        <f>IF(A106="","",N(INDEX(Projects[Est Systems Commissioning],105)))</f>
        <v/>
      </c>
      <c r="CO106" s="5">
        <f>IF(A106="","",N(INDEX(Projects[Est Service Commissioning],105)))</f>
        <v/>
      </c>
      <c r="CP106" s="5">
        <f>IF(A106="","",N(INDEX(Projects[Est Controls Eng],105)))</f>
        <v/>
      </c>
      <c r="CQ106" s="5">
        <f>IF(A106="","",N(INDEX(Projects[Est Controls Purchase],105)))</f>
        <v/>
      </c>
      <c r="CR106" s="5">
        <f>IF(A106="","",N(INDEX(Projects[Est Software Eng],105)))</f>
        <v/>
      </c>
      <c r="CS106" s="5">
        <f>IF(A106="","",N(INDEX(Projects[Est Misc],105)))</f>
        <v/>
      </c>
      <c r="CT106" s="5">
        <f>IF(A106="","",SUM(CF106:CS106))</f>
        <v/>
      </c>
      <c r="CU106" s="5">
        <f>INDEX(Projects[Est Cost (M)],105)</f>
        <v/>
      </c>
      <c r="CV106" s="5">
        <f>INDEX(Projects[Act Cost (M)],105)</f>
        <v/>
      </c>
      <c r="CW106" s="5">
        <f>INDEX(Projects[Plan Mech Eng (wks)],105)</f>
        <v/>
      </c>
      <c r="CX106" s="5">
        <f>INDEX(Projects[Plan Controls Eng (wks)],105)</f>
        <v/>
      </c>
      <c r="CY106" s="5">
        <f>INDEX(Projects[Plan Systems Eng (wks)],105)</f>
        <v/>
      </c>
      <c r="CZ106" s="5">
        <f>INDEX(Projects[Plan Software Eng (wks)],105)</f>
        <v/>
      </c>
      <c r="DA106" s="5">
        <f>INDEX(Projects[Plan M&amp;E Installation (wks)],105)</f>
        <v/>
      </c>
      <c r="DB106" s="5">
        <f>INDEX(Projects[Plan Commissioning (wks)],105)</f>
        <v/>
      </c>
      <c r="DC106" s="5">
        <f>INDEX(Projects[Plan Total (wks)],105)</f>
        <v/>
      </c>
      <c r="DD106" s="5">
        <f>INDEX(Projects[Act Mech Eng (wks)],105)</f>
        <v/>
      </c>
      <c r="DE106" s="5">
        <f>INDEX(Projects[Act Controls Eng (wks)],105)</f>
        <v/>
      </c>
      <c r="DF106" s="5">
        <f>INDEX(Projects[Act Systems Eng (wks)],105)</f>
        <v/>
      </c>
      <c r="DG106" s="5">
        <f>INDEX(Projects[Act Software Eng (wks)],105)</f>
        <v/>
      </c>
      <c r="DH106" s="5">
        <f>INDEX(Projects[Act M&amp;E Installation (wks)],105)</f>
        <v/>
      </c>
      <c r="DI106" s="5">
        <f>INDEX(Projects[Act Commissioning (wks)],105)</f>
        <v/>
      </c>
      <c r="DJ106" s="5">
        <f>INDEX(Projects[Act Total (wks)],105)</f>
        <v/>
      </c>
    </row>
    <row r="107" ht="15" customHeight="1" s="82">
      <c r="A107" s="64">
        <f>INDEX(Projects[Project ID *],106)&amp;""</f>
        <v/>
      </c>
      <c r="B107" s="64">
        <f>INDEX(Projects[Project Name *],106)&amp;""</f>
        <v/>
      </c>
      <c r="C107" s="64">
        <f>INDEX(Projects[MS Shuttles],106)</f>
        <v/>
      </c>
      <c r="D107" s="64">
        <f>INDEX(Projects[MS Tote Locations],106)</f>
        <v/>
      </c>
      <c r="E107" s="64">
        <f>INDEX(Projects[AS Robots],106)</f>
        <v/>
      </c>
      <c r="F107" s="64">
        <f>INDEX(Projects[AS Tote Locations],106)</f>
        <v/>
      </c>
      <c r="G107" s="64">
        <f>INDEX(Projects[PS Shuttles],106)</f>
        <v/>
      </c>
      <c r="H107" s="64">
        <f>INDEX(Projects[PS Pallet Locations],106)</f>
        <v/>
      </c>
      <c r="I107" s="64">
        <f>INDEX(Projects[SRM Cranes],106)</f>
        <v/>
      </c>
      <c r="J107" s="64">
        <f>INDEX(Projects[SRM Pallet Locations],106)</f>
        <v/>
      </c>
      <c r="K107" s="64">
        <f>INDEX(Projects[Case Conv (m)],106)</f>
        <v/>
      </c>
      <c r="L107" s="64">
        <f>INDEX(Projects[Pallet Conv (m)],106)</f>
        <v/>
      </c>
      <c r="M107" s="64">
        <f>IF(N(DJ107)&gt;0,DD107,CW107)</f>
        <v/>
      </c>
      <c r="N107" s="64">
        <f>IF(N(DJ107)&gt;0,DE107,CX107)</f>
        <v/>
      </c>
      <c r="O107" s="64">
        <f>IF(N(DJ107)&gt;0,DF107,CY107)</f>
        <v/>
      </c>
      <c r="P107" s="64">
        <f>IF(N(DJ107)&gt;0,DG107,CZ107)</f>
        <v/>
      </c>
      <c r="Q107" s="64">
        <f>IF(N(DJ107)&gt;0,DH107,DA107)</f>
        <v/>
      </c>
      <c r="R107" s="64">
        <f>IF(N(DJ107)&gt;0,DI107,DB107)</f>
        <v/>
      </c>
      <c r="S107" s="64">
        <f>IF(N(DJ107)&gt;0,DJ107,DC107)</f>
        <v/>
      </c>
      <c r="T107" s="64">
        <f>INDEX(Projects[Currency],106)&amp;""</f>
        <v/>
      </c>
      <c r="U107" s="65">
        <f>INDEX(Projects[Sold Value (M)],106)</f>
        <v/>
      </c>
      <c r="V107" s="64">
        <f>IF('Smart Search'!B13=1,IFERROR(1/'Smart Search'!H13,0),0)</f>
        <v/>
      </c>
      <c r="W107" s="64">
        <f>IF('Smart Search'!B13=1,IFERROR(1/'Smart Search'!H13,0),0)</f>
        <v/>
      </c>
      <c r="X107" s="64">
        <f>IF('Smart Search'!C13=1,IFERROR(1/'Smart Search'!H13,0),0)</f>
        <v/>
      </c>
      <c r="Y107" s="64">
        <f>IF('Smart Search'!C13=1,IFERROR(1/'Smart Search'!H13,0),0)</f>
        <v/>
      </c>
      <c r="Z107" s="64">
        <f>IF('Smart Search'!D13=1,IFERROR(1/'Smart Search'!H13,0),0)</f>
        <v/>
      </c>
      <c r="AA107" s="64">
        <f>IF('Smart Search'!D13=1,IFERROR(1/'Smart Search'!H13,0),0)</f>
        <v/>
      </c>
      <c r="AB107" s="64">
        <f>IF('Smart Search'!E13=1,IFERROR(1/'Smart Search'!H13,0),0)</f>
        <v/>
      </c>
      <c r="AC107" s="64">
        <f>IF('Smart Search'!E13=1,IFERROR(1/'Smart Search'!H13,0),0)</f>
        <v/>
      </c>
      <c r="AD107" s="64">
        <f>IF('Smart Search'!F13=1,IFERROR(1/'Smart Search'!H13,0),0)</f>
        <v/>
      </c>
      <c r="AE107" s="64">
        <f>IF('Smart Search'!F13=1,IFERROR(1/'Smart Search'!H13,0),0)</f>
        <v/>
      </c>
      <c r="AF107" s="64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4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4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4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4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4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4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4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4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4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4">
        <f>AF107*V107</f>
        <v/>
      </c>
      <c r="AQ107" s="64">
        <f>AG107*W107</f>
        <v/>
      </c>
      <c r="AR107" s="64">
        <f>AH107*X107</f>
        <v/>
      </c>
      <c r="AS107" s="64">
        <f>AI107*Y107</f>
        <v/>
      </c>
      <c r="AT107" s="64">
        <f>AJ107*Z107</f>
        <v/>
      </c>
      <c r="AU107" s="64">
        <f>AK107*AA107</f>
        <v/>
      </c>
      <c r="AV107" s="64">
        <f>AL107*AB107</f>
        <v/>
      </c>
      <c r="AW107" s="64">
        <f>AM107*AC107</f>
        <v/>
      </c>
      <c r="AX107" s="64">
        <f>AN107*AD107</f>
        <v/>
      </c>
      <c r="AY107" s="64">
        <f>AO107*AE107</f>
        <v/>
      </c>
      <c r="AZ107" s="64">
        <f>INDEX(Projects[Automation Equipment],106)&amp;""</f>
        <v/>
      </c>
      <c r="BA107" s="64">
        <f>IF(OR(A107="",'Smart Search'!H13=0),"",MAX(0,BE107*BF107*MAX(0,1-BG107)))</f>
        <v/>
      </c>
      <c r="BB107" s="64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4">
        <f>IF('Smart Search'!G13=1,IFERROR(1/'Smart Search'!H13,0),0)</f>
        <v/>
      </c>
      <c r="BD107" s="64">
        <f>BB107*BC107</f>
        <v/>
      </c>
      <c r="BE107" s="64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IF(A107="","",N(INDEX(Projects[Act Mech Inst],106)))</f>
        <v/>
      </c>
      <c r="BK107" s="5">
        <f>IF(A107="","",N(INDEX(Projects[Act Elec Inst],106)))</f>
        <v/>
      </c>
      <c r="BL107" s="5">
        <f>IF(A107="","",N(INDEX(Projects[Act Project Management],106)))</f>
        <v/>
      </c>
      <c r="BM107" s="5">
        <f>IF(A107="","",N(INDEX(Projects[Act Systems Eng],106)))</f>
        <v/>
      </c>
      <c r="BN107" s="5">
        <f>IF(A107="","",N(INDEX(Projects[Act Mechanical Eng],106)))</f>
        <v/>
      </c>
      <c r="BO107" s="5">
        <f>IF(A107="","",N(INDEX(Projects[Act Structural Engineering],106)))</f>
        <v/>
      </c>
      <c r="BP107" s="5">
        <f>IF(A107="","",N(INDEX(Projects[Act Site Sup],106)))</f>
        <v/>
      </c>
      <c r="BQ107" s="5">
        <f>IF(A107="","",N(INDEX(Projects[Act Controls Commissioning],106)))</f>
        <v/>
      </c>
      <c r="BR107" s="5">
        <f>IF(A107="","",N(INDEX(Projects[Act Systems Commissioning],106)))</f>
        <v/>
      </c>
      <c r="BS107" s="5">
        <f>IF(A107="","",N(INDEX(Projects[Act Service Commissioning],106)))</f>
        <v/>
      </c>
      <c r="BT107" s="5">
        <f>IF(A107="","",N(INDEX(Projects[Act Controls Eng],106)))</f>
        <v/>
      </c>
      <c r="BU107" s="5">
        <f>IF(A107="","",N(INDEX(Projects[Act Controls Purchase],106)))</f>
        <v/>
      </c>
      <c r="BV107" s="5">
        <f>IF(A107="","",N(INDEX(Projects[Act Software Eng],106)))</f>
        <v/>
      </c>
      <c r="BW107" s="5">
        <f>IF(A107="","",N(INDEX(Projects[Act 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INDEX(Projects[Sold Value (USD M)],106)</f>
        <v/>
      </c>
      <c r="CE107" s="5" t="n"/>
      <c r="CF107" s="5">
        <f>IF(A107="","",N(INDEX(Projects[Est Mech Inst],106)))</f>
        <v/>
      </c>
      <c r="CG107" s="5">
        <f>IF(A107="","",N(INDEX(Projects[Est Elec Inst],106)))</f>
        <v/>
      </c>
      <c r="CH107" s="5">
        <f>IF(A107="","",N(INDEX(Projects[Est Project Management],106)))</f>
        <v/>
      </c>
      <c r="CI107" s="5">
        <f>IF(A107="","",N(INDEX(Projects[Est Systems Eng],106)))</f>
        <v/>
      </c>
      <c r="CJ107" s="5">
        <f>IF(A107="","",N(INDEX(Projects[Est Mechanical Eng],106)))</f>
        <v/>
      </c>
      <c r="CK107" s="5">
        <f>IF(A107="","",N(INDEX(Projects[Est Structural Engineering],106)))</f>
        <v/>
      </c>
      <c r="CL107" s="5">
        <f>IF(A107="","",N(INDEX(Projects[Est Site Sup],106)))</f>
        <v/>
      </c>
      <c r="CM107" s="5">
        <f>IF(A107="","",N(INDEX(Projects[Est Controls Commissioning],106)))</f>
        <v/>
      </c>
      <c r="CN107" s="5">
        <f>IF(A107="","",N(INDEX(Projects[Est Systems Commissioning],106)))</f>
        <v/>
      </c>
      <c r="CO107" s="5">
        <f>IF(A107="","",N(INDEX(Projects[Est Service Commissioning],106)))</f>
        <v/>
      </c>
      <c r="CP107" s="5">
        <f>IF(A107="","",N(INDEX(Projects[Est Controls Eng],106)))</f>
        <v/>
      </c>
      <c r="CQ107" s="5">
        <f>IF(A107="","",N(INDEX(Projects[Est Controls Purchase],106)))</f>
        <v/>
      </c>
      <c r="CR107" s="5">
        <f>IF(A107="","",N(INDEX(Projects[Est Software Eng],106)))</f>
        <v/>
      </c>
      <c r="CS107" s="5">
        <f>IF(A107="","",N(INDEX(Projects[Est Misc],106)))</f>
        <v/>
      </c>
      <c r="CT107" s="5">
        <f>IF(A107="","",SUM(CF107:CS107))</f>
        <v/>
      </c>
      <c r="CU107" s="5">
        <f>INDEX(Projects[Est Cost (M)],106)</f>
        <v/>
      </c>
      <c r="CV107" s="5">
        <f>INDEX(Projects[Act Cost (M)],106)</f>
        <v/>
      </c>
      <c r="CW107" s="5">
        <f>INDEX(Projects[Plan Mech Eng (wks)],106)</f>
        <v/>
      </c>
      <c r="CX107" s="5">
        <f>INDEX(Projects[Plan Controls Eng (wks)],106)</f>
        <v/>
      </c>
      <c r="CY107" s="5">
        <f>INDEX(Projects[Plan Systems Eng (wks)],106)</f>
        <v/>
      </c>
      <c r="CZ107" s="5">
        <f>INDEX(Projects[Plan Software Eng (wks)],106)</f>
        <v/>
      </c>
      <c r="DA107" s="5">
        <f>INDEX(Projects[Plan M&amp;E Installation (wks)],106)</f>
        <v/>
      </c>
      <c r="DB107" s="5">
        <f>INDEX(Projects[Plan Commissioning (wks)],106)</f>
        <v/>
      </c>
      <c r="DC107" s="5">
        <f>INDEX(Projects[Plan Total (wks)],106)</f>
        <v/>
      </c>
      <c r="DD107" s="5">
        <f>INDEX(Projects[Act Mech Eng (wks)],106)</f>
        <v/>
      </c>
      <c r="DE107" s="5">
        <f>INDEX(Projects[Act Controls Eng (wks)],106)</f>
        <v/>
      </c>
      <c r="DF107" s="5">
        <f>INDEX(Projects[Act Systems Eng (wks)],106)</f>
        <v/>
      </c>
      <c r="DG107" s="5">
        <f>INDEX(Projects[Act Software Eng (wks)],106)</f>
        <v/>
      </c>
      <c r="DH107" s="5">
        <f>INDEX(Projects[Act M&amp;E Installation (wks)],106)</f>
        <v/>
      </c>
      <c r="DI107" s="5">
        <f>INDEX(Projects[Act Commissioning (wks)],106)</f>
        <v/>
      </c>
      <c r="DJ107" s="5">
        <f>INDEX(Projects[Act Total (wks)],106)</f>
        <v/>
      </c>
    </row>
    <row r="108" ht="15" customHeight="1" s="82">
      <c r="A108" s="64">
        <f>INDEX(Projects[Project ID *],107)&amp;""</f>
        <v/>
      </c>
      <c r="B108" s="64">
        <f>INDEX(Projects[Project Name *],107)&amp;""</f>
        <v/>
      </c>
      <c r="C108" s="64">
        <f>INDEX(Projects[MS Shuttles],107)</f>
        <v/>
      </c>
      <c r="D108" s="64">
        <f>INDEX(Projects[MS Tote Locations],107)</f>
        <v/>
      </c>
      <c r="E108" s="64">
        <f>INDEX(Projects[AS Robots],107)</f>
        <v/>
      </c>
      <c r="F108" s="64">
        <f>INDEX(Projects[AS Tote Locations],107)</f>
        <v/>
      </c>
      <c r="G108" s="64">
        <f>INDEX(Projects[PS Shuttles],107)</f>
        <v/>
      </c>
      <c r="H108" s="64">
        <f>INDEX(Projects[PS Pallet Locations],107)</f>
        <v/>
      </c>
      <c r="I108" s="64">
        <f>INDEX(Projects[SRM Cranes],107)</f>
        <v/>
      </c>
      <c r="J108" s="64">
        <f>INDEX(Projects[SRM Pallet Locations],107)</f>
        <v/>
      </c>
      <c r="K108" s="64">
        <f>INDEX(Projects[Case Conv (m)],107)</f>
        <v/>
      </c>
      <c r="L108" s="64">
        <f>INDEX(Projects[Pallet Conv (m)],107)</f>
        <v/>
      </c>
      <c r="M108" s="64">
        <f>IF(N(DJ108)&gt;0,DD108,CW108)</f>
        <v/>
      </c>
      <c r="N108" s="64">
        <f>IF(N(DJ108)&gt;0,DE108,CX108)</f>
        <v/>
      </c>
      <c r="O108" s="64">
        <f>IF(N(DJ108)&gt;0,DF108,CY108)</f>
        <v/>
      </c>
      <c r="P108" s="64">
        <f>IF(N(DJ108)&gt;0,DG108,CZ108)</f>
        <v/>
      </c>
      <c r="Q108" s="64">
        <f>IF(N(DJ108)&gt;0,DH108,DA108)</f>
        <v/>
      </c>
      <c r="R108" s="64">
        <f>IF(N(DJ108)&gt;0,DI108,DB108)</f>
        <v/>
      </c>
      <c r="S108" s="64">
        <f>IF(N(DJ108)&gt;0,DJ108,DC108)</f>
        <v/>
      </c>
      <c r="T108" s="64">
        <f>INDEX(Projects[Currency],107)&amp;""</f>
        <v/>
      </c>
      <c r="U108" s="65">
        <f>INDEX(Projects[Sold Value (M)],107)</f>
        <v/>
      </c>
      <c r="V108" s="64">
        <f>IF('Smart Search'!B13=1,IFERROR(1/'Smart Search'!H13,0),0)</f>
        <v/>
      </c>
      <c r="W108" s="64">
        <f>IF('Smart Search'!B13=1,IFERROR(1/'Smart Search'!H13,0),0)</f>
        <v/>
      </c>
      <c r="X108" s="64">
        <f>IF('Smart Search'!C13=1,IFERROR(1/'Smart Search'!H13,0),0)</f>
        <v/>
      </c>
      <c r="Y108" s="64">
        <f>IF('Smart Search'!C13=1,IFERROR(1/'Smart Search'!H13,0),0)</f>
        <v/>
      </c>
      <c r="Z108" s="64">
        <f>IF('Smart Search'!D13=1,IFERROR(1/'Smart Search'!H13,0),0)</f>
        <v/>
      </c>
      <c r="AA108" s="64">
        <f>IF('Smart Search'!D13=1,IFERROR(1/'Smart Search'!H13,0),0)</f>
        <v/>
      </c>
      <c r="AB108" s="64">
        <f>IF('Smart Search'!E13=1,IFERROR(1/'Smart Search'!H13,0),0)</f>
        <v/>
      </c>
      <c r="AC108" s="64">
        <f>IF('Smart Search'!E13=1,IFERROR(1/'Smart Search'!H13,0),0)</f>
        <v/>
      </c>
      <c r="AD108" s="64">
        <f>IF('Smart Search'!F13=1,IFERROR(1/'Smart Search'!H13,0),0)</f>
        <v/>
      </c>
      <c r="AE108" s="64">
        <f>IF('Smart Search'!F13=1,IFERROR(1/'Smart Search'!H13,0),0)</f>
        <v/>
      </c>
      <c r="AF108" s="64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4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4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4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4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4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4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4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4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4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4">
        <f>AF108*V108</f>
        <v/>
      </c>
      <c r="AQ108" s="64">
        <f>AG108*W108</f>
        <v/>
      </c>
      <c r="AR108" s="64">
        <f>AH108*X108</f>
        <v/>
      </c>
      <c r="AS108" s="64">
        <f>AI108*Y108</f>
        <v/>
      </c>
      <c r="AT108" s="64">
        <f>AJ108*Z108</f>
        <v/>
      </c>
      <c r="AU108" s="64">
        <f>AK108*AA108</f>
        <v/>
      </c>
      <c r="AV108" s="64">
        <f>AL108*AB108</f>
        <v/>
      </c>
      <c r="AW108" s="64">
        <f>AM108*AC108</f>
        <v/>
      </c>
      <c r="AX108" s="64">
        <f>AN108*AD108</f>
        <v/>
      </c>
      <c r="AY108" s="64">
        <f>AO108*AE108</f>
        <v/>
      </c>
      <c r="AZ108" s="64">
        <f>INDEX(Projects[Automation Equipment],107)&amp;""</f>
        <v/>
      </c>
      <c r="BA108" s="64">
        <f>IF(OR(A108="",'Smart Search'!H13=0),"",MAX(0,BE108*BF108*MAX(0,1-BG108)))</f>
        <v/>
      </c>
      <c r="BB108" s="64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4">
        <f>IF('Smart Search'!G13=1,IFERROR(1/'Smart Search'!H13,0),0)</f>
        <v/>
      </c>
      <c r="BD108" s="64">
        <f>BB108*BC108</f>
        <v/>
      </c>
      <c r="BE108" s="64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IF(A108="","",N(INDEX(Projects[Act Mech Inst],107)))</f>
        <v/>
      </c>
      <c r="BK108" s="5">
        <f>IF(A108="","",N(INDEX(Projects[Act Elec Inst],107)))</f>
        <v/>
      </c>
      <c r="BL108" s="5">
        <f>IF(A108="","",N(INDEX(Projects[Act Project Management],107)))</f>
        <v/>
      </c>
      <c r="BM108" s="5">
        <f>IF(A108="","",N(INDEX(Projects[Act Systems Eng],107)))</f>
        <v/>
      </c>
      <c r="BN108" s="5">
        <f>IF(A108="","",N(INDEX(Projects[Act Mechanical Eng],107)))</f>
        <v/>
      </c>
      <c r="BO108" s="5">
        <f>IF(A108="","",N(INDEX(Projects[Act Structural Engineering],107)))</f>
        <v/>
      </c>
      <c r="BP108" s="5">
        <f>IF(A108="","",N(INDEX(Projects[Act Site Sup],107)))</f>
        <v/>
      </c>
      <c r="BQ108" s="5">
        <f>IF(A108="","",N(INDEX(Projects[Act Controls Commissioning],107)))</f>
        <v/>
      </c>
      <c r="BR108" s="5">
        <f>IF(A108="","",N(INDEX(Projects[Act Systems Commissioning],107)))</f>
        <v/>
      </c>
      <c r="BS108" s="5">
        <f>IF(A108="","",N(INDEX(Projects[Act Service Commissioning],107)))</f>
        <v/>
      </c>
      <c r="BT108" s="5">
        <f>IF(A108="","",N(INDEX(Projects[Act Controls Eng],107)))</f>
        <v/>
      </c>
      <c r="BU108" s="5">
        <f>IF(A108="","",N(INDEX(Projects[Act Controls Purchase],107)))</f>
        <v/>
      </c>
      <c r="BV108" s="5">
        <f>IF(A108="","",N(INDEX(Projects[Act Software Eng],107)))</f>
        <v/>
      </c>
      <c r="BW108" s="5">
        <f>IF(A108="","",N(INDEX(Projects[Act 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INDEX(Projects[Sold Value (USD M)],107)</f>
        <v/>
      </c>
      <c r="CE108" s="5" t="n"/>
      <c r="CF108" s="5">
        <f>IF(A108="","",N(INDEX(Projects[Est Mech Inst],107)))</f>
        <v/>
      </c>
      <c r="CG108" s="5">
        <f>IF(A108="","",N(INDEX(Projects[Est Elec Inst],107)))</f>
        <v/>
      </c>
      <c r="CH108" s="5">
        <f>IF(A108="","",N(INDEX(Projects[Est Project Management],107)))</f>
        <v/>
      </c>
      <c r="CI108" s="5">
        <f>IF(A108="","",N(INDEX(Projects[Est Systems Eng],107)))</f>
        <v/>
      </c>
      <c r="CJ108" s="5">
        <f>IF(A108="","",N(INDEX(Projects[Est Mechanical Eng],107)))</f>
        <v/>
      </c>
      <c r="CK108" s="5">
        <f>IF(A108="","",N(INDEX(Projects[Est Structural Engineering],107)))</f>
        <v/>
      </c>
      <c r="CL108" s="5">
        <f>IF(A108="","",N(INDEX(Projects[Est Site Sup],107)))</f>
        <v/>
      </c>
      <c r="CM108" s="5">
        <f>IF(A108="","",N(INDEX(Projects[Est Controls Commissioning],107)))</f>
        <v/>
      </c>
      <c r="CN108" s="5">
        <f>IF(A108="","",N(INDEX(Projects[Est Systems Commissioning],107)))</f>
        <v/>
      </c>
      <c r="CO108" s="5">
        <f>IF(A108="","",N(INDEX(Projects[Est Service Commissioning],107)))</f>
        <v/>
      </c>
      <c r="CP108" s="5">
        <f>IF(A108="","",N(INDEX(Projects[Est Controls Eng],107)))</f>
        <v/>
      </c>
      <c r="CQ108" s="5">
        <f>IF(A108="","",N(INDEX(Projects[Est Controls Purchase],107)))</f>
        <v/>
      </c>
      <c r="CR108" s="5">
        <f>IF(A108="","",N(INDEX(Projects[Est Software Eng],107)))</f>
        <v/>
      </c>
      <c r="CS108" s="5">
        <f>IF(A108="","",N(INDEX(Projects[Est Misc],107)))</f>
        <v/>
      </c>
      <c r="CT108" s="5">
        <f>IF(A108="","",SUM(CF108:CS108))</f>
        <v/>
      </c>
      <c r="CU108" s="5">
        <f>INDEX(Projects[Est Cost (M)],107)</f>
        <v/>
      </c>
      <c r="CV108" s="5">
        <f>INDEX(Projects[Act Cost (M)],107)</f>
        <v/>
      </c>
      <c r="CW108" s="5">
        <f>INDEX(Projects[Plan Mech Eng (wks)],107)</f>
        <v/>
      </c>
      <c r="CX108" s="5">
        <f>INDEX(Projects[Plan Controls Eng (wks)],107)</f>
        <v/>
      </c>
      <c r="CY108" s="5">
        <f>INDEX(Projects[Plan Systems Eng (wks)],107)</f>
        <v/>
      </c>
      <c r="CZ108" s="5">
        <f>INDEX(Projects[Plan Software Eng (wks)],107)</f>
        <v/>
      </c>
      <c r="DA108" s="5">
        <f>INDEX(Projects[Plan M&amp;E Installation (wks)],107)</f>
        <v/>
      </c>
      <c r="DB108" s="5">
        <f>INDEX(Projects[Plan Commissioning (wks)],107)</f>
        <v/>
      </c>
      <c r="DC108" s="5">
        <f>INDEX(Projects[Plan Total (wks)],107)</f>
        <v/>
      </c>
      <c r="DD108" s="5">
        <f>INDEX(Projects[Act Mech Eng (wks)],107)</f>
        <v/>
      </c>
      <c r="DE108" s="5">
        <f>INDEX(Projects[Act Controls Eng (wks)],107)</f>
        <v/>
      </c>
      <c r="DF108" s="5">
        <f>INDEX(Projects[Act Systems Eng (wks)],107)</f>
        <v/>
      </c>
      <c r="DG108" s="5">
        <f>INDEX(Projects[Act Software Eng (wks)],107)</f>
        <v/>
      </c>
      <c r="DH108" s="5">
        <f>INDEX(Projects[Act M&amp;E Installation (wks)],107)</f>
        <v/>
      </c>
      <c r="DI108" s="5">
        <f>INDEX(Projects[Act Commissioning (wks)],107)</f>
        <v/>
      </c>
      <c r="DJ108" s="5">
        <f>INDEX(Projects[Act Total (wks)],107)</f>
        <v/>
      </c>
    </row>
    <row r="109" ht="15" customHeight="1" s="82">
      <c r="A109" s="64">
        <f>INDEX(Projects[Project ID *],108)&amp;""</f>
        <v/>
      </c>
      <c r="B109" s="64">
        <f>INDEX(Projects[Project Name *],108)&amp;""</f>
        <v/>
      </c>
      <c r="C109" s="64">
        <f>INDEX(Projects[MS Shuttles],108)</f>
        <v/>
      </c>
      <c r="D109" s="64">
        <f>INDEX(Projects[MS Tote Locations],108)</f>
        <v/>
      </c>
      <c r="E109" s="64">
        <f>INDEX(Projects[AS Robots],108)</f>
        <v/>
      </c>
      <c r="F109" s="64">
        <f>INDEX(Projects[AS Tote Locations],108)</f>
        <v/>
      </c>
      <c r="G109" s="64">
        <f>INDEX(Projects[PS Shuttles],108)</f>
        <v/>
      </c>
      <c r="H109" s="64">
        <f>INDEX(Projects[PS Pallet Locations],108)</f>
        <v/>
      </c>
      <c r="I109" s="64">
        <f>INDEX(Projects[SRM Cranes],108)</f>
        <v/>
      </c>
      <c r="J109" s="64">
        <f>INDEX(Projects[SRM Pallet Locations],108)</f>
        <v/>
      </c>
      <c r="K109" s="64">
        <f>INDEX(Projects[Case Conv (m)],108)</f>
        <v/>
      </c>
      <c r="L109" s="64">
        <f>INDEX(Projects[Pallet Conv (m)],108)</f>
        <v/>
      </c>
      <c r="M109" s="64">
        <f>IF(N(DJ109)&gt;0,DD109,CW109)</f>
        <v/>
      </c>
      <c r="N109" s="64">
        <f>IF(N(DJ109)&gt;0,DE109,CX109)</f>
        <v/>
      </c>
      <c r="O109" s="64">
        <f>IF(N(DJ109)&gt;0,DF109,CY109)</f>
        <v/>
      </c>
      <c r="P109" s="64">
        <f>IF(N(DJ109)&gt;0,DG109,CZ109)</f>
        <v/>
      </c>
      <c r="Q109" s="64">
        <f>IF(N(DJ109)&gt;0,DH109,DA109)</f>
        <v/>
      </c>
      <c r="R109" s="64">
        <f>IF(N(DJ109)&gt;0,DI109,DB109)</f>
        <v/>
      </c>
      <c r="S109" s="64">
        <f>IF(N(DJ109)&gt;0,DJ109,DC109)</f>
        <v/>
      </c>
      <c r="T109" s="64">
        <f>INDEX(Projects[Currency],108)&amp;""</f>
        <v/>
      </c>
      <c r="U109" s="65">
        <f>INDEX(Projects[Sold Value (M)],108)</f>
        <v/>
      </c>
      <c r="V109" s="64">
        <f>IF('Smart Search'!B13=1,IFERROR(1/'Smart Search'!H13,0),0)</f>
        <v/>
      </c>
      <c r="W109" s="64">
        <f>IF('Smart Search'!B13=1,IFERROR(1/'Smart Search'!H13,0),0)</f>
        <v/>
      </c>
      <c r="X109" s="64">
        <f>IF('Smart Search'!C13=1,IFERROR(1/'Smart Search'!H13,0),0)</f>
        <v/>
      </c>
      <c r="Y109" s="64">
        <f>IF('Smart Search'!C13=1,IFERROR(1/'Smart Search'!H13,0),0)</f>
        <v/>
      </c>
      <c r="Z109" s="64">
        <f>IF('Smart Search'!D13=1,IFERROR(1/'Smart Search'!H13,0),0)</f>
        <v/>
      </c>
      <c r="AA109" s="64">
        <f>IF('Smart Search'!D13=1,IFERROR(1/'Smart Search'!H13,0),0)</f>
        <v/>
      </c>
      <c r="AB109" s="64">
        <f>IF('Smart Search'!E13=1,IFERROR(1/'Smart Search'!H13,0),0)</f>
        <v/>
      </c>
      <c r="AC109" s="64">
        <f>IF('Smart Search'!E13=1,IFERROR(1/'Smart Search'!H13,0),0)</f>
        <v/>
      </c>
      <c r="AD109" s="64">
        <f>IF('Smart Search'!F13=1,IFERROR(1/'Smart Search'!H13,0),0)</f>
        <v/>
      </c>
      <c r="AE109" s="64">
        <f>IF('Smart Search'!F13=1,IFERROR(1/'Smart Search'!H13,0),0)</f>
        <v/>
      </c>
      <c r="AF109" s="64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4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4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4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4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4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4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4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4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4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4">
        <f>AF109*V109</f>
        <v/>
      </c>
      <c r="AQ109" s="64">
        <f>AG109*W109</f>
        <v/>
      </c>
      <c r="AR109" s="64">
        <f>AH109*X109</f>
        <v/>
      </c>
      <c r="AS109" s="64">
        <f>AI109*Y109</f>
        <v/>
      </c>
      <c r="AT109" s="64">
        <f>AJ109*Z109</f>
        <v/>
      </c>
      <c r="AU109" s="64">
        <f>AK109*AA109</f>
        <v/>
      </c>
      <c r="AV109" s="64">
        <f>AL109*AB109</f>
        <v/>
      </c>
      <c r="AW109" s="64">
        <f>AM109*AC109</f>
        <v/>
      </c>
      <c r="AX109" s="64">
        <f>AN109*AD109</f>
        <v/>
      </c>
      <c r="AY109" s="64">
        <f>AO109*AE109</f>
        <v/>
      </c>
      <c r="AZ109" s="64">
        <f>INDEX(Projects[Automation Equipment],108)&amp;""</f>
        <v/>
      </c>
      <c r="BA109" s="64">
        <f>IF(OR(A109="",'Smart Search'!H13=0),"",MAX(0,BE109*BF109*MAX(0,1-BG109)))</f>
        <v/>
      </c>
      <c r="BB109" s="64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4">
        <f>IF('Smart Search'!G13=1,IFERROR(1/'Smart Search'!H13,0),0)</f>
        <v/>
      </c>
      <c r="BD109" s="64">
        <f>BB109*BC109</f>
        <v/>
      </c>
      <c r="BE109" s="64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IF(A109="","",N(INDEX(Projects[Act Mech Inst],108)))</f>
        <v/>
      </c>
      <c r="BK109" s="5">
        <f>IF(A109="","",N(INDEX(Projects[Act Elec Inst],108)))</f>
        <v/>
      </c>
      <c r="BL109" s="5">
        <f>IF(A109="","",N(INDEX(Projects[Act Project Management],108)))</f>
        <v/>
      </c>
      <c r="BM109" s="5">
        <f>IF(A109="","",N(INDEX(Projects[Act Systems Eng],108)))</f>
        <v/>
      </c>
      <c r="BN109" s="5">
        <f>IF(A109="","",N(INDEX(Projects[Act Mechanical Eng],108)))</f>
        <v/>
      </c>
      <c r="BO109" s="5">
        <f>IF(A109="","",N(INDEX(Projects[Act Structural Engineering],108)))</f>
        <v/>
      </c>
      <c r="BP109" s="5">
        <f>IF(A109="","",N(INDEX(Projects[Act Site Sup],108)))</f>
        <v/>
      </c>
      <c r="BQ109" s="5">
        <f>IF(A109="","",N(INDEX(Projects[Act Controls Commissioning],108)))</f>
        <v/>
      </c>
      <c r="BR109" s="5">
        <f>IF(A109="","",N(INDEX(Projects[Act Systems Commissioning],108)))</f>
        <v/>
      </c>
      <c r="BS109" s="5">
        <f>IF(A109="","",N(INDEX(Projects[Act Service Commissioning],108)))</f>
        <v/>
      </c>
      <c r="BT109" s="5">
        <f>IF(A109="","",N(INDEX(Projects[Act Controls Eng],108)))</f>
        <v/>
      </c>
      <c r="BU109" s="5">
        <f>IF(A109="","",N(INDEX(Projects[Act Controls Purchase],108)))</f>
        <v/>
      </c>
      <c r="BV109" s="5">
        <f>IF(A109="","",N(INDEX(Projects[Act Software Eng],108)))</f>
        <v/>
      </c>
      <c r="BW109" s="5">
        <f>IF(A109="","",N(INDEX(Projects[Act 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INDEX(Projects[Sold Value (USD M)],108)</f>
        <v/>
      </c>
      <c r="CE109" s="5" t="n"/>
      <c r="CF109" s="5">
        <f>IF(A109="","",N(INDEX(Projects[Est Mech Inst],108)))</f>
        <v/>
      </c>
      <c r="CG109" s="5">
        <f>IF(A109="","",N(INDEX(Projects[Est Elec Inst],108)))</f>
        <v/>
      </c>
      <c r="CH109" s="5">
        <f>IF(A109="","",N(INDEX(Projects[Est Project Management],108)))</f>
        <v/>
      </c>
      <c r="CI109" s="5">
        <f>IF(A109="","",N(INDEX(Projects[Est Systems Eng],108)))</f>
        <v/>
      </c>
      <c r="CJ109" s="5">
        <f>IF(A109="","",N(INDEX(Projects[Est Mechanical Eng],108)))</f>
        <v/>
      </c>
      <c r="CK109" s="5">
        <f>IF(A109="","",N(INDEX(Projects[Est Structural Engineering],108)))</f>
        <v/>
      </c>
      <c r="CL109" s="5">
        <f>IF(A109="","",N(INDEX(Projects[Est Site Sup],108)))</f>
        <v/>
      </c>
      <c r="CM109" s="5">
        <f>IF(A109="","",N(INDEX(Projects[Est Controls Commissioning],108)))</f>
        <v/>
      </c>
      <c r="CN109" s="5">
        <f>IF(A109="","",N(INDEX(Projects[Est Systems Commissioning],108)))</f>
        <v/>
      </c>
      <c r="CO109" s="5">
        <f>IF(A109="","",N(INDEX(Projects[Est Service Commissioning],108)))</f>
        <v/>
      </c>
      <c r="CP109" s="5">
        <f>IF(A109="","",N(INDEX(Projects[Est Controls Eng],108)))</f>
        <v/>
      </c>
      <c r="CQ109" s="5">
        <f>IF(A109="","",N(INDEX(Projects[Est Controls Purchase],108)))</f>
        <v/>
      </c>
      <c r="CR109" s="5">
        <f>IF(A109="","",N(INDEX(Projects[Est Software Eng],108)))</f>
        <v/>
      </c>
      <c r="CS109" s="5">
        <f>IF(A109="","",N(INDEX(Projects[Est Misc],108)))</f>
        <v/>
      </c>
      <c r="CT109" s="5">
        <f>IF(A109="","",SUM(CF109:CS109))</f>
        <v/>
      </c>
      <c r="CU109" s="5">
        <f>INDEX(Projects[Est Cost (M)],108)</f>
        <v/>
      </c>
      <c r="CV109" s="5">
        <f>INDEX(Projects[Act Cost (M)],108)</f>
        <v/>
      </c>
      <c r="CW109" s="5">
        <f>INDEX(Projects[Plan Mech Eng (wks)],108)</f>
        <v/>
      </c>
      <c r="CX109" s="5">
        <f>INDEX(Projects[Plan Controls Eng (wks)],108)</f>
        <v/>
      </c>
      <c r="CY109" s="5">
        <f>INDEX(Projects[Plan Systems Eng (wks)],108)</f>
        <v/>
      </c>
      <c r="CZ109" s="5">
        <f>INDEX(Projects[Plan Software Eng (wks)],108)</f>
        <v/>
      </c>
      <c r="DA109" s="5">
        <f>INDEX(Projects[Plan M&amp;E Installation (wks)],108)</f>
        <v/>
      </c>
      <c r="DB109" s="5">
        <f>INDEX(Projects[Plan Commissioning (wks)],108)</f>
        <v/>
      </c>
      <c r="DC109" s="5">
        <f>INDEX(Projects[Plan Total (wks)],108)</f>
        <v/>
      </c>
      <c r="DD109" s="5">
        <f>INDEX(Projects[Act Mech Eng (wks)],108)</f>
        <v/>
      </c>
      <c r="DE109" s="5">
        <f>INDEX(Projects[Act Controls Eng (wks)],108)</f>
        <v/>
      </c>
      <c r="DF109" s="5">
        <f>INDEX(Projects[Act Systems Eng (wks)],108)</f>
        <v/>
      </c>
      <c r="DG109" s="5">
        <f>INDEX(Projects[Act Software Eng (wks)],108)</f>
        <v/>
      </c>
      <c r="DH109" s="5">
        <f>INDEX(Projects[Act M&amp;E Installation (wks)],108)</f>
        <v/>
      </c>
      <c r="DI109" s="5">
        <f>INDEX(Projects[Act Commissioning (wks)],108)</f>
        <v/>
      </c>
      <c r="DJ109" s="5">
        <f>INDEX(Projects[Act Total (wks)],108)</f>
        <v/>
      </c>
    </row>
    <row r="110" ht="15" customHeight="1" s="82">
      <c r="A110" s="64">
        <f>INDEX(Projects[Project ID *],109)&amp;""</f>
        <v/>
      </c>
      <c r="B110" s="64">
        <f>INDEX(Projects[Project Name *],109)&amp;""</f>
        <v/>
      </c>
      <c r="C110" s="64">
        <f>INDEX(Projects[MS Shuttles],109)</f>
        <v/>
      </c>
      <c r="D110" s="64">
        <f>INDEX(Projects[MS Tote Locations],109)</f>
        <v/>
      </c>
      <c r="E110" s="64">
        <f>INDEX(Projects[AS Robots],109)</f>
        <v/>
      </c>
      <c r="F110" s="64">
        <f>INDEX(Projects[AS Tote Locations],109)</f>
        <v/>
      </c>
      <c r="G110" s="64">
        <f>INDEX(Projects[PS Shuttles],109)</f>
        <v/>
      </c>
      <c r="H110" s="64">
        <f>INDEX(Projects[PS Pallet Locations],109)</f>
        <v/>
      </c>
      <c r="I110" s="64">
        <f>INDEX(Projects[SRM Cranes],109)</f>
        <v/>
      </c>
      <c r="J110" s="64">
        <f>INDEX(Projects[SRM Pallet Locations],109)</f>
        <v/>
      </c>
      <c r="K110" s="64">
        <f>INDEX(Projects[Case Conv (m)],109)</f>
        <v/>
      </c>
      <c r="L110" s="64">
        <f>INDEX(Projects[Pallet Conv (m)],109)</f>
        <v/>
      </c>
      <c r="M110" s="64">
        <f>IF(N(DJ110)&gt;0,DD110,CW110)</f>
        <v/>
      </c>
      <c r="N110" s="64">
        <f>IF(N(DJ110)&gt;0,DE110,CX110)</f>
        <v/>
      </c>
      <c r="O110" s="64">
        <f>IF(N(DJ110)&gt;0,DF110,CY110)</f>
        <v/>
      </c>
      <c r="P110" s="64">
        <f>IF(N(DJ110)&gt;0,DG110,CZ110)</f>
        <v/>
      </c>
      <c r="Q110" s="64">
        <f>IF(N(DJ110)&gt;0,DH110,DA110)</f>
        <v/>
      </c>
      <c r="R110" s="64">
        <f>IF(N(DJ110)&gt;0,DI110,DB110)</f>
        <v/>
      </c>
      <c r="S110" s="64">
        <f>IF(N(DJ110)&gt;0,DJ110,DC110)</f>
        <v/>
      </c>
      <c r="T110" s="64">
        <f>INDEX(Projects[Currency],109)&amp;""</f>
        <v/>
      </c>
      <c r="U110" s="65">
        <f>INDEX(Projects[Sold Value (M)],109)</f>
        <v/>
      </c>
      <c r="V110" s="64">
        <f>IF('Smart Search'!B13=1,IFERROR(1/'Smart Search'!H13,0),0)</f>
        <v/>
      </c>
      <c r="W110" s="64">
        <f>IF('Smart Search'!B13=1,IFERROR(1/'Smart Search'!H13,0),0)</f>
        <v/>
      </c>
      <c r="X110" s="64">
        <f>IF('Smart Search'!C13=1,IFERROR(1/'Smart Search'!H13,0),0)</f>
        <v/>
      </c>
      <c r="Y110" s="64">
        <f>IF('Smart Search'!C13=1,IFERROR(1/'Smart Search'!H13,0),0)</f>
        <v/>
      </c>
      <c r="Z110" s="64">
        <f>IF('Smart Search'!D13=1,IFERROR(1/'Smart Search'!H13,0),0)</f>
        <v/>
      </c>
      <c r="AA110" s="64">
        <f>IF('Smart Search'!D13=1,IFERROR(1/'Smart Search'!H13,0),0)</f>
        <v/>
      </c>
      <c r="AB110" s="64">
        <f>IF('Smart Search'!E13=1,IFERROR(1/'Smart Search'!H13,0),0)</f>
        <v/>
      </c>
      <c r="AC110" s="64">
        <f>IF('Smart Search'!E13=1,IFERROR(1/'Smart Search'!H13,0),0)</f>
        <v/>
      </c>
      <c r="AD110" s="64">
        <f>IF('Smart Search'!F13=1,IFERROR(1/'Smart Search'!H13,0),0)</f>
        <v/>
      </c>
      <c r="AE110" s="64">
        <f>IF('Smart Search'!F13=1,IFERROR(1/'Smart Search'!H13,0),0)</f>
        <v/>
      </c>
      <c r="AF110" s="64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4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4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4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4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4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4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4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4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4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4">
        <f>AF110*V110</f>
        <v/>
      </c>
      <c r="AQ110" s="64">
        <f>AG110*W110</f>
        <v/>
      </c>
      <c r="AR110" s="64">
        <f>AH110*X110</f>
        <v/>
      </c>
      <c r="AS110" s="64">
        <f>AI110*Y110</f>
        <v/>
      </c>
      <c r="AT110" s="64">
        <f>AJ110*Z110</f>
        <v/>
      </c>
      <c r="AU110" s="64">
        <f>AK110*AA110</f>
        <v/>
      </c>
      <c r="AV110" s="64">
        <f>AL110*AB110</f>
        <v/>
      </c>
      <c r="AW110" s="64">
        <f>AM110*AC110</f>
        <v/>
      </c>
      <c r="AX110" s="64">
        <f>AN110*AD110</f>
        <v/>
      </c>
      <c r="AY110" s="64">
        <f>AO110*AE110</f>
        <v/>
      </c>
      <c r="AZ110" s="64">
        <f>INDEX(Projects[Automation Equipment],109)&amp;""</f>
        <v/>
      </c>
      <c r="BA110" s="64">
        <f>IF(OR(A110="",'Smart Search'!H13=0),"",MAX(0,BE110*BF110*MAX(0,1-BG110)))</f>
        <v/>
      </c>
      <c r="BB110" s="64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4">
        <f>IF('Smart Search'!G13=1,IFERROR(1/'Smart Search'!H13,0),0)</f>
        <v/>
      </c>
      <c r="BD110" s="64">
        <f>BB110*BC110</f>
        <v/>
      </c>
      <c r="BE110" s="64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IF(A110="","",N(INDEX(Projects[Act Mech Inst],109)))</f>
        <v/>
      </c>
      <c r="BK110" s="5">
        <f>IF(A110="","",N(INDEX(Projects[Act Elec Inst],109)))</f>
        <v/>
      </c>
      <c r="BL110" s="5">
        <f>IF(A110="","",N(INDEX(Projects[Act Project Management],109)))</f>
        <v/>
      </c>
      <c r="BM110" s="5">
        <f>IF(A110="","",N(INDEX(Projects[Act Systems Eng],109)))</f>
        <v/>
      </c>
      <c r="BN110" s="5">
        <f>IF(A110="","",N(INDEX(Projects[Act Mechanical Eng],109)))</f>
        <v/>
      </c>
      <c r="BO110" s="5">
        <f>IF(A110="","",N(INDEX(Projects[Act Structural Engineering],109)))</f>
        <v/>
      </c>
      <c r="BP110" s="5">
        <f>IF(A110="","",N(INDEX(Projects[Act Site Sup],109)))</f>
        <v/>
      </c>
      <c r="BQ110" s="5">
        <f>IF(A110="","",N(INDEX(Projects[Act Controls Commissioning],109)))</f>
        <v/>
      </c>
      <c r="BR110" s="5">
        <f>IF(A110="","",N(INDEX(Projects[Act Systems Commissioning],109)))</f>
        <v/>
      </c>
      <c r="BS110" s="5">
        <f>IF(A110="","",N(INDEX(Projects[Act Service Commissioning],109)))</f>
        <v/>
      </c>
      <c r="BT110" s="5">
        <f>IF(A110="","",N(INDEX(Projects[Act Controls Eng],109)))</f>
        <v/>
      </c>
      <c r="BU110" s="5">
        <f>IF(A110="","",N(INDEX(Projects[Act Controls Purchase],109)))</f>
        <v/>
      </c>
      <c r="BV110" s="5">
        <f>IF(A110="","",N(INDEX(Projects[Act Software Eng],109)))</f>
        <v/>
      </c>
      <c r="BW110" s="5">
        <f>IF(A110="","",N(INDEX(Projects[Act 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INDEX(Projects[Sold Value (USD M)],109)</f>
        <v/>
      </c>
      <c r="CE110" s="5" t="n"/>
      <c r="CF110" s="5">
        <f>IF(A110="","",N(INDEX(Projects[Est Mech Inst],109)))</f>
        <v/>
      </c>
      <c r="CG110" s="5">
        <f>IF(A110="","",N(INDEX(Projects[Est Elec Inst],109)))</f>
        <v/>
      </c>
      <c r="CH110" s="5">
        <f>IF(A110="","",N(INDEX(Projects[Est Project Management],109)))</f>
        <v/>
      </c>
      <c r="CI110" s="5">
        <f>IF(A110="","",N(INDEX(Projects[Est Systems Eng],109)))</f>
        <v/>
      </c>
      <c r="CJ110" s="5">
        <f>IF(A110="","",N(INDEX(Projects[Est Mechanical Eng],109)))</f>
        <v/>
      </c>
      <c r="CK110" s="5">
        <f>IF(A110="","",N(INDEX(Projects[Est Structural Engineering],109)))</f>
        <v/>
      </c>
      <c r="CL110" s="5">
        <f>IF(A110="","",N(INDEX(Projects[Est Site Sup],109)))</f>
        <v/>
      </c>
      <c r="CM110" s="5">
        <f>IF(A110="","",N(INDEX(Projects[Est Controls Commissioning],109)))</f>
        <v/>
      </c>
      <c r="CN110" s="5">
        <f>IF(A110="","",N(INDEX(Projects[Est Systems Commissioning],109)))</f>
        <v/>
      </c>
      <c r="CO110" s="5">
        <f>IF(A110="","",N(INDEX(Projects[Est Service Commissioning],109)))</f>
        <v/>
      </c>
      <c r="CP110" s="5">
        <f>IF(A110="","",N(INDEX(Projects[Est Controls Eng],109)))</f>
        <v/>
      </c>
      <c r="CQ110" s="5">
        <f>IF(A110="","",N(INDEX(Projects[Est Controls Purchase],109)))</f>
        <v/>
      </c>
      <c r="CR110" s="5">
        <f>IF(A110="","",N(INDEX(Projects[Est Software Eng],109)))</f>
        <v/>
      </c>
      <c r="CS110" s="5">
        <f>IF(A110="","",N(INDEX(Projects[Est Misc],109)))</f>
        <v/>
      </c>
      <c r="CT110" s="5">
        <f>IF(A110="","",SUM(CF110:CS110))</f>
        <v/>
      </c>
      <c r="CU110" s="5">
        <f>INDEX(Projects[Est Cost (M)],109)</f>
        <v/>
      </c>
      <c r="CV110" s="5">
        <f>INDEX(Projects[Act Cost (M)],109)</f>
        <v/>
      </c>
      <c r="CW110" s="5">
        <f>INDEX(Projects[Plan Mech Eng (wks)],109)</f>
        <v/>
      </c>
      <c r="CX110" s="5">
        <f>INDEX(Projects[Plan Controls Eng (wks)],109)</f>
        <v/>
      </c>
      <c r="CY110" s="5">
        <f>INDEX(Projects[Plan Systems Eng (wks)],109)</f>
        <v/>
      </c>
      <c r="CZ110" s="5">
        <f>INDEX(Projects[Plan Software Eng (wks)],109)</f>
        <v/>
      </c>
      <c r="DA110" s="5">
        <f>INDEX(Projects[Plan M&amp;E Installation (wks)],109)</f>
        <v/>
      </c>
      <c r="DB110" s="5">
        <f>INDEX(Projects[Plan Commissioning (wks)],109)</f>
        <v/>
      </c>
      <c r="DC110" s="5">
        <f>INDEX(Projects[Plan Total (wks)],109)</f>
        <v/>
      </c>
      <c r="DD110" s="5">
        <f>INDEX(Projects[Act Mech Eng (wks)],109)</f>
        <v/>
      </c>
      <c r="DE110" s="5">
        <f>INDEX(Projects[Act Controls Eng (wks)],109)</f>
        <v/>
      </c>
      <c r="DF110" s="5">
        <f>INDEX(Projects[Act Systems Eng (wks)],109)</f>
        <v/>
      </c>
      <c r="DG110" s="5">
        <f>INDEX(Projects[Act Software Eng (wks)],109)</f>
        <v/>
      </c>
      <c r="DH110" s="5">
        <f>INDEX(Projects[Act M&amp;E Installation (wks)],109)</f>
        <v/>
      </c>
      <c r="DI110" s="5">
        <f>INDEX(Projects[Act Commissioning (wks)],109)</f>
        <v/>
      </c>
      <c r="DJ110" s="5">
        <f>INDEX(Projects[Act Total (wks)],109)</f>
        <v/>
      </c>
    </row>
    <row r="111" ht="15" customHeight="1" s="82">
      <c r="A111" s="64">
        <f>INDEX(Projects[Project ID *],110)&amp;""</f>
        <v/>
      </c>
      <c r="B111" s="64">
        <f>INDEX(Projects[Project Name *],110)&amp;""</f>
        <v/>
      </c>
      <c r="C111" s="64">
        <f>INDEX(Projects[MS Shuttles],110)</f>
        <v/>
      </c>
      <c r="D111" s="64">
        <f>INDEX(Projects[MS Tote Locations],110)</f>
        <v/>
      </c>
      <c r="E111" s="64">
        <f>INDEX(Projects[AS Robots],110)</f>
        <v/>
      </c>
      <c r="F111" s="64">
        <f>INDEX(Projects[AS Tote Locations],110)</f>
        <v/>
      </c>
      <c r="G111" s="64">
        <f>INDEX(Projects[PS Shuttles],110)</f>
        <v/>
      </c>
      <c r="H111" s="64">
        <f>INDEX(Projects[PS Pallet Locations],110)</f>
        <v/>
      </c>
      <c r="I111" s="64">
        <f>INDEX(Projects[SRM Cranes],110)</f>
        <v/>
      </c>
      <c r="J111" s="64">
        <f>INDEX(Projects[SRM Pallet Locations],110)</f>
        <v/>
      </c>
      <c r="K111" s="64">
        <f>INDEX(Projects[Case Conv (m)],110)</f>
        <v/>
      </c>
      <c r="L111" s="64">
        <f>INDEX(Projects[Pallet Conv (m)],110)</f>
        <v/>
      </c>
      <c r="M111" s="64">
        <f>IF(N(DJ111)&gt;0,DD111,CW111)</f>
        <v/>
      </c>
      <c r="N111" s="64">
        <f>IF(N(DJ111)&gt;0,DE111,CX111)</f>
        <v/>
      </c>
      <c r="O111" s="64">
        <f>IF(N(DJ111)&gt;0,DF111,CY111)</f>
        <v/>
      </c>
      <c r="P111" s="64">
        <f>IF(N(DJ111)&gt;0,DG111,CZ111)</f>
        <v/>
      </c>
      <c r="Q111" s="64">
        <f>IF(N(DJ111)&gt;0,DH111,DA111)</f>
        <v/>
      </c>
      <c r="R111" s="64">
        <f>IF(N(DJ111)&gt;0,DI111,DB111)</f>
        <v/>
      </c>
      <c r="S111" s="64">
        <f>IF(N(DJ111)&gt;0,DJ111,DC111)</f>
        <v/>
      </c>
      <c r="T111" s="64">
        <f>INDEX(Projects[Currency],110)&amp;""</f>
        <v/>
      </c>
      <c r="U111" s="65">
        <f>INDEX(Projects[Sold Value (M)],110)</f>
        <v/>
      </c>
      <c r="V111" s="64">
        <f>IF('Smart Search'!B13=1,IFERROR(1/'Smart Search'!H13,0),0)</f>
        <v/>
      </c>
      <c r="W111" s="64">
        <f>IF('Smart Search'!B13=1,IFERROR(1/'Smart Search'!H13,0),0)</f>
        <v/>
      </c>
      <c r="X111" s="64">
        <f>IF('Smart Search'!C13=1,IFERROR(1/'Smart Search'!H13,0),0)</f>
        <v/>
      </c>
      <c r="Y111" s="64">
        <f>IF('Smart Search'!C13=1,IFERROR(1/'Smart Search'!H13,0),0)</f>
        <v/>
      </c>
      <c r="Z111" s="64">
        <f>IF('Smart Search'!D13=1,IFERROR(1/'Smart Search'!H13,0),0)</f>
        <v/>
      </c>
      <c r="AA111" s="64">
        <f>IF('Smart Search'!D13=1,IFERROR(1/'Smart Search'!H13,0),0)</f>
        <v/>
      </c>
      <c r="AB111" s="64">
        <f>IF('Smart Search'!E13=1,IFERROR(1/'Smart Search'!H13,0),0)</f>
        <v/>
      </c>
      <c r="AC111" s="64">
        <f>IF('Smart Search'!E13=1,IFERROR(1/'Smart Search'!H13,0),0)</f>
        <v/>
      </c>
      <c r="AD111" s="64">
        <f>IF('Smart Search'!F13=1,IFERROR(1/'Smart Search'!H13,0),0)</f>
        <v/>
      </c>
      <c r="AE111" s="64">
        <f>IF('Smart Search'!F13=1,IFERROR(1/'Smart Search'!H13,0),0)</f>
        <v/>
      </c>
      <c r="AF111" s="64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4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4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4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4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4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4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4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4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4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4">
        <f>AF111*V111</f>
        <v/>
      </c>
      <c r="AQ111" s="64">
        <f>AG111*W111</f>
        <v/>
      </c>
      <c r="AR111" s="64">
        <f>AH111*X111</f>
        <v/>
      </c>
      <c r="AS111" s="64">
        <f>AI111*Y111</f>
        <v/>
      </c>
      <c r="AT111" s="64">
        <f>AJ111*Z111</f>
        <v/>
      </c>
      <c r="AU111" s="64">
        <f>AK111*AA111</f>
        <v/>
      </c>
      <c r="AV111" s="64">
        <f>AL111*AB111</f>
        <v/>
      </c>
      <c r="AW111" s="64">
        <f>AM111*AC111</f>
        <v/>
      </c>
      <c r="AX111" s="64">
        <f>AN111*AD111</f>
        <v/>
      </c>
      <c r="AY111" s="64">
        <f>AO111*AE111</f>
        <v/>
      </c>
      <c r="AZ111" s="64">
        <f>INDEX(Projects[Automation Equipment],110)&amp;""</f>
        <v/>
      </c>
      <c r="BA111" s="64">
        <f>IF(OR(A111="",'Smart Search'!H13=0),"",MAX(0,BE111*BF111*MAX(0,1-BG111)))</f>
        <v/>
      </c>
      <c r="BB111" s="64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4">
        <f>IF('Smart Search'!G13=1,IFERROR(1/'Smart Search'!H13,0),0)</f>
        <v/>
      </c>
      <c r="BD111" s="64">
        <f>BB111*BC111</f>
        <v/>
      </c>
      <c r="BE111" s="64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IF(A111="","",N(INDEX(Projects[Act Mech Inst],110)))</f>
        <v/>
      </c>
      <c r="BK111" s="5">
        <f>IF(A111="","",N(INDEX(Projects[Act Elec Inst],110)))</f>
        <v/>
      </c>
      <c r="BL111" s="5">
        <f>IF(A111="","",N(INDEX(Projects[Act Project Management],110)))</f>
        <v/>
      </c>
      <c r="BM111" s="5">
        <f>IF(A111="","",N(INDEX(Projects[Act Systems Eng],110)))</f>
        <v/>
      </c>
      <c r="BN111" s="5">
        <f>IF(A111="","",N(INDEX(Projects[Act Mechanical Eng],110)))</f>
        <v/>
      </c>
      <c r="BO111" s="5">
        <f>IF(A111="","",N(INDEX(Projects[Act Structural Engineering],110)))</f>
        <v/>
      </c>
      <c r="BP111" s="5">
        <f>IF(A111="","",N(INDEX(Projects[Act Site Sup],110)))</f>
        <v/>
      </c>
      <c r="BQ111" s="5">
        <f>IF(A111="","",N(INDEX(Projects[Act Controls Commissioning],110)))</f>
        <v/>
      </c>
      <c r="BR111" s="5">
        <f>IF(A111="","",N(INDEX(Projects[Act Systems Commissioning],110)))</f>
        <v/>
      </c>
      <c r="BS111" s="5">
        <f>IF(A111="","",N(INDEX(Projects[Act Service Commissioning],110)))</f>
        <v/>
      </c>
      <c r="BT111" s="5">
        <f>IF(A111="","",N(INDEX(Projects[Act Controls Eng],110)))</f>
        <v/>
      </c>
      <c r="BU111" s="5">
        <f>IF(A111="","",N(INDEX(Projects[Act Controls Purchase],110)))</f>
        <v/>
      </c>
      <c r="BV111" s="5">
        <f>IF(A111="","",N(INDEX(Projects[Act Software Eng],110)))</f>
        <v/>
      </c>
      <c r="BW111" s="5">
        <f>IF(A111="","",N(INDEX(Projects[Act 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INDEX(Projects[Sold Value (USD M)],110)</f>
        <v/>
      </c>
      <c r="CE111" s="5" t="n"/>
      <c r="CF111" s="5">
        <f>IF(A111="","",N(INDEX(Projects[Est Mech Inst],110)))</f>
        <v/>
      </c>
      <c r="CG111" s="5">
        <f>IF(A111="","",N(INDEX(Projects[Est Elec Inst],110)))</f>
        <v/>
      </c>
      <c r="CH111" s="5">
        <f>IF(A111="","",N(INDEX(Projects[Est Project Management],110)))</f>
        <v/>
      </c>
      <c r="CI111" s="5">
        <f>IF(A111="","",N(INDEX(Projects[Est Systems Eng],110)))</f>
        <v/>
      </c>
      <c r="CJ111" s="5">
        <f>IF(A111="","",N(INDEX(Projects[Est Mechanical Eng],110)))</f>
        <v/>
      </c>
      <c r="CK111" s="5">
        <f>IF(A111="","",N(INDEX(Projects[Est Structural Engineering],110)))</f>
        <v/>
      </c>
      <c r="CL111" s="5">
        <f>IF(A111="","",N(INDEX(Projects[Est Site Sup],110)))</f>
        <v/>
      </c>
      <c r="CM111" s="5">
        <f>IF(A111="","",N(INDEX(Projects[Est Controls Commissioning],110)))</f>
        <v/>
      </c>
      <c r="CN111" s="5">
        <f>IF(A111="","",N(INDEX(Projects[Est Systems Commissioning],110)))</f>
        <v/>
      </c>
      <c r="CO111" s="5">
        <f>IF(A111="","",N(INDEX(Projects[Est Service Commissioning],110)))</f>
        <v/>
      </c>
      <c r="CP111" s="5">
        <f>IF(A111="","",N(INDEX(Projects[Est Controls Eng],110)))</f>
        <v/>
      </c>
      <c r="CQ111" s="5">
        <f>IF(A111="","",N(INDEX(Projects[Est Controls Purchase],110)))</f>
        <v/>
      </c>
      <c r="CR111" s="5">
        <f>IF(A111="","",N(INDEX(Projects[Est Software Eng],110)))</f>
        <v/>
      </c>
      <c r="CS111" s="5">
        <f>IF(A111="","",N(INDEX(Projects[Est Misc],110)))</f>
        <v/>
      </c>
      <c r="CT111" s="5">
        <f>IF(A111="","",SUM(CF111:CS111))</f>
        <v/>
      </c>
      <c r="CU111" s="5">
        <f>INDEX(Projects[Est Cost (M)],110)</f>
        <v/>
      </c>
      <c r="CV111" s="5">
        <f>INDEX(Projects[Act Cost (M)],110)</f>
        <v/>
      </c>
      <c r="CW111" s="5">
        <f>INDEX(Projects[Plan Mech Eng (wks)],110)</f>
        <v/>
      </c>
      <c r="CX111" s="5">
        <f>INDEX(Projects[Plan Controls Eng (wks)],110)</f>
        <v/>
      </c>
      <c r="CY111" s="5">
        <f>INDEX(Projects[Plan Systems Eng (wks)],110)</f>
        <v/>
      </c>
      <c r="CZ111" s="5">
        <f>INDEX(Projects[Plan Software Eng (wks)],110)</f>
        <v/>
      </c>
      <c r="DA111" s="5">
        <f>INDEX(Projects[Plan M&amp;E Installation (wks)],110)</f>
        <v/>
      </c>
      <c r="DB111" s="5">
        <f>INDEX(Projects[Plan Commissioning (wks)],110)</f>
        <v/>
      </c>
      <c r="DC111" s="5">
        <f>INDEX(Projects[Plan Total (wks)],110)</f>
        <v/>
      </c>
      <c r="DD111" s="5">
        <f>INDEX(Projects[Act Mech Eng (wks)],110)</f>
        <v/>
      </c>
      <c r="DE111" s="5">
        <f>INDEX(Projects[Act Controls Eng (wks)],110)</f>
        <v/>
      </c>
      <c r="DF111" s="5">
        <f>INDEX(Projects[Act Systems Eng (wks)],110)</f>
        <v/>
      </c>
      <c r="DG111" s="5">
        <f>INDEX(Projects[Act Software Eng (wks)],110)</f>
        <v/>
      </c>
      <c r="DH111" s="5">
        <f>INDEX(Projects[Act M&amp;E Installation (wks)],110)</f>
        <v/>
      </c>
      <c r="DI111" s="5">
        <f>INDEX(Projects[Act Commissioning (wks)],110)</f>
        <v/>
      </c>
      <c r="DJ111" s="5">
        <f>INDEX(Projects[Act Total (wks)],110)</f>
        <v/>
      </c>
    </row>
    <row r="112" ht="15" customHeight="1" s="82">
      <c r="A112" s="64">
        <f>INDEX(Projects[Project ID *],111)&amp;""</f>
        <v/>
      </c>
      <c r="B112" s="64">
        <f>INDEX(Projects[Project Name *],111)&amp;""</f>
        <v/>
      </c>
      <c r="C112" s="64">
        <f>INDEX(Projects[MS Shuttles],111)</f>
        <v/>
      </c>
      <c r="D112" s="64">
        <f>INDEX(Projects[MS Tote Locations],111)</f>
        <v/>
      </c>
      <c r="E112" s="64">
        <f>INDEX(Projects[AS Robots],111)</f>
        <v/>
      </c>
      <c r="F112" s="64">
        <f>INDEX(Projects[AS Tote Locations],111)</f>
        <v/>
      </c>
      <c r="G112" s="64">
        <f>INDEX(Projects[PS Shuttles],111)</f>
        <v/>
      </c>
      <c r="H112" s="64">
        <f>INDEX(Projects[PS Pallet Locations],111)</f>
        <v/>
      </c>
      <c r="I112" s="64">
        <f>INDEX(Projects[SRM Cranes],111)</f>
        <v/>
      </c>
      <c r="J112" s="64">
        <f>INDEX(Projects[SRM Pallet Locations],111)</f>
        <v/>
      </c>
      <c r="K112" s="64">
        <f>INDEX(Projects[Case Conv (m)],111)</f>
        <v/>
      </c>
      <c r="L112" s="64">
        <f>INDEX(Projects[Pallet Conv (m)],111)</f>
        <v/>
      </c>
      <c r="M112" s="64">
        <f>IF(N(DJ112)&gt;0,DD112,CW112)</f>
        <v/>
      </c>
      <c r="N112" s="64">
        <f>IF(N(DJ112)&gt;0,DE112,CX112)</f>
        <v/>
      </c>
      <c r="O112" s="64">
        <f>IF(N(DJ112)&gt;0,DF112,CY112)</f>
        <v/>
      </c>
      <c r="P112" s="64">
        <f>IF(N(DJ112)&gt;0,DG112,CZ112)</f>
        <v/>
      </c>
      <c r="Q112" s="64">
        <f>IF(N(DJ112)&gt;0,DH112,DA112)</f>
        <v/>
      </c>
      <c r="R112" s="64">
        <f>IF(N(DJ112)&gt;0,DI112,DB112)</f>
        <v/>
      </c>
      <c r="S112" s="64">
        <f>IF(N(DJ112)&gt;0,DJ112,DC112)</f>
        <v/>
      </c>
      <c r="T112" s="64">
        <f>INDEX(Projects[Currency],111)&amp;""</f>
        <v/>
      </c>
      <c r="U112" s="65">
        <f>INDEX(Projects[Sold Value (M)],111)</f>
        <v/>
      </c>
      <c r="V112" s="64">
        <f>IF('Smart Search'!B13=1,IFERROR(1/'Smart Search'!H13,0),0)</f>
        <v/>
      </c>
      <c r="W112" s="64">
        <f>IF('Smart Search'!B13=1,IFERROR(1/'Smart Search'!H13,0),0)</f>
        <v/>
      </c>
      <c r="X112" s="64">
        <f>IF('Smart Search'!C13=1,IFERROR(1/'Smart Search'!H13,0),0)</f>
        <v/>
      </c>
      <c r="Y112" s="64">
        <f>IF('Smart Search'!C13=1,IFERROR(1/'Smart Search'!H13,0),0)</f>
        <v/>
      </c>
      <c r="Z112" s="64">
        <f>IF('Smart Search'!D13=1,IFERROR(1/'Smart Search'!H13,0),0)</f>
        <v/>
      </c>
      <c r="AA112" s="64">
        <f>IF('Smart Search'!D13=1,IFERROR(1/'Smart Search'!H13,0),0)</f>
        <v/>
      </c>
      <c r="AB112" s="64">
        <f>IF('Smart Search'!E13=1,IFERROR(1/'Smart Search'!H13,0),0)</f>
        <v/>
      </c>
      <c r="AC112" s="64">
        <f>IF('Smart Search'!E13=1,IFERROR(1/'Smart Search'!H13,0),0)</f>
        <v/>
      </c>
      <c r="AD112" s="64">
        <f>IF('Smart Search'!F13=1,IFERROR(1/'Smart Search'!H13,0),0)</f>
        <v/>
      </c>
      <c r="AE112" s="64">
        <f>IF('Smart Search'!F13=1,IFERROR(1/'Smart Search'!H13,0),0)</f>
        <v/>
      </c>
      <c r="AF112" s="64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4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4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4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4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4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4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4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4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4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4">
        <f>AF112*V112</f>
        <v/>
      </c>
      <c r="AQ112" s="64">
        <f>AG112*W112</f>
        <v/>
      </c>
      <c r="AR112" s="64">
        <f>AH112*X112</f>
        <v/>
      </c>
      <c r="AS112" s="64">
        <f>AI112*Y112</f>
        <v/>
      </c>
      <c r="AT112" s="64">
        <f>AJ112*Z112</f>
        <v/>
      </c>
      <c r="AU112" s="64">
        <f>AK112*AA112</f>
        <v/>
      </c>
      <c r="AV112" s="64">
        <f>AL112*AB112</f>
        <v/>
      </c>
      <c r="AW112" s="64">
        <f>AM112*AC112</f>
        <v/>
      </c>
      <c r="AX112" s="64">
        <f>AN112*AD112</f>
        <v/>
      </c>
      <c r="AY112" s="64">
        <f>AO112*AE112</f>
        <v/>
      </c>
      <c r="AZ112" s="64">
        <f>INDEX(Projects[Automation Equipment],111)&amp;""</f>
        <v/>
      </c>
      <c r="BA112" s="64">
        <f>IF(OR(A112="",'Smart Search'!H13=0),"",MAX(0,BE112*BF112*MAX(0,1-BG112)))</f>
        <v/>
      </c>
      <c r="BB112" s="64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4">
        <f>IF('Smart Search'!G13=1,IFERROR(1/'Smart Search'!H13,0),0)</f>
        <v/>
      </c>
      <c r="BD112" s="64">
        <f>BB112*BC112</f>
        <v/>
      </c>
      <c r="BE112" s="64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IF(A112="","",N(INDEX(Projects[Act Mech Inst],111)))</f>
        <v/>
      </c>
      <c r="BK112" s="5">
        <f>IF(A112="","",N(INDEX(Projects[Act Elec Inst],111)))</f>
        <v/>
      </c>
      <c r="BL112" s="5">
        <f>IF(A112="","",N(INDEX(Projects[Act Project Management],111)))</f>
        <v/>
      </c>
      <c r="BM112" s="5">
        <f>IF(A112="","",N(INDEX(Projects[Act Systems Eng],111)))</f>
        <v/>
      </c>
      <c r="BN112" s="5">
        <f>IF(A112="","",N(INDEX(Projects[Act Mechanical Eng],111)))</f>
        <v/>
      </c>
      <c r="BO112" s="5">
        <f>IF(A112="","",N(INDEX(Projects[Act Structural Engineering],111)))</f>
        <v/>
      </c>
      <c r="BP112" s="5">
        <f>IF(A112="","",N(INDEX(Projects[Act Site Sup],111)))</f>
        <v/>
      </c>
      <c r="BQ112" s="5">
        <f>IF(A112="","",N(INDEX(Projects[Act Controls Commissioning],111)))</f>
        <v/>
      </c>
      <c r="BR112" s="5">
        <f>IF(A112="","",N(INDEX(Projects[Act Systems Commissioning],111)))</f>
        <v/>
      </c>
      <c r="BS112" s="5">
        <f>IF(A112="","",N(INDEX(Projects[Act Service Commissioning],111)))</f>
        <v/>
      </c>
      <c r="BT112" s="5">
        <f>IF(A112="","",N(INDEX(Projects[Act Controls Eng],111)))</f>
        <v/>
      </c>
      <c r="BU112" s="5">
        <f>IF(A112="","",N(INDEX(Projects[Act Controls Purchase],111)))</f>
        <v/>
      </c>
      <c r="BV112" s="5">
        <f>IF(A112="","",N(INDEX(Projects[Act Software Eng],111)))</f>
        <v/>
      </c>
      <c r="BW112" s="5">
        <f>IF(A112="","",N(INDEX(Projects[Act 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INDEX(Projects[Sold Value (USD M)],111)</f>
        <v/>
      </c>
      <c r="CE112" s="5" t="n"/>
      <c r="CF112" s="5">
        <f>IF(A112="","",N(INDEX(Projects[Est Mech Inst],111)))</f>
        <v/>
      </c>
      <c r="CG112" s="5">
        <f>IF(A112="","",N(INDEX(Projects[Est Elec Inst],111)))</f>
        <v/>
      </c>
      <c r="CH112" s="5">
        <f>IF(A112="","",N(INDEX(Projects[Est Project Management],111)))</f>
        <v/>
      </c>
      <c r="CI112" s="5">
        <f>IF(A112="","",N(INDEX(Projects[Est Systems Eng],111)))</f>
        <v/>
      </c>
      <c r="CJ112" s="5">
        <f>IF(A112="","",N(INDEX(Projects[Est Mechanical Eng],111)))</f>
        <v/>
      </c>
      <c r="CK112" s="5">
        <f>IF(A112="","",N(INDEX(Projects[Est Structural Engineering],111)))</f>
        <v/>
      </c>
      <c r="CL112" s="5">
        <f>IF(A112="","",N(INDEX(Projects[Est Site Sup],111)))</f>
        <v/>
      </c>
      <c r="CM112" s="5">
        <f>IF(A112="","",N(INDEX(Projects[Est Controls Commissioning],111)))</f>
        <v/>
      </c>
      <c r="CN112" s="5">
        <f>IF(A112="","",N(INDEX(Projects[Est Systems Commissioning],111)))</f>
        <v/>
      </c>
      <c r="CO112" s="5">
        <f>IF(A112="","",N(INDEX(Projects[Est Service Commissioning],111)))</f>
        <v/>
      </c>
      <c r="CP112" s="5">
        <f>IF(A112="","",N(INDEX(Projects[Est Controls Eng],111)))</f>
        <v/>
      </c>
      <c r="CQ112" s="5">
        <f>IF(A112="","",N(INDEX(Projects[Est Controls Purchase],111)))</f>
        <v/>
      </c>
      <c r="CR112" s="5">
        <f>IF(A112="","",N(INDEX(Projects[Est Software Eng],111)))</f>
        <v/>
      </c>
      <c r="CS112" s="5">
        <f>IF(A112="","",N(INDEX(Projects[Est Misc],111)))</f>
        <v/>
      </c>
      <c r="CT112" s="5">
        <f>IF(A112="","",SUM(CF112:CS112))</f>
        <v/>
      </c>
      <c r="CU112" s="5">
        <f>INDEX(Projects[Est Cost (M)],111)</f>
        <v/>
      </c>
      <c r="CV112" s="5">
        <f>INDEX(Projects[Act Cost (M)],111)</f>
        <v/>
      </c>
      <c r="CW112" s="5">
        <f>INDEX(Projects[Plan Mech Eng (wks)],111)</f>
        <v/>
      </c>
      <c r="CX112" s="5">
        <f>INDEX(Projects[Plan Controls Eng (wks)],111)</f>
        <v/>
      </c>
      <c r="CY112" s="5">
        <f>INDEX(Projects[Plan Systems Eng (wks)],111)</f>
        <v/>
      </c>
      <c r="CZ112" s="5">
        <f>INDEX(Projects[Plan Software Eng (wks)],111)</f>
        <v/>
      </c>
      <c r="DA112" s="5">
        <f>INDEX(Projects[Plan M&amp;E Installation (wks)],111)</f>
        <v/>
      </c>
      <c r="DB112" s="5">
        <f>INDEX(Projects[Plan Commissioning (wks)],111)</f>
        <v/>
      </c>
      <c r="DC112" s="5">
        <f>INDEX(Projects[Plan Total (wks)],111)</f>
        <v/>
      </c>
      <c r="DD112" s="5">
        <f>INDEX(Projects[Act Mech Eng (wks)],111)</f>
        <v/>
      </c>
      <c r="DE112" s="5">
        <f>INDEX(Projects[Act Controls Eng (wks)],111)</f>
        <v/>
      </c>
      <c r="DF112" s="5">
        <f>INDEX(Projects[Act Systems Eng (wks)],111)</f>
        <v/>
      </c>
      <c r="DG112" s="5">
        <f>INDEX(Projects[Act Software Eng (wks)],111)</f>
        <v/>
      </c>
      <c r="DH112" s="5">
        <f>INDEX(Projects[Act M&amp;E Installation (wks)],111)</f>
        <v/>
      </c>
      <c r="DI112" s="5">
        <f>INDEX(Projects[Act Commissioning (wks)],111)</f>
        <v/>
      </c>
      <c r="DJ112" s="5">
        <f>INDEX(Projects[Act Total (wks)],111)</f>
        <v/>
      </c>
    </row>
    <row r="113" ht="15" customHeight="1" s="82">
      <c r="A113" s="64">
        <f>INDEX(Projects[Project ID *],112)&amp;""</f>
        <v/>
      </c>
      <c r="B113" s="64">
        <f>INDEX(Projects[Project Name *],112)&amp;""</f>
        <v/>
      </c>
      <c r="C113" s="64">
        <f>INDEX(Projects[MS Shuttles],112)</f>
        <v/>
      </c>
      <c r="D113" s="64">
        <f>INDEX(Projects[MS Tote Locations],112)</f>
        <v/>
      </c>
      <c r="E113" s="64">
        <f>INDEX(Projects[AS Robots],112)</f>
        <v/>
      </c>
      <c r="F113" s="64">
        <f>INDEX(Projects[AS Tote Locations],112)</f>
        <v/>
      </c>
      <c r="G113" s="64">
        <f>INDEX(Projects[PS Shuttles],112)</f>
        <v/>
      </c>
      <c r="H113" s="64">
        <f>INDEX(Projects[PS Pallet Locations],112)</f>
        <v/>
      </c>
      <c r="I113" s="64">
        <f>INDEX(Projects[SRM Cranes],112)</f>
        <v/>
      </c>
      <c r="J113" s="64">
        <f>INDEX(Projects[SRM Pallet Locations],112)</f>
        <v/>
      </c>
      <c r="K113" s="64">
        <f>INDEX(Projects[Case Conv (m)],112)</f>
        <v/>
      </c>
      <c r="L113" s="64">
        <f>INDEX(Projects[Pallet Conv (m)],112)</f>
        <v/>
      </c>
      <c r="M113" s="64">
        <f>IF(N(DJ113)&gt;0,DD113,CW113)</f>
        <v/>
      </c>
      <c r="N113" s="64">
        <f>IF(N(DJ113)&gt;0,DE113,CX113)</f>
        <v/>
      </c>
      <c r="O113" s="64">
        <f>IF(N(DJ113)&gt;0,DF113,CY113)</f>
        <v/>
      </c>
      <c r="P113" s="64">
        <f>IF(N(DJ113)&gt;0,DG113,CZ113)</f>
        <v/>
      </c>
      <c r="Q113" s="64">
        <f>IF(N(DJ113)&gt;0,DH113,DA113)</f>
        <v/>
      </c>
      <c r="R113" s="64">
        <f>IF(N(DJ113)&gt;0,DI113,DB113)</f>
        <v/>
      </c>
      <c r="S113" s="64">
        <f>IF(N(DJ113)&gt;0,DJ113,DC113)</f>
        <v/>
      </c>
      <c r="T113" s="64">
        <f>INDEX(Projects[Currency],112)&amp;""</f>
        <v/>
      </c>
      <c r="U113" s="65">
        <f>INDEX(Projects[Sold Value (M)],112)</f>
        <v/>
      </c>
      <c r="V113" s="64">
        <f>IF('Smart Search'!B13=1,IFERROR(1/'Smart Search'!H13,0),0)</f>
        <v/>
      </c>
      <c r="W113" s="64">
        <f>IF('Smart Search'!B13=1,IFERROR(1/'Smart Search'!H13,0),0)</f>
        <v/>
      </c>
      <c r="X113" s="64">
        <f>IF('Smart Search'!C13=1,IFERROR(1/'Smart Search'!H13,0),0)</f>
        <v/>
      </c>
      <c r="Y113" s="64">
        <f>IF('Smart Search'!C13=1,IFERROR(1/'Smart Search'!H13,0),0)</f>
        <v/>
      </c>
      <c r="Z113" s="64">
        <f>IF('Smart Search'!D13=1,IFERROR(1/'Smart Search'!H13,0),0)</f>
        <v/>
      </c>
      <c r="AA113" s="64">
        <f>IF('Smart Search'!D13=1,IFERROR(1/'Smart Search'!H13,0),0)</f>
        <v/>
      </c>
      <c r="AB113" s="64">
        <f>IF('Smart Search'!E13=1,IFERROR(1/'Smart Search'!H13,0),0)</f>
        <v/>
      </c>
      <c r="AC113" s="64">
        <f>IF('Smart Search'!E13=1,IFERROR(1/'Smart Search'!H13,0),0)</f>
        <v/>
      </c>
      <c r="AD113" s="64">
        <f>IF('Smart Search'!F13=1,IFERROR(1/'Smart Search'!H13,0),0)</f>
        <v/>
      </c>
      <c r="AE113" s="64">
        <f>IF('Smart Search'!F13=1,IFERROR(1/'Smart Search'!H13,0),0)</f>
        <v/>
      </c>
      <c r="AF113" s="64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4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4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4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4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4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4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4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4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4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4">
        <f>AF113*V113</f>
        <v/>
      </c>
      <c r="AQ113" s="64">
        <f>AG113*W113</f>
        <v/>
      </c>
      <c r="AR113" s="64">
        <f>AH113*X113</f>
        <v/>
      </c>
      <c r="AS113" s="64">
        <f>AI113*Y113</f>
        <v/>
      </c>
      <c r="AT113" s="64">
        <f>AJ113*Z113</f>
        <v/>
      </c>
      <c r="AU113" s="64">
        <f>AK113*AA113</f>
        <v/>
      </c>
      <c r="AV113" s="64">
        <f>AL113*AB113</f>
        <v/>
      </c>
      <c r="AW113" s="64">
        <f>AM113*AC113</f>
        <v/>
      </c>
      <c r="AX113" s="64">
        <f>AN113*AD113</f>
        <v/>
      </c>
      <c r="AY113" s="64">
        <f>AO113*AE113</f>
        <v/>
      </c>
      <c r="AZ113" s="64">
        <f>INDEX(Projects[Automation Equipment],112)&amp;""</f>
        <v/>
      </c>
      <c r="BA113" s="64">
        <f>IF(OR(A113="",'Smart Search'!H13=0),"",MAX(0,BE113*BF113*MAX(0,1-BG113)))</f>
        <v/>
      </c>
      <c r="BB113" s="64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4">
        <f>IF('Smart Search'!G13=1,IFERROR(1/'Smart Search'!H13,0),0)</f>
        <v/>
      </c>
      <c r="BD113" s="64">
        <f>BB113*BC113</f>
        <v/>
      </c>
      <c r="BE113" s="64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IF(A113="","",N(INDEX(Projects[Act Mech Inst],112)))</f>
        <v/>
      </c>
      <c r="BK113" s="5">
        <f>IF(A113="","",N(INDEX(Projects[Act Elec Inst],112)))</f>
        <v/>
      </c>
      <c r="BL113" s="5">
        <f>IF(A113="","",N(INDEX(Projects[Act Project Management],112)))</f>
        <v/>
      </c>
      <c r="BM113" s="5">
        <f>IF(A113="","",N(INDEX(Projects[Act Systems Eng],112)))</f>
        <v/>
      </c>
      <c r="BN113" s="5">
        <f>IF(A113="","",N(INDEX(Projects[Act Mechanical Eng],112)))</f>
        <v/>
      </c>
      <c r="BO113" s="5">
        <f>IF(A113="","",N(INDEX(Projects[Act Structural Engineering],112)))</f>
        <v/>
      </c>
      <c r="BP113" s="5">
        <f>IF(A113="","",N(INDEX(Projects[Act Site Sup],112)))</f>
        <v/>
      </c>
      <c r="BQ113" s="5">
        <f>IF(A113="","",N(INDEX(Projects[Act Controls Commissioning],112)))</f>
        <v/>
      </c>
      <c r="BR113" s="5">
        <f>IF(A113="","",N(INDEX(Projects[Act Systems Commissioning],112)))</f>
        <v/>
      </c>
      <c r="BS113" s="5">
        <f>IF(A113="","",N(INDEX(Projects[Act Service Commissioning],112)))</f>
        <v/>
      </c>
      <c r="BT113" s="5">
        <f>IF(A113="","",N(INDEX(Projects[Act Controls Eng],112)))</f>
        <v/>
      </c>
      <c r="BU113" s="5">
        <f>IF(A113="","",N(INDEX(Projects[Act Controls Purchase],112)))</f>
        <v/>
      </c>
      <c r="BV113" s="5">
        <f>IF(A113="","",N(INDEX(Projects[Act Software Eng],112)))</f>
        <v/>
      </c>
      <c r="BW113" s="5">
        <f>IF(A113="","",N(INDEX(Projects[Act 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INDEX(Projects[Sold Value (USD M)],112)</f>
        <v/>
      </c>
      <c r="CE113" s="5" t="n"/>
      <c r="CF113" s="5">
        <f>IF(A113="","",N(INDEX(Projects[Est Mech Inst],112)))</f>
        <v/>
      </c>
      <c r="CG113" s="5">
        <f>IF(A113="","",N(INDEX(Projects[Est Elec Inst],112)))</f>
        <v/>
      </c>
      <c r="CH113" s="5">
        <f>IF(A113="","",N(INDEX(Projects[Est Project Management],112)))</f>
        <v/>
      </c>
      <c r="CI113" s="5">
        <f>IF(A113="","",N(INDEX(Projects[Est Systems Eng],112)))</f>
        <v/>
      </c>
      <c r="CJ113" s="5">
        <f>IF(A113="","",N(INDEX(Projects[Est Mechanical Eng],112)))</f>
        <v/>
      </c>
      <c r="CK113" s="5">
        <f>IF(A113="","",N(INDEX(Projects[Est Structural Engineering],112)))</f>
        <v/>
      </c>
      <c r="CL113" s="5">
        <f>IF(A113="","",N(INDEX(Projects[Est Site Sup],112)))</f>
        <v/>
      </c>
      <c r="CM113" s="5">
        <f>IF(A113="","",N(INDEX(Projects[Est Controls Commissioning],112)))</f>
        <v/>
      </c>
      <c r="CN113" s="5">
        <f>IF(A113="","",N(INDEX(Projects[Est Systems Commissioning],112)))</f>
        <v/>
      </c>
      <c r="CO113" s="5">
        <f>IF(A113="","",N(INDEX(Projects[Est Service Commissioning],112)))</f>
        <v/>
      </c>
      <c r="CP113" s="5">
        <f>IF(A113="","",N(INDEX(Projects[Est Controls Eng],112)))</f>
        <v/>
      </c>
      <c r="CQ113" s="5">
        <f>IF(A113="","",N(INDEX(Projects[Est Controls Purchase],112)))</f>
        <v/>
      </c>
      <c r="CR113" s="5">
        <f>IF(A113="","",N(INDEX(Projects[Est Software Eng],112)))</f>
        <v/>
      </c>
      <c r="CS113" s="5">
        <f>IF(A113="","",N(INDEX(Projects[Est Misc],112)))</f>
        <v/>
      </c>
      <c r="CT113" s="5">
        <f>IF(A113="","",SUM(CF113:CS113))</f>
        <v/>
      </c>
      <c r="CU113" s="5">
        <f>INDEX(Projects[Est Cost (M)],112)</f>
        <v/>
      </c>
      <c r="CV113" s="5">
        <f>INDEX(Projects[Act Cost (M)],112)</f>
        <v/>
      </c>
      <c r="CW113" s="5">
        <f>INDEX(Projects[Plan Mech Eng (wks)],112)</f>
        <v/>
      </c>
      <c r="CX113" s="5">
        <f>INDEX(Projects[Plan Controls Eng (wks)],112)</f>
        <v/>
      </c>
      <c r="CY113" s="5">
        <f>INDEX(Projects[Plan Systems Eng (wks)],112)</f>
        <v/>
      </c>
      <c r="CZ113" s="5">
        <f>INDEX(Projects[Plan Software Eng (wks)],112)</f>
        <v/>
      </c>
      <c r="DA113" s="5">
        <f>INDEX(Projects[Plan M&amp;E Installation (wks)],112)</f>
        <v/>
      </c>
      <c r="DB113" s="5">
        <f>INDEX(Projects[Plan Commissioning (wks)],112)</f>
        <v/>
      </c>
      <c r="DC113" s="5">
        <f>INDEX(Projects[Plan Total (wks)],112)</f>
        <v/>
      </c>
      <c r="DD113" s="5">
        <f>INDEX(Projects[Act Mech Eng (wks)],112)</f>
        <v/>
      </c>
      <c r="DE113" s="5">
        <f>INDEX(Projects[Act Controls Eng (wks)],112)</f>
        <v/>
      </c>
      <c r="DF113" s="5">
        <f>INDEX(Projects[Act Systems Eng (wks)],112)</f>
        <v/>
      </c>
      <c r="DG113" s="5">
        <f>INDEX(Projects[Act Software Eng (wks)],112)</f>
        <v/>
      </c>
      <c r="DH113" s="5">
        <f>INDEX(Projects[Act M&amp;E Installation (wks)],112)</f>
        <v/>
      </c>
      <c r="DI113" s="5">
        <f>INDEX(Projects[Act Commissioning (wks)],112)</f>
        <v/>
      </c>
      <c r="DJ113" s="5">
        <f>INDEX(Projects[Act Total (wks)],112)</f>
        <v/>
      </c>
    </row>
    <row r="114" ht="15" customHeight="1" s="82">
      <c r="A114" s="64">
        <f>INDEX(Projects[Project ID *],113)&amp;""</f>
        <v/>
      </c>
      <c r="B114" s="64">
        <f>INDEX(Projects[Project Name *],113)&amp;""</f>
        <v/>
      </c>
      <c r="C114" s="64">
        <f>INDEX(Projects[MS Shuttles],113)</f>
        <v/>
      </c>
      <c r="D114" s="64">
        <f>INDEX(Projects[MS Tote Locations],113)</f>
        <v/>
      </c>
      <c r="E114" s="64">
        <f>INDEX(Projects[AS Robots],113)</f>
        <v/>
      </c>
      <c r="F114" s="64">
        <f>INDEX(Projects[AS Tote Locations],113)</f>
        <v/>
      </c>
      <c r="G114" s="64">
        <f>INDEX(Projects[PS Shuttles],113)</f>
        <v/>
      </c>
      <c r="H114" s="64">
        <f>INDEX(Projects[PS Pallet Locations],113)</f>
        <v/>
      </c>
      <c r="I114" s="64">
        <f>INDEX(Projects[SRM Cranes],113)</f>
        <v/>
      </c>
      <c r="J114" s="64">
        <f>INDEX(Projects[SRM Pallet Locations],113)</f>
        <v/>
      </c>
      <c r="K114" s="64">
        <f>INDEX(Projects[Case Conv (m)],113)</f>
        <v/>
      </c>
      <c r="L114" s="64">
        <f>INDEX(Projects[Pallet Conv (m)],113)</f>
        <v/>
      </c>
      <c r="M114" s="64">
        <f>IF(N(DJ114)&gt;0,DD114,CW114)</f>
        <v/>
      </c>
      <c r="N114" s="64">
        <f>IF(N(DJ114)&gt;0,DE114,CX114)</f>
        <v/>
      </c>
      <c r="O114" s="64">
        <f>IF(N(DJ114)&gt;0,DF114,CY114)</f>
        <v/>
      </c>
      <c r="P114" s="64">
        <f>IF(N(DJ114)&gt;0,DG114,CZ114)</f>
        <v/>
      </c>
      <c r="Q114" s="64">
        <f>IF(N(DJ114)&gt;0,DH114,DA114)</f>
        <v/>
      </c>
      <c r="R114" s="64">
        <f>IF(N(DJ114)&gt;0,DI114,DB114)</f>
        <v/>
      </c>
      <c r="S114" s="64">
        <f>IF(N(DJ114)&gt;0,DJ114,DC114)</f>
        <v/>
      </c>
      <c r="T114" s="64">
        <f>INDEX(Projects[Currency],113)&amp;""</f>
        <v/>
      </c>
      <c r="U114" s="65">
        <f>INDEX(Projects[Sold Value (M)],113)</f>
        <v/>
      </c>
      <c r="V114" s="64">
        <f>IF('Smart Search'!B13=1,IFERROR(1/'Smart Search'!H13,0),0)</f>
        <v/>
      </c>
      <c r="W114" s="64">
        <f>IF('Smart Search'!B13=1,IFERROR(1/'Smart Search'!H13,0),0)</f>
        <v/>
      </c>
      <c r="X114" s="64">
        <f>IF('Smart Search'!C13=1,IFERROR(1/'Smart Search'!H13,0),0)</f>
        <v/>
      </c>
      <c r="Y114" s="64">
        <f>IF('Smart Search'!C13=1,IFERROR(1/'Smart Search'!H13,0),0)</f>
        <v/>
      </c>
      <c r="Z114" s="64">
        <f>IF('Smart Search'!D13=1,IFERROR(1/'Smart Search'!H13,0),0)</f>
        <v/>
      </c>
      <c r="AA114" s="64">
        <f>IF('Smart Search'!D13=1,IFERROR(1/'Smart Search'!H13,0),0)</f>
        <v/>
      </c>
      <c r="AB114" s="64">
        <f>IF('Smart Search'!E13=1,IFERROR(1/'Smart Search'!H13,0),0)</f>
        <v/>
      </c>
      <c r="AC114" s="64">
        <f>IF('Smart Search'!E13=1,IFERROR(1/'Smart Search'!H13,0),0)</f>
        <v/>
      </c>
      <c r="AD114" s="64">
        <f>IF('Smart Search'!F13=1,IFERROR(1/'Smart Search'!H13,0),0)</f>
        <v/>
      </c>
      <c r="AE114" s="64">
        <f>IF('Smart Search'!F13=1,IFERROR(1/'Smart Search'!H13,0),0)</f>
        <v/>
      </c>
      <c r="AF114" s="64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4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4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4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4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4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4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4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4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4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4">
        <f>AF114*V114</f>
        <v/>
      </c>
      <c r="AQ114" s="64">
        <f>AG114*W114</f>
        <v/>
      </c>
      <c r="AR114" s="64">
        <f>AH114*X114</f>
        <v/>
      </c>
      <c r="AS114" s="64">
        <f>AI114*Y114</f>
        <v/>
      </c>
      <c r="AT114" s="64">
        <f>AJ114*Z114</f>
        <v/>
      </c>
      <c r="AU114" s="64">
        <f>AK114*AA114</f>
        <v/>
      </c>
      <c r="AV114" s="64">
        <f>AL114*AB114</f>
        <v/>
      </c>
      <c r="AW114" s="64">
        <f>AM114*AC114</f>
        <v/>
      </c>
      <c r="AX114" s="64">
        <f>AN114*AD114</f>
        <v/>
      </c>
      <c r="AY114" s="64">
        <f>AO114*AE114</f>
        <v/>
      </c>
      <c r="AZ114" s="64">
        <f>INDEX(Projects[Automation Equipment],113)&amp;""</f>
        <v/>
      </c>
      <c r="BA114" s="64">
        <f>IF(OR(A114="",'Smart Search'!H13=0),"",MAX(0,BE114*BF114*MAX(0,1-BG114)))</f>
        <v/>
      </c>
      <c r="BB114" s="64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4">
        <f>IF('Smart Search'!G13=1,IFERROR(1/'Smart Search'!H13,0),0)</f>
        <v/>
      </c>
      <c r="BD114" s="64">
        <f>BB114*BC114</f>
        <v/>
      </c>
      <c r="BE114" s="64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IF(A114="","",N(INDEX(Projects[Act Mech Inst],113)))</f>
        <v/>
      </c>
      <c r="BK114" s="5">
        <f>IF(A114="","",N(INDEX(Projects[Act Elec Inst],113)))</f>
        <v/>
      </c>
      <c r="BL114" s="5">
        <f>IF(A114="","",N(INDEX(Projects[Act Project Management],113)))</f>
        <v/>
      </c>
      <c r="BM114" s="5">
        <f>IF(A114="","",N(INDEX(Projects[Act Systems Eng],113)))</f>
        <v/>
      </c>
      <c r="BN114" s="5">
        <f>IF(A114="","",N(INDEX(Projects[Act Mechanical Eng],113)))</f>
        <v/>
      </c>
      <c r="BO114" s="5">
        <f>IF(A114="","",N(INDEX(Projects[Act Structural Engineering],113)))</f>
        <v/>
      </c>
      <c r="BP114" s="5">
        <f>IF(A114="","",N(INDEX(Projects[Act Site Sup],113)))</f>
        <v/>
      </c>
      <c r="BQ114" s="5">
        <f>IF(A114="","",N(INDEX(Projects[Act Controls Commissioning],113)))</f>
        <v/>
      </c>
      <c r="BR114" s="5">
        <f>IF(A114="","",N(INDEX(Projects[Act Systems Commissioning],113)))</f>
        <v/>
      </c>
      <c r="BS114" s="5">
        <f>IF(A114="","",N(INDEX(Projects[Act Service Commissioning],113)))</f>
        <v/>
      </c>
      <c r="BT114" s="5">
        <f>IF(A114="","",N(INDEX(Projects[Act Controls Eng],113)))</f>
        <v/>
      </c>
      <c r="BU114" s="5">
        <f>IF(A114="","",N(INDEX(Projects[Act Controls Purchase],113)))</f>
        <v/>
      </c>
      <c r="BV114" s="5">
        <f>IF(A114="","",N(INDEX(Projects[Act Software Eng],113)))</f>
        <v/>
      </c>
      <c r="BW114" s="5">
        <f>IF(A114="","",N(INDEX(Projects[Act 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INDEX(Projects[Sold Value (USD M)],113)</f>
        <v/>
      </c>
      <c r="CE114" s="5" t="n"/>
      <c r="CF114" s="5">
        <f>IF(A114="","",N(INDEX(Projects[Est Mech Inst],113)))</f>
        <v/>
      </c>
      <c r="CG114" s="5">
        <f>IF(A114="","",N(INDEX(Projects[Est Elec Inst],113)))</f>
        <v/>
      </c>
      <c r="CH114" s="5">
        <f>IF(A114="","",N(INDEX(Projects[Est Project Management],113)))</f>
        <v/>
      </c>
      <c r="CI114" s="5">
        <f>IF(A114="","",N(INDEX(Projects[Est Systems Eng],113)))</f>
        <v/>
      </c>
      <c r="CJ114" s="5">
        <f>IF(A114="","",N(INDEX(Projects[Est Mechanical Eng],113)))</f>
        <v/>
      </c>
      <c r="CK114" s="5">
        <f>IF(A114="","",N(INDEX(Projects[Est Structural Engineering],113)))</f>
        <v/>
      </c>
      <c r="CL114" s="5">
        <f>IF(A114="","",N(INDEX(Projects[Est Site Sup],113)))</f>
        <v/>
      </c>
      <c r="CM114" s="5">
        <f>IF(A114="","",N(INDEX(Projects[Est Controls Commissioning],113)))</f>
        <v/>
      </c>
      <c r="CN114" s="5">
        <f>IF(A114="","",N(INDEX(Projects[Est Systems Commissioning],113)))</f>
        <v/>
      </c>
      <c r="CO114" s="5">
        <f>IF(A114="","",N(INDEX(Projects[Est Service Commissioning],113)))</f>
        <v/>
      </c>
      <c r="CP114" s="5">
        <f>IF(A114="","",N(INDEX(Projects[Est Controls Eng],113)))</f>
        <v/>
      </c>
      <c r="CQ114" s="5">
        <f>IF(A114="","",N(INDEX(Projects[Est Controls Purchase],113)))</f>
        <v/>
      </c>
      <c r="CR114" s="5">
        <f>IF(A114="","",N(INDEX(Projects[Est Software Eng],113)))</f>
        <v/>
      </c>
      <c r="CS114" s="5">
        <f>IF(A114="","",N(INDEX(Projects[Est Misc],113)))</f>
        <v/>
      </c>
      <c r="CT114" s="5">
        <f>IF(A114="","",SUM(CF114:CS114))</f>
        <v/>
      </c>
      <c r="CU114" s="5">
        <f>INDEX(Projects[Est Cost (M)],113)</f>
        <v/>
      </c>
      <c r="CV114" s="5">
        <f>INDEX(Projects[Act Cost (M)],113)</f>
        <v/>
      </c>
      <c r="CW114" s="5">
        <f>INDEX(Projects[Plan Mech Eng (wks)],113)</f>
        <v/>
      </c>
      <c r="CX114" s="5">
        <f>INDEX(Projects[Plan Controls Eng (wks)],113)</f>
        <v/>
      </c>
      <c r="CY114" s="5">
        <f>INDEX(Projects[Plan Systems Eng (wks)],113)</f>
        <v/>
      </c>
      <c r="CZ114" s="5">
        <f>INDEX(Projects[Plan Software Eng (wks)],113)</f>
        <v/>
      </c>
      <c r="DA114" s="5">
        <f>INDEX(Projects[Plan M&amp;E Installation (wks)],113)</f>
        <v/>
      </c>
      <c r="DB114" s="5">
        <f>INDEX(Projects[Plan Commissioning (wks)],113)</f>
        <v/>
      </c>
      <c r="DC114" s="5">
        <f>INDEX(Projects[Plan Total (wks)],113)</f>
        <v/>
      </c>
      <c r="DD114" s="5">
        <f>INDEX(Projects[Act Mech Eng (wks)],113)</f>
        <v/>
      </c>
      <c r="DE114" s="5">
        <f>INDEX(Projects[Act Controls Eng (wks)],113)</f>
        <v/>
      </c>
      <c r="DF114" s="5">
        <f>INDEX(Projects[Act Systems Eng (wks)],113)</f>
        <v/>
      </c>
      <c r="DG114" s="5">
        <f>INDEX(Projects[Act Software Eng (wks)],113)</f>
        <v/>
      </c>
      <c r="DH114" s="5">
        <f>INDEX(Projects[Act M&amp;E Installation (wks)],113)</f>
        <v/>
      </c>
      <c r="DI114" s="5">
        <f>INDEX(Projects[Act Commissioning (wks)],113)</f>
        <v/>
      </c>
      <c r="DJ114" s="5">
        <f>INDEX(Projects[Act Total (wks)],113)</f>
        <v/>
      </c>
    </row>
    <row r="115" ht="15" customHeight="1" s="82">
      <c r="A115" s="64">
        <f>INDEX(Projects[Project ID *],114)&amp;""</f>
        <v/>
      </c>
      <c r="B115" s="64">
        <f>INDEX(Projects[Project Name *],114)&amp;""</f>
        <v/>
      </c>
      <c r="C115" s="64">
        <f>INDEX(Projects[MS Shuttles],114)</f>
        <v/>
      </c>
      <c r="D115" s="64">
        <f>INDEX(Projects[MS Tote Locations],114)</f>
        <v/>
      </c>
      <c r="E115" s="64">
        <f>INDEX(Projects[AS Robots],114)</f>
        <v/>
      </c>
      <c r="F115" s="64">
        <f>INDEX(Projects[AS Tote Locations],114)</f>
        <v/>
      </c>
      <c r="G115" s="64">
        <f>INDEX(Projects[PS Shuttles],114)</f>
        <v/>
      </c>
      <c r="H115" s="64">
        <f>INDEX(Projects[PS Pallet Locations],114)</f>
        <v/>
      </c>
      <c r="I115" s="64">
        <f>INDEX(Projects[SRM Cranes],114)</f>
        <v/>
      </c>
      <c r="J115" s="64">
        <f>INDEX(Projects[SRM Pallet Locations],114)</f>
        <v/>
      </c>
      <c r="K115" s="64">
        <f>INDEX(Projects[Case Conv (m)],114)</f>
        <v/>
      </c>
      <c r="L115" s="64">
        <f>INDEX(Projects[Pallet Conv (m)],114)</f>
        <v/>
      </c>
      <c r="M115" s="64">
        <f>IF(N(DJ115)&gt;0,DD115,CW115)</f>
        <v/>
      </c>
      <c r="N115" s="64">
        <f>IF(N(DJ115)&gt;0,DE115,CX115)</f>
        <v/>
      </c>
      <c r="O115" s="64">
        <f>IF(N(DJ115)&gt;0,DF115,CY115)</f>
        <v/>
      </c>
      <c r="P115" s="64">
        <f>IF(N(DJ115)&gt;0,DG115,CZ115)</f>
        <v/>
      </c>
      <c r="Q115" s="64">
        <f>IF(N(DJ115)&gt;0,DH115,DA115)</f>
        <v/>
      </c>
      <c r="R115" s="64">
        <f>IF(N(DJ115)&gt;0,DI115,DB115)</f>
        <v/>
      </c>
      <c r="S115" s="64">
        <f>IF(N(DJ115)&gt;0,DJ115,DC115)</f>
        <v/>
      </c>
      <c r="T115" s="64">
        <f>INDEX(Projects[Currency],114)&amp;""</f>
        <v/>
      </c>
      <c r="U115" s="65">
        <f>INDEX(Projects[Sold Value (M)],114)</f>
        <v/>
      </c>
      <c r="V115" s="64">
        <f>IF('Smart Search'!B13=1,IFERROR(1/'Smart Search'!H13,0),0)</f>
        <v/>
      </c>
      <c r="W115" s="64">
        <f>IF('Smart Search'!B13=1,IFERROR(1/'Smart Search'!H13,0),0)</f>
        <v/>
      </c>
      <c r="X115" s="64">
        <f>IF('Smart Search'!C13=1,IFERROR(1/'Smart Search'!H13,0),0)</f>
        <v/>
      </c>
      <c r="Y115" s="64">
        <f>IF('Smart Search'!C13=1,IFERROR(1/'Smart Search'!H13,0),0)</f>
        <v/>
      </c>
      <c r="Z115" s="64">
        <f>IF('Smart Search'!D13=1,IFERROR(1/'Smart Search'!H13,0),0)</f>
        <v/>
      </c>
      <c r="AA115" s="64">
        <f>IF('Smart Search'!D13=1,IFERROR(1/'Smart Search'!H13,0),0)</f>
        <v/>
      </c>
      <c r="AB115" s="64">
        <f>IF('Smart Search'!E13=1,IFERROR(1/'Smart Search'!H13,0),0)</f>
        <v/>
      </c>
      <c r="AC115" s="64">
        <f>IF('Smart Search'!E13=1,IFERROR(1/'Smart Search'!H13,0),0)</f>
        <v/>
      </c>
      <c r="AD115" s="64">
        <f>IF('Smart Search'!F13=1,IFERROR(1/'Smart Search'!H13,0),0)</f>
        <v/>
      </c>
      <c r="AE115" s="64">
        <f>IF('Smart Search'!F13=1,IFERROR(1/'Smart Search'!H13,0),0)</f>
        <v/>
      </c>
      <c r="AF115" s="64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4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4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4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4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4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4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4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4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4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4">
        <f>AF115*V115</f>
        <v/>
      </c>
      <c r="AQ115" s="64">
        <f>AG115*W115</f>
        <v/>
      </c>
      <c r="AR115" s="64">
        <f>AH115*X115</f>
        <v/>
      </c>
      <c r="AS115" s="64">
        <f>AI115*Y115</f>
        <v/>
      </c>
      <c r="AT115" s="64">
        <f>AJ115*Z115</f>
        <v/>
      </c>
      <c r="AU115" s="64">
        <f>AK115*AA115</f>
        <v/>
      </c>
      <c r="AV115" s="64">
        <f>AL115*AB115</f>
        <v/>
      </c>
      <c r="AW115" s="64">
        <f>AM115*AC115</f>
        <v/>
      </c>
      <c r="AX115" s="64">
        <f>AN115*AD115</f>
        <v/>
      </c>
      <c r="AY115" s="64">
        <f>AO115*AE115</f>
        <v/>
      </c>
      <c r="AZ115" s="64">
        <f>INDEX(Projects[Automation Equipment],114)&amp;""</f>
        <v/>
      </c>
      <c r="BA115" s="64">
        <f>IF(OR(A115="",'Smart Search'!H13=0),"",MAX(0,BE115*BF115*MAX(0,1-BG115)))</f>
        <v/>
      </c>
      <c r="BB115" s="64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4">
        <f>IF('Smart Search'!G13=1,IFERROR(1/'Smart Search'!H13,0),0)</f>
        <v/>
      </c>
      <c r="BD115" s="64">
        <f>BB115*BC115</f>
        <v/>
      </c>
      <c r="BE115" s="64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IF(A115="","",N(INDEX(Projects[Act Mech Inst],114)))</f>
        <v/>
      </c>
      <c r="BK115" s="5">
        <f>IF(A115="","",N(INDEX(Projects[Act Elec Inst],114)))</f>
        <v/>
      </c>
      <c r="BL115" s="5">
        <f>IF(A115="","",N(INDEX(Projects[Act Project Management],114)))</f>
        <v/>
      </c>
      <c r="BM115" s="5">
        <f>IF(A115="","",N(INDEX(Projects[Act Systems Eng],114)))</f>
        <v/>
      </c>
      <c r="BN115" s="5">
        <f>IF(A115="","",N(INDEX(Projects[Act Mechanical Eng],114)))</f>
        <v/>
      </c>
      <c r="BO115" s="5">
        <f>IF(A115="","",N(INDEX(Projects[Act Structural Engineering],114)))</f>
        <v/>
      </c>
      <c r="BP115" s="5">
        <f>IF(A115="","",N(INDEX(Projects[Act Site Sup],114)))</f>
        <v/>
      </c>
      <c r="BQ115" s="5">
        <f>IF(A115="","",N(INDEX(Projects[Act Controls Commissioning],114)))</f>
        <v/>
      </c>
      <c r="BR115" s="5">
        <f>IF(A115="","",N(INDEX(Projects[Act Systems Commissioning],114)))</f>
        <v/>
      </c>
      <c r="BS115" s="5">
        <f>IF(A115="","",N(INDEX(Projects[Act Service Commissioning],114)))</f>
        <v/>
      </c>
      <c r="BT115" s="5">
        <f>IF(A115="","",N(INDEX(Projects[Act Controls Eng],114)))</f>
        <v/>
      </c>
      <c r="BU115" s="5">
        <f>IF(A115="","",N(INDEX(Projects[Act Controls Purchase],114)))</f>
        <v/>
      </c>
      <c r="BV115" s="5">
        <f>IF(A115="","",N(INDEX(Projects[Act Software Eng],114)))</f>
        <v/>
      </c>
      <c r="BW115" s="5">
        <f>IF(A115="","",N(INDEX(Projects[Act 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INDEX(Projects[Sold Value (USD M)],114)</f>
        <v/>
      </c>
      <c r="CE115" s="5" t="n"/>
      <c r="CF115" s="5">
        <f>IF(A115="","",N(INDEX(Projects[Est Mech Inst],114)))</f>
        <v/>
      </c>
      <c r="CG115" s="5">
        <f>IF(A115="","",N(INDEX(Projects[Est Elec Inst],114)))</f>
        <v/>
      </c>
      <c r="CH115" s="5">
        <f>IF(A115="","",N(INDEX(Projects[Est Project Management],114)))</f>
        <v/>
      </c>
      <c r="CI115" s="5">
        <f>IF(A115="","",N(INDEX(Projects[Est Systems Eng],114)))</f>
        <v/>
      </c>
      <c r="CJ115" s="5">
        <f>IF(A115="","",N(INDEX(Projects[Est Mechanical Eng],114)))</f>
        <v/>
      </c>
      <c r="CK115" s="5">
        <f>IF(A115="","",N(INDEX(Projects[Est Structural Engineering],114)))</f>
        <v/>
      </c>
      <c r="CL115" s="5">
        <f>IF(A115="","",N(INDEX(Projects[Est Site Sup],114)))</f>
        <v/>
      </c>
      <c r="CM115" s="5">
        <f>IF(A115="","",N(INDEX(Projects[Est Controls Commissioning],114)))</f>
        <v/>
      </c>
      <c r="CN115" s="5">
        <f>IF(A115="","",N(INDEX(Projects[Est Systems Commissioning],114)))</f>
        <v/>
      </c>
      <c r="CO115" s="5">
        <f>IF(A115="","",N(INDEX(Projects[Est Service Commissioning],114)))</f>
        <v/>
      </c>
      <c r="CP115" s="5">
        <f>IF(A115="","",N(INDEX(Projects[Est Controls Eng],114)))</f>
        <v/>
      </c>
      <c r="CQ115" s="5">
        <f>IF(A115="","",N(INDEX(Projects[Est Controls Purchase],114)))</f>
        <v/>
      </c>
      <c r="CR115" s="5">
        <f>IF(A115="","",N(INDEX(Projects[Est Software Eng],114)))</f>
        <v/>
      </c>
      <c r="CS115" s="5">
        <f>IF(A115="","",N(INDEX(Projects[Est Misc],114)))</f>
        <v/>
      </c>
      <c r="CT115" s="5">
        <f>IF(A115="","",SUM(CF115:CS115))</f>
        <v/>
      </c>
      <c r="CU115" s="5">
        <f>INDEX(Projects[Est Cost (M)],114)</f>
        <v/>
      </c>
      <c r="CV115" s="5">
        <f>INDEX(Projects[Act Cost (M)],114)</f>
        <v/>
      </c>
      <c r="CW115" s="5">
        <f>INDEX(Projects[Plan Mech Eng (wks)],114)</f>
        <v/>
      </c>
      <c r="CX115" s="5">
        <f>INDEX(Projects[Plan Controls Eng (wks)],114)</f>
        <v/>
      </c>
      <c r="CY115" s="5">
        <f>INDEX(Projects[Plan Systems Eng (wks)],114)</f>
        <v/>
      </c>
      <c r="CZ115" s="5">
        <f>INDEX(Projects[Plan Software Eng (wks)],114)</f>
        <v/>
      </c>
      <c r="DA115" s="5">
        <f>INDEX(Projects[Plan M&amp;E Installation (wks)],114)</f>
        <v/>
      </c>
      <c r="DB115" s="5">
        <f>INDEX(Projects[Plan Commissioning (wks)],114)</f>
        <v/>
      </c>
      <c r="DC115" s="5">
        <f>INDEX(Projects[Plan Total (wks)],114)</f>
        <v/>
      </c>
      <c r="DD115" s="5">
        <f>INDEX(Projects[Act Mech Eng (wks)],114)</f>
        <v/>
      </c>
      <c r="DE115" s="5">
        <f>INDEX(Projects[Act Controls Eng (wks)],114)</f>
        <v/>
      </c>
      <c r="DF115" s="5">
        <f>INDEX(Projects[Act Systems Eng (wks)],114)</f>
        <v/>
      </c>
      <c r="DG115" s="5">
        <f>INDEX(Projects[Act Software Eng (wks)],114)</f>
        <v/>
      </c>
      <c r="DH115" s="5">
        <f>INDEX(Projects[Act M&amp;E Installation (wks)],114)</f>
        <v/>
      </c>
      <c r="DI115" s="5">
        <f>INDEX(Projects[Act Commissioning (wks)],114)</f>
        <v/>
      </c>
      <c r="DJ115" s="5">
        <f>INDEX(Projects[Act Total (wks)],114)</f>
        <v/>
      </c>
    </row>
    <row r="116" ht="15" customHeight="1" s="82">
      <c r="A116" s="64">
        <f>INDEX(Projects[Project ID *],115)&amp;""</f>
        <v/>
      </c>
      <c r="B116" s="64">
        <f>INDEX(Projects[Project Name *],115)&amp;""</f>
        <v/>
      </c>
      <c r="C116" s="64">
        <f>INDEX(Projects[MS Shuttles],115)</f>
        <v/>
      </c>
      <c r="D116" s="64">
        <f>INDEX(Projects[MS Tote Locations],115)</f>
        <v/>
      </c>
      <c r="E116" s="64">
        <f>INDEX(Projects[AS Robots],115)</f>
        <v/>
      </c>
      <c r="F116" s="64">
        <f>INDEX(Projects[AS Tote Locations],115)</f>
        <v/>
      </c>
      <c r="G116" s="64">
        <f>INDEX(Projects[PS Shuttles],115)</f>
        <v/>
      </c>
      <c r="H116" s="64">
        <f>INDEX(Projects[PS Pallet Locations],115)</f>
        <v/>
      </c>
      <c r="I116" s="64">
        <f>INDEX(Projects[SRM Cranes],115)</f>
        <v/>
      </c>
      <c r="J116" s="64">
        <f>INDEX(Projects[SRM Pallet Locations],115)</f>
        <v/>
      </c>
      <c r="K116" s="64">
        <f>INDEX(Projects[Case Conv (m)],115)</f>
        <v/>
      </c>
      <c r="L116" s="64">
        <f>INDEX(Projects[Pallet Conv (m)],115)</f>
        <v/>
      </c>
      <c r="M116" s="64">
        <f>IF(N(DJ116)&gt;0,DD116,CW116)</f>
        <v/>
      </c>
      <c r="N116" s="64">
        <f>IF(N(DJ116)&gt;0,DE116,CX116)</f>
        <v/>
      </c>
      <c r="O116" s="64">
        <f>IF(N(DJ116)&gt;0,DF116,CY116)</f>
        <v/>
      </c>
      <c r="P116" s="64">
        <f>IF(N(DJ116)&gt;0,DG116,CZ116)</f>
        <v/>
      </c>
      <c r="Q116" s="64">
        <f>IF(N(DJ116)&gt;0,DH116,DA116)</f>
        <v/>
      </c>
      <c r="R116" s="64">
        <f>IF(N(DJ116)&gt;0,DI116,DB116)</f>
        <v/>
      </c>
      <c r="S116" s="64">
        <f>IF(N(DJ116)&gt;0,DJ116,DC116)</f>
        <v/>
      </c>
      <c r="T116" s="64">
        <f>INDEX(Projects[Currency],115)&amp;""</f>
        <v/>
      </c>
      <c r="U116" s="65">
        <f>INDEX(Projects[Sold Value (M)],115)</f>
        <v/>
      </c>
      <c r="V116" s="64">
        <f>IF('Smart Search'!B13=1,IFERROR(1/'Smart Search'!H13,0),0)</f>
        <v/>
      </c>
      <c r="W116" s="64">
        <f>IF('Smart Search'!B13=1,IFERROR(1/'Smart Search'!H13,0),0)</f>
        <v/>
      </c>
      <c r="X116" s="64">
        <f>IF('Smart Search'!C13=1,IFERROR(1/'Smart Search'!H13,0),0)</f>
        <v/>
      </c>
      <c r="Y116" s="64">
        <f>IF('Smart Search'!C13=1,IFERROR(1/'Smart Search'!H13,0),0)</f>
        <v/>
      </c>
      <c r="Z116" s="64">
        <f>IF('Smart Search'!D13=1,IFERROR(1/'Smart Search'!H13,0),0)</f>
        <v/>
      </c>
      <c r="AA116" s="64">
        <f>IF('Smart Search'!D13=1,IFERROR(1/'Smart Search'!H13,0),0)</f>
        <v/>
      </c>
      <c r="AB116" s="64">
        <f>IF('Smart Search'!E13=1,IFERROR(1/'Smart Search'!H13,0),0)</f>
        <v/>
      </c>
      <c r="AC116" s="64">
        <f>IF('Smart Search'!E13=1,IFERROR(1/'Smart Search'!H13,0),0)</f>
        <v/>
      </c>
      <c r="AD116" s="64">
        <f>IF('Smart Search'!F13=1,IFERROR(1/'Smart Search'!H13,0),0)</f>
        <v/>
      </c>
      <c r="AE116" s="64">
        <f>IF('Smart Search'!F13=1,IFERROR(1/'Smart Search'!H13,0),0)</f>
        <v/>
      </c>
      <c r="AF116" s="64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4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4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4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4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4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4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4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4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4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4">
        <f>AF116*V116</f>
        <v/>
      </c>
      <c r="AQ116" s="64">
        <f>AG116*W116</f>
        <v/>
      </c>
      <c r="AR116" s="64">
        <f>AH116*X116</f>
        <v/>
      </c>
      <c r="AS116" s="64">
        <f>AI116*Y116</f>
        <v/>
      </c>
      <c r="AT116" s="64">
        <f>AJ116*Z116</f>
        <v/>
      </c>
      <c r="AU116" s="64">
        <f>AK116*AA116</f>
        <v/>
      </c>
      <c r="AV116" s="64">
        <f>AL116*AB116</f>
        <v/>
      </c>
      <c r="AW116" s="64">
        <f>AM116*AC116</f>
        <v/>
      </c>
      <c r="AX116" s="64">
        <f>AN116*AD116</f>
        <v/>
      </c>
      <c r="AY116" s="64">
        <f>AO116*AE116</f>
        <v/>
      </c>
      <c r="AZ116" s="64">
        <f>INDEX(Projects[Automation Equipment],115)&amp;""</f>
        <v/>
      </c>
      <c r="BA116" s="64">
        <f>IF(OR(A116="",'Smart Search'!H13=0),"",MAX(0,BE116*BF116*MAX(0,1-BG116)))</f>
        <v/>
      </c>
      <c r="BB116" s="64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4">
        <f>IF('Smart Search'!G13=1,IFERROR(1/'Smart Search'!H13,0),0)</f>
        <v/>
      </c>
      <c r="BD116" s="64">
        <f>BB116*BC116</f>
        <v/>
      </c>
      <c r="BE116" s="64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IF(A116="","",N(INDEX(Projects[Act Mech Inst],115)))</f>
        <v/>
      </c>
      <c r="BK116" s="5">
        <f>IF(A116="","",N(INDEX(Projects[Act Elec Inst],115)))</f>
        <v/>
      </c>
      <c r="BL116" s="5">
        <f>IF(A116="","",N(INDEX(Projects[Act Project Management],115)))</f>
        <v/>
      </c>
      <c r="BM116" s="5">
        <f>IF(A116="","",N(INDEX(Projects[Act Systems Eng],115)))</f>
        <v/>
      </c>
      <c r="BN116" s="5">
        <f>IF(A116="","",N(INDEX(Projects[Act Mechanical Eng],115)))</f>
        <v/>
      </c>
      <c r="BO116" s="5">
        <f>IF(A116="","",N(INDEX(Projects[Act Structural Engineering],115)))</f>
        <v/>
      </c>
      <c r="BP116" s="5">
        <f>IF(A116="","",N(INDEX(Projects[Act Site Sup],115)))</f>
        <v/>
      </c>
      <c r="BQ116" s="5">
        <f>IF(A116="","",N(INDEX(Projects[Act Controls Commissioning],115)))</f>
        <v/>
      </c>
      <c r="BR116" s="5">
        <f>IF(A116="","",N(INDEX(Projects[Act Systems Commissioning],115)))</f>
        <v/>
      </c>
      <c r="BS116" s="5">
        <f>IF(A116="","",N(INDEX(Projects[Act Service Commissioning],115)))</f>
        <v/>
      </c>
      <c r="BT116" s="5">
        <f>IF(A116="","",N(INDEX(Projects[Act Controls Eng],115)))</f>
        <v/>
      </c>
      <c r="BU116" s="5">
        <f>IF(A116="","",N(INDEX(Projects[Act Controls Purchase],115)))</f>
        <v/>
      </c>
      <c r="BV116" s="5">
        <f>IF(A116="","",N(INDEX(Projects[Act Software Eng],115)))</f>
        <v/>
      </c>
      <c r="BW116" s="5">
        <f>IF(A116="","",N(INDEX(Projects[Act 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INDEX(Projects[Sold Value (USD M)],115)</f>
        <v/>
      </c>
      <c r="CE116" s="5" t="n"/>
      <c r="CF116" s="5">
        <f>IF(A116="","",N(INDEX(Projects[Est Mech Inst],115)))</f>
        <v/>
      </c>
      <c r="CG116" s="5">
        <f>IF(A116="","",N(INDEX(Projects[Est Elec Inst],115)))</f>
        <v/>
      </c>
      <c r="CH116" s="5">
        <f>IF(A116="","",N(INDEX(Projects[Est Project Management],115)))</f>
        <v/>
      </c>
      <c r="CI116" s="5">
        <f>IF(A116="","",N(INDEX(Projects[Est Systems Eng],115)))</f>
        <v/>
      </c>
      <c r="CJ116" s="5">
        <f>IF(A116="","",N(INDEX(Projects[Est Mechanical Eng],115)))</f>
        <v/>
      </c>
      <c r="CK116" s="5">
        <f>IF(A116="","",N(INDEX(Projects[Est Structural Engineering],115)))</f>
        <v/>
      </c>
      <c r="CL116" s="5">
        <f>IF(A116="","",N(INDEX(Projects[Est Site Sup],115)))</f>
        <v/>
      </c>
      <c r="CM116" s="5">
        <f>IF(A116="","",N(INDEX(Projects[Est Controls Commissioning],115)))</f>
        <v/>
      </c>
      <c r="CN116" s="5">
        <f>IF(A116="","",N(INDEX(Projects[Est Systems Commissioning],115)))</f>
        <v/>
      </c>
      <c r="CO116" s="5">
        <f>IF(A116="","",N(INDEX(Projects[Est Service Commissioning],115)))</f>
        <v/>
      </c>
      <c r="CP116" s="5">
        <f>IF(A116="","",N(INDEX(Projects[Est Controls Eng],115)))</f>
        <v/>
      </c>
      <c r="CQ116" s="5">
        <f>IF(A116="","",N(INDEX(Projects[Est Controls Purchase],115)))</f>
        <v/>
      </c>
      <c r="CR116" s="5">
        <f>IF(A116="","",N(INDEX(Projects[Est Software Eng],115)))</f>
        <v/>
      </c>
      <c r="CS116" s="5">
        <f>IF(A116="","",N(INDEX(Projects[Est Misc],115)))</f>
        <v/>
      </c>
      <c r="CT116" s="5">
        <f>IF(A116="","",SUM(CF116:CS116))</f>
        <v/>
      </c>
      <c r="CU116" s="5">
        <f>INDEX(Projects[Est Cost (M)],115)</f>
        <v/>
      </c>
      <c r="CV116" s="5">
        <f>INDEX(Projects[Act Cost (M)],115)</f>
        <v/>
      </c>
      <c r="CW116" s="5">
        <f>INDEX(Projects[Plan Mech Eng (wks)],115)</f>
        <v/>
      </c>
      <c r="CX116" s="5">
        <f>INDEX(Projects[Plan Controls Eng (wks)],115)</f>
        <v/>
      </c>
      <c r="CY116" s="5">
        <f>INDEX(Projects[Plan Systems Eng (wks)],115)</f>
        <v/>
      </c>
      <c r="CZ116" s="5">
        <f>INDEX(Projects[Plan Software Eng (wks)],115)</f>
        <v/>
      </c>
      <c r="DA116" s="5">
        <f>INDEX(Projects[Plan M&amp;E Installation (wks)],115)</f>
        <v/>
      </c>
      <c r="DB116" s="5">
        <f>INDEX(Projects[Plan Commissioning (wks)],115)</f>
        <v/>
      </c>
      <c r="DC116" s="5">
        <f>INDEX(Projects[Plan Total (wks)],115)</f>
        <v/>
      </c>
      <c r="DD116" s="5">
        <f>INDEX(Projects[Act Mech Eng (wks)],115)</f>
        <v/>
      </c>
      <c r="DE116" s="5">
        <f>INDEX(Projects[Act Controls Eng (wks)],115)</f>
        <v/>
      </c>
      <c r="DF116" s="5">
        <f>INDEX(Projects[Act Systems Eng (wks)],115)</f>
        <v/>
      </c>
      <c r="DG116" s="5">
        <f>INDEX(Projects[Act Software Eng (wks)],115)</f>
        <v/>
      </c>
      <c r="DH116" s="5">
        <f>INDEX(Projects[Act M&amp;E Installation (wks)],115)</f>
        <v/>
      </c>
      <c r="DI116" s="5">
        <f>INDEX(Projects[Act Commissioning (wks)],115)</f>
        <v/>
      </c>
      <c r="DJ116" s="5">
        <f>INDEX(Projects[Act Total (wks)],115)</f>
        <v/>
      </c>
    </row>
    <row r="117" ht="15" customHeight="1" s="82">
      <c r="A117" s="64">
        <f>INDEX(Projects[Project ID *],116)&amp;""</f>
        <v/>
      </c>
      <c r="B117" s="64">
        <f>INDEX(Projects[Project Name *],116)&amp;""</f>
        <v/>
      </c>
      <c r="C117" s="64">
        <f>INDEX(Projects[MS Shuttles],116)</f>
        <v/>
      </c>
      <c r="D117" s="64">
        <f>INDEX(Projects[MS Tote Locations],116)</f>
        <v/>
      </c>
      <c r="E117" s="64">
        <f>INDEX(Projects[AS Robots],116)</f>
        <v/>
      </c>
      <c r="F117" s="64">
        <f>INDEX(Projects[AS Tote Locations],116)</f>
        <v/>
      </c>
      <c r="G117" s="64">
        <f>INDEX(Projects[PS Shuttles],116)</f>
        <v/>
      </c>
      <c r="H117" s="64">
        <f>INDEX(Projects[PS Pallet Locations],116)</f>
        <v/>
      </c>
      <c r="I117" s="64">
        <f>INDEX(Projects[SRM Cranes],116)</f>
        <v/>
      </c>
      <c r="J117" s="64">
        <f>INDEX(Projects[SRM Pallet Locations],116)</f>
        <v/>
      </c>
      <c r="K117" s="64">
        <f>INDEX(Projects[Case Conv (m)],116)</f>
        <v/>
      </c>
      <c r="L117" s="64">
        <f>INDEX(Projects[Pallet Conv (m)],116)</f>
        <v/>
      </c>
      <c r="M117" s="64">
        <f>IF(N(DJ117)&gt;0,DD117,CW117)</f>
        <v/>
      </c>
      <c r="N117" s="64">
        <f>IF(N(DJ117)&gt;0,DE117,CX117)</f>
        <v/>
      </c>
      <c r="O117" s="64">
        <f>IF(N(DJ117)&gt;0,DF117,CY117)</f>
        <v/>
      </c>
      <c r="P117" s="64">
        <f>IF(N(DJ117)&gt;0,DG117,CZ117)</f>
        <v/>
      </c>
      <c r="Q117" s="64">
        <f>IF(N(DJ117)&gt;0,DH117,DA117)</f>
        <v/>
      </c>
      <c r="R117" s="64">
        <f>IF(N(DJ117)&gt;0,DI117,DB117)</f>
        <v/>
      </c>
      <c r="S117" s="64">
        <f>IF(N(DJ117)&gt;0,DJ117,DC117)</f>
        <v/>
      </c>
      <c r="T117" s="64">
        <f>INDEX(Projects[Currency],116)&amp;""</f>
        <v/>
      </c>
      <c r="U117" s="65">
        <f>INDEX(Projects[Sold Value (M)],116)</f>
        <v/>
      </c>
      <c r="V117" s="64">
        <f>IF('Smart Search'!B13=1,IFERROR(1/'Smart Search'!H13,0),0)</f>
        <v/>
      </c>
      <c r="W117" s="64">
        <f>IF('Smart Search'!B13=1,IFERROR(1/'Smart Search'!H13,0),0)</f>
        <v/>
      </c>
      <c r="X117" s="64">
        <f>IF('Smart Search'!C13=1,IFERROR(1/'Smart Search'!H13,0),0)</f>
        <v/>
      </c>
      <c r="Y117" s="64">
        <f>IF('Smart Search'!C13=1,IFERROR(1/'Smart Search'!H13,0),0)</f>
        <v/>
      </c>
      <c r="Z117" s="64">
        <f>IF('Smart Search'!D13=1,IFERROR(1/'Smart Search'!H13,0),0)</f>
        <v/>
      </c>
      <c r="AA117" s="64">
        <f>IF('Smart Search'!D13=1,IFERROR(1/'Smart Search'!H13,0),0)</f>
        <v/>
      </c>
      <c r="AB117" s="64">
        <f>IF('Smart Search'!E13=1,IFERROR(1/'Smart Search'!H13,0),0)</f>
        <v/>
      </c>
      <c r="AC117" s="64">
        <f>IF('Smart Search'!E13=1,IFERROR(1/'Smart Search'!H13,0),0)</f>
        <v/>
      </c>
      <c r="AD117" s="64">
        <f>IF('Smart Search'!F13=1,IFERROR(1/'Smart Search'!H13,0),0)</f>
        <v/>
      </c>
      <c r="AE117" s="64">
        <f>IF('Smart Search'!F13=1,IFERROR(1/'Smart Search'!H13,0),0)</f>
        <v/>
      </c>
      <c r="AF117" s="64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4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4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4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4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4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4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4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4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4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4">
        <f>AF117*V117</f>
        <v/>
      </c>
      <c r="AQ117" s="64">
        <f>AG117*W117</f>
        <v/>
      </c>
      <c r="AR117" s="64">
        <f>AH117*X117</f>
        <v/>
      </c>
      <c r="AS117" s="64">
        <f>AI117*Y117</f>
        <v/>
      </c>
      <c r="AT117" s="64">
        <f>AJ117*Z117</f>
        <v/>
      </c>
      <c r="AU117" s="64">
        <f>AK117*AA117</f>
        <v/>
      </c>
      <c r="AV117" s="64">
        <f>AL117*AB117</f>
        <v/>
      </c>
      <c r="AW117" s="64">
        <f>AM117*AC117</f>
        <v/>
      </c>
      <c r="AX117" s="64">
        <f>AN117*AD117</f>
        <v/>
      </c>
      <c r="AY117" s="64">
        <f>AO117*AE117</f>
        <v/>
      </c>
      <c r="AZ117" s="64">
        <f>INDEX(Projects[Automation Equipment],116)&amp;""</f>
        <v/>
      </c>
      <c r="BA117" s="64">
        <f>IF(OR(A117="",'Smart Search'!H13=0),"",MAX(0,BE117*BF117*MAX(0,1-BG117)))</f>
        <v/>
      </c>
      <c r="BB117" s="64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4">
        <f>IF('Smart Search'!G13=1,IFERROR(1/'Smart Search'!H13,0),0)</f>
        <v/>
      </c>
      <c r="BD117" s="64">
        <f>BB117*BC117</f>
        <v/>
      </c>
      <c r="BE117" s="64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IF(A117="","",N(INDEX(Projects[Act Mech Inst],116)))</f>
        <v/>
      </c>
      <c r="BK117" s="5">
        <f>IF(A117="","",N(INDEX(Projects[Act Elec Inst],116)))</f>
        <v/>
      </c>
      <c r="BL117" s="5">
        <f>IF(A117="","",N(INDEX(Projects[Act Project Management],116)))</f>
        <v/>
      </c>
      <c r="BM117" s="5">
        <f>IF(A117="","",N(INDEX(Projects[Act Systems Eng],116)))</f>
        <v/>
      </c>
      <c r="BN117" s="5">
        <f>IF(A117="","",N(INDEX(Projects[Act Mechanical Eng],116)))</f>
        <v/>
      </c>
      <c r="BO117" s="5">
        <f>IF(A117="","",N(INDEX(Projects[Act Structural Engineering],116)))</f>
        <v/>
      </c>
      <c r="BP117" s="5">
        <f>IF(A117="","",N(INDEX(Projects[Act Site Sup],116)))</f>
        <v/>
      </c>
      <c r="BQ117" s="5">
        <f>IF(A117="","",N(INDEX(Projects[Act Controls Commissioning],116)))</f>
        <v/>
      </c>
      <c r="BR117" s="5">
        <f>IF(A117="","",N(INDEX(Projects[Act Systems Commissioning],116)))</f>
        <v/>
      </c>
      <c r="BS117" s="5">
        <f>IF(A117="","",N(INDEX(Projects[Act Service Commissioning],116)))</f>
        <v/>
      </c>
      <c r="BT117" s="5">
        <f>IF(A117="","",N(INDEX(Projects[Act Controls Eng],116)))</f>
        <v/>
      </c>
      <c r="BU117" s="5">
        <f>IF(A117="","",N(INDEX(Projects[Act Controls Purchase],116)))</f>
        <v/>
      </c>
      <c r="BV117" s="5">
        <f>IF(A117="","",N(INDEX(Projects[Act Software Eng],116)))</f>
        <v/>
      </c>
      <c r="BW117" s="5">
        <f>IF(A117="","",N(INDEX(Projects[Act 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INDEX(Projects[Sold Value (USD M)],116)</f>
        <v/>
      </c>
      <c r="CE117" s="5" t="n"/>
      <c r="CF117" s="5">
        <f>IF(A117="","",N(INDEX(Projects[Est Mech Inst],116)))</f>
        <v/>
      </c>
      <c r="CG117" s="5">
        <f>IF(A117="","",N(INDEX(Projects[Est Elec Inst],116)))</f>
        <v/>
      </c>
      <c r="CH117" s="5">
        <f>IF(A117="","",N(INDEX(Projects[Est Project Management],116)))</f>
        <v/>
      </c>
      <c r="CI117" s="5">
        <f>IF(A117="","",N(INDEX(Projects[Est Systems Eng],116)))</f>
        <v/>
      </c>
      <c r="CJ117" s="5">
        <f>IF(A117="","",N(INDEX(Projects[Est Mechanical Eng],116)))</f>
        <v/>
      </c>
      <c r="CK117" s="5">
        <f>IF(A117="","",N(INDEX(Projects[Est Structural Engineering],116)))</f>
        <v/>
      </c>
      <c r="CL117" s="5">
        <f>IF(A117="","",N(INDEX(Projects[Est Site Sup],116)))</f>
        <v/>
      </c>
      <c r="CM117" s="5">
        <f>IF(A117="","",N(INDEX(Projects[Est Controls Commissioning],116)))</f>
        <v/>
      </c>
      <c r="CN117" s="5">
        <f>IF(A117="","",N(INDEX(Projects[Est Systems Commissioning],116)))</f>
        <v/>
      </c>
      <c r="CO117" s="5">
        <f>IF(A117="","",N(INDEX(Projects[Est Service Commissioning],116)))</f>
        <v/>
      </c>
      <c r="CP117" s="5">
        <f>IF(A117="","",N(INDEX(Projects[Est Controls Eng],116)))</f>
        <v/>
      </c>
      <c r="CQ117" s="5">
        <f>IF(A117="","",N(INDEX(Projects[Est Controls Purchase],116)))</f>
        <v/>
      </c>
      <c r="CR117" s="5">
        <f>IF(A117="","",N(INDEX(Projects[Est Software Eng],116)))</f>
        <v/>
      </c>
      <c r="CS117" s="5">
        <f>IF(A117="","",N(INDEX(Projects[Est Misc],116)))</f>
        <v/>
      </c>
      <c r="CT117" s="5">
        <f>IF(A117="","",SUM(CF117:CS117))</f>
        <v/>
      </c>
      <c r="CU117" s="5">
        <f>INDEX(Projects[Est Cost (M)],116)</f>
        <v/>
      </c>
      <c r="CV117" s="5">
        <f>INDEX(Projects[Act Cost (M)],116)</f>
        <v/>
      </c>
      <c r="CW117" s="5">
        <f>INDEX(Projects[Plan Mech Eng (wks)],116)</f>
        <v/>
      </c>
      <c r="CX117" s="5">
        <f>INDEX(Projects[Plan Controls Eng (wks)],116)</f>
        <v/>
      </c>
      <c r="CY117" s="5">
        <f>INDEX(Projects[Plan Systems Eng (wks)],116)</f>
        <v/>
      </c>
      <c r="CZ117" s="5">
        <f>INDEX(Projects[Plan Software Eng (wks)],116)</f>
        <v/>
      </c>
      <c r="DA117" s="5">
        <f>INDEX(Projects[Plan M&amp;E Installation (wks)],116)</f>
        <v/>
      </c>
      <c r="DB117" s="5">
        <f>INDEX(Projects[Plan Commissioning (wks)],116)</f>
        <v/>
      </c>
      <c r="DC117" s="5">
        <f>INDEX(Projects[Plan Total (wks)],116)</f>
        <v/>
      </c>
      <c r="DD117" s="5">
        <f>INDEX(Projects[Act Mech Eng (wks)],116)</f>
        <v/>
      </c>
      <c r="DE117" s="5">
        <f>INDEX(Projects[Act Controls Eng (wks)],116)</f>
        <v/>
      </c>
      <c r="DF117" s="5">
        <f>INDEX(Projects[Act Systems Eng (wks)],116)</f>
        <v/>
      </c>
      <c r="DG117" s="5">
        <f>INDEX(Projects[Act Software Eng (wks)],116)</f>
        <v/>
      </c>
      <c r="DH117" s="5">
        <f>INDEX(Projects[Act M&amp;E Installation (wks)],116)</f>
        <v/>
      </c>
      <c r="DI117" s="5">
        <f>INDEX(Projects[Act Commissioning (wks)],116)</f>
        <v/>
      </c>
      <c r="DJ117" s="5">
        <f>INDEX(Projects[Act Total (wks)],116)</f>
        <v/>
      </c>
    </row>
    <row r="118" ht="15" customHeight="1" s="82">
      <c r="A118" s="64">
        <f>INDEX(Projects[Project ID *],117)&amp;""</f>
        <v/>
      </c>
      <c r="B118" s="64">
        <f>INDEX(Projects[Project Name *],117)&amp;""</f>
        <v/>
      </c>
      <c r="C118" s="64">
        <f>INDEX(Projects[MS Shuttles],117)</f>
        <v/>
      </c>
      <c r="D118" s="64">
        <f>INDEX(Projects[MS Tote Locations],117)</f>
        <v/>
      </c>
      <c r="E118" s="64">
        <f>INDEX(Projects[AS Robots],117)</f>
        <v/>
      </c>
      <c r="F118" s="64">
        <f>INDEX(Projects[AS Tote Locations],117)</f>
        <v/>
      </c>
      <c r="G118" s="64">
        <f>INDEX(Projects[PS Shuttles],117)</f>
        <v/>
      </c>
      <c r="H118" s="64">
        <f>INDEX(Projects[PS Pallet Locations],117)</f>
        <v/>
      </c>
      <c r="I118" s="64">
        <f>INDEX(Projects[SRM Cranes],117)</f>
        <v/>
      </c>
      <c r="J118" s="64">
        <f>INDEX(Projects[SRM Pallet Locations],117)</f>
        <v/>
      </c>
      <c r="K118" s="64">
        <f>INDEX(Projects[Case Conv (m)],117)</f>
        <v/>
      </c>
      <c r="L118" s="64">
        <f>INDEX(Projects[Pallet Conv (m)],117)</f>
        <v/>
      </c>
      <c r="M118" s="64">
        <f>IF(N(DJ118)&gt;0,DD118,CW118)</f>
        <v/>
      </c>
      <c r="N118" s="64">
        <f>IF(N(DJ118)&gt;0,DE118,CX118)</f>
        <v/>
      </c>
      <c r="O118" s="64">
        <f>IF(N(DJ118)&gt;0,DF118,CY118)</f>
        <v/>
      </c>
      <c r="P118" s="64">
        <f>IF(N(DJ118)&gt;0,DG118,CZ118)</f>
        <v/>
      </c>
      <c r="Q118" s="64">
        <f>IF(N(DJ118)&gt;0,DH118,DA118)</f>
        <v/>
      </c>
      <c r="R118" s="64">
        <f>IF(N(DJ118)&gt;0,DI118,DB118)</f>
        <v/>
      </c>
      <c r="S118" s="64">
        <f>IF(N(DJ118)&gt;0,DJ118,DC118)</f>
        <v/>
      </c>
      <c r="T118" s="64">
        <f>INDEX(Projects[Currency],117)&amp;""</f>
        <v/>
      </c>
      <c r="U118" s="65">
        <f>INDEX(Projects[Sold Value (M)],117)</f>
        <v/>
      </c>
      <c r="V118" s="64">
        <f>IF('Smart Search'!B13=1,IFERROR(1/'Smart Search'!H13,0),0)</f>
        <v/>
      </c>
      <c r="W118" s="64">
        <f>IF('Smart Search'!B13=1,IFERROR(1/'Smart Search'!H13,0),0)</f>
        <v/>
      </c>
      <c r="X118" s="64">
        <f>IF('Smart Search'!C13=1,IFERROR(1/'Smart Search'!H13,0),0)</f>
        <v/>
      </c>
      <c r="Y118" s="64">
        <f>IF('Smart Search'!C13=1,IFERROR(1/'Smart Search'!H13,0),0)</f>
        <v/>
      </c>
      <c r="Z118" s="64">
        <f>IF('Smart Search'!D13=1,IFERROR(1/'Smart Search'!H13,0),0)</f>
        <v/>
      </c>
      <c r="AA118" s="64">
        <f>IF('Smart Search'!D13=1,IFERROR(1/'Smart Search'!H13,0),0)</f>
        <v/>
      </c>
      <c r="AB118" s="64">
        <f>IF('Smart Search'!E13=1,IFERROR(1/'Smart Search'!H13,0),0)</f>
        <v/>
      </c>
      <c r="AC118" s="64">
        <f>IF('Smart Search'!E13=1,IFERROR(1/'Smart Search'!H13,0),0)</f>
        <v/>
      </c>
      <c r="AD118" s="64">
        <f>IF('Smart Search'!F13=1,IFERROR(1/'Smart Search'!H13,0),0)</f>
        <v/>
      </c>
      <c r="AE118" s="64">
        <f>IF('Smart Search'!F13=1,IFERROR(1/'Smart Search'!H13,0),0)</f>
        <v/>
      </c>
      <c r="AF118" s="64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4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4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4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4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4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4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4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4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4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4">
        <f>AF118*V118</f>
        <v/>
      </c>
      <c r="AQ118" s="64">
        <f>AG118*W118</f>
        <v/>
      </c>
      <c r="AR118" s="64">
        <f>AH118*X118</f>
        <v/>
      </c>
      <c r="AS118" s="64">
        <f>AI118*Y118</f>
        <v/>
      </c>
      <c r="AT118" s="64">
        <f>AJ118*Z118</f>
        <v/>
      </c>
      <c r="AU118" s="64">
        <f>AK118*AA118</f>
        <v/>
      </c>
      <c r="AV118" s="64">
        <f>AL118*AB118</f>
        <v/>
      </c>
      <c r="AW118" s="64">
        <f>AM118*AC118</f>
        <v/>
      </c>
      <c r="AX118" s="64">
        <f>AN118*AD118</f>
        <v/>
      </c>
      <c r="AY118" s="64">
        <f>AO118*AE118</f>
        <v/>
      </c>
      <c r="AZ118" s="64">
        <f>INDEX(Projects[Automation Equipment],117)&amp;""</f>
        <v/>
      </c>
      <c r="BA118" s="64">
        <f>IF(OR(A118="",'Smart Search'!H13=0),"",MAX(0,BE118*BF118*MAX(0,1-BG118)))</f>
        <v/>
      </c>
      <c r="BB118" s="64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4">
        <f>IF('Smart Search'!G13=1,IFERROR(1/'Smart Search'!H13,0),0)</f>
        <v/>
      </c>
      <c r="BD118" s="64">
        <f>BB118*BC118</f>
        <v/>
      </c>
      <c r="BE118" s="64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IF(A118="","",N(INDEX(Projects[Act Mech Inst],117)))</f>
        <v/>
      </c>
      <c r="BK118" s="5">
        <f>IF(A118="","",N(INDEX(Projects[Act Elec Inst],117)))</f>
        <v/>
      </c>
      <c r="BL118" s="5">
        <f>IF(A118="","",N(INDEX(Projects[Act Project Management],117)))</f>
        <v/>
      </c>
      <c r="BM118" s="5">
        <f>IF(A118="","",N(INDEX(Projects[Act Systems Eng],117)))</f>
        <v/>
      </c>
      <c r="BN118" s="5">
        <f>IF(A118="","",N(INDEX(Projects[Act Mechanical Eng],117)))</f>
        <v/>
      </c>
      <c r="BO118" s="5">
        <f>IF(A118="","",N(INDEX(Projects[Act Structural Engineering],117)))</f>
        <v/>
      </c>
      <c r="BP118" s="5">
        <f>IF(A118="","",N(INDEX(Projects[Act Site Sup],117)))</f>
        <v/>
      </c>
      <c r="BQ118" s="5">
        <f>IF(A118="","",N(INDEX(Projects[Act Controls Commissioning],117)))</f>
        <v/>
      </c>
      <c r="BR118" s="5">
        <f>IF(A118="","",N(INDEX(Projects[Act Systems Commissioning],117)))</f>
        <v/>
      </c>
      <c r="BS118" s="5">
        <f>IF(A118="","",N(INDEX(Projects[Act Service Commissioning],117)))</f>
        <v/>
      </c>
      <c r="BT118" s="5">
        <f>IF(A118="","",N(INDEX(Projects[Act Controls Eng],117)))</f>
        <v/>
      </c>
      <c r="BU118" s="5">
        <f>IF(A118="","",N(INDEX(Projects[Act Controls Purchase],117)))</f>
        <v/>
      </c>
      <c r="BV118" s="5">
        <f>IF(A118="","",N(INDEX(Projects[Act Software Eng],117)))</f>
        <v/>
      </c>
      <c r="BW118" s="5">
        <f>IF(A118="","",N(INDEX(Projects[Act 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INDEX(Projects[Sold Value (USD M)],117)</f>
        <v/>
      </c>
      <c r="CE118" s="5" t="n"/>
      <c r="CF118" s="5">
        <f>IF(A118="","",N(INDEX(Projects[Est Mech Inst],117)))</f>
        <v/>
      </c>
      <c r="CG118" s="5">
        <f>IF(A118="","",N(INDEX(Projects[Est Elec Inst],117)))</f>
        <v/>
      </c>
      <c r="CH118" s="5">
        <f>IF(A118="","",N(INDEX(Projects[Est Project Management],117)))</f>
        <v/>
      </c>
      <c r="CI118" s="5">
        <f>IF(A118="","",N(INDEX(Projects[Est Systems Eng],117)))</f>
        <v/>
      </c>
      <c r="CJ118" s="5">
        <f>IF(A118="","",N(INDEX(Projects[Est Mechanical Eng],117)))</f>
        <v/>
      </c>
      <c r="CK118" s="5">
        <f>IF(A118="","",N(INDEX(Projects[Est Structural Engineering],117)))</f>
        <v/>
      </c>
      <c r="CL118" s="5">
        <f>IF(A118="","",N(INDEX(Projects[Est Site Sup],117)))</f>
        <v/>
      </c>
      <c r="CM118" s="5">
        <f>IF(A118="","",N(INDEX(Projects[Est Controls Commissioning],117)))</f>
        <v/>
      </c>
      <c r="CN118" s="5">
        <f>IF(A118="","",N(INDEX(Projects[Est Systems Commissioning],117)))</f>
        <v/>
      </c>
      <c r="CO118" s="5">
        <f>IF(A118="","",N(INDEX(Projects[Est Service Commissioning],117)))</f>
        <v/>
      </c>
      <c r="CP118" s="5">
        <f>IF(A118="","",N(INDEX(Projects[Est Controls Eng],117)))</f>
        <v/>
      </c>
      <c r="CQ118" s="5">
        <f>IF(A118="","",N(INDEX(Projects[Est Controls Purchase],117)))</f>
        <v/>
      </c>
      <c r="CR118" s="5">
        <f>IF(A118="","",N(INDEX(Projects[Est Software Eng],117)))</f>
        <v/>
      </c>
      <c r="CS118" s="5">
        <f>IF(A118="","",N(INDEX(Projects[Est Misc],117)))</f>
        <v/>
      </c>
      <c r="CT118" s="5">
        <f>IF(A118="","",SUM(CF118:CS118))</f>
        <v/>
      </c>
      <c r="CU118" s="5">
        <f>INDEX(Projects[Est Cost (M)],117)</f>
        <v/>
      </c>
      <c r="CV118" s="5">
        <f>INDEX(Projects[Act Cost (M)],117)</f>
        <v/>
      </c>
      <c r="CW118" s="5">
        <f>INDEX(Projects[Plan Mech Eng (wks)],117)</f>
        <v/>
      </c>
      <c r="CX118" s="5">
        <f>INDEX(Projects[Plan Controls Eng (wks)],117)</f>
        <v/>
      </c>
      <c r="CY118" s="5">
        <f>INDEX(Projects[Plan Systems Eng (wks)],117)</f>
        <v/>
      </c>
      <c r="CZ118" s="5">
        <f>INDEX(Projects[Plan Software Eng (wks)],117)</f>
        <v/>
      </c>
      <c r="DA118" s="5">
        <f>INDEX(Projects[Plan M&amp;E Installation (wks)],117)</f>
        <v/>
      </c>
      <c r="DB118" s="5">
        <f>INDEX(Projects[Plan Commissioning (wks)],117)</f>
        <v/>
      </c>
      <c r="DC118" s="5">
        <f>INDEX(Projects[Plan Total (wks)],117)</f>
        <v/>
      </c>
      <c r="DD118" s="5">
        <f>INDEX(Projects[Act Mech Eng (wks)],117)</f>
        <v/>
      </c>
      <c r="DE118" s="5">
        <f>INDEX(Projects[Act Controls Eng (wks)],117)</f>
        <v/>
      </c>
      <c r="DF118" s="5">
        <f>INDEX(Projects[Act Systems Eng (wks)],117)</f>
        <v/>
      </c>
      <c r="DG118" s="5">
        <f>INDEX(Projects[Act Software Eng (wks)],117)</f>
        <v/>
      </c>
      <c r="DH118" s="5">
        <f>INDEX(Projects[Act M&amp;E Installation (wks)],117)</f>
        <v/>
      </c>
      <c r="DI118" s="5">
        <f>INDEX(Projects[Act Commissioning (wks)],117)</f>
        <v/>
      </c>
      <c r="DJ118" s="5">
        <f>INDEX(Projects[Act Total (wks)],117)</f>
        <v/>
      </c>
    </row>
    <row r="119" ht="15" customHeight="1" s="82">
      <c r="A119" s="64">
        <f>INDEX(Projects[Project ID *],118)&amp;""</f>
        <v/>
      </c>
      <c r="B119" s="64">
        <f>INDEX(Projects[Project Name *],118)&amp;""</f>
        <v/>
      </c>
      <c r="C119" s="64">
        <f>INDEX(Projects[MS Shuttles],118)</f>
        <v/>
      </c>
      <c r="D119" s="64">
        <f>INDEX(Projects[MS Tote Locations],118)</f>
        <v/>
      </c>
      <c r="E119" s="64">
        <f>INDEX(Projects[AS Robots],118)</f>
        <v/>
      </c>
      <c r="F119" s="64">
        <f>INDEX(Projects[AS Tote Locations],118)</f>
        <v/>
      </c>
      <c r="G119" s="64">
        <f>INDEX(Projects[PS Shuttles],118)</f>
        <v/>
      </c>
      <c r="H119" s="64">
        <f>INDEX(Projects[PS Pallet Locations],118)</f>
        <v/>
      </c>
      <c r="I119" s="64">
        <f>INDEX(Projects[SRM Cranes],118)</f>
        <v/>
      </c>
      <c r="J119" s="64">
        <f>INDEX(Projects[SRM Pallet Locations],118)</f>
        <v/>
      </c>
      <c r="K119" s="64">
        <f>INDEX(Projects[Case Conv (m)],118)</f>
        <v/>
      </c>
      <c r="L119" s="64">
        <f>INDEX(Projects[Pallet Conv (m)],118)</f>
        <v/>
      </c>
      <c r="M119" s="64">
        <f>IF(N(DJ119)&gt;0,DD119,CW119)</f>
        <v/>
      </c>
      <c r="N119" s="64">
        <f>IF(N(DJ119)&gt;0,DE119,CX119)</f>
        <v/>
      </c>
      <c r="O119" s="64">
        <f>IF(N(DJ119)&gt;0,DF119,CY119)</f>
        <v/>
      </c>
      <c r="P119" s="64">
        <f>IF(N(DJ119)&gt;0,DG119,CZ119)</f>
        <v/>
      </c>
      <c r="Q119" s="64">
        <f>IF(N(DJ119)&gt;0,DH119,DA119)</f>
        <v/>
      </c>
      <c r="R119" s="64">
        <f>IF(N(DJ119)&gt;0,DI119,DB119)</f>
        <v/>
      </c>
      <c r="S119" s="64">
        <f>IF(N(DJ119)&gt;0,DJ119,DC119)</f>
        <v/>
      </c>
      <c r="T119" s="64">
        <f>INDEX(Projects[Currency],118)&amp;""</f>
        <v/>
      </c>
      <c r="U119" s="65">
        <f>INDEX(Projects[Sold Value (M)],118)</f>
        <v/>
      </c>
      <c r="V119" s="64">
        <f>IF('Smart Search'!B13=1,IFERROR(1/'Smart Search'!H13,0),0)</f>
        <v/>
      </c>
      <c r="W119" s="64">
        <f>IF('Smart Search'!B13=1,IFERROR(1/'Smart Search'!H13,0),0)</f>
        <v/>
      </c>
      <c r="X119" s="64">
        <f>IF('Smart Search'!C13=1,IFERROR(1/'Smart Search'!H13,0),0)</f>
        <v/>
      </c>
      <c r="Y119" s="64">
        <f>IF('Smart Search'!C13=1,IFERROR(1/'Smart Search'!H13,0),0)</f>
        <v/>
      </c>
      <c r="Z119" s="64">
        <f>IF('Smart Search'!D13=1,IFERROR(1/'Smart Search'!H13,0),0)</f>
        <v/>
      </c>
      <c r="AA119" s="64">
        <f>IF('Smart Search'!D13=1,IFERROR(1/'Smart Search'!H13,0),0)</f>
        <v/>
      </c>
      <c r="AB119" s="64">
        <f>IF('Smart Search'!E13=1,IFERROR(1/'Smart Search'!H13,0),0)</f>
        <v/>
      </c>
      <c r="AC119" s="64">
        <f>IF('Smart Search'!E13=1,IFERROR(1/'Smart Search'!H13,0),0)</f>
        <v/>
      </c>
      <c r="AD119" s="64">
        <f>IF('Smart Search'!F13=1,IFERROR(1/'Smart Search'!H13,0),0)</f>
        <v/>
      </c>
      <c r="AE119" s="64">
        <f>IF('Smart Search'!F13=1,IFERROR(1/'Smart Search'!H13,0),0)</f>
        <v/>
      </c>
      <c r="AF119" s="64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4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4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4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4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4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4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4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4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4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4">
        <f>AF119*V119</f>
        <v/>
      </c>
      <c r="AQ119" s="64">
        <f>AG119*W119</f>
        <v/>
      </c>
      <c r="AR119" s="64">
        <f>AH119*X119</f>
        <v/>
      </c>
      <c r="AS119" s="64">
        <f>AI119*Y119</f>
        <v/>
      </c>
      <c r="AT119" s="64">
        <f>AJ119*Z119</f>
        <v/>
      </c>
      <c r="AU119" s="64">
        <f>AK119*AA119</f>
        <v/>
      </c>
      <c r="AV119" s="64">
        <f>AL119*AB119</f>
        <v/>
      </c>
      <c r="AW119" s="64">
        <f>AM119*AC119</f>
        <v/>
      </c>
      <c r="AX119" s="64">
        <f>AN119*AD119</f>
        <v/>
      </c>
      <c r="AY119" s="64">
        <f>AO119*AE119</f>
        <v/>
      </c>
      <c r="AZ119" s="64">
        <f>INDEX(Projects[Automation Equipment],118)&amp;""</f>
        <v/>
      </c>
      <c r="BA119" s="64">
        <f>IF(OR(A119="",'Smart Search'!H13=0),"",MAX(0,BE119*BF119*MAX(0,1-BG119)))</f>
        <v/>
      </c>
      <c r="BB119" s="64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4">
        <f>IF('Smart Search'!G13=1,IFERROR(1/'Smart Search'!H13,0),0)</f>
        <v/>
      </c>
      <c r="BD119" s="64">
        <f>BB119*BC119</f>
        <v/>
      </c>
      <c r="BE119" s="64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IF(A119="","",N(INDEX(Projects[Act Mech Inst],118)))</f>
        <v/>
      </c>
      <c r="BK119" s="5">
        <f>IF(A119="","",N(INDEX(Projects[Act Elec Inst],118)))</f>
        <v/>
      </c>
      <c r="BL119" s="5">
        <f>IF(A119="","",N(INDEX(Projects[Act Project Management],118)))</f>
        <v/>
      </c>
      <c r="BM119" s="5">
        <f>IF(A119="","",N(INDEX(Projects[Act Systems Eng],118)))</f>
        <v/>
      </c>
      <c r="BN119" s="5">
        <f>IF(A119="","",N(INDEX(Projects[Act Mechanical Eng],118)))</f>
        <v/>
      </c>
      <c r="BO119" s="5">
        <f>IF(A119="","",N(INDEX(Projects[Act Structural Engineering],118)))</f>
        <v/>
      </c>
      <c r="BP119" s="5">
        <f>IF(A119="","",N(INDEX(Projects[Act Site Sup],118)))</f>
        <v/>
      </c>
      <c r="BQ119" s="5">
        <f>IF(A119="","",N(INDEX(Projects[Act Controls Commissioning],118)))</f>
        <v/>
      </c>
      <c r="BR119" s="5">
        <f>IF(A119="","",N(INDEX(Projects[Act Systems Commissioning],118)))</f>
        <v/>
      </c>
      <c r="BS119" s="5">
        <f>IF(A119="","",N(INDEX(Projects[Act Service Commissioning],118)))</f>
        <v/>
      </c>
      <c r="BT119" s="5">
        <f>IF(A119="","",N(INDEX(Projects[Act Controls Eng],118)))</f>
        <v/>
      </c>
      <c r="BU119" s="5">
        <f>IF(A119="","",N(INDEX(Projects[Act Controls Purchase],118)))</f>
        <v/>
      </c>
      <c r="BV119" s="5">
        <f>IF(A119="","",N(INDEX(Projects[Act Software Eng],118)))</f>
        <v/>
      </c>
      <c r="BW119" s="5">
        <f>IF(A119="","",N(INDEX(Projects[Act 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INDEX(Projects[Sold Value (USD M)],118)</f>
        <v/>
      </c>
      <c r="CE119" s="5" t="n"/>
      <c r="CF119" s="5">
        <f>IF(A119="","",N(INDEX(Projects[Est Mech Inst],118)))</f>
        <v/>
      </c>
      <c r="CG119" s="5">
        <f>IF(A119="","",N(INDEX(Projects[Est Elec Inst],118)))</f>
        <v/>
      </c>
      <c r="CH119" s="5">
        <f>IF(A119="","",N(INDEX(Projects[Est Project Management],118)))</f>
        <v/>
      </c>
      <c r="CI119" s="5">
        <f>IF(A119="","",N(INDEX(Projects[Est Systems Eng],118)))</f>
        <v/>
      </c>
      <c r="CJ119" s="5">
        <f>IF(A119="","",N(INDEX(Projects[Est Mechanical Eng],118)))</f>
        <v/>
      </c>
      <c r="CK119" s="5">
        <f>IF(A119="","",N(INDEX(Projects[Est Structural Engineering],118)))</f>
        <v/>
      </c>
      <c r="CL119" s="5">
        <f>IF(A119="","",N(INDEX(Projects[Est Site Sup],118)))</f>
        <v/>
      </c>
      <c r="CM119" s="5">
        <f>IF(A119="","",N(INDEX(Projects[Est Controls Commissioning],118)))</f>
        <v/>
      </c>
      <c r="CN119" s="5">
        <f>IF(A119="","",N(INDEX(Projects[Est Systems Commissioning],118)))</f>
        <v/>
      </c>
      <c r="CO119" s="5">
        <f>IF(A119="","",N(INDEX(Projects[Est Service Commissioning],118)))</f>
        <v/>
      </c>
      <c r="CP119" s="5">
        <f>IF(A119="","",N(INDEX(Projects[Est Controls Eng],118)))</f>
        <v/>
      </c>
      <c r="CQ119" s="5">
        <f>IF(A119="","",N(INDEX(Projects[Est Controls Purchase],118)))</f>
        <v/>
      </c>
      <c r="CR119" s="5">
        <f>IF(A119="","",N(INDEX(Projects[Est Software Eng],118)))</f>
        <v/>
      </c>
      <c r="CS119" s="5">
        <f>IF(A119="","",N(INDEX(Projects[Est Misc],118)))</f>
        <v/>
      </c>
      <c r="CT119" s="5">
        <f>IF(A119="","",SUM(CF119:CS119))</f>
        <v/>
      </c>
      <c r="CU119" s="5">
        <f>INDEX(Projects[Est Cost (M)],118)</f>
        <v/>
      </c>
      <c r="CV119" s="5">
        <f>INDEX(Projects[Act Cost (M)],118)</f>
        <v/>
      </c>
      <c r="CW119" s="5">
        <f>INDEX(Projects[Plan Mech Eng (wks)],118)</f>
        <v/>
      </c>
      <c r="CX119" s="5">
        <f>INDEX(Projects[Plan Controls Eng (wks)],118)</f>
        <v/>
      </c>
      <c r="CY119" s="5">
        <f>INDEX(Projects[Plan Systems Eng (wks)],118)</f>
        <v/>
      </c>
      <c r="CZ119" s="5">
        <f>INDEX(Projects[Plan Software Eng (wks)],118)</f>
        <v/>
      </c>
      <c r="DA119" s="5">
        <f>INDEX(Projects[Plan M&amp;E Installation (wks)],118)</f>
        <v/>
      </c>
      <c r="DB119" s="5">
        <f>INDEX(Projects[Plan Commissioning (wks)],118)</f>
        <v/>
      </c>
      <c r="DC119" s="5">
        <f>INDEX(Projects[Plan Total (wks)],118)</f>
        <v/>
      </c>
      <c r="DD119" s="5">
        <f>INDEX(Projects[Act Mech Eng (wks)],118)</f>
        <v/>
      </c>
      <c r="DE119" s="5">
        <f>INDEX(Projects[Act Controls Eng (wks)],118)</f>
        <v/>
      </c>
      <c r="DF119" s="5">
        <f>INDEX(Projects[Act Systems Eng (wks)],118)</f>
        <v/>
      </c>
      <c r="DG119" s="5">
        <f>INDEX(Projects[Act Software Eng (wks)],118)</f>
        <v/>
      </c>
      <c r="DH119" s="5">
        <f>INDEX(Projects[Act M&amp;E Installation (wks)],118)</f>
        <v/>
      </c>
      <c r="DI119" s="5">
        <f>INDEX(Projects[Act Commissioning (wks)],118)</f>
        <v/>
      </c>
      <c r="DJ119" s="5">
        <f>INDEX(Projects[Act Total (wks)],118)</f>
        <v/>
      </c>
    </row>
    <row r="120" ht="15" customHeight="1" s="82">
      <c r="A120" s="64">
        <f>INDEX(Projects[Project ID *],119)&amp;""</f>
        <v/>
      </c>
      <c r="B120" s="64">
        <f>INDEX(Projects[Project Name *],119)&amp;""</f>
        <v/>
      </c>
      <c r="C120" s="64">
        <f>INDEX(Projects[MS Shuttles],119)</f>
        <v/>
      </c>
      <c r="D120" s="64">
        <f>INDEX(Projects[MS Tote Locations],119)</f>
        <v/>
      </c>
      <c r="E120" s="64">
        <f>INDEX(Projects[AS Robots],119)</f>
        <v/>
      </c>
      <c r="F120" s="64">
        <f>INDEX(Projects[AS Tote Locations],119)</f>
        <v/>
      </c>
      <c r="G120" s="64">
        <f>INDEX(Projects[PS Shuttles],119)</f>
        <v/>
      </c>
      <c r="H120" s="64">
        <f>INDEX(Projects[PS Pallet Locations],119)</f>
        <v/>
      </c>
      <c r="I120" s="64">
        <f>INDEX(Projects[SRM Cranes],119)</f>
        <v/>
      </c>
      <c r="J120" s="64">
        <f>INDEX(Projects[SRM Pallet Locations],119)</f>
        <v/>
      </c>
      <c r="K120" s="64">
        <f>INDEX(Projects[Case Conv (m)],119)</f>
        <v/>
      </c>
      <c r="L120" s="64">
        <f>INDEX(Projects[Pallet Conv (m)],119)</f>
        <v/>
      </c>
      <c r="M120" s="64">
        <f>IF(N(DJ120)&gt;0,DD120,CW120)</f>
        <v/>
      </c>
      <c r="N120" s="64">
        <f>IF(N(DJ120)&gt;0,DE120,CX120)</f>
        <v/>
      </c>
      <c r="O120" s="64">
        <f>IF(N(DJ120)&gt;0,DF120,CY120)</f>
        <v/>
      </c>
      <c r="P120" s="64">
        <f>IF(N(DJ120)&gt;0,DG120,CZ120)</f>
        <v/>
      </c>
      <c r="Q120" s="64">
        <f>IF(N(DJ120)&gt;0,DH120,DA120)</f>
        <v/>
      </c>
      <c r="R120" s="64">
        <f>IF(N(DJ120)&gt;0,DI120,DB120)</f>
        <v/>
      </c>
      <c r="S120" s="64">
        <f>IF(N(DJ120)&gt;0,DJ120,DC120)</f>
        <v/>
      </c>
      <c r="T120" s="64">
        <f>INDEX(Projects[Currency],119)&amp;""</f>
        <v/>
      </c>
      <c r="U120" s="65">
        <f>INDEX(Projects[Sold Value (M)],119)</f>
        <v/>
      </c>
      <c r="V120" s="64">
        <f>IF('Smart Search'!B13=1,IFERROR(1/'Smart Search'!H13,0),0)</f>
        <v/>
      </c>
      <c r="W120" s="64">
        <f>IF('Smart Search'!B13=1,IFERROR(1/'Smart Search'!H13,0),0)</f>
        <v/>
      </c>
      <c r="X120" s="64">
        <f>IF('Smart Search'!C13=1,IFERROR(1/'Smart Search'!H13,0),0)</f>
        <v/>
      </c>
      <c r="Y120" s="64">
        <f>IF('Smart Search'!C13=1,IFERROR(1/'Smart Search'!H13,0),0)</f>
        <v/>
      </c>
      <c r="Z120" s="64">
        <f>IF('Smart Search'!D13=1,IFERROR(1/'Smart Search'!H13,0),0)</f>
        <v/>
      </c>
      <c r="AA120" s="64">
        <f>IF('Smart Search'!D13=1,IFERROR(1/'Smart Search'!H13,0),0)</f>
        <v/>
      </c>
      <c r="AB120" s="64">
        <f>IF('Smart Search'!E13=1,IFERROR(1/'Smart Search'!H13,0),0)</f>
        <v/>
      </c>
      <c r="AC120" s="64">
        <f>IF('Smart Search'!E13=1,IFERROR(1/'Smart Search'!H13,0),0)</f>
        <v/>
      </c>
      <c r="AD120" s="64">
        <f>IF('Smart Search'!F13=1,IFERROR(1/'Smart Search'!H13,0),0)</f>
        <v/>
      </c>
      <c r="AE120" s="64">
        <f>IF('Smart Search'!F13=1,IFERROR(1/'Smart Search'!H13,0),0)</f>
        <v/>
      </c>
      <c r="AF120" s="64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4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4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4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4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4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4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4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4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4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4">
        <f>AF120*V120</f>
        <v/>
      </c>
      <c r="AQ120" s="64">
        <f>AG120*W120</f>
        <v/>
      </c>
      <c r="AR120" s="64">
        <f>AH120*X120</f>
        <v/>
      </c>
      <c r="AS120" s="64">
        <f>AI120*Y120</f>
        <v/>
      </c>
      <c r="AT120" s="64">
        <f>AJ120*Z120</f>
        <v/>
      </c>
      <c r="AU120" s="64">
        <f>AK120*AA120</f>
        <v/>
      </c>
      <c r="AV120" s="64">
        <f>AL120*AB120</f>
        <v/>
      </c>
      <c r="AW120" s="64">
        <f>AM120*AC120</f>
        <v/>
      </c>
      <c r="AX120" s="64">
        <f>AN120*AD120</f>
        <v/>
      </c>
      <c r="AY120" s="64">
        <f>AO120*AE120</f>
        <v/>
      </c>
      <c r="AZ120" s="64">
        <f>INDEX(Projects[Automation Equipment],119)&amp;""</f>
        <v/>
      </c>
      <c r="BA120" s="64">
        <f>IF(OR(A120="",'Smart Search'!H13=0),"",MAX(0,BE120*BF120*MAX(0,1-BG120)))</f>
        <v/>
      </c>
      <c r="BB120" s="64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4">
        <f>IF('Smart Search'!G13=1,IFERROR(1/'Smart Search'!H13,0),0)</f>
        <v/>
      </c>
      <c r="BD120" s="64">
        <f>BB120*BC120</f>
        <v/>
      </c>
      <c r="BE120" s="64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IF(A120="","",N(INDEX(Projects[Act Mech Inst],119)))</f>
        <v/>
      </c>
      <c r="BK120" s="5">
        <f>IF(A120="","",N(INDEX(Projects[Act Elec Inst],119)))</f>
        <v/>
      </c>
      <c r="BL120" s="5">
        <f>IF(A120="","",N(INDEX(Projects[Act Project Management],119)))</f>
        <v/>
      </c>
      <c r="BM120" s="5">
        <f>IF(A120="","",N(INDEX(Projects[Act Systems Eng],119)))</f>
        <v/>
      </c>
      <c r="BN120" s="5">
        <f>IF(A120="","",N(INDEX(Projects[Act Mechanical Eng],119)))</f>
        <v/>
      </c>
      <c r="BO120" s="5">
        <f>IF(A120="","",N(INDEX(Projects[Act Structural Engineering],119)))</f>
        <v/>
      </c>
      <c r="BP120" s="5">
        <f>IF(A120="","",N(INDEX(Projects[Act Site Sup],119)))</f>
        <v/>
      </c>
      <c r="BQ120" s="5">
        <f>IF(A120="","",N(INDEX(Projects[Act Controls Commissioning],119)))</f>
        <v/>
      </c>
      <c r="BR120" s="5">
        <f>IF(A120="","",N(INDEX(Projects[Act Systems Commissioning],119)))</f>
        <v/>
      </c>
      <c r="BS120" s="5">
        <f>IF(A120="","",N(INDEX(Projects[Act Service Commissioning],119)))</f>
        <v/>
      </c>
      <c r="BT120" s="5">
        <f>IF(A120="","",N(INDEX(Projects[Act Controls Eng],119)))</f>
        <v/>
      </c>
      <c r="BU120" s="5">
        <f>IF(A120="","",N(INDEX(Projects[Act Controls Purchase],119)))</f>
        <v/>
      </c>
      <c r="BV120" s="5">
        <f>IF(A120="","",N(INDEX(Projects[Act Software Eng],119)))</f>
        <v/>
      </c>
      <c r="BW120" s="5">
        <f>IF(A120="","",N(INDEX(Projects[Act 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INDEX(Projects[Sold Value (USD M)],119)</f>
        <v/>
      </c>
      <c r="CE120" s="5" t="n"/>
      <c r="CF120" s="5">
        <f>IF(A120="","",N(INDEX(Projects[Est Mech Inst],119)))</f>
        <v/>
      </c>
      <c r="CG120" s="5">
        <f>IF(A120="","",N(INDEX(Projects[Est Elec Inst],119)))</f>
        <v/>
      </c>
      <c r="CH120" s="5">
        <f>IF(A120="","",N(INDEX(Projects[Est Project Management],119)))</f>
        <v/>
      </c>
      <c r="CI120" s="5">
        <f>IF(A120="","",N(INDEX(Projects[Est Systems Eng],119)))</f>
        <v/>
      </c>
      <c r="CJ120" s="5">
        <f>IF(A120="","",N(INDEX(Projects[Est Mechanical Eng],119)))</f>
        <v/>
      </c>
      <c r="CK120" s="5">
        <f>IF(A120="","",N(INDEX(Projects[Est Structural Engineering],119)))</f>
        <v/>
      </c>
      <c r="CL120" s="5">
        <f>IF(A120="","",N(INDEX(Projects[Est Site Sup],119)))</f>
        <v/>
      </c>
      <c r="CM120" s="5">
        <f>IF(A120="","",N(INDEX(Projects[Est Controls Commissioning],119)))</f>
        <v/>
      </c>
      <c r="CN120" s="5">
        <f>IF(A120="","",N(INDEX(Projects[Est Systems Commissioning],119)))</f>
        <v/>
      </c>
      <c r="CO120" s="5">
        <f>IF(A120="","",N(INDEX(Projects[Est Service Commissioning],119)))</f>
        <v/>
      </c>
      <c r="CP120" s="5">
        <f>IF(A120="","",N(INDEX(Projects[Est Controls Eng],119)))</f>
        <v/>
      </c>
      <c r="CQ120" s="5">
        <f>IF(A120="","",N(INDEX(Projects[Est Controls Purchase],119)))</f>
        <v/>
      </c>
      <c r="CR120" s="5">
        <f>IF(A120="","",N(INDEX(Projects[Est Software Eng],119)))</f>
        <v/>
      </c>
      <c r="CS120" s="5">
        <f>IF(A120="","",N(INDEX(Projects[Est Misc],119)))</f>
        <v/>
      </c>
      <c r="CT120" s="5">
        <f>IF(A120="","",SUM(CF120:CS120))</f>
        <v/>
      </c>
      <c r="CU120" s="5">
        <f>INDEX(Projects[Est Cost (M)],119)</f>
        <v/>
      </c>
      <c r="CV120" s="5">
        <f>INDEX(Projects[Act Cost (M)],119)</f>
        <v/>
      </c>
      <c r="CW120" s="5">
        <f>INDEX(Projects[Plan Mech Eng (wks)],119)</f>
        <v/>
      </c>
      <c r="CX120" s="5">
        <f>INDEX(Projects[Plan Controls Eng (wks)],119)</f>
        <v/>
      </c>
      <c r="CY120" s="5">
        <f>INDEX(Projects[Plan Systems Eng (wks)],119)</f>
        <v/>
      </c>
      <c r="CZ120" s="5">
        <f>INDEX(Projects[Plan Software Eng (wks)],119)</f>
        <v/>
      </c>
      <c r="DA120" s="5">
        <f>INDEX(Projects[Plan M&amp;E Installation (wks)],119)</f>
        <v/>
      </c>
      <c r="DB120" s="5">
        <f>INDEX(Projects[Plan Commissioning (wks)],119)</f>
        <v/>
      </c>
      <c r="DC120" s="5">
        <f>INDEX(Projects[Plan Total (wks)],119)</f>
        <v/>
      </c>
      <c r="DD120" s="5">
        <f>INDEX(Projects[Act Mech Eng (wks)],119)</f>
        <v/>
      </c>
      <c r="DE120" s="5">
        <f>INDEX(Projects[Act Controls Eng (wks)],119)</f>
        <v/>
      </c>
      <c r="DF120" s="5">
        <f>INDEX(Projects[Act Systems Eng (wks)],119)</f>
        <v/>
      </c>
      <c r="DG120" s="5">
        <f>INDEX(Projects[Act Software Eng (wks)],119)</f>
        <v/>
      </c>
      <c r="DH120" s="5">
        <f>INDEX(Projects[Act M&amp;E Installation (wks)],119)</f>
        <v/>
      </c>
      <c r="DI120" s="5">
        <f>INDEX(Projects[Act Commissioning (wks)],119)</f>
        <v/>
      </c>
      <c r="DJ120" s="5">
        <f>INDEX(Projects[Act Total (wks)],119)</f>
        <v/>
      </c>
    </row>
    <row r="121" ht="15" customHeight="1" s="82">
      <c r="A121" s="64">
        <f>INDEX(Projects[Project ID *],120)&amp;""</f>
        <v/>
      </c>
      <c r="B121" s="64">
        <f>INDEX(Projects[Project Name *],120)&amp;""</f>
        <v/>
      </c>
      <c r="C121" s="64">
        <f>INDEX(Projects[MS Shuttles],120)</f>
        <v/>
      </c>
      <c r="D121" s="64">
        <f>INDEX(Projects[MS Tote Locations],120)</f>
        <v/>
      </c>
      <c r="E121" s="64">
        <f>INDEX(Projects[AS Robots],120)</f>
        <v/>
      </c>
      <c r="F121" s="64">
        <f>INDEX(Projects[AS Tote Locations],120)</f>
        <v/>
      </c>
      <c r="G121" s="64">
        <f>INDEX(Projects[PS Shuttles],120)</f>
        <v/>
      </c>
      <c r="H121" s="64">
        <f>INDEX(Projects[PS Pallet Locations],120)</f>
        <v/>
      </c>
      <c r="I121" s="64">
        <f>INDEX(Projects[SRM Cranes],120)</f>
        <v/>
      </c>
      <c r="J121" s="64">
        <f>INDEX(Projects[SRM Pallet Locations],120)</f>
        <v/>
      </c>
      <c r="K121" s="64">
        <f>INDEX(Projects[Case Conv (m)],120)</f>
        <v/>
      </c>
      <c r="L121" s="64">
        <f>INDEX(Projects[Pallet Conv (m)],120)</f>
        <v/>
      </c>
      <c r="M121" s="64">
        <f>IF(N(DJ121)&gt;0,DD121,CW121)</f>
        <v/>
      </c>
      <c r="N121" s="64">
        <f>IF(N(DJ121)&gt;0,DE121,CX121)</f>
        <v/>
      </c>
      <c r="O121" s="64">
        <f>IF(N(DJ121)&gt;0,DF121,CY121)</f>
        <v/>
      </c>
      <c r="P121" s="64">
        <f>IF(N(DJ121)&gt;0,DG121,CZ121)</f>
        <v/>
      </c>
      <c r="Q121" s="64">
        <f>IF(N(DJ121)&gt;0,DH121,DA121)</f>
        <v/>
      </c>
      <c r="R121" s="64">
        <f>IF(N(DJ121)&gt;0,DI121,DB121)</f>
        <v/>
      </c>
      <c r="S121" s="64">
        <f>IF(N(DJ121)&gt;0,DJ121,DC121)</f>
        <v/>
      </c>
      <c r="T121" s="64">
        <f>INDEX(Projects[Currency],120)&amp;""</f>
        <v/>
      </c>
      <c r="U121" s="65">
        <f>INDEX(Projects[Sold Value (M)],120)</f>
        <v/>
      </c>
      <c r="V121" s="64">
        <f>IF('Smart Search'!B13=1,IFERROR(1/'Smart Search'!H13,0),0)</f>
        <v/>
      </c>
      <c r="W121" s="64">
        <f>IF('Smart Search'!B13=1,IFERROR(1/'Smart Search'!H13,0),0)</f>
        <v/>
      </c>
      <c r="X121" s="64">
        <f>IF('Smart Search'!C13=1,IFERROR(1/'Smart Search'!H13,0),0)</f>
        <v/>
      </c>
      <c r="Y121" s="64">
        <f>IF('Smart Search'!C13=1,IFERROR(1/'Smart Search'!H13,0),0)</f>
        <v/>
      </c>
      <c r="Z121" s="64">
        <f>IF('Smart Search'!D13=1,IFERROR(1/'Smart Search'!H13,0),0)</f>
        <v/>
      </c>
      <c r="AA121" s="64">
        <f>IF('Smart Search'!D13=1,IFERROR(1/'Smart Search'!H13,0),0)</f>
        <v/>
      </c>
      <c r="AB121" s="64">
        <f>IF('Smart Search'!E13=1,IFERROR(1/'Smart Search'!H13,0),0)</f>
        <v/>
      </c>
      <c r="AC121" s="64">
        <f>IF('Smart Search'!E13=1,IFERROR(1/'Smart Search'!H13,0),0)</f>
        <v/>
      </c>
      <c r="AD121" s="64">
        <f>IF('Smart Search'!F13=1,IFERROR(1/'Smart Search'!H13,0),0)</f>
        <v/>
      </c>
      <c r="AE121" s="64">
        <f>IF('Smart Search'!F13=1,IFERROR(1/'Smart Search'!H13,0),0)</f>
        <v/>
      </c>
      <c r="AF121" s="64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4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4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4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4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4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4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4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4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4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4">
        <f>AF121*V121</f>
        <v/>
      </c>
      <c r="AQ121" s="64">
        <f>AG121*W121</f>
        <v/>
      </c>
      <c r="AR121" s="64">
        <f>AH121*X121</f>
        <v/>
      </c>
      <c r="AS121" s="64">
        <f>AI121*Y121</f>
        <v/>
      </c>
      <c r="AT121" s="64">
        <f>AJ121*Z121</f>
        <v/>
      </c>
      <c r="AU121" s="64">
        <f>AK121*AA121</f>
        <v/>
      </c>
      <c r="AV121" s="64">
        <f>AL121*AB121</f>
        <v/>
      </c>
      <c r="AW121" s="64">
        <f>AM121*AC121</f>
        <v/>
      </c>
      <c r="AX121" s="64">
        <f>AN121*AD121</f>
        <v/>
      </c>
      <c r="AY121" s="64">
        <f>AO121*AE121</f>
        <v/>
      </c>
      <c r="AZ121" s="64">
        <f>INDEX(Projects[Automation Equipment],120)&amp;""</f>
        <v/>
      </c>
      <c r="BA121" s="64">
        <f>IF(OR(A121="",'Smart Search'!H13=0),"",MAX(0,BE121*BF121*MAX(0,1-BG121)))</f>
        <v/>
      </c>
      <c r="BB121" s="64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4">
        <f>IF('Smart Search'!G13=1,IFERROR(1/'Smart Search'!H13,0),0)</f>
        <v/>
      </c>
      <c r="BD121" s="64">
        <f>BB121*BC121</f>
        <v/>
      </c>
      <c r="BE121" s="64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IF(A121="","",N(INDEX(Projects[Act Mech Inst],120)))</f>
        <v/>
      </c>
      <c r="BK121" s="5">
        <f>IF(A121="","",N(INDEX(Projects[Act Elec Inst],120)))</f>
        <v/>
      </c>
      <c r="BL121" s="5">
        <f>IF(A121="","",N(INDEX(Projects[Act Project Management],120)))</f>
        <v/>
      </c>
      <c r="BM121" s="5">
        <f>IF(A121="","",N(INDEX(Projects[Act Systems Eng],120)))</f>
        <v/>
      </c>
      <c r="BN121" s="5">
        <f>IF(A121="","",N(INDEX(Projects[Act Mechanical Eng],120)))</f>
        <v/>
      </c>
      <c r="BO121" s="5">
        <f>IF(A121="","",N(INDEX(Projects[Act Structural Engineering],120)))</f>
        <v/>
      </c>
      <c r="BP121" s="5">
        <f>IF(A121="","",N(INDEX(Projects[Act Site Sup],120)))</f>
        <v/>
      </c>
      <c r="BQ121" s="5">
        <f>IF(A121="","",N(INDEX(Projects[Act Controls Commissioning],120)))</f>
        <v/>
      </c>
      <c r="BR121" s="5">
        <f>IF(A121="","",N(INDEX(Projects[Act Systems Commissioning],120)))</f>
        <v/>
      </c>
      <c r="BS121" s="5">
        <f>IF(A121="","",N(INDEX(Projects[Act Service Commissioning],120)))</f>
        <v/>
      </c>
      <c r="BT121" s="5">
        <f>IF(A121="","",N(INDEX(Projects[Act Controls Eng],120)))</f>
        <v/>
      </c>
      <c r="BU121" s="5">
        <f>IF(A121="","",N(INDEX(Projects[Act Controls Purchase],120)))</f>
        <v/>
      </c>
      <c r="BV121" s="5">
        <f>IF(A121="","",N(INDEX(Projects[Act Software Eng],120)))</f>
        <v/>
      </c>
      <c r="BW121" s="5">
        <f>IF(A121="","",N(INDEX(Projects[Act 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INDEX(Projects[Sold Value (USD M)],120)</f>
        <v/>
      </c>
      <c r="CE121" s="5" t="n"/>
      <c r="CF121" s="5">
        <f>IF(A121="","",N(INDEX(Projects[Est Mech Inst],120)))</f>
        <v/>
      </c>
      <c r="CG121" s="5">
        <f>IF(A121="","",N(INDEX(Projects[Est Elec Inst],120)))</f>
        <v/>
      </c>
      <c r="CH121" s="5">
        <f>IF(A121="","",N(INDEX(Projects[Est Project Management],120)))</f>
        <v/>
      </c>
      <c r="CI121" s="5">
        <f>IF(A121="","",N(INDEX(Projects[Est Systems Eng],120)))</f>
        <v/>
      </c>
      <c r="CJ121" s="5">
        <f>IF(A121="","",N(INDEX(Projects[Est Mechanical Eng],120)))</f>
        <v/>
      </c>
      <c r="CK121" s="5">
        <f>IF(A121="","",N(INDEX(Projects[Est Structural Engineering],120)))</f>
        <v/>
      </c>
      <c r="CL121" s="5">
        <f>IF(A121="","",N(INDEX(Projects[Est Site Sup],120)))</f>
        <v/>
      </c>
      <c r="CM121" s="5">
        <f>IF(A121="","",N(INDEX(Projects[Est Controls Commissioning],120)))</f>
        <v/>
      </c>
      <c r="CN121" s="5">
        <f>IF(A121="","",N(INDEX(Projects[Est Systems Commissioning],120)))</f>
        <v/>
      </c>
      <c r="CO121" s="5">
        <f>IF(A121="","",N(INDEX(Projects[Est Service Commissioning],120)))</f>
        <v/>
      </c>
      <c r="CP121" s="5">
        <f>IF(A121="","",N(INDEX(Projects[Est Controls Eng],120)))</f>
        <v/>
      </c>
      <c r="CQ121" s="5">
        <f>IF(A121="","",N(INDEX(Projects[Est Controls Purchase],120)))</f>
        <v/>
      </c>
      <c r="CR121" s="5">
        <f>IF(A121="","",N(INDEX(Projects[Est Software Eng],120)))</f>
        <v/>
      </c>
      <c r="CS121" s="5">
        <f>IF(A121="","",N(INDEX(Projects[Est Misc],120)))</f>
        <v/>
      </c>
      <c r="CT121" s="5">
        <f>IF(A121="","",SUM(CF121:CS121))</f>
        <v/>
      </c>
      <c r="CU121" s="5">
        <f>INDEX(Projects[Est Cost (M)],120)</f>
        <v/>
      </c>
      <c r="CV121" s="5">
        <f>INDEX(Projects[Act Cost (M)],120)</f>
        <v/>
      </c>
      <c r="CW121" s="5">
        <f>INDEX(Projects[Plan Mech Eng (wks)],120)</f>
        <v/>
      </c>
      <c r="CX121" s="5">
        <f>INDEX(Projects[Plan Controls Eng (wks)],120)</f>
        <v/>
      </c>
      <c r="CY121" s="5">
        <f>INDEX(Projects[Plan Systems Eng (wks)],120)</f>
        <v/>
      </c>
      <c r="CZ121" s="5">
        <f>INDEX(Projects[Plan Software Eng (wks)],120)</f>
        <v/>
      </c>
      <c r="DA121" s="5">
        <f>INDEX(Projects[Plan M&amp;E Installation (wks)],120)</f>
        <v/>
      </c>
      <c r="DB121" s="5">
        <f>INDEX(Projects[Plan Commissioning (wks)],120)</f>
        <v/>
      </c>
      <c r="DC121" s="5">
        <f>INDEX(Projects[Plan Total (wks)],120)</f>
        <v/>
      </c>
      <c r="DD121" s="5">
        <f>INDEX(Projects[Act Mech Eng (wks)],120)</f>
        <v/>
      </c>
      <c r="DE121" s="5">
        <f>INDEX(Projects[Act Controls Eng (wks)],120)</f>
        <v/>
      </c>
      <c r="DF121" s="5">
        <f>INDEX(Projects[Act Systems Eng (wks)],120)</f>
        <v/>
      </c>
      <c r="DG121" s="5">
        <f>INDEX(Projects[Act Software Eng (wks)],120)</f>
        <v/>
      </c>
      <c r="DH121" s="5">
        <f>INDEX(Projects[Act M&amp;E Installation (wks)],120)</f>
        <v/>
      </c>
      <c r="DI121" s="5">
        <f>INDEX(Projects[Act Commissioning (wks)],120)</f>
        <v/>
      </c>
      <c r="DJ121" s="5">
        <f>INDEX(Projects[Act Total (wks)],120)</f>
        <v/>
      </c>
    </row>
    <row r="122" ht="15" customHeight="1" s="82">
      <c r="A122" s="64">
        <f>INDEX(Projects[Project ID *],121)&amp;""</f>
        <v/>
      </c>
      <c r="B122" s="64">
        <f>INDEX(Projects[Project Name *],121)&amp;""</f>
        <v/>
      </c>
      <c r="C122" s="64">
        <f>INDEX(Projects[MS Shuttles],121)</f>
        <v/>
      </c>
      <c r="D122" s="64">
        <f>INDEX(Projects[MS Tote Locations],121)</f>
        <v/>
      </c>
      <c r="E122" s="64">
        <f>INDEX(Projects[AS Robots],121)</f>
        <v/>
      </c>
      <c r="F122" s="64">
        <f>INDEX(Projects[AS Tote Locations],121)</f>
        <v/>
      </c>
      <c r="G122" s="64">
        <f>INDEX(Projects[PS Shuttles],121)</f>
        <v/>
      </c>
      <c r="H122" s="64">
        <f>INDEX(Projects[PS Pallet Locations],121)</f>
        <v/>
      </c>
      <c r="I122" s="64">
        <f>INDEX(Projects[SRM Cranes],121)</f>
        <v/>
      </c>
      <c r="J122" s="64">
        <f>INDEX(Projects[SRM Pallet Locations],121)</f>
        <v/>
      </c>
      <c r="K122" s="64">
        <f>INDEX(Projects[Case Conv (m)],121)</f>
        <v/>
      </c>
      <c r="L122" s="64">
        <f>INDEX(Projects[Pallet Conv (m)],121)</f>
        <v/>
      </c>
      <c r="M122" s="64">
        <f>IF(N(DJ122)&gt;0,DD122,CW122)</f>
        <v/>
      </c>
      <c r="N122" s="64">
        <f>IF(N(DJ122)&gt;0,DE122,CX122)</f>
        <v/>
      </c>
      <c r="O122" s="64">
        <f>IF(N(DJ122)&gt;0,DF122,CY122)</f>
        <v/>
      </c>
      <c r="P122" s="64">
        <f>IF(N(DJ122)&gt;0,DG122,CZ122)</f>
        <v/>
      </c>
      <c r="Q122" s="64">
        <f>IF(N(DJ122)&gt;0,DH122,DA122)</f>
        <v/>
      </c>
      <c r="R122" s="64">
        <f>IF(N(DJ122)&gt;0,DI122,DB122)</f>
        <v/>
      </c>
      <c r="S122" s="64">
        <f>IF(N(DJ122)&gt;0,DJ122,DC122)</f>
        <v/>
      </c>
      <c r="T122" s="64">
        <f>INDEX(Projects[Currency],121)&amp;""</f>
        <v/>
      </c>
      <c r="U122" s="65">
        <f>INDEX(Projects[Sold Value (M)],121)</f>
        <v/>
      </c>
      <c r="V122" s="64">
        <f>IF('Smart Search'!B13=1,IFERROR(1/'Smart Search'!H13,0),0)</f>
        <v/>
      </c>
      <c r="W122" s="64">
        <f>IF('Smart Search'!B13=1,IFERROR(1/'Smart Search'!H13,0),0)</f>
        <v/>
      </c>
      <c r="X122" s="64">
        <f>IF('Smart Search'!C13=1,IFERROR(1/'Smart Search'!H13,0),0)</f>
        <v/>
      </c>
      <c r="Y122" s="64">
        <f>IF('Smart Search'!C13=1,IFERROR(1/'Smart Search'!H13,0),0)</f>
        <v/>
      </c>
      <c r="Z122" s="64">
        <f>IF('Smart Search'!D13=1,IFERROR(1/'Smart Search'!H13,0),0)</f>
        <v/>
      </c>
      <c r="AA122" s="64">
        <f>IF('Smart Search'!D13=1,IFERROR(1/'Smart Search'!H13,0),0)</f>
        <v/>
      </c>
      <c r="AB122" s="64">
        <f>IF('Smart Search'!E13=1,IFERROR(1/'Smart Search'!H13,0),0)</f>
        <v/>
      </c>
      <c r="AC122" s="64">
        <f>IF('Smart Search'!E13=1,IFERROR(1/'Smart Search'!H13,0),0)</f>
        <v/>
      </c>
      <c r="AD122" s="64">
        <f>IF('Smart Search'!F13=1,IFERROR(1/'Smart Search'!H13,0),0)</f>
        <v/>
      </c>
      <c r="AE122" s="64">
        <f>IF('Smart Search'!F13=1,IFERROR(1/'Smart Search'!H13,0),0)</f>
        <v/>
      </c>
      <c r="AF122" s="64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4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4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4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4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4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4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4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4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4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4">
        <f>AF122*V122</f>
        <v/>
      </c>
      <c r="AQ122" s="64">
        <f>AG122*W122</f>
        <v/>
      </c>
      <c r="AR122" s="64">
        <f>AH122*X122</f>
        <v/>
      </c>
      <c r="AS122" s="64">
        <f>AI122*Y122</f>
        <v/>
      </c>
      <c r="AT122" s="64">
        <f>AJ122*Z122</f>
        <v/>
      </c>
      <c r="AU122" s="64">
        <f>AK122*AA122</f>
        <v/>
      </c>
      <c r="AV122" s="64">
        <f>AL122*AB122</f>
        <v/>
      </c>
      <c r="AW122" s="64">
        <f>AM122*AC122</f>
        <v/>
      </c>
      <c r="AX122" s="64">
        <f>AN122*AD122</f>
        <v/>
      </c>
      <c r="AY122" s="64">
        <f>AO122*AE122</f>
        <v/>
      </c>
      <c r="AZ122" s="64">
        <f>INDEX(Projects[Automation Equipment],121)&amp;""</f>
        <v/>
      </c>
      <c r="BA122" s="64">
        <f>IF(OR(A122="",'Smart Search'!H13=0),"",MAX(0,BE122*BF122*MAX(0,1-BG122)))</f>
        <v/>
      </c>
      <c r="BB122" s="64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4">
        <f>IF('Smart Search'!G13=1,IFERROR(1/'Smart Search'!H13,0),0)</f>
        <v/>
      </c>
      <c r="BD122" s="64">
        <f>BB122*BC122</f>
        <v/>
      </c>
      <c r="BE122" s="64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IF(A122="","",N(INDEX(Projects[Act Mech Inst],121)))</f>
        <v/>
      </c>
      <c r="BK122" s="5">
        <f>IF(A122="","",N(INDEX(Projects[Act Elec Inst],121)))</f>
        <v/>
      </c>
      <c r="BL122" s="5">
        <f>IF(A122="","",N(INDEX(Projects[Act Project Management],121)))</f>
        <v/>
      </c>
      <c r="BM122" s="5">
        <f>IF(A122="","",N(INDEX(Projects[Act Systems Eng],121)))</f>
        <v/>
      </c>
      <c r="BN122" s="5">
        <f>IF(A122="","",N(INDEX(Projects[Act Mechanical Eng],121)))</f>
        <v/>
      </c>
      <c r="BO122" s="5">
        <f>IF(A122="","",N(INDEX(Projects[Act Structural Engineering],121)))</f>
        <v/>
      </c>
      <c r="BP122" s="5">
        <f>IF(A122="","",N(INDEX(Projects[Act Site Sup],121)))</f>
        <v/>
      </c>
      <c r="BQ122" s="5">
        <f>IF(A122="","",N(INDEX(Projects[Act Controls Commissioning],121)))</f>
        <v/>
      </c>
      <c r="BR122" s="5">
        <f>IF(A122="","",N(INDEX(Projects[Act Systems Commissioning],121)))</f>
        <v/>
      </c>
      <c r="BS122" s="5">
        <f>IF(A122="","",N(INDEX(Projects[Act Service Commissioning],121)))</f>
        <v/>
      </c>
      <c r="BT122" s="5">
        <f>IF(A122="","",N(INDEX(Projects[Act Controls Eng],121)))</f>
        <v/>
      </c>
      <c r="BU122" s="5">
        <f>IF(A122="","",N(INDEX(Projects[Act Controls Purchase],121)))</f>
        <v/>
      </c>
      <c r="BV122" s="5">
        <f>IF(A122="","",N(INDEX(Projects[Act Software Eng],121)))</f>
        <v/>
      </c>
      <c r="BW122" s="5">
        <f>IF(A122="","",N(INDEX(Projects[Act 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INDEX(Projects[Sold Value (USD M)],121)</f>
        <v/>
      </c>
      <c r="CE122" s="5" t="n"/>
      <c r="CF122" s="5">
        <f>IF(A122="","",N(INDEX(Projects[Est Mech Inst],121)))</f>
        <v/>
      </c>
      <c r="CG122" s="5">
        <f>IF(A122="","",N(INDEX(Projects[Est Elec Inst],121)))</f>
        <v/>
      </c>
      <c r="CH122" s="5">
        <f>IF(A122="","",N(INDEX(Projects[Est Project Management],121)))</f>
        <v/>
      </c>
      <c r="CI122" s="5">
        <f>IF(A122="","",N(INDEX(Projects[Est Systems Eng],121)))</f>
        <v/>
      </c>
      <c r="CJ122" s="5">
        <f>IF(A122="","",N(INDEX(Projects[Est Mechanical Eng],121)))</f>
        <v/>
      </c>
      <c r="CK122" s="5">
        <f>IF(A122="","",N(INDEX(Projects[Est Structural Engineering],121)))</f>
        <v/>
      </c>
      <c r="CL122" s="5">
        <f>IF(A122="","",N(INDEX(Projects[Est Site Sup],121)))</f>
        <v/>
      </c>
      <c r="CM122" s="5">
        <f>IF(A122="","",N(INDEX(Projects[Est Controls Commissioning],121)))</f>
        <v/>
      </c>
      <c r="CN122" s="5">
        <f>IF(A122="","",N(INDEX(Projects[Est Systems Commissioning],121)))</f>
        <v/>
      </c>
      <c r="CO122" s="5">
        <f>IF(A122="","",N(INDEX(Projects[Est Service Commissioning],121)))</f>
        <v/>
      </c>
      <c r="CP122" s="5">
        <f>IF(A122="","",N(INDEX(Projects[Est Controls Eng],121)))</f>
        <v/>
      </c>
      <c r="CQ122" s="5">
        <f>IF(A122="","",N(INDEX(Projects[Est Controls Purchase],121)))</f>
        <v/>
      </c>
      <c r="CR122" s="5">
        <f>IF(A122="","",N(INDEX(Projects[Est Software Eng],121)))</f>
        <v/>
      </c>
      <c r="CS122" s="5">
        <f>IF(A122="","",N(INDEX(Projects[Est Misc],121)))</f>
        <v/>
      </c>
      <c r="CT122" s="5">
        <f>IF(A122="","",SUM(CF122:CS122))</f>
        <v/>
      </c>
      <c r="CU122" s="5">
        <f>INDEX(Projects[Est Cost (M)],121)</f>
        <v/>
      </c>
      <c r="CV122" s="5">
        <f>INDEX(Projects[Act Cost (M)],121)</f>
        <v/>
      </c>
      <c r="CW122" s="5">
        <f>INDEX(Projects[Plan Mech Eng (wks)],121)</f>
        <v/>
      </c>
      <c r="CX122" s="5">
        <f>INDEX(Projects[Plan Controls Eng (wks)],121)</f>
        <v/>
      </c>
      <c r="CY122" s="5">
        <f>INDEX(Projects[Plan Systems Eng (wks)],121)</f>
        <v/>
      </c>
      <c r="CZ122" s="5">
        <f>INDEX(Projects[Plan Software Eng (wks)],121)</f>
        <v/>
      </c>
      <c r="DA122" s="5">
        <f>INDEX(Projects[Plan M&amp;E Installation (wks)],121)</f>
        <v/>
      </c>
      <c r="DB122" s="5">
        <f>INDEX(Projects[Plan Commissioning (wks)],121)</f>
        <v/>
      </c>
      <c r="DC122" s="5">
        <f>INDEX(Projects[Plan Total (wks)],121)</f>
        <v/>
      </c>
      <c r="DD122" s="5">
        <f>INDEX(Projects[Act Mech Eng (wks)],121)</f>
        <v/>
      </c>
      <c r="DE122" s="5">
        <f>INDEX(Projects[Act Controls Eng (wks)],121)</f>
        <v/>
      </c>
      <c r="DF122" s="5">
        <f>INDEX(Projects[Act Systems Eng (wks)],121)</f>
        <v/>
      </c>
      <c r="DG122" s="5">
        <f>INDEX(Projects[Act Software Eng (wks)],121)</f>
        <v/>
      </c>
      <c r="DH122" s="5">
        <f>INDEX(Projects[Act M&amp;E Installation (wks)],121)</f>
        <v/>
      </c>
      <c r="DI122" s="5">
        <f>INDEX(Projects[Act Commissioning (wks)],121)</f>
        <v/>
      </c>
      <c r="DJ122" s="5">
        <f>INDEX(Projects[Act Total (wks)],121)</f>
        <v/>
      </c>
    </row>
    <row r="123" ht="15" customHeight="1" s="82">
      <c r="A123" s="64">
        <f>INDEX(Projects[Project ID *],122)&amp;""</f>
        <v/>
      </c>
      <c r="B123" s="64">
        <f>INDEX(Projects[Project Name *],122)&amp;""</f>
        <v/>
      </c>
      <c r="C123" s="64">
        <f>INDEX(Projects[MS Shuttles],122)</f>
        <v/>
      </c>
      <c r="D123" s="64">
        <f>INDEX(Projects[MS Tote Locations],122)</f>
        <v/>
      </c>
      <c r="E123" s="64">
        <f>INDEX(Projects[AS Robots],122)</f>
        <v/>
      </c>
      <c r="F123" s="64">
        <f>INDEX(Projects[AS Tote Locations],122)</f>
        <v/>
      </c>
      <c r="G123" s="64">
        <f>INDEX(Projects[PS Shuttles],122)</f>
        <v/>
      </c>
      <c r="H123" s="64">
        <f>INDEX(Projects[PS Pallet Locations],122)</f>
        <v/>
      </c>
      <c r="I123" s="64">
        <f>INDEX(Projects[SRM Cranes],122)</f>
        <v/>
      </c>
      <c r="J123" s="64">
        <f>INDEX(Projects[SRM Pallet Locations],122)</f>
        <v/>
      </c>
      <c r="K123" s="64">
        <f>INDEX(Projects[Case Conv (m)],122)</f>
        <v/>
      </c>
      <c r="L123" s="64">
        <f>INDEX(Projects[Pallet Conv (m)],122)</f>
        <v/>
      </c>
      <c r="M123" s="64">
        <f>IF(N(DJ123)&gt;0,DD123,CW123)</f>
        <v/>
      </c>
      <c r="N123" s="64">
        <f>IF(N(DJ123)&gt;0,DE123,CX123)</f>
        <v/>
      </c>
      <c r="O123" s="64">
        <f>IF(N(DJ123)&gt;0,DF123,CY123)</f>
        <v/>
      </c>
      <c r="P123" s="64">
        <f>IF(N(DJ123)&gt;0,DG123,CZ123)</f>
        <v/>
      </c>
      <c r="Q123" s="64">
        <f>IF(N(DJ123)&gt;0,DH123,DA123)</f>
        <v/>
      </c>
      <c r="R123" s="64">
        <f>IF(N(DJ123)&gt;0,DI123,DB123)</f>
        <v/>
      </c>
      <c r="S123" s="64">
        <f>IF(N(DJ123)&gt;0,DJ123,DC123)</f>
        <v/>
      </c>
      <c r="T123" s="64">
        <f>INDEX(Projects[Currency],122)&amp;""</f>
        <v/>
      </c>
      <c r="U123" s="65">
        <f>INDEX(Projects[Sold Value (M)],122)</f>
        <v/>
      </c>
      <c r="V123" s="64">
        <f>IF('Smart Search'!B13=1,IFERROR(1/'Smart Search'!H13,0),0)</f>
        <v/>
      </c>
      <c r="W123" s="64">
        <f>IF('Smart Search'!B13=1,IFERROR(1/'Smart Search'!H13,0),0)</f>
        <v/>
      </c>
      <c r="X123" s="64">
        <f>IF('Smart Search'!C13=1,IFERROR(1/'Smart Search'!H13,0),0)</f>
        <v/>
      </c>
      <c r="Y123" s="64">
        <f>IF('Smart Search'!C13=1,IFERROR(1/'Smart Search'!H13,0),0)</f>
        <v/>
      </c>
      <c r="Z123" s="64">
        <f>IF('Smart Search'!D13=1,IFERROR(1/'Smart Search'!H13,0),0)</f>
        <v/>
      </c>
      <c r="AA123" s="64">
        <f>IF('Smart Search'!D13=1,IFERROR(1/'Smart Search'!H13,0),0)</f>
        <v/>
      </c>
      <c r="AB123" s="64">
        <f>IF('Smart Search'!E13=1,IFERROR(1/'Smart Search'!H13,0),0)</f>
        <v/>
      </c>
      <c r="AC123" s="64">
        <f>IF('Smart Search'!E13=1,IFERROR(1/'Smart Search'!H13,0),0)</f>
        <v/>
      </c>
      <c r="AD123" s="64">
        <f>IF('Smart Search'!F13=1,IFERROR(1/'Smart Search'!H13,0),0)</f>
        <v/>
      </c>
      <c r="AE123" s="64">
        <f>IF('Smart Search'!F13=1,IFERROR(1/'Smart Search'!H13,0),0)</f>
        <v/>
      </c>
      <c r="AF123" s="64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4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4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4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4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4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4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4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4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4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4">
        <f>AF123*V123</f>
        <v/>
      </c>
      <c r="AQ123" s="64">
        <f>AG123*W123</f>
        <v/>
      </c>
      <c r="AR123" s="64">
        <f>AH123*X123</f>
        <v/>
      </c>
      <c r="AS123" s="64">
        <f>AI123*Y123</f>
        <v/>
      </c>
      <c r="AT123" s="64">
        <f>AJ123*Z123</f>
        <v/>
      </c>
      <c r="AU123" s="64">
        <f>AK123*AA123</f>
        <v/>
      </c>
      <c r="AV123" s="64">
        <f>AL123*AB123</f>
        <v/>
      </c>
      <c r="AW123" s="64">
        <f>AM123*AC123</f>
        <v/>
      </c>
      <c r="AX123" s="64">
        <f>AN123*AD123</f>
        <v/>
      </c>
      <c r="AY123" s="64">
        <f>AO123*AE123</f>
        <v/>
      </c>
      <c r="AZ123" s="64">
        <f>INDEX(Projects[Automation Equipment],122)&amp;""</f>
        <v/>
      </c>
      <c r="BA123" s="64">
        <f>IF(OR(A123="",'Smart Search'!H13=0),"",MAX(0,BE123*BF123*MAX(0,1-BG123)))</f>
        <v/>
      </c>
      <c r="BB123" s="64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4">
        <f>IF('Smart Search'!G13=1,IFERROR(1/'Smart Search'!H13,0),0)</f>
        <v/>
      </c>
      <c r="BD123" s="64">
        <f>BB123*BC123</f>
        <v/>
      </c>
      <c r="BE123" s="64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IF(A123="","",N(INDEX(Projects[Act Mech Inst],122)))</f>
        <v/>
      </c>
      <c r="BK123" s="5">
        <f>IF(A123="","",N(INDEX(Projects[Act Elec Inst],122)))</f>
        <v/>
      </c>
      <c r="BL123" s="5">
        <f>IF(A123="","",N(INDEX(Projects[Act Project Management],122)))</f>
        <v/>
      </c>
      <c r="BM123" s="5">
        <f>IF(A123="","",N(INDEX(Projects[Act Systems Eng],122)))</f>
        <v/>
      </c>
      <c r="BN123" s="5">
        <f>IF(A123="","",N(INDEX(Projects[Act Mechanical Eng],122)))</f>
        <v/>
      </c>
      <c r="BO123" s="5">
        <f>IF(A123="","",N(INDEX(Projects[Act Structural Engineering],122)))</f>
        <v/>
      </c>
      <c r="BP123" s="5">
        <f>IF(A123="","",N(INDEX(Projects[Act Site Sup],122)))</f>
        <v/>
      </c>
      <c r="BQ123" s="5">
        <f>IF(A123="","",N(INDEX(Projects[Act Controls Commissioning],122)))</f>
        <v/>
      </c>
      <c r="BR123" s="5">
        <f>IF(A123="","",N(INDEX(Projects[Act Systems Commissioning],122)))</f>
        <v/>
      </c>
      <c r="BS123" s="5">
        <f>IF(A123="","",N(INDEX(Projects[Act Service Commissioning],122)))</f>
        <v/>
      </c>
      <c r="BT123" s="5">
        <f>IF(A123="","",N(INDEX(Projects[Act Controls Eng],122)))</f>
        <v/>
      </c>
      <c r="BU123" s="5">
        <f>IF(A123="","",N(INDEX(Projects[Act Controls Purchase],122)))</f>
        <v/>
      </c>
      <c r="BV123" s="5">
        <f>IF(A123="","",N(INDEX(Projects[Act Software Eng],122)))</f>
        <v/>
      </c>
      <c r="BW123" s="5">
        <f>IF(A123="","",N(INDEX(Projects[Act 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INDEX(Projects[Sold Value (USD M)],122)</f>
        <v/>
      </c>
      <c r="CE123" s="5" t="n"/>
      <c r="CF123" s="5">
        <f>IF(A123="","",N(INDEX(Projects[Est Mech Inst],122)))</f>
        <v/>
      </c>
      <c r="CG123" s="5">
        <f>IF(A123="","",N(INDEX(Projects[Est Elec Inst],122)))</f>
        <v/>
      </c>
      <c r="CH123" s="5">
        <f>IF(A123="","",N(INDEX(Projects[Est Project Management],122)))</f>
        <v/>
      </c>
      <c r="CI123" s="5">
        <f>IF(A123="","",N(INDEX(Projects[Est Systems Eng],122)))</f>
        <v/>
      </c>
      <c r="CJ123" s="5">
        <f>IF(A123="","",N(INDEX(Projects[Est Mechanical Eng],122)))</f>
        <v/>
      </c>
      <c r="CK123" s="5">
        <f>IF(A123="","",N(INDEX(Projects[Est Structural Engineering],122)))</f>
        <v/>
      </c>
      <c r="CL123" s="5">
        <f>IF(A123="","",N(INDEX(Projects[Est Site Sup],122)))</f>
        <v/>
      </c>
      <c r="CM123" s="5">
        <f>IF(A123="","",N(INDEX(Projects[Est Controls Commissioning],122)))</f>
        <v/>
      </c>
      <c r="CN123" s="5">
        <f>IF(A123="","",N(INDEX(Projects[Est Systems Commissioning],122)))</f>
        <v/>
      </c>
      <c r="CO123" s="5">
        <f>IF(A123="","",N(INDEX(Projects[Est Service Commissioning],122)))</f>
        <v/>
      </c>
      <c r="CP123" s="5">
        <f>IF(A123="","",N(INDEX(Projects[Est Controls Eng],122)))</f>
        <v/>
      </c>
      <c r="CQ123" s="5">
        <f>IF(A123="","",N(INDEX(Projects[Est Controls Purchase],122)))</f>
        <v/>
      </c>
      <c r="CR123" s="5">
        <f>IF(A123="","",N(INDEX(Projects[Est Software Eng],122)))</f>
        <v/>
      </c>
      <c r="CS123" s="5">
        <f>IF(A123="","",N(INDEX(Projects[Est Misc],122)))</f>
        <v/>
      </c>
      <c r="CT123" s="5">
        <f>IF(A123="","",SUM(CF123:CS123))</f>
        <v/>
      </c>
      <c r="CU123" s="5">
        <f>INDEX(Projects[Est Cost (M)],122)</f>
        <v/>
      </c>
      <c r="CV123" s="5">
        <f>INDEX(Projects[Act Cost (M)],122)</f>
        <v/>
      </c>
      <c r="CW123" s="5">
        <f>INDEX(Projects[Plan Mech Eng (wks)],122)</f>
        <v/>
      </c>
      <c r="CX123" s="5">
        <f>INDEX(Projects[Plan Controls Eng (wks)],122)</f>
        <v/>
      </c>
      <c r="CY123" s="5">
        <f>INDEX(Projects[Plan Systems Eng (wks)],122)</f>
        <v/>
      </c>
      <c r="CZ123" s="5">
        <f>INDEX(Projects[Plan Software Eng (wks)],122)</f>
        <v/>
      </c>
      <c r="DA123" s="5">
        <f>INDEX(Projects[Plan M&amp;E Installation (wks)],122)</f>
        <v/>
      </c>
      <c r="DB123" s="5">
        <f>INDEX(Projects[Plan Commissioning (wks)],122)</f>
        <v/>
      </c>
      <c r="DC123" s="5">
        <f>INDEX(Projects[Plan Total (wks)],122)</f>
        <v/>
      </c>
      <c r="DD123" s="5">
        <f>INDEX(Projects[Act Mech Eng (wks)],122)</f>
        <v/>
      </c>
      <c r="DE123" s="5">
        <f>INDEX(Projects[Act Controls Eng (wks)],122)</f>
        <v/>
      </c>
      <c r="DF123" s="5">
        <f>INDEX(Projects[Act Systems Eng (wks)],122)</f>
        <v/>
      </c>
      <c r="DG123" s="5">
        <f>INDEX(Projects[Act Software Eng (wks)],122)</f>
        <v/>
      </c>
      <c r="DH123" s="5">
        <f>INDEX(Projects[Act M&amp;E Installation (wks)],122)</f>
        <v/>
      </c>
      <c r="DI123" s="5">
        <f>INDEX(Projects[Act Commissioning (wks)],122)</f>
        <v/>
      </c>
      <c r="DJ123" s="5">
        <f>INDEX(Projects[Act Total (wks)],122)</f>
        <v/>
      </c>
    </row>
    <row r="124" ht="15" customHeight="1" s="82">
      <c r="A124" s="64">
        <f>INDEX(Projects[Project ID *],123)&amp;""</f>
        <v/>
      </c>
      <c r="B124" s="64">
        <f>INDEX(Projects[Project Name *],123)&amp;""</f>
        <v/>
      </c>
      <c r="C124" s="64">
        <f>INDEX(Projects[MS Shuttles],123)</f>
        <v/>
      </c>
      <c r="D124" s="64">
        <f>INDEX(Projects[MS Tote Locations],123)</f>
        <v/>
      </c>
      <c r="E124" s="64">
        <f>INDEX(Projects[AS Robots],123)</f>
        <v/>
      </c>
      <c r="F124" s="64">
        <f>INDEX(Projects[AS Tote Locations],123)</f>
        <v/>
      </c>
      <c r="G124" s="64">
        <f>INDEX(Projects[PS Shuttles],123)</f>
        <v/>
      </c>
      <c r="H124" s="64">
        <f>INDEX(Projects[PS Pallet Locations],123)</f>
        <v/>
      </c>
      <c r="I124" s="64">
        <f>INDEX(Projects[SRM Cranes],123)</f>
        <v/>
      </c>
      <c r="J124" s="64">
        <f>INDEX(Projects[SRM Pallet Locations],123)</f>
        <v/>
      </c>
      <c r="K124" s="64">
        <f>INDEX(Projects[Case Conv (m)],123)</f>
        <v/>
      </c>
      <c r="L124" s="64">
        <f>INDEX(Projects[Pallet Conv (m)],123)</f>
        <v/>
      </c>
      <c r="M124" s="64">
        <f>IF(N(DJ124)&gt;0,DD124,CW124)</f>
        <v/>
      </c>
      <c r="N124" s="64">
        <f>IF(N(DJ124)&gt;0,DE124,CX124)</f>
        <v/>
      </c>
      <c r="O124" s="64">
        <f>IF(N(DJ124)&gt;0,DF124,CY124)</f>
        <v/>
      </c>
      <c r="P124" s="64">
        <f>IF(N(DJ124)&gt;0,DG124,CZ124)</f>
        <v/>
      </c>
      <c r="Q124" s="64">
        <f>IF(N(DJ124)&gt;0,DH124,DA124)</f>
        <v/>
      </c>
      <c r="R124" s="64">
        <f>IF(N(DJ124)&gt;0,DI124,DB124)</f>
        <v/>
      </c>
      <c r="S124" s="64">
        <f>IF(N(DJ124)&gt;0,DJ124,DC124)</f>
        <v/>
      </c>
      <c r="T124" s="64">
        <f>INDEX(Projects[Currency],123)&amp;""</f>
        <v/>
      </c>
      <c r="U124" s="65">
        <f>INDEX(Projects[Sold Value (M)],123)</f>
        <v/>
      </c>
      <c r="V124" s="64">
        <f>IF('Smart Search'!B13=1,IFERROR(1/'Smart Search'!H13,0),0)</f>
        <v/>
      </c>
      <c r="W124" s="64">
        <f>IF('Smart Search'!B13=1,IFERROR(1/'Smart Search'!H13,0),0)</f>
        <v/>
      </c>
      <c r="X124" s="64">
        <f>IF('Smart Search'!C13=1,IFERROR(1/'Smart Search'!H13,0),0)</f>
        <v/>
      </c>
      <c r="Y124" s="64">
        <f>IF('Smart Search'!C13=1,IFERROR(1/'Smart Search'!H13,0),0)</f>
        <v/>
      </c>
      <c r="Z124" s="64">
        <f>IF('Smart Search'!D13=1,IFERROR(1/'Smart Search'!H13,0),0)</f>
        <v/>
      </c>
      <c r="AA124" s="64">
        <f>IF('Smart Search'!D13=1,IFERROR(1/'Smart Search'!H13,0),0)</f>
        <v/>
      </c>
      <c r="AB124" s="64">
        <f>IF('Smart Search'!E13=1,IFERROR(1/'Smart Search'!H13,0),0)</f>
        <v/>
      </c>
      <c r="AC124" s="64">
        <f>IF('Smart Search'!E13=1,IFERROR(1/'Smart Search'!H13,0),0)</f>
        <v/>
      </c>
      <c r="AD124" s="64">
        <f>IF('Smart Search'!F13=1,IFERROR(1/'Smart Search'!H13,0),0)</f>
        <v/>
      </c>
      <c r="AE124" s="64">
        <f>IF('Smart Search'!F13=1,IFERROR(1/'Smart Search'!H13,0),0)</f>
        <v/>
      </c>
      <c r="AF124" s="64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4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4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4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4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4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4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4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4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4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4">
        <f>AF124*V124</f>
        <v/>
      </c>
      <c r="AQ124" s="64">
        <f>AG124*W124</f>
        <v/>
      </c>
      <c r="AR124" s="64">
        <f>AH124*X124</f>
        <v/>
      </c>
      <c r="AS124" s="64">
        <f>AI124*Y124</f>
        <v/>
      </c>
      <c r="AT124" s="64">
        <f>AJ124*Z124</f>
        <v/>
      </c>
      <c r="AU124" s="64">
        <f>AK124*AA124</f>
        <v/>
      </c>
      <c r="AV124" s="64">
        <f>AL124*AB124</f>
        <v/>
      </c>
      <c r="AW124" s="64">
        <f>AM124*AC124</f>
        <v/>
      </c>
      <c r="AX124" s="64">
        <f>AN124*AD124</f>
        <v/>
      </c>
      <c r="AY124" s="64">
        <f>AO124*AE124</f>
        <v/>
      </c>
      <c r="AZ124" s="64">
        <f>INDEX(Projects[Automation Equipment],123)&amp;""</f>
        <v/>
      </c>
      <c r="BA124" s="64">
        <f>IF(OR(A124="",'Smart Search'!H13=0),"",MAX(0,BE124*BF124*MAX(0,1-BG124)))</f>
        <v/>
      </c>
      <c r="BB124" s="64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4">
        <f>IF('Smart Search'!G13=1,IFERROR(1/'Smart Search'!H13,0),0)</f>
        <v/>
      </c>
      <c r="BD124" s="64">
        <f>BB124*BC124</f>
        <v/>
      </c>
      <c r="BE124" s="64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IF(A124="","",N(INDEX(Projects[Act Mech Inst],123)))</f>
        <v/>
      </c>
      <c r="BK124" s="5">
        <f>IF(A124="","",N(INDEX(Projects[Act Elec Inst],123)))</f>
        <v/>
      </c>
      <c r="BL124" s="5">
        <f>IF(A124="","",N(INDEX(Projects[Act Project Management],123)))</f>
        <v/>
      </c>
      <c r="BM124" s="5">
        <f>IF(A124="","",N(INDEX(Projects[Act Systems Eng],123)))</f>
        <v/>
      </c>
      <c r="BN124" s="5">
        <f>IF(A124="","",N(INDEX(Projects[Act Mechanical Eng],123)))</f>
        <v/>
      </c>
      <c r="BO124" s="5">
        <f>IF(A124="","",N(INDEX(Projects[Act Structural Engineering],123)))</f>
        <v/>
      </c>
      <c r="BP124" s="5">
        <f>IF(A124="","",N(INDEX(Projects[Act Site Sup],123)))</f>
        <v/>
      </c>
      <c r="BQ124" s="5">
        <f>IF(A124="","",N(INDEX(Projects[Act Controls Commissioning],123)))</f>
        <v/>
      </c>
      <c r="BR124" s="5">
        <f>IF(A124="","",N(INDEX(Projects[Act Systems Commissioning],123)))</f>
        <v/>
      </c>
      <c r="BS124" s="5">
        <f>IF(A124="","",N(INDEX(Projects[Act Service Commissioning],123)))</f>
        <v/>
      </c>
      <c r="BT124" s="5">
        <f>IF(A124="","",N(INDEX(Projects[Act Controls Eng],123)))</f>
        <v/>
      </c>
      <c r="BU124" s="5">
        <f>IF(A124="","",N(INDEX(Projects[Act Controls Purchase],123)))</f>
        <v/>
      </c>
      <c r="BV124" s="5">
        <f>IF(A124="","",N(INDEX(Projects[Act Software Eng],123)))</f>
        <v/>
      </c>
      <c r="BW124" s="5">
        <f>IF(A124="","",N(INDEX(Projects[Act 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INDEX(Projects[Sold Value (USD M)],123)</f>
        <v/>
      </c>
      <c r="CE124" s="5" t="n"/>
      <c r="CF124" s="5">
        <f>IF(A124="","",N(INDEX(Projects[Est Mech Inst],123)))</f>
        <v/>
      </c>
      <c r="CG124" s="5">
        <f>IF(A124="","",N(INDEX(Projects[Est Elec Inst],123)))</f>
        <v/>
      </c>
      <c r="CH124" s="5">
        <f>IF(A124="","",N(INDEX(Projects[Est Project Management],123)))</f>
        <v/>
      </c>
      <c r="CI124" s="5">
        <f>IF(A124="","",N(INDEX(Projects[Est Systems Eng],123)))</f>
        <v/>
      </c>
      <c r="CJ124" s="5">
        <f>IF(A124="","",N(INDEX(Projects[Est Mechanical Eng],123)))</f>
        <v/>
      </c>
      <c r="CK124" s="5">
        <f>IF(A124="","",N(INDEX(Projects[Est Structural Engineering],123)))</f>
        <v/>
      </c>
      <c r="CL124" s="5">
        <f>IF(A124="","",N(INDEX(Projects[Est Site Sup],123)))</f>
        <v/>
      </c>
      <c r="CM124" s="5">
        <f>IF(A124="","",N(INDEX(Projects[Est Controls Commissioning],123)))</f>
        <v/>
      </c>
      <c r="CN124" s="5">
        <f>IF(A124="","",N(INDEX(Projects[Est Systems Commissioning],123)))</f>
        <v/>
      </c>
      <c r="CO124" s="5">
        <f>IF(A124="","",N(INDEX(Projects[Est Service Commissioning],123)))</f>
        <v/>
      </c>
      <c r="CP124" s="5">
        <f>IF(A124="","",N(INDEX(Projects[Est Controls Eng],123)))</f>
        <v/>
      </c>
      <c r="CQ124" s="5">
        <f>IF(A124="","",N(INDEX(Projects[Est Controls Purchase],123)))</f>
        <v/>
      </c>
      <c r="CR124" s="5">
        <f>IF(A124="","",N(INDEX(Projects[Est Software Eng],123)))</f>
        <v/>
      </c>
      <c r="CS124" s="5">
        <f>IF(A124="","",N(INDEX(Projects[Est Misc],123)))</f>
        <v/>
      </c>
      <c r="CT124" s="5">
        <f>IF(A124="","",SUM(CF124:CS124))</f>
        <v/>
      </c>
      <c r="CU124" s="5">
        <f>INDEX(Projects[Est Cost (M)],123)</f>
        <v/>
      </c>
      <c r="CV124" s="5">
        <f>INDEX(Projects[Act Cost (M)],123)</f>
        <v/>
      </c>
      <c r="CW124" s="5">
        <f>INDEX(Projects[Plan Mech Eng (wks)],123)</f>
        <v/>
      </c>
      <c r="CX124" s="5">
        <f>INDEX(Projects[Plan Controls Eng (wks)],123)</f>
        <v/>
      </c>
      <c r="CY124" s="5">
        <f>INDEX(Projects[Plan Systems Eng (wks)],123)</f>
        <v/>
      </c>
      <c r="CZ124" s="5">
        <f>INDEX(Projects[Plan Software Eng (wks)],123)</f>
        <v/>
      </c>
      <c r="DA124" s="5">
        <f>INDEX(Projects[Plan M&amp;E Installation (wks)],123)</f>
        <v/>
      </c>
      <c r="DB124" s="5">
        <f>INDEX(Projects[Plan Commissioning (wks)],123)</f>
        <v/>
      </c>
      <c r="DC124" s="5">
        <f>INDEX(Projects[Plan Total (wks)],123)</f>
        <v/>
      </c>
      <c r="DD124" s="5">
        <f>INDEX(Projects[Act Mech Eng (wks)],123)</f>
        <v/>
      </c>
      <c r="DE124" s="5">
        <f>INDEX(Projects[Act Controls Eng (wks)],123)</f>
        <v/>
      </c>
      <c r="DF124" s="5">
        <f>INDEX(Projects[Act Systems Eng (wks)],123)</f>
        <v/>
      </c>
      <c r="DG124" s="5">
        <f>INDEX(Projects[Act Software Eng (wks)],123)</f>
        <v/>
      </c>
      <c r="DH124" s="5">
        <f>INDEX(Projects[Act M&amp;E Installation (wks)],123)</f>
        <v/>
      </c>
      <c r="DI124" s="5">
        <f>INDEX(Projects[Act Commissioning (wks)],123)</f>
        <v/>
      </c>
      <c r="DJ124" s="5">
        <f>INDEX(Projects[Act Total (wks)],123)</f>
        <v/>
      </c>
    </row>
    <row r="125" ht="15" customHeight="1" s="82">
      <c r="A125" s="64">
        <f>INDEX(Projects[Project ID *],124)&amp;""</f>
        <v/>
      </c>
      <c r="B125" s="64">
        <f>INDEX(Projects[Project Name *],124)&amp;""</f>
        <v/>
      </c>
      <c r="C125" s="64">
        <f>INDEX(Projects[MS Shuttles],124)</f>
        <v/>
      </c>
      <c r="D125" s="64">
        <f>INDEX(Projects[MS Tote Locations],124)</f>
        <v/>
      </c>
      <c r="E125" s="64">
        <f>INDEX(Projects[AS Robots],124)</f>
        <v/>
      </c>
      <c r="F125" s="64">
        <f>INDEX(Projects[AS Tote Locations],124)</f>
        <v/>
      </c>
      <c r="G125" s="64">
        <f>INDEX(Projects[PS Shuttles],124)</f>
        <v/>
      </c>
      <c r="H125" s="64">
        <f>INDEX(Projects[PS Pallet Locations],124)</f>
        <v/>
      </c>
      <c r="I125" s="64">
        <f>INDEX(Projects[SRM Cranes],124)</f>
        <v/>
      </c>
      <c r="J125" s="64">
        <f>INDEX(Projects[SRM Pallet Locations],124)</f>
        <v/>
      </c>
      <c r="K125" s="64">
        <f>INDEX(Projects[Case Conv (m)],124)</f>
        <v/>
      </c>
      <c r="L125" s="64">
        <f>INDEX(Projects[Pallet Conv (m)],124)</f>
        <v/>
      </c>
      <c r="M125" s="64">
        <f>IF(N(DJ125)&gt;0,DD125,CW125)</f>
        <v/>
      </c>
      <c r="N125" s="64">
        <f>IF(N(DJ125)&gt;0,DE125,CX125)</f>
        <v/>
      </c>
      <c r="O125" s="64">
        <f>IF(N(DJ125)&gt;0,DF125,CY125)</f>
        <v/>
      </c>
      <c r="P125" s="64">
        <f>IF(N(DJ125)&gt;0,DG125,CZ125)</f>
        <v/>
      </c>
      <c r="Q125" s="64">
        <f>IF(N(DJ125)&gt;0,DH125,DA125)</f>
        <v/>
      </c>
      <c r="R125" s="64">
        <f>IF(N(DJ125)&gt;0,DI125,DB125)</f>
        <v/>
      </c>
      <c r="S125" s="64">
        <f>IF(N(DJ125)&gt;0,DJ125,DC125)</f>
        <v/>
      </c>
      <c r="T125" s="64">
        <f>INDEX(Projects[Currency],124)&amp;""</f>
        <v/>
      </c>
      <c r="U125" s="65">
        <f>INDEX(Projects[Sold Value (M)],124)</f>
        <v/>
      </c>
      <c r="V125" s="64">
        <f>IF('Smart Search'!B13=1,IFERROR(1/'Smart Search'!H13,0),0)</f>
        <v/>
      </c>
      <c r="W125" s="64">
        <f>IF('Smart Search'!B13=1,IFERROR(1/'Smart Search'!H13,0),0)</f>
        <v/>
      </c>
      <c r="X125" s="64">
        <f>IF('Smart Search'!C13=1,IFERROR(1/'Smart Search'!H13,0),0)</f>
        <v/>
      </c>
      <c r="Y125" s="64">
        <f>IF('Smart Search'!C13=1,IFERROR(1/'Smart Search'!H13,0),0)</f>
        <v/>
      </c>
      <c r="Z125" s="64">
        <f>IF('Smart Search'!D13=1,IFERROR(1/'Smart Search'!H13,0),0)</f>
        <v/>
      </c>
      <c r="AA125" s="64">
        <f>IF('Smart Search'!D13=1,IFERROR(1/'Smart Search'!H13,0),0)</f>
        <v/>
      </c>
      <c r="AB125" s="64">
        <f>IF('Smart Search'!E13=1,IFERROR(1/'Smart Search'!H13,0),0)</f>
        <v/>
      </c>
      <c r="AC125" s="64">
        <f>IF('Smart Search'!E13=1,IFERROR(1/'Smart Search'!H13,0),0)</f>
        <v/>
      </c>
      <c r="AD125" s="64">
        <f>IF('Smart Search'!F13=1,IFERROR(1/'Smart Search'!H13,0),0)</f>
        <v/>
      </c>
      <c r="AE125" s="64">
        <f>IF('Smart Search'!F13=1,IFERROR(1/'Smart Search'!H13,0),0)</f>
        <v/>
      </c>
      <c r="AF125" s="64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4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4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4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4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4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4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4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4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4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4">
        <f>AF125*V125</f>
        <v/>
      </c>
      <c r="AQ125" s="64">
        <f>AG125*W125</f>
        <v/>
      </c>
      <c r="AR125" s="64">
        <f>AH125*X125</f>
        <v/>
      </c>
      <c r="AS125" s="64">
        <f>AI125*Y125</f>
        <v/>
      </c>
      <c r="AT125" s="64">
        <f>AJ125*Z125</f>
        <v/>
      </c>
      <c r="AU125" s="64">
        <f>AK125*AA125</f>
        <v/>
      </c>
      <c r="AV125" s="64">
        <f>AL125*AB125</f>
        <v/>
      </c>
      <c r="AW125" s="64">
        <f>AM125*AC125</f>
        <v/>
      </c>
      <c r="AX125" s="64">
        <f>AN125*AD125</f>
        <v/>
      </c>
      <c r="AY125" s="64">
        <f>AO125*AE125</f>
        <v/>
      </c>
      <c r="AZ125" s="64">
        <f>INDEX(Projects[Automation Equipment],124)&amp;""</f>
        <v/>
      </c>
      <c r="BA125" s="64">
        <f>IF(OR(A125="",'Smart Search'!H13=0),"",MAX(0,BE125*BF125*MAX(0,1-BG125)))</f>
        <v/>
      </c>
      <c r="BB125" s="64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4">
        <f>IF('Smart Search'!G13=1,IFERROR(1/'Smart Search'!H13,0),0)</f>
        <v/>
      </c>
      <c r="BD125" s="64">
        <f>BB125*BC125</f>
        <v/>
      </c>
      <c r="BE125" s="64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IF(A125="","",N(INDEX(Projects[Act Mech Inst],124)))</f>
        <v/>
      </c>
      <c r="BK125" s="5">
        <f>IF(A125="","",N(INDEX(Projects[Act Elec Inst],124)))</f>
        <v/>
      </c>
      <c r="BL125" s="5">
        <f>IF(A125="","",N(INDEX(Projects[Act Project Management],124)))</f>
        <v/>
      </c>
      <c r="BM125" s="5">
        <f>IF(A125="","",N(INDEX(Projects[Act Systems Eng],124)))</f>
        <v/>
      </c>
      <c r="BN125" s="5">
        <f>IF(A125="","",N(INDEX(Projects[Act Mechanical Eng],124)))</f>
        <v/>
      </c>
      <c r="BO125" s="5">
        <f>IF(A125="","",N(INDEX(Projects[Act Structural Engineering],124)))</f>
        <v/>
      </c>
      <c r="BP125" s="5">
        <f>IF(A125="","",N(INDEX(Projects[Act Site Sup],124)))</f>
        <v/>
      </c>
      <c r="BQ125" s="5">
        <f>IF(A125="","",N(INDEX(Projects[Act Controls Commissioning],124)))</f>
        <v/>
      </c>
      <c r="BR125" s="5">
        <f>IF(A125="","",N(INDEX(Projects[Act Systems Commissioning],124)))</f>
        <v/>
      </c>
      <c r="BS125" s="5">
        <f>IF(A125="","",N(INDEX(Projects[Act Service Commissioning],124)))</f>
        <v/>
      </c>
      <c r="BT125" s="5">
        <f>IF(A125="","",N(INDEX(Projects[Act Controls Eng],124)))</f>
        <v/>
      </c>
      <c r="BU125" s="5">
        <f>IF(A125="","",N(INDEX(Projects[Act Controls Purchase],124)))</f>
        <v/>
      </c>
      <c r="BV125" s="5">
        <f>IF(A125="","",N(INDEX(Projects[Act Software Eng],124)))</f>
        <v/>
      </c>
      <c r="BW125" s="5">
        <f>IF(A125="","",N(INDEX(Projects[Act 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INDEX(Projects[Sold Value (USD M)],124)</f>
        <v/>
      </c>
      <c r="CE125" s="5" t="n"/>
      <c r="CF125" s="5">
        <f>IF(A125="","",N(INDEX(Projects[Est Mech Inst],124)))</f>
        <v/>
      </c>
      <c r="CG125" s="5">
        <f>IF(A125="","",N(INDEX(Projects[Est Elec Inst],124)))</f>
        <v/>
      </c>
      <c r="CH125" s="5">
        <f>IF(A125="","",N(INDEX(Projects[Est Project Management],124)))</f>
        <v/>
      </c>
      <c r="CI125" s="5">
        <f>IF(A125="","",N(INDEX(Projects[Est Systems Eng],124)))</f>
        <v/>
      </c>
      <c r="CJ125" s="5">
        <f>IF(A125="","",N(INDEX(Projects[Est Mechanical Eng],124)))</f>
        <v/>
      </c>
      <c r="CK125" s="5">
        <f>IF(A125="","",N(INDEX(Projects[Est Structural Engineering],124)))</f>
        <v/>
      </c>
      <c r="CL125" s="5">
        <f>IF(A125="","",N(INDEX(Projects[Est Site Sup],124)))</f>
        <v/>
      </c>
      <c r="CM125" s="5">
        <f>IF(A125="","",N(INDEX(Projects[Est Controls Commissioning],124)))</f>
        <v/>
      </c>
      <c r="CN125" s="5">
        <f>IF(A125="","",N(INDEX(Projects[Est Systems Commissioning],124)))</f>
        <v/>
      </c>
      <c r="CO125" s="5">
        <f>IF(A125="","",N(INDEX(Projects[Est Service Commissioning],124)))</f>
        <v/>
      </c>
      <c r="CP125" s="5">
        <f>IF(A125="","",N(INDEX(Projects[Est Controls Eng],124)))</f>
        <v/>
      </c>
      <c r="CQ125" s="5">
        <f>IF(A125="","",N(INDEX(Projects[Est Controls Purchase],124)))</f>
        <v/>
      </c>
      <c r="CR125" s="5">
        <f>IF(A125="","",N(INDEX(Projects[Est Software Eng],124)))</f>
        <v/>
      </c>
      <c r="CS125" s="5">
        <f>IF(A125="","",N(INDEX(Projects[Est Misc],124)))</f>
        <v/>
      </c>
      <c r="CT125" s="5">
        <f>IF(A125="","",SUM(CF125:CS125))</f>
        <v/>
      </c>
      <c r="CU125" s="5">
        <f>INDEX(Projects[Est Cost (M)],124)</f>
        <v/>
      </c>
      <c r="CV125" s="5">
        <f>INDEX(Projects[Act Cost (M)],124)</f>
        <v/>
      </c>
      <c r="CW125" s="5">
        <f>INDEX(Projects[Plan Mech Eng (wks)],124)</f>
        <v/>
      </c>
      <c r="CX125" s="5">
        <f>INDEX(Projects[Plan Controls Eng (wks)],124)</f>
        <v/>
      </c>
      <c r="CY125" s="5">
        <f>INDEX(Projects[Plan Systems Eng (wks)],124)</f>
        <v/>
      </c>
      <c r="CZ125" s="5">
        <f>INDEX(Projects[Plan Software Eng (wks)],124)</f>
        <v/>
      </c>
      <c r="DA125" s="5">
        <f>INDEX(Projects[Plan M&amp;E Installation (wks)],124)</f>
        <v/>
      </c>
      <c r="DB125" s="5">
        <f>INDEX(Projects[Plan Commissioning (wks)],124)</f>
        <v/>
      </c>
      <c r="DC125" s="5">
        <f>INDEX(Projects[Plan Total (wks)],124)</f>
        <v/>
      </c>
      <c r="DD125" s="5">
        <f>INDEX(Projects[Act Mech Eng (wks)],124)</f>
        <v/>
      </c>
      <c r="DE125" s="5">
        <f>INDEX(Projects[Act Controls Eng (wks)],124)</f>
        <v/>
      </c>
      <c r="DF125" s="5">
        <f>INDEX(Projects[Act Systems Eng (wks)],124)</f>
        <v/>
      </c>
      <c r="DG125" s="5">
        <f>INDEX(Projects[Act Software Eng (wks)],124)</f>
        <v/>
      </c>
      <c r="DH125" s="5">
        <f>INDEX(Projects[Act M&amp;E Installation (wks)],124)</f>
        <v/>
      </c>
      <c r="DI125" s="5">
        <f>INDEX(Projects[Act Commissioning (wks)],124)</f>
        <v/>
      </c>
      <c r="DJ125" s="5">
        <f>INDEX(Projects[Act Total (wks)],124)</f>
        <v/>
      </c>
    </row>
    <row r="126" ht="15" customHeight="1" s="82">
      <c r="A126" s="64">
        <f>INDEX(Projects[Project ID *],125)&amp;""</f>
        <v/>
      </c>
      <c r="B126" s="64">
        <f>INDEX(Projects[Project Name *],125)&amp;""</f>
        <v/>
      </c>
      <c r="C126" s="64">
        <f>INDEX(Projects[MS Shuttles],125)</f>
        <v/>
      </c>
      <c r="D126" s="64">
        <f>INDEX(Projects[MS Tote Locations],125)</f>
        <v/>
      </c>
      <c r="E126" s="64">
        <f>INDEX(Projects[AS Robots],125)</f>
        <v/>
      </c>
      <c r="F126" s="64">
        <f>INDEX(Projects[AS Tote Locations],125)</f>
        <v/>
      </c>
      <c r="G126" s="64">
        <f>INDEX(Projects[PS Shuttles],125)</f>
        <v/>
      </c>
      <c r="H126" s="64">
        <f>INDEX(Projects[PS Pallet Locations],125)</f>
        <v/>
      </c>
      <c r="I126" s="64">
        <f>INDEX(Projects[SRM Cranes],125)</f>
        <v/>
      </c>
      <c r="J126" s="64">
        <f>INDEX(Projects[SRM Pallet Locations],125)</f>
        <v/>
      </c>
      <c r="K126" s="64">
        <f>INDEX(Projects[Case Conv (m)],125)</f>
        <v/>
      </c>
      <c r="L126" s="64">
        <f>INDEX(Projects[Pallet Conv (m)],125)</f>
        <v/>
      </c>
      <c r="M126" s="64">
        <f>IF(N(DJ126)&gt;0,DD126,CW126)</f>
        <v/>
      </c>
      <c r="N126" s="64">
        <f>IF(N(DJ126)&gt;0,DE126,CX126)</f>
        <v/>
      </c>
      <c r="O126" s="64">
        <f>IF(N(DJ126)&gt;0,DF126,CY126)</f>
        <v/>
      </c>
      <c r="P126" s="64">
        <f>IF(N(DJ126)&gt;0,DG126,CZ126)</f>
        <v/>
      </c>
      <c r="Q126" s="64">
        <f>IF(N(DJ126)&gt;0,DH126,DA126)</f>
        <v/>
      </c>
      <c r="R126" s="64">
        <f>IF(N(DJ126)&gt;0,DI126,DB126)</f>
        <v/>
      </c>
      <c r="S126" s="64">
        <f>IF(N(DJ126)&gt;0,DJ126,DC126)</f>
        <v/>
      </c>
      <c r="T126" s="64">
        <f>INDEX(Projects[Currency],125)&amp;""</f>
        <v/>
      </c>
      <c r="U126" s="65">
        <f>INDEX(Projects[Sold Value (M)],125)</f>
        <v/>
      </c>
      <c r="V126" s="64">
        <f>IF('Smart Search'!B13=1,IFERROR(1/'Smart Search'!H13,0),0)</f>
        <v/>
      </c>
      <c r="W126" s="64">
        <f>IF('Smart Search'!B13=1,IFERROR(1/'Smart Search'!H13,0),0)</f>
        <v/>
      </c>
      <c r="X126" s="64">
        <f>IF('Smart Search'!C13=1,IFERROR(1/'Smart Search'!H13,0),0)</f>
        <v/>
      </c>
      <c r="Y126" s="64">
        <f>IF('Smart Search'!C13=1,IFERROR(1/'Smart Search'!H13,0),0)</f>
        <v/>
      </c>
      <c r="Z126" s="64">
        <f>IF('Smart Search'!D13=1,IFERROR(1/'Smart Search'!H13,0),0)</f>
        <v/>
      </c>
      <c r="AA126" s="64">
        <f>IF('Smart Search'!D13=1,IFERROR(1/'Smart Search'!H13,0),0)</f>
        <v/>
      </c>
      <c r="AB126" s="64">
        <f>IF('Smart Search'!E13=1,IFERROR(1/'Smart Search'!H13,0),0)</f>
        <v/>
      </c>
      <c r="AC126" s="64">
        <f>IF('Smart Search'!E13=1,IFERROR(1/'Smart Search'!H13,0),0)</f>
        <v/>
      </c>
      <c r="AD126" s="64">
        <f>IF('Smart Search'!F13=1,IFERROR(1/'Smart Search'!H13,0),0)</f>
        <v/>
      </c>
      <c r="AE126" s="64">
        <f>IF('Smart Search'!F13=1,IFERROR(1/'Smart Search'!H13,0),0)</f>
        <v/>
      </c>
      <c r="AF126" s="64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4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4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4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4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4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4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4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4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4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4">
        <f>AF126*V126</f>
        <v/>
      </c>
      <c r="AQ126" s="64">
        <f>AG126*W126</f>
        <v/>
      </c>
      <c r="AR126" s="64">
        <f>AH126*X126</f>
        <v/>
      </c>
      <c r="AS126" s="64">
        <f>AI126*Y126</f>
        <v/>
      </c>
      <c r="AT126" s="64">
        <f>AJ126*Z126</f>
        <v/>
      </c>
      <c r="AU126" s="64">
        <f>AK126*AA126</f>
        <v/>
      </c>
      <c r="AV126" s="64">
        <f>AL126*AB126</f>
        <v/>
      </c>
      <c r="AW126" s="64">
        <f>AM126*AC126</f>
        <v/>
      </c>
      <c r="AX126" s="64">
        <f>AN126*AD126</f>
        <v/>
      </c>
      <c r="AY126" s="64">
        <f>AO126*AE126</f>
        <v/>
      </c>
      <c r="AZ126" s="64">
        <f>INDEX(Projects[Automation Equipment],125)&amp;""</f>
        <v/>
      </c>
      <c r="BA126" s="64">
        <f>IF(OR(A126="",'Smart Search'!H13=0),"",MAX(0,BE126*BF126*MAX(0,1-BG126)))</f>
        <v/>
      </c>
      <c r="BB126" s="64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4">
        <f>IF('Smart Search'!G13=1,IFERROR(1/'Smart Search'!H13,0),0)</f>
        <v/>
      </c>
      <c r="BD126" s="64">
        <f>BB126*BC126</f>
        <v/>
      </c>
      <c r="BE126" s="64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IF(A126="","",N(INDEX(Projects[Act Mech Inst],125)))</f>
        <v/>
      </c>
      <c r="BK126" s="5">
        <f>IF(A126="","",N(INDEX(Projects[Act Elec Inst],125)))</f>
        <v/>
      </c>
      <c r="BL126" s="5">
        <f>IF(A126="","",N(INDEX(Projects[Act Project Management],125)))</f>
        <v/>
      </c>
      <c r="BM126" s="5">
        <f>IF(A126="","",N(INDEX(Projects[Act Systems Eng],125)))</f>
        <v/>
      </c>
      <c r="BN126" s="5">
        <f>IF(A126="","",N(INDEX(Projects[Act Mechanical Eng],125)))</f>
        <v/>
      </c>
      <c r="BO126" s="5">
        <f>IF(A126="","",N(INDEX(Projects[Act Structural Engineering],125)))</f>
        <v/>
      </c>
      <c r="BP126" s="5">
        <f>IF(A126="","",N(INDEX(Projects[Act Site Sup],125)))</f>
        <v/>
      </c>
      <c r="BQ126" s="5">
        <f>IF(A126="","",N(INDEX(Projects[Act Controls Commissioning],125)))</f>
        <v/>
      </c>
      <c r="BR126" s="5">
        <f>IF(A126="","",N(INDEX(Projects[Act Systems Commissioning],125)))</f>
        <v/>
      </c>
      <c r="BS126" s="5">
        <f>IF(A126="","",N(INDEX(Projects[Act Service Commissioning],125)))</f>
        <v/>
      </c>
      <c r="BT126" s="5">
        <f>IF(A126="","",N(INDEX(Projects[Act Controls Eng],125)))</f>
        <v/>
      </c>
      <c r="BU126" s="5">
        <f>IF(A126="","",N(INDEX(Projects[Act Controls Purchase],125)))</f>
        <v/>
      </c>
      <c r="BV126" s="5">
        <f>IF(A126="","",N(INDEX(Projects[Act Software Eng],125)))</f>
        <v/>
      </c>
      <c r="BW126" s="5">
        <f>IF(A126="","",N(INDEX(Projects[Act 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INDEX(Projects[Sold Value (USD M)],125)</f>
        <v/>
      </c>
      <c r="CE126" s="5" t="n"/>
      <c r="CF126" s="5">
        <f>IF(A126="","",N(INDEX(Projects[Est Mech Inst],125)))</f>
        <v/>
      </c>
      <c r="CG126" s="5">
        <f>IF(A126="","",N(INDEX(Projects[Est Elec Inst],125)))</f>
        <v/>
      </c>
      <c r="CH126" s="5">
        <f>IF(A126="","",N(INDEX(Projects[Est Project Management],125)))</f>
        <v/>
      </c>
      <c r="CI126" s="5">
        <f>IF(A126="","",N(INDEX(Projects[Est Systems Eng],125)))</f>
        <v/>
      </c>
      <c r="CJ126" s="5">
        <f>IF(A126="","",N(INDEX(Projects[Est Mechanical Eng],125)))</f>
        <v/>
      </c>
      <c r="CK126" s="5">
        <f>IF(A126="","",N(INDEX(Projects[Est Structural Engineering],125)))</f>
        <v/>
      </c>
      <c r="CL126" s="5">
        <f>IF(A126="","",N(INDEX(Projects[Est Site Sup],125)))</f>
        <v/>
      </c>
      <c r="CM126" s="5">
        <f>IF(A126="","",N(INDEX(Projects[Est Controls Commissioning],125)))</f>
        <v/>
      </c>
      <c r="CN126" s="5">
        <f>IF(A126="","",N(INDEX(Projects[Est Systems Commissioning],125)))</f>
        <v/>
      </c>
      <c r="CO126" s="5">
        <f>IF(A126="","",N(INDEX(Projects[Est Service Commissioning],125)))</f>
        <v/>
      </c>
      <c r="CP126" s="5">
        <f>IF(A126="","",N(INDEX(Projects[Est Controls Eng],125)))</f>
        <v/>
      </c>
      <c r="CQ126" s="5">
        <f>IF(A126="","",N(INDEX(Projects[Est Controls Purchase],125)))</f>
        <v/>
      </c>
      <c r="CR126" s="5">
        <f>IF(A126="","",N(INDEX(Projects[Est Software Eng],125)))</f>
        <v/>
      </c>
      <c r="CS126" s="5">
        <f>IF(A126="","",N(INDEX(Projects[Est Misc],125)))</f>
        <v/>
      </c>
      <c r="CT126" s="5">
        <f>IF(A126="","",SUM(CF126:CS126))</f>
        <v/>
      </c>
      <c r="CU126" s="5">
        <f>INDEX(Projects[Est Cost (M)],125)</f>
        <v/>
      </c>
      <c r="CV126" s="5">
        <f>INDEX(Projects[Act Cost (M)],125)</f>
        <v/>
      </c>
      <c r="CW126" s="5">
        <f>INDEX(Projects[Plan Mech Eng (wks)],125)</f>
        <v/>
      </c>
      <c r="CX126" s="5">
        <f>INDEX(Projects[Plan Controls Eng (wks)],125)</f>
        <v/>
      </c>
      <c r="CY126" s="5">
        <f>INDEX(Projects[Plan Systems Eng (wks)],125)</f>
        <v/>
      </c>
      <c r="CZ126" s="5">
        <f>INDEX(Projects[Plan Software Eng (wks)],125)</f>
        <v/>
      </c>
      <c r="DA126" s="5">
        <f>INDEX(Projects[Plan M&amp;E Installation (wks)],125)</f>
        <v/>
      </c>
      <c r="DB126" s="5">
        <f>INDEX(Projects[Plan Commissioning (wks)],125)</f>
        <v/>
      </c>
      <c r="DC126" s="5">
        <f>INDEX(Projects[Plan Total (wks)],125)</f>
        <v/>
      </c>
      <c r="DD126" s="5">
        <f>INDEX(Projects[Act Mech Eng (wks)],125)</f>
        <v/>
      </c>
      <c r="DE126" s="5">
        <f>INDEX(Projects[Act Controls Eng (wks)],125)</f>
        <v/>
      </c>
      <c r="DF126" s="5">
        <f>INDEX(Projects[Act Systems Eng (wks)],125)</f>
        <v/>
      </c>
      <c r="DG126" s="5">
        <f>INDEX(Projects[Act Software Eng (wks)],125)</f>
        <v/>
      </c>
      <c r="DH126" s="5">
        <f>INDEX(Projects[Act M&amp;E Installation (wks)],125)</f>
        <v/>
      </c>
      <c r="DI126" s="5">
        <f>INDEX(Projects[Act Commissioning (wks)],125)</f>
        <v/>
      </c>
      <c r="DJ126" s="5">
        <f>INDEX(Projects[Act Total (wks)],125)</f>
        <v/>
      </c>
    </row>
    <row r="127" ht="15" customHeight="1" s="82">
      <c r="A127" s="64">
        <f>INDEX(Projects[Project ID *],126)&amp;""</f>
        <v/>
      </c>
      <c r="B127" s="64">
        <f>INDEX(Projects[Project Name *],126)&amp;""</f>
        <v/>
      </c>
      <c r="C127" s="64">
        <f>INDEX(Projects[MS Shuttles],126)</f>
        <v/>
      </c>
      <c r="D127" s="64">
        <f>INDEX(Projects[MS Tote Locations],126)</f>
        <v/>
      </c>
      <c r="E127" s="64">
        <f>INDEX(Projects[AS Robots],126)</f>
        <v/>
      </c>
      <c r="F127" s="64">
        <f>INDEX(Projects[AS Tote Locations],126)</f>
        <v/>
      </c>
      <c r="G127" s="64">
        <f>INDEX(Projects[PS Shuttles],126)</f>
        <v/>
      </c>
      <c r="H127" s="64">
        <f>INDEX(Projects[PS Pallet Locations],126)</f>
        <v/>
      </c>
      <c r="I127" s="64">
        <f>INDEX(Projects[SRM Cranes],126)</f>
        <v/>
      </c>
      <c r="J127" s="64">
        <f>INDEX(Projects[SRM Pallet Locations],126)</f>
        <v/>
      </c>
      <c r="K127" s="64">
        <f>INDEX(Projects[Case Conv (m)],126)</f>
        <v/>
      </c>
      <c r="L127" s="64">
        <f>INDEX(Projects[Pallet Conv (m)],126)</f>
        <v/>
      </c>
      <c r="M127" s="64">
        <f>IF(N(DJ127)&gt;0,DD127,CW127)</f>
        <v/>
      </c>
      <c r="N127" s="64">
        <f>IF(N(DJ127)&gt;0,DE127,CX127)</f>
        <v/>
      </c>
      <c r="O127" s="64">
        <f>IF(N(DJ127)&gt;0,DF127,CY127)</f>
        <v/>
      </c>
      <c r="P127" s="64">
        <f>IF(N(DJ127)&gt;0,DG127,CZ127)</f>
        <v/>
      </c>
      <c r="Q127" s="64">
        <f>IF(N(DJ127)&gt;0,DH127,DA127)</f>
        <v/>
      </c>
      <c r="R127" s="64">
        <f>IF(N(DJ127)&gt;0,DI127,DB127)</f>
        <v/>
      </c>
      <c r="S127" s="64">
        <f>IF(N(DJ127)&gt;0,DJ127,DC127)</f>
        <v/>
      </c>
      <c r="T127" s="64">
        <f>INDEX(Projects[Currency],126)&amp;""</f>
        <v/>
      </c>
      <c r="U127" s="65">
        <f>INDEX(Projects[Sold Value (M)],126)</f>
        <v/>
      </c>
      <c r="V127" s="64">
        <f>IF('Smart Search'!B13=1,IFERROR(1/'Smart Search'!H13,0),0)</f>
        <v/>
      </c>
      <c r="W127" s="64">
        <f>IF('Smart Search'!B13=1,IFERROR(1/'Smart Search'!H13,0),0)</f>
        <v/>
      </c>
      <c r="X127" s="64">
        <f>IF('Smart Search'!C13=1,IFERROR(1/'Smart Search'!H13,0),0)</f>
        <v/>
      </c>
      <c r="Y127" s="64">
        <f>IF('Smart Search'!C13=1,IFERROR(1/'Smart Search'!H13,0),0)</f>
        <v/>
      </c>
      <c r="Z127" s="64">
        <f>IF('Smart Search'!D13=1,IFERROR(1/'Smart Search'!H13,0),0)</f>
        <v/>
      </c>
      <c r="AA127" s="64">
        <f>IF('Smart Search'!D13=1,IFERROR(1/'Smart Search'!H13,0),0)</f>
        <v/>
      </c>
      <c r="AB127" s="64">
        <f>IF('Smart Search'!E13=1,IFERROR(1/'Smart Search'!H13,0),0)</f>
        <v/>
      </c>
      <c r="AC127" s="64">
        <f>IF('Smart Search'!E13=1,IFERROR(1/'Smart Search'!H13,0),0)</f>
        <v/>
      </c>
      <c r="AD127" s="64">
        <f>IF('Smart Search'!F13=1,IFERROR(1/'Smart Search'!H13,0),0)</f>
        <v/>
      </c>
      <c r="AE127" s="64">
        <f>IF('Smart Search'!F13=1,IFERROR(1/'Smart Search'!H13,0),0)</f>
        <v/>
      </c>
      <c r="AF127" s="64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4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4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4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4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4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4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4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4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4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4">
        <f>AF127*V127</f>
        <v/>
      </c>
      <c r="AQ127" s="64">
        <f>AG127*W127</f>
        <v/>
      </c>
      <c r="AR127" s="64">
        <f>AH127*X127</f>
        <v/>
      </c>
      <c r="AS127" s="64">
        <f>AI127*Y127</f>
        <v/>
      </c>
      <c r="AT127" s="64">
        <f>AJ127*Z127</f>
        <v/>
      </c>
      <c r="AU127" s="64">
        <f>AK127*AA127</f>
        <v/>
      </c>
      <c r="AV127" s="64">
        <f>AL127*AB127</f>
        <v/>
      </c>
      <c r="AW127" s="64">
        <f>AM127*AC127</f>
        <v/>
      </c>
      <c r="AX127" s="64">
        <f>AN127*AD127</f>
        <v/>
      </c>
      <c r="AY127" s="64">
        <f>AO127*AE127</f>
        <v/>
      </c>
      <c r="AZ127" s="64">
        <f>INDEX(Projects[Automation Equipment],126)&amp;""</f>
        <v/>
      </c>
      <c r="BA127" s="64">
        <f>IF(OR(A127="",'Smart Search'!H13=0),"",MAX(0,BE127*BF127*MAX(0,1-BG127)))</f>
        <v/>
      </c>
      <c r="BB127" s="64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4">
        <f>IF('Smart Search'!G13=1,IFERROR(1/'Smart Search'!H13,0),0)</f>
        <v/>
      </c>
      <c r="BD127" s="64">
        <f>BB127*BC127</f>
        <v/>
      </c>
      <c r="BE127" s="64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IF(A127="","",N(INDEX(Projects[Act Mech Inst],126)))</f>
        <v/>
      </c>
      <c r="BK127" s="5">
        <f>IF(A127="","",N(INDEX(Projects[Act Elec Inst],126)))</f>
        <v/>
      </c>
      <c r="BL127" s="5">
        <f>IF(A127="","",N(INDEX(Projects[Act Project Management],126)))</f>
        <v/>
      </c>
      <c r="BM127" s="5">
        <f>IF(A127="","",N(INDEX(Projects[Act Systems Eng],126)))</f>
        <v/>
      </c>
      <c r="BN127" s="5">
        <f>IF(A127="","",N(INDEX(Projects[Act Mechanical Eng],126)))</f>
        <v/>
      </c>
      <c r="BO127" s="5">
        <f>IF(A127="","",N(INDEX(Projects[Act Structural Engineering],126)))</f>
        <v/>
      </c>
      <c r="BP127" s="5">
        <f>IF(A127="","",N(INDEX(Projects[Act Site Sup],126)))</f>
        <v/>
      </c>
      <c r="BQ127" s="5">
        <f>IF(A127="","",N(INDEX(Projects[Act Controls Commissioning],126)))</f>
        <v/>
      </c>
      <c r="BR127" s="5">
        <f>IF(A127="","",N(INDEX(Projects[Act Systems Commissioning],126)))</f>
        <v/>
      </c>
      <c r="BS127" s="5">
        <f>IF(A127="","",N(INDEX(Projects[Act Service Commissioning],126)))</f>
        <v/>
      </c>
      <c r="BT127" s="5">
        <f>IF(A127="","",N(INDEX(Projects[Act Controls Eng],126)))</f>
        <v/>
      </c>
      <c r="BU127" s="5">
        <f>IF(A127="","",N(INDEX(Projects[Act Controls Purchase],126)))</f>
        <v/>
      </c>
      <c r="BV127" s="5">
        <f>IF(A127="","",N(INDEX(Projects[Act Software Eng],126)))</f>
        <v/>
      </c>
      <c r="BW127" s="5">
        <f>IF(A127="","",N(INDEX(Projects[Act 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INDEX(Projects[Sold Value (USD M)],126)</f>
        <v/>
      </c>
      <c r="CE127" s="5" t="n"/>
      <c r="CF127" s="5">
        <f>IF(A127="","",N(INDEX(Projects[Est Mech Inst],126)))</f>
        <v/>
      </c>
      <c r="CG127" s="5">
        <f>IF(A127="","",N(INDEX(Projects[Est Elec Inst],126)))</f>
        <v/>
      </c>
      <c r="CH127" s="5">
        <f>IF(A127="","",N(INDEX(Projects[Est Project Management],126)))</f>
        <v/>
      </c>
      <c r="CI127" s="5">
        <f>IF(A127="","",N(INDEX(Projects[Est Systems Eng],126)))</f>
        <v/>
      </c>
      <c r="CJ127" s="5">
        <f>IF(A127="","",N(INDEX(Projects[Est Mechanical Eng],126)))</f>
        <v/>
      </c>
      <c r="CK127" s="5">
        <f>IF(A127="","",N(INDEX(Projects[Est Structural Engineering],126)))</f>
        <v/>
      </c>
      <c r="CL127" s="5">
        <f>IF(A127="","",N(INDEX(Projects[Est Site Sup],126)))</f>
        <v/>
      </c>
      <c r="CM127" s="5">
        <f>IF(A127="","",N(INDEX(Projects[Est Controls Commissioning],126)))</f>
        <v/>
      </c>
      <c r="CN127" s="5">
        <f>IF(A127="","",N(INDEX(Projects[Est Systems Commissioning],126)))</f>
        <v/>
      </c>
      <c r="CO127" s="5">
        <f>IF(A127="","",N(INDEX(Projects[Est Service Commissioning],126)))</f>
        <v/>
      </c>
      <c r="CP127" s="5">
        <f>IF(A127="","",N(INDEX(Projects[Est Controls Eng],126)))</f>
        <v/>
      </c>
      <c r="CQ127" s="5">
        <f>IF(A127="","",N(INDEX(Projects[Est Controls Purchase],126)))</f>
        <v/>
      </c>
      <c r="CR127" s="5">
        <f>IF(A127="","",N(INDEX(Projects[Est Software Eng],126)))</f>
        <v/>
      </c>
      <c r="CS127" s="5">
        <f>IF(A127="","",N(INDEX(Projects[Est Misc],126)))</f>
        <v/>
      </c>
      <c r="CT127" s="5">
        <f>IF(A127="","",SUM(CF127:CS127))</f>
        <v/>
      </c>
      <c r="CU127" s="5">
        <f>INDEX(Projects[Est Cost (M)],126)</f>
        <v/>
      </c>
      <c r="CV127" s="5">
        <f>INDEX(Projects[Act Cost (M)],126)</f>
        <v/>
      </c>
      <c r="CW127" s="5">
        <f>INDEX(Projects[Plan Mech Eng (wks)],126)</f>
        <v/>
      </c>
      <c r="CX127" s="5">
        <f>INDEX(Projects[Plan Controls Eng (wks)],126)</f>
        <v/>
      </c>
      <c r="CY127" s="5">
        <f>INDEX(Projects[Plan Systems Eng (wks)],126)</f>
        <v/>
      </c>
      <c r="CZ127" s="5">
        <f>INDEX(Projects[Plan Software Eng (wks)],126)</f>
        <v/>
      </c>
      <c r="DA127" s="5">
        <f>INDEX(Projects[Plan M&amp;E Installation (wks)],126)</f>
        <v/>
      </c>
      <c r="DB127" s="5">
        <f>INDEX(Projects[Plan Commissioning (wks)],126)</f>
        <v/>
      </c>
      <c r="DC127" s="5">
        <f>INDEX(Projects[Plan Total (wks)],126)</f>
        <v/>
      </c>
      <c r="DD127" s="5">
        <f>INDEX(Projects[Act Mech Eng (wks)],126)</f>
        <v/>
      </c>
      <c r="DE127" s="5">
        <f>INDEX(Projects[Act Controls Eng (wks)],126)</f>
        <v/>
      </c>
      <c r="DF127" s="5">
        <f>INDEX(Projects[Act Systems Eng (wks)],126)</f>
        <v/>
      </c>
      <c r="DG127" s="5">
        <f>INDEX(Projects[Act Software Eng (wks)],126)</f>
        <v/>
      </c>
      <c r="DH127" s="5">
        <f>INDEX(Projects[Act M&amp;E Installation (wks)],126)</f>
        <v/>
      </c>
      <c r="DI127" s="5">
        <f>INDEX(Projects[Act Commissioning (wks)],126)</f>
        <v/>
      </c>
      <c r="DJ127" s="5">
        <f>INDEX(Projects[Act Total (wks)],126)</f>
        <v/>
      </c>
    </row>
    <row r="128" ht="15" customHeight="1" s="82">
      <c r="A128" s="64">
        <f>INDEX(Projects[Project ID *],127)&amp;""</f>
        <v/>
      </c>
      <c r="B128" s="64">
        <f>INDEX(Projects[Project Name *],127)&amp;""</f>
        <v/>
      </c>
      <c r="C128" s="64">
        <f>INDEX(Projects[MS Shuttles],127)</f>
        <v/>
      </c>
      <c r="D128" s="64">
        <f>INDEX(Projects[MS Tote Locations],127)</f>
        <v/>
      </c>
      <c r="E128" s="64">
        <f>INDEX(Projects[AS Robots],127)</f>
        <v/>
      </c>
      <c r="F128" s="64">
        <f>INDEX(Projects[AS Tote Locations],127)</f>
        <v/>
      </c>
      <c r="G128" s="64">
        <f>INDEX(Projects[PS Shuttles],127)</f>
        <v/>
      </c>
      <c r="H128" s="64">
        <f>INDEX(Projects[PS Pallet Locations],127)</f>
        <v/>
      </c>
      <c r="I128" s="64">
        <f>INDEX(Projects[SRM Cranes],127)</f>
        <v/>
      </c>
      <c r="J128" s="64">
        <f>INDEX(Projects[SRM Pallet Locations],127)</f>
        <v/>
      </c>
      <c r="K128" s="64">
        <f>INDEX(Projects[Case Conv (m)],127)</f>
        <v/>
      </c>
      <c r="L128" s="64">
        <f>INDEX(Projects[Pallet Conv (m)],127)</f>
        <v/>
      </c>
      <c r="M128" s="64">
        <f>IF(N(DJ128)&gt;0,DD128,CW128)</f>
        <v/>
      </c>
      <c r="N128" s="64">
        <f>IF(N(DJ128)&gt;0,DE128,CX128)</f>
        <v/>
      </c>
      <c r="O128" s="64">
        <f>IF(N(DJ128)&gt;0,DF128,CY128)</f>
        <v/>
      </c>
      <c r="P128" s="64">
        <f>IF(N(DJ128)&gt;0,DG128,CZ128)</f>
        <v/>
      </c>
      <c r="Q128" s="64">
        <f>IF(N(DJ128)&gt;0,DH128,DA128)</f>
        <v/>
      </c>
      <c r="R128" s="64">
        <f>IF(N(DJ128)&gt;0,DI128,DB128)</f>
        <v/>
      </c>
      <c r="S128" s="64">
        <f>IF(N(DJ128)&gt;0,DJ128,DC128)</f>
        <v/>
      </c>
      <c r="T128" s="64">
        <f>INDEX(Projects[Currency],127)&amp;""</f>
        <v/>
      </c>
      <c r="U128" s="65">
        <f>INDEX(Projects[Sold Value (M)],127)</f>
        <v/>
      </c>
      <c r="V128" s="64">
        <f>IF('Smart Search'!B13=1,IFERROR(1/'Smart Search'!H13,0),0)</f>
        <v/>
      </c>
      <c r="W128" s="64">
        <f>IF('Smart Search'!B13=1,IFERROR(1/'Smart Search'!H13,0),0)</f>
        <v/>
      </c>
      <c r="X128" s="64">
        <f>IF('Smart Search'!C13=1,IFERROR(1/'Smart Search'!H13,0),0)</f>
        <v/>
      </c>
      <c r="Y128" s="64">
        <f>IF('Smart Search'!C13=1,IFERROR(1/'Smart Search'!H13,0),0)</f>
        <v/>
      </c>
      <c r="Z128" s="64">
        <f>IF('Smart Search'!D13=1,IFERROR(1/'Smart Search'!H13,0),0)</f>
        <v/>
      </c>
      <c r="AA128" s="64">
        <f>IF('Smart Search'!D13=1,IFERROR(1/'Smart Search'!H13,0),0)</f>
        <v/>
      </c>
      <c r="AB128" s="64">
        <f>IF('Smart Search'!E13=1,IFERROR(1/'Smart Search'!H13,0),0)</f>
        <v/>
      </c>
      <c r="AC128" s="64">
        <f>IF('Smart Search'!E13=1,IFERROR(1/'Smart Search'!H13,0),0)</f>
        <v/>
      </c>
      <c r="AD128" s="64">
        <f>IF('Smart Search'!F13=1,IFERROR(1/'Smart Search'!H13,0),0)</f>
        <v/>
      </c>
      <c r="AE128" s="64">
        <f>IF('Smart Search'!F13=1,IFERROR(1/'Smart Search'!H13,0),0)</f>
        <v/>
      </c>
      <c r="AF128" s="64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4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4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4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4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4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4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4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4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4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4">
        <f>AF128*V128</f>
        <v/>
      </c>
      <c r="AQ128" s="64">
        <f>AG128*W128</f>
        <v/>
      </c>
      <c r="AR128" s="64">
        <f>AH128*X128</f>
        <v/>
      </c>
      <c r="AS128" s="64">
        <f>AI128*Y128</f>
        <v/>
      </c>
      <c r="AT128" s="64">
        <f>AJ128*Z128</f>
        <v/>
      </c>
      <c r="AU128" s="64">
        <f>AK128*AA128</f>
        <v/>
      </c>
      <c r="AV128" s="64">
        <f>AL128*AB128</f>
        <v/>
      </c>
      <c r="AW128" s="64">
        <f>AM128*AC128</f>
        <v/>
      </c>
      <c r="AX128" s="64">
        <f>AN128*AD128</f>
        <v/>
      </c>
      <c r="AY128" s="64">
        <f>AO128*AE128</f>
        <v/>
      </c>
      <c r="AZ128" s="64">
        <f>INDEX(Projects[Automation Equipment],127)&amp;""</f>
        <v/>
      </c>
      <c r="BA128" s="64">
        <f>IF(OR(A128="",'Smart Search'!H13=0),"",MAX(0,BE128*BF128*MAX(0,1-BG128)))</f>
        <v/>
      </c>
      <c r="BB128" s="64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4">
        <f>IF('Smart Search'!G13=1,IFERROR(1/'Smart Search'!H13,0),0)</f>
        <v/>
      </c>
      <c r="BD128" s="64">
        <f>BB128*BC128</f>
        <v/>
      </c>
      <c r="BE128" s="64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IF(A128="","",N(INDEX(Projects[Act Mech Inst],127)))</f>
        <v/>
      </c>
      <c r="BK128" s="5">
        <f>IF(A128="","",N(INDEX(Projects[Act Elec Inst],127)))</f>
        <v/>
      </c>
      <c r="BL128" s="5">
        <f>IF(A128="","",N(INDEX(Projects[Act Project Management],127)))</f>
        <v/>
      </c>
      <c r="BM128" s="5">
        <f>IF(A128="","",N(INDEX(Projects[Act Systems Eng],127)))</f>
        <v/>
      </c>
      <c r="BN128" s="5">
        <f>IF(A128="","",N(INDEX(Projects[Act Mechanical Eng],127)))</f>
        <v/>
      </c>
      <c r="BO128" s="5">
        <f>IF(A128="","",N(INDEX(Projects[Act Structural Engineering],127)))</f>
        <v/>
      </c>
      <c r="BP128" s="5">
        <f>IF(A128="","",N(INDEX(Projects[Act Site Sup],127)))</f>
        <v/>
      </c>
      <c r="BQ128" s="5">
        <f>IF(A128="","",N(INDEX(Projects[Act Controls Commissioning],127)))</f>
        <v/>
      </c>
      <c r="BR128" s="5">
        <f>IF(A128="","",N(INDEX(Projects[Act Systems Commissioning],127)))</f>
        <v/>
      </c>
      <c r="BS128" s="5">
        <f>IF(A128="","",N(INDEX(Projects[Act Service Commissioning],127)))</f>
        <v/>
      </c>
      <c r="BT128" s="5">
        <f>IF(A128="","",N(INDEX(Projects[Act Controls Eng],127)))</f>
        <v/>
      </c>
      <c r="BU128" s="5">
        <f>IF(A128="","",N(INDEX(Projects[Act Controls Purchase],127)))</f>
        <v/>
      </c>
      <c r="BV128" s="5">
        <f>IF(A128="","",N(INDEX(Projects[Act Software Eng],127)))</f>
        <v/>
      </c>
      <c r="BW128" s="5">
        <f>IF(A128="","",N(INDEX(Projects[Act 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INDEX(Projects[Sold Value (USD M)],127)</f>
        <v/>
      </c>
      <c r="CE128" s="5" t="n"/>
      <c r="CF128" s="5">
        <f>IF(A128="","",N(INDEX(Projects[Est Mech Inst],127)))</f>
        <v/>
      </c>
      <c r="CG128" s="5">
        <f>IF(A128="","",N(INDEX(Projects[Est Elec Inst],127)))</f>
        <v/>
      </c>
      <c r="CH128" s="5">
        <f>IF(A128="","",N(INDEX(Projects[Est Project Management],127)))</f>
        <v/>
      </c>
      <c r="CI128" s="5">
        <f>IF(A128="","",N(INDEX(Projects[Est Systems Eng],127)))</f>
        <v/>
      </c>
      <c r="CJ128" s="5">
        <f>IF(A128="","",N(INDEX(Projects[Est Mechanical Eng],127)))</f>
        <v/>
      </c>
      <c r="CK128" s="5">
        <f>IF(A128="","",N(INDEX(Projects[Est Structural Engineering],127)))</f>
        <v/>
      </c>
      <c r="CL128" s="5">
        <f>IF(A128="","",N(INDEX(Projects[Est Site Sup],127)))</f>
        <v/>
      </c>
      <c r="CM128" s="5">
        <f>IF(A128="","",N(INDEX(Projects[Est Controls Commissioning],127)))</f>
        <v/>
      </c>
      <c r="CN128" s="5">
        <f>IF(A128="","",N(INDEX(Projects[Est Systems Commissioning],127)))</f>
        <v/>
      </c>
      <c r="CO128" s="5">
        <f>IF(A128="","",N(INDEX(Projects[Est Service Commissioning],127)))</f>
        <v/>
      </c>
      <c r="CP128" s="5">
        <f>IF(A128="","",N(INDEX(Projects[Est Controls Eng],127)))</f>
        <v/>
      </c>
      <c r="CQ128" s="5">
        <f>IF(A128="","",N(INDEX(Projects[Est Controls Purchase],127)))</f>
        <v/>
      </c>
      <c r="CR128" s="5">
        <f>IF(A128="","",N(INDEX(Projects[Est Software Eng],127)))</f>
        <v/>
      </c>
      <c r="CS128" s="5">
        <f>IF(A128="","",N(INDEX(Projects[Est Misc],127)))</f>
        <v/>
      </c>
      <c r="CT128" s="5">
        <f>IF(A128="","",SUM(CF128:CS128))</f>
        <v/>
      </c>
      <c r="CU128" s="5">
        <f>INDEX(Projects[Est Cost (M)],127)</f>
        <v/>
      </c>
      <c r="CV128" s="5">
        <f>INDEX(Projects[Act Cost (M)],127)</f>
        <v/>
      </c>
      <c r="CW128" s="5">
        <f>INDEX(Projects[Plan Mech Eng (wks)],127)</f>
        <v/>
      </c>
      <c r="CX128" s="5">
        <f>INDEX(Projects[Plan Controls Eng (wks)],127)</f>
        <v/>
      </c>
      <c r="CY128" s="5">
        <f>INDEX(Projects[Plan Systems Eng (wks)],127)</f>
        <v/>
      </c>
      <c r="CZ128" s="5">
        <f>INDEX(Projects[Plan Software Eng (wks)],127)</f>
        <v/>
      </c>
      <c r="DA128" s="5">
        <f>INDEX(Projects[Plan M&amp;E Installation (wks)],127)</f>
        <v/>
      </c>
      <c r="DB128" s="5">
        <f>INDEX(Projects[Plan Commissioning (wks)],127)</f>
        <v/>
      </c>
      <c r="DC128" s="5">
        <f>INDEX(Projects[Plan Total (wks)],127)</f>
        <v/>
      </c>
      <c r="DD128" s="5">
        <f>INDEX(Projects[Act Mech Eng (wks)],127)</f>
        <v/>
      </c>
      <c r="DE128" s="5">
        <f>INDEX(Projects[Act Controls Eng (wks)],127)</f>
        <v/>
      </c>
      <c r="DF128" s="5">
        <f>INDEX(Projects[Act Systems Eng (wks)],127)</f>
        <v/>
      </c>
      <c r="DG128" s="5">
        <f>INDEX(Projects[Act Software Eng (wks)],127)</f>
        <v/>
      </c>
      <c r="DH128" s="5">
        <f>INDEX(Projects[Act M&amp;E Installation (wks)],127)</f>
        <v/>
      </c>
      <c r="DI128" s="5">
        <f>INDEX(Projects[Act Commissioning (wks)],127)</f>
        <v/>
      </c>
      <c r="DJ128" s="5">
        <f>INDEX(Projects[Act Total (wks)],127)</f>
        <v/>
      </c>
    </row>
    <row r="129" ht="15" customHeight="1" s="82">
      <c r="A129" s="64">
        <f>INDEX(Projects[Project ID *],128)&amp;""</f>
        <v/>
      </c>
      <c r="B129" s="64">
        <f>INDEX(Projects[Project Name *],128)&amp;""</f>
        <v/>
      </c>
      <c r="C129" s="64">
        <f>INDEX(Projects[MS Shuttles],128)</f>
        <v/>
      </c>
      <c r="D129" s="64">
        <f>INDEX(Projects[MS Tote Locations],128)</f>
        <v/>
      </c>
      <c r="E129" s="64">
        <f>INDEX(Projects[AS Robots],128)</f>
        <v/>
      </c>
      <c r="F129" s="64">
        <f>INDEX(Projects[AS Tote Locations],128)</f>
        <v/>
      </c>
      <c r="G129" s="64">
        <f>INDEX(Projects[PS Shuttles],128)</f>
        <v/>
      </c>
      <c r="H129" s="64">
        <f>INDEX(Projects[PS Pallet Locations],128)</f>
        <v/>
      </c>
      <c r="I129" s="64">
        <f>INDEX(Projects[SRM Cranes],128)</f>
        <v/>
      </c>
      <c r="J129" s="64">
        <f>INDEX(Projects[SRM Pallet Locations],128)</f>
        <v/>
      </c>
      <c r="K129" s="64">
        <f>INDEX(Projects[Case Conv (m)],128)</f>
        <v/>
      </c>
      <c r="L129" s="64">
        <f>INDEX(Projects[Pallet Conv (m)],128)</f>
        <v/>
      </c>
      <c r="M129" s="64">
        <f>IF(N(DJ129)&gt;0,DD129,CW129)</f>
        <v/>
      </c>
      <c r="N129" s="64">
        <f>IF(N(DJ129)&gt;0,DE129,CX129)</f>
        <v/>
      </c>
      <c r="O129" s="64">
        <f>IF(N(DJ129)&gt;0,DF129,CY129)</f>
        <v/>
      </c>
      <c r="P129" s="64">
        <f>IF(N(DJ129)&gt;0,DG129,CZ129)</f>
        <v/>
      </c>
      <c r="Q129" s="64">
        <f>IF(N(DJ129)&gt;0,DH129,DA129)</f>
        <v/>
      </c>
      <c r="R129" s="64">
        <f>IF(N(DJ129)&gt;0,DI129,DB129)</f>
        <v/>
      </c>
      <c r="S129" s="64">
        <f>IF(N(DJ129)&gt;0,DJ129,DC129)</f>
        <v/>
      </c>
      <c r="T129" s="64">
        <f>INDEX(Projects[Currency],128)&amp;""</f>
        <v/>
      </c>
      <c r="U129" s="65">
        <f>INDEX(Projects[Sold Value (M)],128)</f>
        <v/>
      </c>
      <c r="V129" s="64">
        <f>IF('Smart Search'!B13=1,IFERROR(1/'Smart Search'!H13,0),0)</f>
        <v/>
      </c>
      <c r="W129" s="64">
        <f>IF('Smart Search'!B13=1,IFERROR(1/'Smart Search'!H13,0),0)</f>
        <v/>
      </c>
      <c r="X129" s="64">
        <f>IF('Smart Search'!C13=1,IFERROR(1/'Smart Search'!H13,0),0)</f>
        <v/>
      </c>
      <c r="Y129" s="64">
        <f>IF('Smart Search'!C13=1,IFERROR(1/'Smart Search'!H13,0),0)</f>
        <v/>
      </c>
      <c r="Z129" s="64">
        <f>IF('Smart Search'!D13=1,IFERROR(1/'Smart Search'!H13,0),0)</f>
        <v/>
      </c>
      <c r="AA129" s="64">
        <f>IF('Smart Search'!D13=1,IFERROR(1/'Smart Search'!H13,0),0)</f>
        <v/>
      </c>
      <c r="AB129" s="64">
        <f>IF('Smart Search'!E13=1,IFERROR(1/'Smart Search'!H13,0),0)</f>
        <v/>
      </c>
      <c r="AC129" s="64">
        <f>IF('Smart Search'!E13=1,IFERROR(1/'Smart Search'!H13,0),0)</f>
        <v/>
      </c>
      <c r="AD129" s="64">
        <f>IF('Smart Search'!F13=1,IFERROR(1/'Smart Search'!H13,0),0)</f>
        <v/>
      </c>
      <c r="AE129" s="64">
        <f>IF('Smart Search'!F13=1,IFERROR(1/'Smart Search'!H13,0),0)</f>
        <v/>
      </c>
      <c r="AF129" s="64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4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4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4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4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4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4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4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4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4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4">
        <f>AF129*V129</f>
        <v/>
      </c>
      <c r="AQ129" s="64">
        <f>AG129*W129</f>
        <v/>
      </c>
      <c r="AR129" s="64">
        <f>AH129*X129</f>
        <v/>
      </c>
      <c r="AS129" s="64">
        <f>AI129*Y129</f>
        <v/>
      </c>
      <c r="AT129" s="64">
        <f>AJ129*Z129</f>
        <v/>
      </c>
      <c r="AU129" s="64">
        <f>AK129*AA129</f>
        <v/>
      </c>
      <c r="AV129" s="64">
        <f>AL129*AB129</f>
        <v/>
      </c>
      <c r="AW129" s="64">
        <f>AM129*AC129</f>
        <v/>
      </c>
      <c r="AX129" s="64">
        <f>AN129*AD129</f>
        <v/>
      </c>
      <c r="AY129" s="64">
        <f>AO129*AE129</f>
        <v/>
      </c>
      <c r="AZ129" s="64">
        <f>INDEX(Projects[Automation Equipment],128)&amp;""</f>
        <v/>
      </c>
      <c r="BA129" s="64">
        <f>IF(OR(A129="",'Smart Search'!H13=0),"",MAX(0,BE129*BF129*MAX(0,1-BG129)))</f>
        <v/>
      </c>
      <c r="BB129" s="64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4">
        <f>IF('Smart Search'!G13=1,IFERROR(1/'Smart Search'!H13,0),0)</f>
        <v/>
      </c>
      <c r="BD129" s="64">
        <f>BB129*BC129</f>
        <v/>
      </c>
      <c r="BE129" s="64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IF(A129="","",N(INDEX(Projects[Act Mech Inst],128)))</f>
        <v/>
      </c>
      <c r="BK129" s="5">
        <f>IF(A129="","",N(INDEX(Projects[Act Elec Inst],128)))</f>
        <v/>
      </c>
      <c r="BL129" s="5">
        <f>IF(A129="","",N(INDEX(Projects[Act Project Management],128)))</f>
        <v/>
      </c>
      <c r="BM129" s="5">
        <f>IF(A129="","",N(INDEX(Projects[Act Systems Eng],128)))</f>
        <v/>
      </c>
      <c r="BN129" s="5">
        <f>IF(A129="","",N(INDEX(Projects[Act Mechanical Eng],128)))</f>
        <v/>
      </c>
      <c r="BO129" s="5">
        <f>IF(A129="","",N(INDEX(Projects[Act Structural Engineering],128)))</f>
        <v/>
      </c>
      <c r="BP129" s="5">
        <f>IF(A129="","",N(INDEX(Projects[Act Site Sup],128)))</f>
        <v/>
      </c>
      <c r="BQ129" s="5">
        <f>IF(A129="","",N(INDEX(Projects[Act Controls Commissioning],128)))</f>
        <v/>
      </c>
      <c r="BR129" s="5">
        <f>IF(A129="","",N(INDEX(Projects[Act Systems Commissioning],128)))</f>
        <v/>
      </c>
      <c r="BS129" s="5">
        <f>IF(A129="","",N(INDEX(Projects[Act Service Commissioning],128)))</f>
        <v/>
      </c>
      <c r="BT129" s="5">
        <f>IF(A129="","",N(INDEX(Projects[Act Controls Eng],128)))</f>
        <v/>
      </c>
      <c r="BU129" s="5">
        <f>IF(A129="","",N(INDEX(Projects[Act Controls Purchase],128)))</f>
        <v/>
      </c>
      <c r="BV129" s="5">
        <f>IF(A129="","",N(INDEX(Projects[Act Software Eng],128)))</f>
        <v/>
      </c>
      <c r="BW129" s="5">
        <f>IF(A129="","",N(INDEX(Projects[Act 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INDEX(Projects[Sold Value (USD M)],128)</f>
        <v/>
      </c>
      <c r="CE129" s="5" t="n"/>
      <c r="CF129" s="5">
        <f>IF(A129="","",N(INDEX(Projects[Est Mech Inst],128)))</f>
        <v/>
      </c>
      <c r="CG129" s="5">
        <f>IF(A129="","",N(INDEX(Projects[Est Elec Inst],128)))</f>
        <v/>
      </c>
      <c r="CH129" s="5">
        <f>IF(A129="","",N(INDEX(Projects[Est Project Management],128)))</f>
        <v/>
      </c>
      <c r="CI129" s="5">
        <f>IF(A129="","",N(INDEX(Projects[Est Systems Eng],128)))</f>
        <v/>
      </c>
      <c r="CJ129" s="5">
        <f>IF(A129="","",N(INDEX(Projects[Est Mechanical Eng],128)))</f>
        <v/>
      </c>
      <c r="CK129" s="5">
        <f>IF(A129="","",N(INDEX(Projects[Est Structural Engineering],128)))</f>
        <v/>
      </c>
      <c r="CL129" s="5">
        <f>IF(A129="","",N(INDEX(Projects[Est Site Sup],128)))</f>
        <v/>
      </c>
      <c r="CM129" s="5">
        <f>IF(A129="","",N(INDEX(Projects[Est Controls Commissioning],128)))</f>
        <v/>
      </c>
      <c r="CN129" s="5">
        <f>IF(A129="","",N(INDEX(Projects[Est Systems Commissioning],128)))</f>
        <v/>
      </c>
      <c r="CO129" s="5">
        <f>IF(A129="","",N(INDEX(Projects[Est Service Commissioning],128)))</f>
        <v/>
      </c>
      <c r="CP129" s="5">
        <f>IF(A129="","",N(INDEX(Projects[Est Controls Eng],128)))</f>
        <v/>
      </c>
      <c r="CQ129" s="5">
        <f>IF(A129="","",N(INDEX(Projects[Est Controls Purchase],128)))</f>
        <v/>
      </c>
      <c r="CR129" s="5">
        <f>IF(A129="","",N(INDEX(Projects[Est Software Eng],128)))</f>
        <v/>
      </c>
      <c r="CS129" s="5">
        <f>IF(A129="","",N(INDEX(Projects[Est Misc],128)))</f>
        <v/>
      </c>
      <c r="CT129" s="5">
        <f>IF(A129="","",SUM(CF129:CS129))</f>
        <v/>
      </c>
      <c r="CU129" s="5">
        <f>INDEX(Projects[Est Cost (M)],128)</f>
        <v/>
      </c>
      <c r="CV129" s="5">
        <f>INDEX(Projects[Act Cost (M)],128)</f>
        <v/>
      </c>
      <c r="CW129" s="5">
        <f>INDEX(Projects[Plan Mech Eng (wks)],128)</f>
        <v/>
      </c>
      <c r="CX129" s="5">
        <f>INDEX(Projects[Plan Controls Eng (wks)],128)</f>
        <v/>
      </c>
      <c r="CY129" s="5">
        <f>INDEX(Projects[Plan Systems Eng (wks)],128)</f>
        <v/>
      </c>
      <c r="CZ129" s="5">
        <f>INDEX(Projects[Plan Software Eng (wks)],128)</f>
        <v/>
      </c>
      <c r="DA129" s="5">
        <f>INDEX(Projects[Plan M&amp;E Installation (wks)],128)</f>
        <v/>
      </c>
      <c r="DB129" s="5">
        <f>INDEX(Projects[Plan Commissioning (wks)],128)</f>
        <v/>
      </c>
      <c r="DC129" s="5">
        <f>INDEX(Projects[Plan Total (wks)],128)</f>
        <v/>
      </c>
      <c r="DD129" s="5">
        <f>INDEX(Projects[Act Mech Eng (wks)],128)</f>
        <v/>
      </c>
      <c r="DE129" s="5">
        <f>INDEX(Projects[Act Controls Eng (wks)],128)</f>
        <v/>
      </c>
      <c r="DF129" s="5">
        <f>INDEX(Projects[Act Systems Eng (wks)],128)</f>
        <v/>
      </c>
      <c r="DG129" s="5">
        <f>INDEX(Projects[Act Software Eng (wks)],128)</f>
        <v/>
      </c>
      <c r="DH129" s="5">
        <f>INDEX(Projects[Act M&amp;E Installation (wks)],128)</f>
        <v/>
      </c>
      <c r="DI129" s="5">
        <f>INDEX(Projects[Act Commissioning (wks)],128)</f>
        <v/>
      </c>
      <c r="DJ129" s="5">
        <f>INDEX(Projects[Act Total (wks)],128)</f>
        <v/>
      </c>
    </row>
    <row r="130" ht="15" customHeight="1" s="82">
      <c r="A130" s="64">
        <f>INDEX(Projects[Project ID *],129)&amp;""</f>
        <v/>
      </c>
      <c r="B130" s="64">
        <f>INDEX(Projects[Project Name *],129)&amp;""</f>
        <v/>
      </c>
      <c r="C130" s="64">
        <f>INDEX(Projects[MS Shuttles],129)</f>
        <v/>
      </c>
      <c r="D130" s="64">
        <f>INDEX(Projects[MS Tote Locations],129)</f>
        <v/>
      </c>
      <c r="E130" s="64">
        <f>INDEX(Projects[AS Robots],129)</f>
        <v/>
      </c>
      <c r="F130" s="64">
        <f>INDEX(Projects[AS Tote Locations],129)</f>
        <v/>
      </c>
      <c r="G130" s="64">
        <f>INDEX(Projects[PS Shuttles],129)</f>
        <v/>
      </c>
      <c r="H130" s="64">
        <f>INDEX(Projects[PS Pallet Locations],129)</f>
        <v/>
      </c>
      <c r="I130" s="64">
        <f>INDEX(Projects[SRM Cranes],129)</f>
        <v/>
      </c>
      <c r="J130" s="64">
        <f>INDEX(Projects[SRM Pallet Locations],129)</f>
        <v/>
      </c>
      <c r="K130" s="64">
        <f>INDEX(Projects[Case Conv (m)],129)</f>
        <v/>
      </c>
      <c r="L130" s="64">
        <f>INDEX(Projects[Pallet Conv (m)],129)</f>
        <v/>
      </c>
      <c r="M130" s="64">
        <f>IF(N(DJ130)&gt;0,DD130,CW130)</f>
        <v/>
      </c>
      <c r="N130" s="64">
        <f>IF(N(DJ130)&gt;0,DE130,CX130)</f>
        <v/>
      </c>
      <c r="O130" s="64">
        <f>IF(N(DJ130)&gt;0,DF130,CY130)</f>
        <v/>
      </c>
      <c r="P130" s="64">
        <f>IF(N(DJ130)&gt;0,DG130,CZ130)</f>
        <v/>
      </c>
      <c r="Q130" s="64">
        <f>IF(N(DJ130)&gt;0,DH130,DA130)</f>
        <v/>
      </c>
      <c r="R130" s="64">
        <f>IF(N(DJ130)&gt;0,DI130,DB130)</f>
        <v/>
      </c>
      <c r="S130" s="64">
        <f>IF(N(DJ130)&gt;0,DJ130,DC130)</f>
        <v/>
      </c>
      <c r="T130" s="64">
        <f>INDEX(Projects[Currency],129)&amp;""</f>
        <v/>
      </c>
      <c r="U130" s="65">
        <f>INDEX(Projects[Sold Value (M)],129)</f>
        <v/>
      </c>
      <c r="V130" s="64">
        <f>IF('Smart Search'!B13=1,IFERROR(1/'Smart Search'!H13,0),0)</f>
        <v/>
      </c>
      <c r="W130" s="64">
        <f>IF('Smart Search'!B13=1,IFERROR(1/'Smart Search'!H13,0),0)</f>
        <v/>
      </c>
      <c r="X130" s="64">
        <f>IF('Smart Search'!C13=1,IFERROR(1/'Smart Search'!H13,0),0)</f>
        <v/>
      </c>
      <c r="Y130" s="64">
        <f>IF('Smart Search'!C13=1,IFERROR(1/'Smart Search'!H13,0),0)</f>
        <v/>
      </c>
      <c r="Z130" s="64">
        <f>IF('Smart Search'!D13=1,IFERROR(1/'Smart Search'!H13,0),0)</f>
        <v/>
      </c>
      <c r="AA130" s="64">
        <f>IF('Smart Search'!D13=1,IFERROR(1/'Smart Search'!H13,0),0)</f>
        <v/>
      </c>
      <c r="AB130" s="64">
        <f>IF('Smart Search'!E13=1,IFERROR(1/'Smart Search'!H13,0),0)</f>
        <v/>
      </c>
      <c r="AC130" s="64">
        <f>IF('Smart Search'!E13=1,IFERROR(1/'Smart Search'!H13,0),0)</f>
        <v/>
      </c>
      <c r="AD130" s="64">
        <f>IF('Smart Search'!F13=1,IFERROR(1/'Smart Search'!H13,0),0)</f>
        <v/>
      </c>
      <c r="AE130" s="64">
        <f>IF('Smart Search'!F13=1,IFERROR(1/'Smart Search'!H13,0),0)</f>
        <v/>
      </c>
      <c r="AF130" s="64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4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4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4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4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4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4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4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4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4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4">
        <f>AF130*V130</f>
        <v/>
      </c>
      <c r="AQ130" s="64">
        <f>AG130*W130</f>
        <v/>
      </c>
      <c r="AR130" s="64">
        <f>AH130*X130</f>
        <v/>
      </c>
      <c r="AS130" s="64">
        <f>AI130*Y130</f>
        <v/>
      </c>
      <c r="AT130" s="64">
        <f>AJ130*Z130</f>
        <v/>
      </c>
      <c r="AU130" s="64">
        <f>AK130*AA130</f>
        <v/>
      </c>
      <c r="AV130" s="64">
        <f>AL130*AB130</f>
        <v/>
      </c>
      <c r="AW130" s="64">
        <f>AM130*AC130</f>
        <v/>
      </c>
      <c r="AX130" s="64">
        <f>AN130*AD130</f>
        <v/>
      </c>
      <c r="AY130" s="64">
        <f>AO130*AE130</f>
        <v/>
      </c>
      <c r="AZ130" s="64">
        <f>INDEX(Projects[Automation Equipment],129)&amp;""</f>
        <v/>
      </c>
      <c r="BA130" s="64">
        <f>IF(OR(A130="",'Smart Search'!H13=0),"",MAX(0,BE130*BF130*MAX(0,1-BG130)))</f>
        <v/>
      </c>
      <c r="BB130" s="64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4">
        <f>IF('Smart Search'!G13=1,IFERROR(1/'Smart Search'!H13,0),0)</f>
        <v/>
      </c>
      <c r="BD130" s="64">
        <f>BB130*BC130</f>
        <v/>
      </c>
      <c r="BE130" s="64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IF(A130="","",N(INDEX(Projects[Act Mech Inst],129)))</f>
        <v/>
      </c>
      <c r="BK130" s="5">
        <f>IF(A130="","",N(INDEX(Projects[Act Elec Inst],129)))</f>
        <v/>
      </c>
      <c r="BL130" s="5">
        <f>IF(A130="","",N(INDEX(Projects[Act Project Management],129)))</f>
        <v/>
      </c>
      <c r="BM130" s="5">
        <f>IF(A130="","",N(INDEX(Projects[Act Systems Eng],129)))</f>
        <v/>
      </c>
      <c r="BN130" s="5">
        <f>IF(A130="","",N(INDEX(Projects[Act Mechanical Eng],129)))</f>
        <v/>
      </c>
      <c r="BO130" s="5">
        <f>IF(A130="","",N(INDEX(Projects[Act Structural Engineering],129)))</f>
        <v/>
      </c>
      <c r="BP130" s="5">
        <f>IF(A130="","",N(INDEX(Projects[Act Site Sup],129)))</f>
        <v/>
      </c>
      <c r="BQ130" s="5">
        <f>IF(A130="","",N(INDEX(Projects[Act Controls Commissioning],129)))</f>
        <v/>
      </c>
      <c r="BR130" s="5">
        <f>IF(A130="","",N(INDEX(Projects[Act Systems Commissioning],129)))</f>
        <v/>
      </c>
      <c r="BS130" s="5">
        <f>IF(A130="","",N(INDEX(Projects[Act Service Commissioning],129)))</f>
        <v/>
      </c>
      <c r="BT130" s="5">
        <f>IF(A130="","",N(INDEX(Projects[Act Controls Eng],129)))</f>
        <v/>
      </c>
      <c r="BU130" s="5">
        <f>IF(A130="","",N(INDEX(Projects[Act Controls Purchase],129)))</f>
        <v/>
      </c>
      <c r="BV130" s="5">
        <f>IF(A130="","",N(INDEX(Projects[Act Software Eng],129)))</f>
        <v/>
      </c>
      <c r="BW130" s="5">
        <f>IF(A130="","",N(INDEX(Projects[Act 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INDEX(Projects[Sold Value (USD M)],129)</f>
        <v/>
      </c>
      <c r="CE130" s="5" t="n"/>
      <c r="CF130" s="5">
        <f>IF(A130="","",N(INDEX(Projects[Est Mech Inst],129)))</f>
        <v/>
      </c>
      <c r="CG130" s="5">
        <f>IF(A130="","",N(INDEX(Projects[Est Elec Inst],129)))</f>
        <v/>
      </c>
      <c r="CH130" s="5">
        <f>IF(A130="","",N(INDEX(Projects[Est Project Management],129)))</f>
        <v/>
      </c>
      <c r="CI130" s="5">
        <f>IF(A130="","",N(INDEX(Projects[Est Systems Eng],129)))</f>
        <v/>
      </c>
      <c r="CJ130" s="5">
        <f>IF(A130="","",N(INDEX(Projects[Est Mechanical Eng],129)))</f>
        <v/>
      </c>
      <c r="CK130" s="5">
        <f>IF(A130="","",N(INDEX(Projects[Est Structural Engineering],129)))</f>
        <v/>
      </c>
      <c r="CL130" s="5">
        <f>IF(A130="","",N(INDEX(Projects[Est Site Sup],129)))</f>
        <v/>
      </c>
      <c r="CM130" s="5">
        <f>IF(A130="","",N(INDEX(Projects[Est Controls Commissioning],129)))</f>
        <v/>
      </c>
      <c r="CN130" s="5">
        <f>IF(A130="","",N(INDEX(Projects[Est Systems Commissioning],129)))</f>
        <v/>
      </c>
      <c r="CO130" s="5">
        <f>IF(A130="","",N(INDEX(Projects[Est Service Commissioning],129)))</f>
        <v/>
      </c>
      <c r="CP130" s="5">
        <f>IF(A130="","",N(INDEX(Projects[Est Controls Eng],129)))</f>
        <v/>
      </c>
      <c r="CQ130" s="5">
        <f>IF(A130="","",N(INDEX(Projects[Est Controls Purchase],129)))</f>
        <v/>
      </c>
      <c r="CR130" s="5">
        <f>IF(A130="","",N(INDEX(Projects[Est Software Eng],129)))</f>
        <v/>
      </c>
      <c r="CS130" s="5">
        <f>IF(A130="","",N(INDEX(Projects[Est Misc],129)))</f>
        <v/>
      </c>
      <c r="CT130" s="5">
        <f>IF(A130="","",SUM(CF130:CS130))</f>
        <v/>
      </c>
      <c r="CU130" s="5">
        <f>INDEX(Projects[Est Cost (M)],129)</f>
        <v/>
      </c>
      <c r="CV130" s="5">
        <f>INDEX(Projects[Act Cost (M)],129)</f>
        <v/>
      </c>
      <c r="CW130" s="5">
        <f>INDEX(Projects[Plan Mech Eng (wks)],129)</f>
        <v/>
      </c>
      <c r="CX130" s="5">
        <f>INDEX(Projects[Plan Controls Eng (wks)],129)</f>
        <v/>
      </c>
      <c r="CY130" s="5">
        <f>INDEX(Projects[Plan Systems Eng (wks)],129)</f>
        <v/>
      </c>
      <c r="CZ130" s="5">
        <f>INDEX(Projects[Plan Software Eng (wks)],129)</f>
        <v/>
      </c>
      <c r="DA130" s="5">
        <f>INDEX(Projects[Plan M&amp;E Installation (wks)],129)</f>
        <v/>
      </c>
      <c r="DB130" s="5">
        <f>INDEX(Projects[Plan Commissioning (wks)],129)</f>
        <v/>
      </c>
      <c r="DC130" s="5">
        <f>INDEX(Projects[Plan Total (wks)],129)</f>
        <v/>
      </c>
      <c r="DD130" s="5">
        <f>INDEX(Projects[Act Mech Eng (wks)],129)</f>
        <v/>
      </c>
      <c r="DE130" s="5">
        <f>INDEX(Projects[Act Controls Eng (wks)],129)</f>
        <v/>
      </c>
      <c r="DF130" s="5">
        <f>INDEX(Projects[Act Systems Eng (wks)],129)</f>
        <v/>
      </c>
      <c r="DG130" s="5">
        <f>INDEX(Projects[Act Software Eng (wks)],129)</f>
        <v/>
      </c>
      <c r="DH130" s="5">
        <f>INDEX(Projects[Act M&amp;E Installation (wks)],129)</f>
        <v/>
      </c>
      <c r="DI130" s="5">
        <f>INDEX(Projects[Act Commissioning (wks)],129)</f>
        <v/>
      </c>
      <c r="DJ130" s="5">
        <f>INDEX(Projects[Act Total (wks)],129)</f>
        <v/>
      </c>
    </row>
    <row r="131" ht="15" customHeight="1" s="82">
      <c r="A131" s="64">
        <f>INDEX(Projects[Project ID *],130)&amp;""</f>
        <v/>
      </c>
      <c r="B131" s="64">
        <f>INDEX(Projects[Project Name *],130)&amp;""</f>
        <v/>
      </c>
      <c r="C131" s="64">
        <f>INDEX(Projects[MS Shuttles],130)</f>
        <v/>
      </c>
      <c r="D131" s="64">
        <f>INDEX(Projects[MS Tote Locations],130)</f>
        <v/>
      </c>
      <c r="E131" s="64">
        <f>INDEX(Projects[AS Robots],130)</f>
        <v/>
      </c>
      <c r="F131" s="64">
        <f>INDEX(Projects[AS Tote Locations],130)</f>
        <v/>
      </c>
      <c r="G131" s="64">
        <f>INDEX(Projects[PS Shuttles],130)</f>
        <v/>
      </c>
      <c r="H131" s="64">
        <f>INDEX(Projects[PS Pallet Locations],130)</f>
        <v/>
      </c>
      <c r="I131" s="64">
        <f>INDEX(Projects[SRM Cranes],130)</f>
        <v/>
      </c>
      <c r="J131" s="64">
        <f>INDEX(Projects[SRM Pallet Locations],130)</f>
        <v/>
      </c>
      <c r="K131" s="64">
        <f>INDEX(Projects[Case Conv (m)],130)</f>
        <v/>
      </c>
      <c r="L131" s="64">
        <f>INDEX(Projects[Pallet Conv (m)],130)</f>
        <v/>
      </c>
      <c r="M131" s="64">
        <f>IF(N(DJ131)&gt;0,DD131,CW131)</f>
        <v/>
      </c>
      <c r="N131" s="64">
        <f>IF(N(DJ131)&gt;0,DE131,CX131)</f>
        <v/>
      </c>
      <c r="O131" s="64">
        <f>IF(N(DJ131)&gt;0,DF131,CY131)</f>
        <v/>
      </c>
      <c r="P131" s="64">
        <f>IF(N(DJ131)&gt;0,DG131,CZ131)</f>
        <v/>
      </c>
      <c r="Q131" s="64">
        <f>IF(N(DJ131)&gt;0,DH131,DA131)</f>
        <v/>
      </c>
      <c r="R131" s="64">
        <f>IF(N(DJ131)&gt;0,DI131,DB131)</f>
        <v/>
      </c>
      <c r="S131" s="64">
        <f>IF(N(DJ131)&gt;0,DJ131,DC131)</f>
        <v/>
      </c>
      <c r="T131" s="64">
        <f>INDEX(Projects[Currency],130)&amp;""</f>
        <v/>
      </c>
      <c r="U131" s="65">
        <f>INDEX(Projects[Sold Value (M)],130)</f>
        <v/>
      </c>
      <c r="V131" s="64">
        <f>IF('Smart Search'!B13=1,IFERROR(1/'Smart Search'!H13,0),0)</f>
        <v/>
      </c>
      <c r="W131" s="64">
        <f>IF('Smart Search'!B13=1,IFERROR(1/'Smart Search'!H13,0),0)</f>
        <v/>
      </c>
      <c r="X131" s="64">
        <f>IF('Smart Search'!C13=1,IFERROR(1/'Smart Search'!H13,0),0)</f>
        <v/>
      </c>
      <c r="Y131" s="64">
        <f>IF('Smart Search'!C13=1,IFERROR(1/'Smart Search'!H13,0),0)</f>
        <v/>
      </c>
      <c r="Z131" s="64">
        <f>IF('Smart Search'!D13=1,IFERROR(1/'Smart Search'!H13,0),0)</f>
        <v/>
      </c>
      <c r="AA131" s="64">
        <f>IF('Smart Search'!D13=1,IFERROR(1/'Smart Search'!H13,0),0)</f>
        <v/>
      </c>
      <c r="AB131" s="64">
        <f>IF('Smart Search'!E13=1,IFERROR(1/'Smart Search'!H13,0),0)</f>
        <v/>
      </c>
      <c r="AC131" s="64">
        <f>IF('Smart Search'!E13=1,IFERROR(1/'Smart Search'!H13,0),0)</f>
        <v/>
      </c>
      <c r="AD131" s="64">
        <f>IF('Smart Search'!F13=1,IFERROR(1/'Smart Search'!H13,0),0)</f>
        <v/>
      </c>
      <c r="AE131" s="64">
        <f>IF('Smart Search'!F13=1,IFERROR(1/'Smart Search'!H13,0),0)</f>
        <v/>
      </c>
      <c r="AF131" s="64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4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4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4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4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4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4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4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4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4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4">
        <f>AF131*V131</f>
        <v/>
      </c>
      <c r="AQ131" s="64">
        <f>AG131*W131</f>
        <v/>
      </c>
      <c r="AR131" s="64">
        <f>AH131*X131</f>
        <v/>
      </c>
      <c r="AS131" s="64">
        <f>AI131*Y131</f>
        <v/>
      </c>
      <c r="AT131" s="64">
        <f>AJ131*Z131</f>
        <v/>
      </c>
      <c r="AU131" s="64">
        <f>AK131*AA131</f>
        <v/>
      </c>
      <c r="AV131" s="64">
        <f>AL131*AB131</f>
        <v/>
      </c>
      <c r="AW131" s="64">
        <f>AM131*AC131</f>
        <v/>
      </c>
      <c r="AX131" s="64">
        <f>AN131*AD131</f>
        <v/>
      </c>
      <c r="AY131" s="64">
        <f>AO131*AE131</f>
        <v/>
      </c>
      <c r="AZ131" s="64">
        <f>INDEX(Projects[Automation Equipment],130)&amp;""</f>
        <v/>
      </c>
      <c r="BA131" s="64">
        <f>IF(OR(A131="",'Smart Search'!H13=0),"",MAX(0,BE131*BF131*MAX(0,1-BG131)))</f>
        <v/>
      </c>
      <c r="BB131" s="64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4">
        <f>IF('Smart Search'!G13=1,IFERROR(1/'Smart Search'!H13,0),0)</f>
        <v/>
      </c>
      <c r="BD131" s="64">
        <f>BB131*BC131</f>
        <v/>
      </c>
      <c r="BE131" s="64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IF(A131="","",N(INDEX(Projects[Act Mech Inst],130)))</f>
        <v/>
      </c>
      <c r="BK131" s="5">
        <f>IF(A131="","",N(INDEX(Projects[Act Elec Inst],130)))</f>
        <v/>
      </c>
      <c r="BL131" s="5">
        <f>IF(A131="","",N(INDEX(Projects[Act Project Management],130)))</f>
        <v/>
      </c>
      <c r="BM131" s="5">
        <f>IF(A131="","",N(INDEX(Projects[Act Systems Eng],130)))</f>
        <v/>
      </c>
      <c r="BN131" s="5">
        <f>IF(A131="","",N(INDEX(Projects[Act Mechanical Eng],130)))</f>
        <v/>
      </c>
      <c r="BO131" s="5">
        <f>IF(A131="","",N(INDEX(Projects[Act Structural Engineering],130)))</f>
        <v/>
      </c>
      <c r="BP131" s="5">
        <f>IF(A131="","",N(INDEX(Projects[Act Site Sup],130)))</f>
        <v/>
      </c>
      <c r="BQ131" s="5">
        <f>IF(A131="","",N(INDEX(Projects[Act Controls Commissioning],130)))</f>
        <v/>
      </c>
      <c r="BR131" s="5">
        <f>IF(A131="","",N(INDEX(Projects[Act Systems Commissioning],130)))</f>
        <v/>
      </c>
      <c r="BS131" s="5">
        <f>IF(A131="","",N(INDEX(Projects[Act Service Commissioning],130)))</f>
        <v/>
      </c>
      <c r="BT131" s="5">
        <f>IF(A131="","",N(INDEX(Projects[Act Controls Eng],130)))</f>
        <v/>
      </c>
      <c r="BU131" s="5">
        <f>IF(A131="","",N(INDEX(Projects[Act Controls Purchase],130)))</f>
        <v/>
      </c>
      <c r="BV131" s="5">
        <f>IF(A131="","",N(INDEX(Projects[Act Software Eng],130)))</f>
        <v/>
      </c>
      <c r="BW131" s="5">
        <f>IF(A131="","",N(INDEX(Projects[Act 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INDEX(Projects[Sold Value (USD M)],130)</f>
        <v/>
      </c>
      <c r="CE131" s="5" t="n"/>
      <c r="CF131" s="5">
        <f>IF(A131="","",N(INDEX(Projects[Est Mech Inst],130)))</f>
        <v/>
      </c>
      <c r="CG131" s="5">
        <f>IF(A131="","",N(INDEX(Projects[Est Elec Inst],130)))</f>
        <v/>
      </c>
      <c r="CH131" s="5">
        <f>IF(A131="","",N(INDEX(Projects[Est Project Management],130)))</f>
        <v/>
      </c>
      <c r="CI131" s="5">
        <f>IF(A131="","",N(INDEX(Projects[Est Systems Eng],130)))</f>
        <v/>
      </c>
      <c r="CJ131" s="5">
        <f>IF(A131="","",N(INDEX(Projects[Est Mechanical Eng],130)))</f>
        <v/>
      </c>
      <c r="CK131" s="5">
        <f>IF(A131="","",N(INDEX(Projects[Est Structural Engineering],130)))</f>
        <v/>
      </c>
      <c r="CL131" s="5">
        <f>IF(A131="","",N(INDEX(Projects[Est Site Sup],130)))</f>
        <v/>
      </c>
      <c r="CM131" s="5">
        <f>IF(A131="","",N(INDEX(Projects[Est Controls Commissioning],130)))</f>
        <v/>
      </c>
      <c r="CN131" s="5">
        <f>IF(A131="","",N(INDEX(Projects[Est Systems Commissioning],130)))</f>
        <v/>
      </c>
      <c r="CO131" s="5">
        <f>IF(A131="","",N(INDEX(Projects[Est Service Commissioning],130)))</f>
        <v/>
      </c>
      <c r="CP131" s="5">
        <f>IF(A131="","",N(INDEX(Projects[Est Controls Eng],130)))</f>
        <v/>
      </c>
      <c r="CQ131" s="5">
        <f>IF(A131="","",N(INDEX(Projects[Est Controls Purchase],130)))</f>
        <v/>
      </c>
      <c r="CR131" s="5">
        <f>IF(A131="","",N(INDEX(Projects[Est Software Eng],130)))</f>
        <v/>
      </c>
      <c r="CS131" s="5">
        <f>IF(A131="","",N(INDEX(Projects[Est Misc],130)))</f>
        <v/>
      </c>
      <c r="CT131" s="5">
        <f>IF(A131="","",SUM(CF131:CS131))</f>
        <v/>
      </c>
      <c r="CU131" s="5">
        <f>INDEX(Projects[Est Cost (M)],130)</f>
        <v/>
      </c>
      <c r="CV131" s="5">
        <f>INDEX(Projects[Act Cost (M)],130)</f>
        <v/>
      </c>
      <c r="CW131" s="5">
        <f>INDEX(Projects[Plan Mech Eng (wks)],130)</f>
        <v/>
      </c>
      <c r="CX131" s="5">
        <f>INDEX(Projects[Plan Controls Eng (wks)],130)</f>
        <v/>
      </c>
      <c r="CY131" s="5">
        <f>INDEX(Projects[Plan Systems Eng (wks)],130)</f>
        <v/>
      </c>
      <c r="CZ131" s="5">
        <f>INDEX(Projects[Plan Software Eng (wks)],130)</f>
        <v/>
      </c>
      <c r="DA131" s="5">
        <f>INDEX(Projects[Plan M&amp;E Installation (wks)],130)</f>
        <v/>
      </c>
      <c r="DB131" s="5">
        <f>INDEX(Projects[Plan Commissioning (wks)],130)</f>
        <v/>
      </c>
      <c r="DC131" s="5">
        <f>INDEX(Projects[Plan Total (wks)],130)</f>
        <v/>
      </c>
      <c r="DD131" s="5">
        <f>INDEX(Projects[Act Mech Eng (wks)],130)</f>
        <v/>
      </c>
      <c r="DE131" s="5">
        <f>INDEX(Projects[Act Controls Eng (wks)],130)</f>
        <v/>
      </c>
      <c r="DF131" s="5">
        <f>INDEX(Projects[Act Systems Eng (wks)],130)</f>
        <v/>
      </c>
      <c r="DG131" s="5">
        <f>INDEX(Projects[Act Software Eng (wks)],130)</f>
        <v/>
      </c>
      <c r="DH131" s="5">
        <f>INDEX(Projects[Act M&amp;E Installation (wks)],130)</f>
        <v/>
      </c>
      <c r="DI131" s="5">
        <f>INDEX(Projects[Act Commissioning (wks)],130)</f>
        <v/>
      </c>
      <c r="DJ131" s="5">
        <f>INDEX(Projects[Act Total (wks)],130)</f>
        <v/>
      </c>
    </row>
    <row r="132" ht="15" customHeight="1" s="82">
      <c r="A132" s="64">
        <f>INDEX(Projects[Project ID *],131)&amp;""</f>
        <v/>
      </c>
      <c r="B132" s="64">
        <f>INDEX(Projects[Project Name *],131)&amp;""</f>
        <v/>
      </c>
      <c r="C132" s="64">
        <f>INDEX(Projects[MS Shuttles],131)</f>
        <v/>
      </c>
      <c r="D132" s="64">
        <f>INDEX(Projects[MS Tote Locations],131)</f>
        <v/>
      </c>
      <c r="E132" s="64">
        <f>INDEX(Projects[AS Robots],131)</f>
        <v/>
      </c>
      <c r="F132" s="64">
        <f>INDEX(Projects[AS Tote Locations],131)</f>
        <v/>
      </c>
      <c r="G132" s="64">
        <f>INDEX(Projects[PS Shuttles],131)</f>
        <v/>
      </c>
      <c r="H132" s="64">
        <f>INDEX(Projects[PS Pallet Locations],131)</f>
        <v/>
      </c>
      <c r="I132" s="64">
        <f>INDEX(Projects[SRM Cranes],131)</f>
        <v/>
      </c>
      <c r="J132" s="64">
        <f>INDEX(Projects[SRM Pallet Locations],131)</f>
        <v/>
      </c>
      <c r="K132" s="64">
        <f>INDEX(Projects[Case Conv (m)],131)</f>
        <v/>
      </c>
      <c r="L132" s="64">
        <f>INDEX(Projects[Pallet Conv (m)],131)</f>
        <v/>
      </c>
      <c r="M132" s="64">
        <f>IF(N(DJ132)&gt;0,DD132,CW132)</f>
        <v/>
      </c>
      <c r="N132" s="64">
        <f>IF(N(DJ132)&gt;0,DE132,CX132)</f>
        <v/>
      </c>
      <c r="O132" s="64">
        <f>IF(N(DJ132)&gt;0,DF132,CY132)</f>
        <v/>
      </c>
      <c r="P132" s="64">
        <f>IF(N(DJ132)&gt;0,DG132,CZ132)</f>
        <v/>
      </c>
      <c r="Q132" s="64">
        <f>IF(N(DJ132)&gt;0,DH132,DA132)</f>
        <v/>
      </c>
      <c r="R132" s="64">
        <f>IF(N(DJ132)&gt;0,DI132,DB132)</f>
        <v/>
      </c>
      <c r="S132" s="64">
        <f>IF(N(DJ132)&gt;0,DJ132,DC132)</f>
        <v/>
      </c>
      <c r="T132" s="64">
        <f>INDEX(Projects[Currency],131)&amp;""</f>
        <v/>
      </c>
      <c r="U132" s="65">
        <f>INDEX(Projects[Sold Value (M)],131)</f>
        <v/>
      </c>
      <c r="V132" s="64">
        <f>IF('Smart Search'!B13=1,IFERROR(1/'Smart Search'!H13,0),0)</f>
        <v/>
      </c>
      <c r="W132" s="64">
        <f>IF('Smart Search'!B13=1,IFERROR(1/'Smart Search'!H13,0),0)</f>
        <v/>
      </c>
      <c r="X132" s="64">
        <f>IF('Smart Search'!C13=1,IFERROR(1/'Smart Search'!H13,0),0)</f>
        <v/>
      </c>
      <c r="Y132" s="64">
        <f>IF('Smart Search'!C13=1,IFERROR(1/'Smart Search'!H13,0),0)</f>
        <v/>
      </c>
      <c r="Z132" s="64">
        <f>IF('Smart Search'!D13=1,IFERROR(1/'Smart Search'!H13,0),0)</f>
        <v/>
      </c>
      <c r="AA132" s="64">
        <f>IF('Smart Search'!D13=1,IFERROR(1/'Smart Search'!H13,0),0)</f>
        <v/>
      </c>
      <c r="AB132" s="64">
        <f>IF('Smart Search'!E13=1,IFERROR(1/'Smart Search'!H13,0),0)</f>
        <v/>
      </c>
      <c r="AC132" s="64">
        <f>IF('Smart Search'!E13=1,IFERROR(1/'Smart Search'!H13,0),0)</f>
        <v/>
      </c>
      <c r="AD132" s="64">
        <f>IF('Smart Search'!F13=1,IFERROR(1/'Smart Search'!H13,0),0)</f>
        <v/>
      </c>
      <c r="AE132" s="64">
        <f>IF('Smart Search'!F13=1,IFERROR(1/'Smart Search'!H13,0),0)</f>
        <v/>
      </c>
      <c r="AF132" s="64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4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4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4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4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4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4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4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4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4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4">
        <f>AF132*V132</f>
        <v/>
      </c>
      <c r="AQ132" s="64">
        <f>AG132*W132</f>
        <v/>
      </c>
      <c r="AR132" s="64">
        <f>AH132*X132</f>
        <v/>
      </c>
      <c r="AS132" s="64">
        <f>AI132*Y132</f>
        <v/>
      </c>
      <c r="AT132" s="64">
        <f>AJ132*Z132</f>
        <v/>
      </c>
      <c r="AU132" s="64">
        <f>AK132*AA132</f>
        <v/>
      </c>
      <c r="AV132" s="64">
        <f>AL132*AB132</f>
        <v/>
      </c>
      <c r="AW132" s="64">
        <f>AM132*AC132</f>
        <v/>
      </c>
      <c r="AX132" s="64">
        <f>AN132*AD132</f>
        <v/>
      </c>
      <c r="AY132" s="64">
        <f>AO132*AE132</f>
        <v/>
      </c>
      <c r="AZ132" s="64">
        <f>INDEX(Projects[Automation Equipment],131)&amp;""</f>
        <v/>
      </c>
      <c r="BA132" s="64">
        <f>IF(OR(A132="",'Smart Search'!H13=0),"",MAX(0,BE132*BF132*MAX(0,1-BG132)))</f>
        <v/>
      </c>
      <c r="BB132" s="64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4">
        <f>IF('Smart Search'!G13=1,IFERROR(1/'Smart Search'!H13,0),0)</f>
        <v/>
      </c>
      <c r="BD132" s="64">
        <f>BB132*BC132</f>
        <v/>
      </c>
      <c r="BE132" s="64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IF(A132="","",N(INDEX(Projects[Act Mech Inst],131)))</f>
        <v/>
      </c>
      <c r="BK132" s="5">
        <f>IF(A132="","",N(INDEX(Projects[Act Elec Inst],131)))</f>
        <v/>
      </c>
      <c r="BL132" s="5">
        <f>IF(A132="","",N(INDEX(Projects[Act Project Management],131)))</f>
        <v/>
      </c>
      <c r="BM132" s="5">
        <f>IF(A132="","",N(INDEX(Projects[Act Systems Eng],131)))</f>
        <v/>
      </c>
      <c r="BN132" s="5">
        <f>IF(A132="","",N(INDEX(Projects[Act Mechanical Eng],131)))</f>
        <v/>
      </c>
      <c r="BO132" s="5">
        <f>IF(A132="","",N(INDEX(Projects[Act Structural Engineering],131)))</f>
        <v/>
      </c>
      <c r="BP132" s="5">
        <f>IF(A132="","",N(INDEX(Projects[Act Site Sup],131)))</f>
        <v/>
      </c>
      <c r="BQ132" s="5">
        <f>IF(A132="","",N(INDEX(Projects[Act Controls Commissioning],131)))</f>
        <v/>
      </c>
      <c r="BR132" s="5">
        <f>IF(A132="","",N(INDEX(Projects[Act Systems Commissioning],131)))</f>
        <v/>
      </c>
      <c r="BS132" s="5">
        <f>IF(A132="","",N(INDEX(Projects[Act Service Commissioning],131)))</f>
        <v/>
      </c>
      <c r="BT132" s="5">
        <f>IF(A132="","",N(INDEX(Projects[Act Controls Eng],131)))</f>
        <v/>
      </c>
      <c r="BU132" s="5">
        <f>IF(A132="","",N(INDEX(Projects[Act Controls Purchase],131)))</f>
        <v/>
      </c>
      <c r="BV132" s="5">
        <f>IF(A132="","",N(INDEX(Projects[Act Software Eng],131)))</f>
        <v/>
      </c>
      <c r="BW132" s="5">
        <f>IF(A132="","",N(INDEX(Projects[Act 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INDEX(Projects[Sold Value (USD M)],131)</f>
        <v/>
      </c>
      <c r="CE132" s="5" t="n"/>
      <c r="CF132" s="5">
        <f>IF(A132="","",N(INDEX(Projects[Est Mech Inst],131)))</f>
        <v/>
      </c>
      <c r="CG132" s="5">
        <f>IF(A132="","",N(INDEX(Projects[Est Elec Inst],131)))</f>
        <v/>
      </c>
      <c r="CH132" s="5">
        <f>IF(A132="","",N(INDEX(Projects[Est Project Management],131)))</f>
        <v/>
      </c>
      <c r="CI132" s="5">
        <f>IF(A132="","",N(INDEX(Projects[Est Systems Eng],131)))</f>
        <v/>
      </c>
      <c r="CJ132" s="5">
        <f>IF(A132="","",N(INDEX(Projects[Est Mechanical Eng],131)))</f>
        <v/>
      </c>
      <c r="CK132" s="5">
        <f>IF(A132="","",N(INDEX(Projects[Est Structural Engineering],131)))</f>
        <v/>
      </c>
      <c r="CL132" s="5">
        <f>IF(A132="","",N(INDEX(Projects[Est Site Sup],131)))</f>
        <v/>
      </c>
      <c r="CM132" s="5">
        <f>IF(A132="","",N(INDEX(Projects[Est Controls Commissioning],131)))</f>
        <v/>
      </c>
      <c r="CN132" s="5">
        <f>IF(A132="","",N(INDEX(Projects[Est Systems Commissioning],131)))</f>
        <v/>
      </c>
      <c r="CO132" s="5">
        <f>IF(A132="","",N(INDEX(Projects[Est Service Commissioning],131)))</f>
        <v/>
      </c>
      <c r="CP132" s="5">
        <f>IF(A132="","",N(INDEX(Projects[Est Controls Eng],131)))</f>
        <v/>
      </c>
      <c r="CQ132" s="5">
        <f>IF(A132="","",N(INDEX(Projects[Est Controls Purchase],131)))</f>
        <v/>
      </c>
      <c r="CR132" s="5">
        <f>IF(A132="","",N(INDEX(Projects[Est Software Eng],131)))</f>
        <v/>
      </c>
      <c r="CS132" s="5">
        <f>IF(A132="","",N(INDEX(Projects[Est Misc],131)))</f>
        <v/>
      </c>
      <c r="CT132" s="5">
        <f>IF(A132="","",SUM(CF132:CS132))</f>
        <v/>
      </c>
      <c r="CU132" s="5">
        <f>INDEX(Projects[Est Cost (M)],131)</f>
        <v/>
      </c>
      <c r="CV132" s="5">
        <f>INDEX(Projects[Act Cost (M)],131)</f>
        <v/>
      </c>
      <c r="CW132" s="5">
        <f>INDEX(Projects[Plan Mech Eng (wks)],131)</f>
        <v/>
      </c>
      <c r="CX132" s="5">
        <f>INDEX(Projects[Plan Controls Eng (wks)],131)</f>
        <v/>
      </c>
      <c r="CY132" s="5">
        <f>INDEX(Projects[Plan Systems Eng (wks)],131)</f>
        <v/>
      </c>
      <c r="CZ132" s="5">
        <f>INDEX(Projects[Plan Software Eng (wks)],131)</f>
        <v/>
      </c>
      <c r="DA132" s="5">
        <f>INDEX(Projects[Plan M&amp;E Installation (wks)],131)</f>
        <v/>
      </c>
      <c r="DB132" s="5">
        <f>INDEX(Projects[Plan Commissioning (wks)],131)</f>
        <v/>
      </c>
      <c r="DC132" s="5">
        <f>INDEX(Projects[Plan Total (wks)],131)</f>
        <v/>
      </c>
      <c r="DD132" s="5">
        <f>INDEX(Projects[Act Mech Eng (wks)],131)</f>
        <v/>
      </c>
      <c r="DE132" s="5">
        <f>INDEX(Projects[Act Controls Eng (wks)],131)</f>
        <v/>
      </c>
      <c r="DF132" s="5">
        <f>INDEX(Projects[Act Systems Eng (wks)],131)</f>
        <v/>
      </c>
      <c r="DG132" s="5">
        <f>INDEX(Projects[Act Software Eng (wks)],131)</f>
        <v/>
      </c>
      <c r="DH132" s="5">
        <f>INDEX(Projects[Act M&amp;E Installation (wks)],131)</f>
        <v/>
      </c>
      <c r="DI132" s="5">
        <f>INDEX(Projects[Act Commissioning (wks)],131)</f>
        <v/>
      </c>
      <c r="DJ132" s="5">
        <f>INDEX(Projects[Act Total (wks)],131)</f>
        <v/>
      </c>
    </row>
    <row r="133" ht="15" customHeight="1" s="82">
      <c r="A133" s="64">
        <f>INDEX(Projects[Project ID *],132)&amp;""</f>
        <v/>
      </c>
      <c r="B133" s="64">
        <f>INDEX(Projects[Project Name *],132)&amp;""</f>
        <v/>
      </c>
      <c r="C133" s="64">
        <f>INDEX(Projects[MS Shuttles],132)</f>
        <v/>
      </c>
      <c r="D133" s="64">
        <f>INDEX(Projects[MS Tote Locations],132)</f>
        <v/>
      </c>
      <c r="E133" s="64">
        <f>INDEX(Projects[AS Robots],132)</f>
        <v/>
      </c>
      <c r="F133" s="64">
        <f>INDEX(Projects[AS Tote Locations],132)</f>
        <v/>
      </c>
      <c r="G133" s="64">
        <f>INDEX(Projects[PS Shuttles],132)</f>
        <v/>
      </c>
      <c r="H133" s="64">
        <f>INDEX(Projects[PS Pallet Locations],132)</f>
        <v/>
      </c>
      <c r="I133" s="64">
        <f>INDEX(Projects[SRM Cranes],132)</f>
        <v/>
      </c>
      <c r="J133" s="64">
        <f>INDEX(Projects[SRM Pallet Locations],132)</f>
        <v/>
      </c>
      <c r="K133" s="64">
        <f>INDEX(Projects[Case Conv (m)],132)</f>
        <v/>
      </c>
      <c r="L133" s="64">
        <f>INDEX(Projects[Pallet Conv (m)],132)</f>
        <v/>
      </c>
      <c r="M133" s="64">
        <f>IF(N(DJ133)&gt;0,DD133,CW133)</f>
        <v/>
      </c>
      <c r="N133" s="64">
        <f>IF(N(DJ133)&gt;0,DE133,CX133)</f>
        <v/>
      </c>
      <c r="O133" s="64">
        <f>IF(N(DJ133)&gt;0,DF133,CY133)</f>
        <v/>
      </c>
      <c r="P133" s="64">
        <f>IF(N(DJ133)&gt;0,DG133,CZ133)</f>
        <v/>
      </c>
      <c r="Q133" s="64">
        <f>IF(N(DJ133)&gt;0,DH133,DA133)</f>
        <v/>
      </c>
      <c r="R133" s="64">
        <f>IF(N(DJ133)&gt;0,DI133,DB133)</f>
        <v/>
      </c>
      <c r="S133" s="64">
        <f>IF(N(DJ133)&gt;0,DJ133,DC133)</f>
        <v/>
      </c>
      <c r="T133" s="64">
        <f>INDEX(Projects[Currency],132)&amp;""</f>
        <v/>
      </c>
      <c r="U133" s="65">
        <f>INDEX(Projects[Sold Value (M)],132)</f>
        <v/>
      </c>
      <c r="V133" s="64">
        <f>IF('Smart Search'!B13=1,IFERROR(1/'Smart Search'!H13,0),0)</f>
        <v/>
      </c>
      <c r="W133" s="64">
        <f>IF('Smart Search'!B13=1,IFERROR(1/'Smart Search'!H13,0),0)</f>
        <v/>
      </c>
      <c r="X133" s="64">
        <f>IF('Smart Search'!C13=1,IFERROR(1/'Smart Search'!H13,0),0)</f>
        <v/>
      </c>
      <c r="Y133" s="64">
        <f>IF('Smart Search'!C13=1,IFERROR(1/'Smart Search'!H13,0),0)</f>
        <v/>
      </c>
      <c r="Z133" s="64">
        <f>IF('Smart Search'!D13=1,IFERROR(1/'Smart Search'!H13,0),0)</f>
        <v/>
      </c>
      <c r="AA133" s="64">
        <f>IF('Smart Search'!D13=1,IFERROR(1/'Smart Search'!H13,0),0)</f>
        <v/>
      </c>
      <c r="AB133" s="64">
        <f>IF('Smart Search'!E13=1,IFERROR(1/'Smart Search'!H13,0),0)</f>
        <v/>
      </c>
      <c r="AC133" s="64">
        <f>IF('Smart Search'!E13=1,IFERROR(1/'Smart Search'!H13,0),0)</f>
        <v/>
      </c>
      <c r="AD133" s="64">
        <f>IF('Smart Search'!F13=1,IFERROR(1/'Smart Search'!H13,0),0)</f>
        <v/>
      </c>
      <c r="AE133" s="64">
        <f>IF('Smart Search'!F13=1,IFERROR(1/'Smart Search'!H13,0),0)</f>
        <v/>
      </c>
      <c r="AF133" s="64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4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4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4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4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4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4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4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4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4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4">
        <f>AF133*V133</f>
        <v/>
      </c>
      <c r="AQ133" s="64">
        <f>AG133*W133</f>
        <v/>
      </c>
      <c r="AR133" s="64">
        <f>AH133*X133</f>
        <v/>
      </c>
      <c r="AS133" s="64">
        <f>AI133*Y133</f>
        <v/>
      </c>
      <c r="AT133" s="64">
        <f>AJ133*Z133</f>
        <v/>
      </c>
      <c r="AU133" s="64">
        <f>AK133*AA133</f>
        <v/>
      </c>
      <c r="AV133" s="64">
        <f>AL133*AB133</f>
        <v/>
      </c>
      <c r="AW133" s="64">
        <f>AM133*AC133</f>
        <v/>
      </c>
      <c r="AX133" s="64">
        <f>AN133*AD133</f>
        <v/>
      </c>
      <c r="AY133" s="64">
        <f>AO133*AE133</f>
        <v/>
      </c>
      <c r="AZ133" s="64">
        <f>INDEX(Projects[Automation Equipment],132)&amp;""</f>
        <v/>
      </c>
      <c r="BA133" s="64">
        <f>IF(OR(A133="",'Smart Search'!H13=0),"",MAX(0,BE133*BF133*MAX(0,1-BG133)))</f>
        <v/>
      </c>
      <c r="BB133" s="64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4">
        <f>IF('Smart Search'!G13=1,IFERROR(1/'Smart Search'!H13,0),0)</f>
        <v/>
      </c>
      <c r="BD133" s="64">
        <f>BB133*BC133</f>
        <v/>
      </c>
      <c r="BE133" s="64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IF(A133="","",N(INDEX(Projects[Act Mech Inst],132)))</f>
        <v/>
      </c>
      <c r="BK133" s="5">
        <f>IF(A133="","",N(INDEX(Projects[Act Elec Inst],132)))</f>
        <v/>
      </c>
      <c r="BL133" s="5">
        <f>IF(A133="","",N(INDEX(Projects[Act Project Management],132)))</f>
        <v/>
      </c>
      <c r="BM133" s="5">
        <f>IF(A133="","",N(INDEX(Projects[Act Systems Eng],132)))</f>
        <v/>
      </c>
      <c r="BN133" s="5">
        <f>IF(A133="","",N(INDEX(Projects[Act Mechanical Eng],132)))</f>
        <v/>
      </c>
      <c r="BO133" s="5">
        <f>IF(A133="","",N(INDEX(Projects[Act Structural Engineering],132)))</f>
        <v/>
      </c>
      <c r="BP133" s="5">
        <f>IF(A133="","",N(INDEX(Projects[Act Site Sup],132)))</f>
        <v/>
      </c>
      <c r="BQ133" s="5">
        <f>IF(A133="","",N(INDEX(Projects[Act Controls Commissioning],132)))</f>
        <v/>
      </c>
      <c r="BR133" s="5">
        <f>IF(A133="","",N(INDEX(Projects[Act Systems Commissioning],132)))</f>
        <v/>
      </c>
      <c r="BS133" s="5">
        <f>IF(A133="","",N(INDEX(Projects[Act Service Commissioning],132)))</f>
        <v/>
      </c>
      <c r="BT133" s="5">
        <f>IF(A133="","",N(INDEX(Projects[Act Controls Eng],132)))</f>
        <v/>
      </c>
      <c r="BU133" s="5">
        <f>IF(A133="","",N(INDEX(Projects[Act Controls Purchase],132)))</f>
        <v/>
      </c>
      <c r="BV133" s="5">
        <f>IF(A133="","",N(INDEX(Projects[Act Software Eng],132)))</f>
        <v/>
      </c>
      <c r="BW133" s="5">
        <f>IF(A133="","",N(INDEX(Projects[Act 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INDEX(Projects[Sold Value (USD M)],132)</f>
        <v/>
      </c>
      <c r="CE133" s="5" t="n"/>
      <c r="CF133" s="5">
        <f>IF(A133="","",N(INDEX(Projects[Est Mech Inst],132)))</f>
        <v/>
      </c>
      <c r="CG133" s="5">
        <f>IF(A133="","",N(INDEX(Projects[Est Elec Inst],132)))</f>
        <v/>
      </c>
      <c r="CH133" s="5">
        <f>IF(A133="","",N(INDEX(Projects[Est Project Management],132)))</f>
        <v/>
      </c>
      <c r="CI133" s="5">
        <f>IF(A133="","",N(INDEX(Projects[Est Systems Eng],132)))</f>
        <v/>
      </c>
      <c r="CJ133" s="5">
        <f>IF(A133="","",N(INDEX(Projects[Est Mechanical Eng],132)))</f>
        <v/>
      </c>
      <c r="CK133" s="5">
        <f>IF(A133="","",N(INDEX(Projects[Est Structural Engineering],132)))</f>
        <v/>
      </c>
      <c r="CL133" s="5">
        <f>IF(A133="","",N(INDEX(Projects[Est Site Sup],132)))</f>
        <v/>
      </c>
      <c r="CM133" s="5">
        <f>IF(A133="","",N(INDEX(Projects[Est Controls Commissioning],132)))</f>
        <v/>
      </c>
      <c r="CN133" s="5">
        <f>IF(A133="","",N(INDEX(Projects[Est Systems Commissioning],132)))</f>
        <v/>
      </c>
      <c r="CO133" s="5">
        <f>IF(A133="","",N(INDEX(Projects[Est Service Commissioning],132)))</f>
        <v/>
      </c>
      <c r="CP133" s="5">
        <f>IF(A133="","",N(INDEX(Projects[Est Controls Eng],132)))</f>
        <v/>
      </c>
      <c r="CQ133" s="5">
        <f>IF(A133="","",N(INDEX(Projects[Est Controls Purchase],132)))</f>
        <v/>
      </c>
      <c r="CR133" s="5">
        <f>IF(A133="","",N(INDEX(Projects[Est Software Eng],132)))</f>
        <v/>
      </c>
      <c r="CS133" s="5">
        <f>IF(A133="","",N(INDEX(Projects[Est Misc],132)))</f>
        <v/>
      </c>
      <c r="CT133" s="5">
        <f>IF(A133="","",SUM(CF133:CS133))</f>
        <v/>
      </c>
      <c r="CU133" s="5">
        <f>INDEX(Projects[Est Cost (M)],132)</f>
        <v/>
      </c>
      <c r="CV133" s="5">
        <f>INDEX(Projects[Act Cost (M)],132)</f>
        <v/>
      </c>
      <c r="CW133" s="5">
        <f>INDEX(Projects[Plan Mech Eng (wks)],132)</f>
        <v/>
      </c>
      <c r="CX133" s="5">
        <f>INDEX(Projects[Plan Controls Eng (wks)],132)</f>
        <v/>
      </c>
      <c r="CY133" s="5">
        <f>INDEX(Projects[Plan Systems Eng (wks)],132)</f>
        <v/>
      </c>
      <c r="CZ133" s="5">
        <f>INDEX(Projects[Plan Software Eng (wks)],132)</f>
        <v/>
      </c>
      <c r="DA133" s="5">
        <f>INDEX(Projects[Plan M&amp;E Installation (wks)],132)</f>
        <v/>
      </c>
      <c r="DB133" s="5">
        <f>INDEX(Projects[Plan Commissioning (wks)],132)</f>
        <v/>
      </c>
      <c r="DC133" s="5">
        <f>INDEX(Projects[Plan Total (wks)],132)</f>
        <v/>
      </c>
      <c r="DD133" s="5">
        <f>INDEX(Projects[Act Mech Eng (wks)],132)</f>
        <v/>
      </c>
      <c r="DE133" s="5">
        <f>INDEX(Projects[Act Controls Eng (wks)],132)</f>
        <v/>
      </c>
      <c r="DF133" s="5">
        <f>INDEX(Projects[Act Systems Eng (wks)],132)</f>
        <v/>
      </c>
      <c r="DG133" s="5">
        <f>INDEX(Projects[Act Software Eng (wks)],132)</f>
        <v/>
      </c>
      <c r="DH133" s="5">
        <f>INDEX(Projects[Act M&amp;E Installation (wks)],132)</f>
        <v/>
      </c>
      <c r="DI133" s="5">
        <f>INDEX(Projects[Act Commissioning (wks)],132)</f>
        <v/>
      </c>
      <c r="DJ133" s="5">
        <f>INDEX(Projects[Act Total (wks)],132)</f>
        <v/>
      </c>
    </row>
    <row r="134" ht="15" customHeight="1" s="82">
      <c r="A134" s="64">
        <f>INDEX(Projects[Project ID *],133)&amp;""</f>
        <v/>
      </c>
      <c r="B134" s="64">
        <f>INDEX(Projects[Project Name *],133)&amp;""</f>
        <v/>
      </c>
      <c r="C134" s="64">
        <f>INDEX(Projects[MS Shuttles],133)</f>
        <v/>
      </c>
      <c r="D134" s="64">
        <f>INDEX(Projects[MS Tote Locations],133)</f>
        <v/>
      </c>
      <c r="E134" s="64">
        <f>INDEX(Projects[AS Robots],133)</f>
        <v/>
      </c>
      <c r="F134" s="64">
        <f>INDEX(Projects[AS Tote Locations],133)</f>
        <v/>
      </c>
      <c r="G134" s="64">
        <f>INDEX(Projects[PS Shuttles],133)</f>
        <v/>
      </c>
      <c r="H134" s="64">
        <f>INDEX(Projects[PS Pallet Locations],133)</f>
        <v/>
      </c>
      <c r="I134" s="64">
        <f>INDEX(Projects[SRM Cranes],133)</f>
        <v/>
      </c>
      <c r="J134" s="64">
        <f>INDEX(Projects[SRM Pallet Locations],133)</f>
        <v/>
      </c>
      <c r="K134" s="64">
        <f>INDEX(Projects[Case Conv (m)],133)</f>
        <v/>
      </c>
      <c r="L134" s="64">
        <f>INDEX(Projects[Pallet Conv (m)],133)</f>
        <v/>
      </c>
      <c r="M134" s="64">
        <f>IF(N(DJ134)&gt;0,DD134,CW134)</f>
        <v/>
      </c>
      <c r="N134" s="64">
        <f>IF(N(DJ134)&gt;0,DE134,CX134)</f>
        <v/>
      </c>
      <c r="O134" s="64">
        <f>IF(N(DJ134)&gt;0,DF134,CY134)</f>
        <v/>
      </c>
      <c r="P134" s="64">
        <f>IF(N(DJ134)&gt;0,DG134,CZ134)</f>
        <v/>
      </c>
      <c r="Q134" s="64">
        <f>IF(N(DJ134)&gt;0,DH134,DA134)</f>
        <v/>
      </c>
      <c r="R134" s="64">
        <f>IF(N(DJ134)&gt;0,DI134,DB134)</f>
        <v/>
      </c>
      <c r="S134" s="64">
        <f>IF(N(DJ134)&gt;0,DJ134,DC134)</f>
        <v/>
      </c>
      <c r="T134" s="64">
        <f>INDEX(Projects[Currency],133)&amp;""</f>
        <v/>
      </c>
      <c r="U134" s="65">
        <f>INDEX(Projects[Sold Value (M)],133)</f>
        <v/>
      </c>
      <c r="V134" s="64">
        <f>IF('Smart Search'!B13=1,IFERROR(1/'Smart Search'!H13,0),0)</f>
        <v/>
      </c>
      <c r="W134" s="64">
        <f>IF('Smart Search'!B13=1,IFERROR(1/'Smart Search'!H13,0),0)</f>
        <v/>
      </c>
      <c r="X134" s="64">
        <f>IF('Smart Search'!C13=1,IFERROR(1/'Smart Search'!H13,0),0)</f>
        <v/>
      </c>
      <c r="Y134" s="64">
        <f>IF('Smart Search'!C13=1,IFERROR(1/'Smart Search'!H13,0),0)</f>
        <v/>
      </c>
      <c r="Z134" s="64">
        <f>IF('Smart Search'!D13=1,IFERROR(1/'Smart Search'!H13,0),0)</f>
        <v/>
      </c>
      <c r="AA134" s="64">
        <f>IF('Smart Search'!D13=1,IFERROR(1/'Smart Search'!H13,0),0)</f>
        <v/>
      </c>
      <c r="AB134" s="64">
        <f>IF('Smart Search'!E13=1,IFERROR(1/'Smart Search'!H13,0),0)</f>
        <v/>
      </c>
      <c r="AC134" s="64">
        <f>IF('Smart Search'!E13=1,IFERROR(1/'Smart Search'!H13,0),0)</f>
        <v/>
      </c>
      <c r="AD134" s="64">
        <f>IF('Smart Search'!F13=1,IFERROR(1/'Smart Search'!H13,0),0)</f>
        <v/>
      </c>
      <c r="AE134" s="64">
        <f>IF('Smart Search'!F13=1,IFERROR(1/'Smart Search'!H13,0),0)</f>
        <v/>
      </c>
      <c r="AF134" s="64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4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4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4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4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4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4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4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4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4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4">
        <f>AF134*V134</f>
        <v/>
      </c>
      <c r="AQ134" s="64">
        <f>AG134*W134</f>
        <v/>
      </c>
      <c r="AR134" s="64">
        <f>AH134*X134</f>
        <v/>
      </c>
      <c r="AS134" s="64">
        <f>AI134*Y134</f>
        <v/>
      </c>
      <c r="AT134" s="64">
        <f>AJ134*Z134</f>
        <v/>
      </c>
      <c r="AU134" s="64">
        <f>AK134*AA134</f>
        <v/>
      </c>
      <c r="AV134" s="64">
        <f>AL134*AB134</f>
        <v/>
      </c>
      <c r="AW134" s="64">
        <f>AM134*AC134</f>
        <v/>
      </c>
      <c r="AX134" s="64">
        <f>AN134*AD134</f>
        <v/>
      </c>
      <c r="AY134" s="64">
        <f>AO134*AE134</f>
        <v/>
      </c>
      <c r="AZ134" s="64">
        <f>INDEX(Projects[Automation Equipment],133)&amp;""</f>
        <v/>
      </c>
      <c r="BA134" s="64">
        <f>IF(OR(A134="",'Smart Search'!H13=0),"",MAX(0,BE134*BF134*MAX(0,1-BG134)))</f>
        <v/>
      </c>
      <c r="BB134" s="64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4">
        <f>IF('Smart Search'!G13=1,IFERROR(1/'Smart Search'!H13,0),0)</f>
        <v/>
      </c>
      <c r="BD134" s="64">
        <f>BB134*BC134</f>
        <v/>
      </c>
      <c r="BE134" s="64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IF(A134="","",N(INDEX(Projects[Act Mech Inst],133)))</f>
        <v/>
      </c>
      <c r="BK134" s="5">
        <f>IF(A134="","",N(INDEX(Projects[Act Elec Inst],133)))</f>
        <v/>
      </c>
      <c r="BL134" s="5">
        <f>IF(A134="","",N(INDEX(Projects[Act Project Management],133)))</f>
        <v/>
      </c>
      <c r="BM134" s="5">
        <f>IF(A134="","",N(INDEX(Projects[Act Systems Eng],133)))</f>
        <v/>
      </c>
      <c r="BN134" s="5">
        <f>IF(A134="","",N(INDEX(Projects[Act Mechanical Eng],133)))</f>
        <v/>
      </c>
      <c r="BO134" s="5">
        <f>IF(A134="","",N(INDEX(Projects[Act Structural Engineering],133)))</f>
        <v/>
      </c>
      <c r="BP134" s="5">
        <f>IF(A134="","",N(INDEX(Projects[Act Site Sup],133)))</f>
        <v/>
      </c>
      <c r="BQ134" s="5">
        <f>IF(A134="","",N(INDEX(Projects[Act Controls Commissioning],133)))</f>
        <v/>
      </c>
      <c r="BR134" s="5">
        <f>IF(A134="","",N(INDEX(Projects[Act Systems Commissioning],133)))</f>
        <v/>
      </c>
      <c r="BS134" s="5">
        <f>IF(A134="","",N(INDEX(Projects[Act Service Commissioning],133)))</f>
        <v/>
      </c>
      <c r="BT134" s="5">
        <f>IF(A134="","",N(INDEX(Projects[Act Controls Eng],133)))</f>
        <v/>
      </c>
      <c r="BU134" s="5">
        <f>IF(A134="","",N(INDEX(Projects[Act Controls Purchase],133)))</f>
        <v/>
      </c>
      <c r="BV134" s="5">
        <f>IF(A134="","",N(INDEX(Projects[Act Software Eng],133)))</f>
        <v/>
      </c>
      <c r="BW134" s="5">
        <f>IF(A134="","",N(INDEX(Projects[Act 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INDEX(Projects[Sold Value (USD M)],133)</f>
        <v/>
      </c>
      <c r="CE134" s="5" t="n"/>
      <c r="CF134" s="5">
        <f>IF(A134="","",N(INDEX(Projects[Est Mech Inst],133)))</f>
        <v/>
      </c>
      <c r="CG134" s="5">
        <f>IF(A134="","",N(INDEX(Projects[Est Elec Inst],133)))</f>
        <v/>
      </c>
      <c r="CH134" s="5">
        <f>IF(A134="","",N(INDEX(Projects[Est Project Management],133)))</f>
        <v/>
      </c>
      <c r="CI134" s="5">
        <f>IF(A134="","",N(INDEX(Projects[Est Systems Eng],133)))</f>
        <v/>
      </c>
      <c r="CJ134" s="5">
        <f>IF(A134="","",N(INDEX(Projects[Est Mechanical Eng],133)))</f>
        <v/>
      </c>
      <c r="CK134" s="5">
        <f>IF(A134="","",N(INDEX(Projects[Est Structural Engineering],133)))</f>
        <v/>
      </c>
      <c r="CL134" s="5">
        <f>IF(A134="","",N(INDEX(Projects[Est Site Sup],133)))</f>
        <v/>
      </c>
      <c r="CM134" s="5">
        <f>IF(A134="","",N(INDEX(Projects[Est Controls Commissioning],133)))</f>
        <v/>
      </c>
      <c r="CN134" s="5">
        <f>IF(A134="","",N(INDEX(Projects[Est Systems Commissioning],133)))</f>
        <v/>
      </c>
      <c r="CO134" s="5">
        <f>IF(A134="","",N(INDEX(Projects[Est Service Commissioning],133)))</f>
        <v/>
      </c>
      <c r="CP134" s="5">
        <f>IF(A134="","",N(INDEX(Projects[Est Controls Eng],133)))</f>
        <v/>
      </c>
      <c r="CQ134" s="5">
        <f>IF(A134="","",N(INDEX(Projects[Est Controls Purchase],133)))</f>
        <v/>
      </c>
      <c r="CR134" s="5">
        <f>IF(A134="","",N(INDEX(Projects[Est Software Eng],133)))</f>
        <v/>
      </c>
      <c r="CS134" s="5">
        <f>IF(A134="","",N(INDEX(Projects[Est Misc],133)))</f>
        <v/>
      </c>
      <c r="CT134" s="5">
        <f>IF(A134="","",SUM(CF134:CS134))</f>
        <v/>
      </c>
      <c r="CU134" s="5">
        <f>INDEX(Projects[Est Cost (M)],133)</f>
        <v/>
      </c>
      <c r="CV134" s="5">
        <f>INDEX(Projects[Act Cost (M)],133)</f>
        <v/>
      </c>
      <c r="CW134" s="5">
        <f>INDEX(Projects[Plan Mech Eng (wks)],133)</f>
        <v/>
      </c>
      <c r="CX134" s="5">
        <f>INDEX(Projects[Plan Controls Eng (wks)],133)</f>
        <v/>
      </c>
      <c r="CY134" s="5">
        <f>INDEX(Projects[Plan Systems Eng (wks)],133)</f>
        <v/>
      </c>
      <c r="CZ134" s="5">
        <f>INDEX(Projects[Plan Software Eng (wks)],133)</f>
        <v/>
      </c>
      <c r="DA134" s="5">
        <f>INDEX(Projects[Plan M&amp;E Installation (wks)],133)</f>
        <v/>
      </c>
      <c r="DB134" s="5">
        <f>INDEX(Projects[Plan Commissioning (wks)],133)</f>
        <v/>
      </c>
      <c r="DC134" s="5">
        <f>INDEX(Projects[Plan Total (wks)],133)</f>
        <v/>
      </c>
      <c r="DD134" s="5">
        <f>INDEX(Projects[Act Mech Eng (wks)],133)</f>
        <v/>
      </c>
      <c r="DE134" s="5">
        <f>INDEX(Projects[Act Controls Eng (wks)],133)</f>
        <v/>
      </c>
      <c r="DF134" s="5">
        <f>INDEX(Projects[Act Systems Eng (wks)],133)</f>
        <v/>
      </c>
      <c r="DG134" s="5">
        <f>INDEX(Projects[Act Software Eng (wks)],133)</f>
        <v/>
      </c>
      <c r="DH134" s="5">
        <f>INDEX(Projects[Act M&amp;E Installation (wks)],133)</f>
        <v/>
      </c>
      <c r="DI134" s="5">
        <f>INDEX(Projects[Act Commissioning (wks)],133)</f>
        <v/>
      </c>
      <c r="DJ134" s="5">
        <f>INDEX(Projects[Act Total (wks)],133)</f>
        <v/>
      </c>
    </row>
    <row r="135" ht="15" customHeight="1" s="82">
      <c r="A135" s="64">
        <f>INDEX(Projects[Project ID *],134)&amp;""</f>
        <v/>
      </c>
      <c r="B135" s="64">
        <f>INDEX(Projects[Project Name *],134)&amp;""</f>
        <v/>
      </c>
      <c r="C135" s="64">
        <f>INDEX(Projects[MS Shuttles],134)</f>
        <v/>
      </c>
      <c r="D135" s="64">
        <f>INDEX(Projects[MS Tote Locations],134)</f>
        <v/>
      </c>
      <c r="E135" s="64">
        <f>INDEX(Projects[AS Robots],134)</f>
        <v/>
      </c>
      <c r="F135" s="64">
        <f>INDEX(Projects[AS Tote Locations],134)</f>
        <v/>
      </c>
      <c r="G135" s="64">
        <f>INDEX(Projects[PS Shuttles],134)</f>
        <v/>
      </c>
      <c r="H135" s="64">
        <f>INDEX(Projects[PS Pallet Locations],134)</f>
        <v/>
      </c>
      <c r="I135" s="64">
        <f>INDEX(Projects[SRM Cranes],134)</f>
        <v/>
      </c>
      <c r="J135" s="64">
        <f>INDEX(Projects[SRM Pallet Locations],134)</f>
        <v/>
      </c>
      <c r="K135" s="64">
        <f>INDEX(Projects[Case Conv (m)],134)</f>
        <v/>
      </c>
      <c r="L135" s="64">
        <f>INDEX(Projects[Pallet Conv (m)],134)</f>
        <v/>
      </c>
      <c r="M135" s="64">
        <f>IF(N(DJ135)&gt;0,DD135,CW135)</f>
        <v/>
      </c>
      <c r="N135" s="64">
        <f>IF(N(DJ135)&gt;0,DE135,CX135)</f>
        <v/>
      </c>
      <c r="O135" s="64">
        <f>IF(N(DJ135)&gt;0,DF135,CY135)</f>
        <v/>
      </c>
      <c r="P135" s="64">
        <f>IF(N(DJ135)&gt;0,DG135,CZ135)</f>
        <v/>
      </c>
      <c r="Q135" s="64">
        <f>IF(N(DJ135)&gt;0,DH135,DA135)</f>
        <v/>
      </c>
      <c r="R135" s="64">
        <f>IF(N(DJ135)&gt;0,DI135,DB135)</f>
        <v/>
      </c>
      <c r="S135" s="64">
        <f>IF(N(DJ135)&gt;0,DJ135,DC135)</f>
        <v/>
      </c>
      <c r="T135" s="64">
        <f>INDEX(Projects[Currency],134)&amp;""</f>
        <v/>
      </c>
      <c r="U135" s="65">
        <f>INDEX(Projects[Sold Value (M)],134)</f>
        <v/>
      </c>
      <c r="V135" s="64">
        <f>IF('Smart Search'!B13=1,IFERROR(1/'Smart Search'!H13,0),0)</f>
        <v/>
      </c>
      <c r="W135" s="64">
        <f>IF('Smart Search'!B13=1,IFERROR(1/'Smart Search'!H13,0),0)</f>
        <v/>
      </c>
      <c r="X135" s="64">
        <f>IF('Smart Search'!C13=1,IFERROR(1/'Smart Search'!H13,0),0)</f>
        <v/>
      </c>
      <c r="Y135" s="64">
        <f>IF('Smart Search'!C13=1,IFERROR(1/'Smart Search'!H13,0),0)</f>
        <v/>
      </c>
      <c r="Z135" s="64">
        <f>IF('Smart Search'!D13=1,IFERROR(1/'Smart Search'!H13,0),0)</f>
        <v/>
      </c>
      <c r="AA135" s="64">
        <f>IF('Smart Search'!D13=1,IFERROR(1/'Smart Search'!H13,0),0)</f>
        <v/>
      </c>
      <c r="AB135" s="64">
        <f>IF('Smart Search'!E13=1,IFERROR(1/'Smart Search'!H13,0),0)</f>
        <v/>
      </c>
      <c r="AC135" s="64">
        <f>IF('Smart Search'!E13=1,IFERROR(1/'Smart Search'!H13,0),0)</f>
        <v/>
      </c>
      <c r="AD135" s="64">
        <f>IF('Smart Search'!F13=1,IFERROR(1/'Smart Search'!H13,0),0)</f>
        <v/>
      </c>
      <c r="AE135" s="64">
        <f>IF('Smart Search'!F13=1,IFERROR(1/'Smart Search'!H13,0),0)</f>
        <v/>
      </c>
      <c r="AF135" s="64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4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4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4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4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4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4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4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4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4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4">
        <f>AF135*V135</f>
        <v/>
      </c>
      <c r="AQ135" s="64">
        <f>AG135*W135</f>
        <v/>
      </c>
      <c r="AR135" s="64">
        <f>AH135*X135</f>
        <v/>
      </c>
      <c r="AS135" s="64">
        <f>AI135*Y135</f>
        <v/>
      </c>
      <c r="AT135" s="64">
        <f>AJ135*Z135</f>
        <v/>
      </c>
      <c r="AU135" s="64">
        <f>AK135*AA135</f>
        <v/>
      </c>
      <c r="AV135" s="64">
        <f>AL135*AB135</f>
        <v/>
      </c>
      <c r="AW135" s="64">
        <f>AM135*AC135</f>
        <v/>
      </c>
      <c r="AX135" s="64">
        <f>AN135*AD135</f>
        <v/>
      </c>
      <c r="AY135" s="64">
        <f>AO135*AE135</f>
        <v/>
      </c>
      <c r="AZ135" s="64">
        <f>INDEX(Projects[Automation Equipment],134)&amp;""</f>
        <v/>
      </c>
      <c r="BA135" s="64">
        <f>IF(OR(A135="",'Smart Search'!H13=0),"",MAX(0,BE135*BF135*MAX(0,1-BG135)))</f>
        <v/>
      </c>
      <c r="BB135" s="64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4">
        <f>IF('Smart Search'!G13=1,IFERROR(1/'Smart Search'!H13,0),0)</f>
        <v/>
      </c>
      <c r="BD135" s="64">
        <f>BB135*BC135</f>
        <v/>
      </c>
      <c r="BE135" s="64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IF(A135="","",N(INDEX(Projects[Act Mech Inst],134)))</f>
        <v/>
      </c>
      <c r="BK135" s="5">
        <f>IF(A135="","",N(INDEX(Projects[Act Elec Inst],134)))</f>
        <v/>
      </c>
      <c r="BL135" s="5">
        <f>IF(A135="","",N(INDEX(Projects[Act Project Management],134)))</f>
        <v/>
      </c>
      <c r="BM135" s="5">
        <f>IF(A135="","",N(INDEX(Projects[Act Systems Eng],134)))</f>
        <v/>
      </c>
      <c r="BN135" s="5">
        <f>IF(A135="","",N(INDEX(Projects[Act Mechanical Eng],134)))</f>
        <v/>
      </c>
      <c r="BO135" s="5">
        <f>IF(A135="","",N(INDEX(Projects[Act Structural Engineering],134)))</f>
        <v/>
      </c>
      <c r="BP135" s="5">
        <f>IF(A135="","",N(INDEX(Projects[Act Site Sup],134)))</f>
        <v/>
      </c>
      <c r="BQ135" s="5">
        <f>IF(A135="","",N(INDEX(Projects[Act Controls Commissioning],134)))</f>
        <v/>
      </c>
      <c r="BR135" s="5">
        <f>IF(A135="","",N(INDEX(Projects[Act Systems Commissioning],134)))</f>
        <v/>
      </c>
      <c r="BS135" s="5">
        <f>IF(A135="","",N(INDEX(Projects[Act Service Commissioning],134)))</f>
        <v/>
      </c>
      <c r="BT135" s="5">
        <f>IF(A135="","",N(INDEX(Projects[Act Controls Eng],134)))</f>
        <v/>
      </c>
      <c r="BU135" s="5">
        <f>IF(A135="","",N(INDEX(Projects[Act Controls Purchase],134)))</f>
        <v/>
      </c>
      <c r="BV135" s="5">
        <f>IF(A135="","",N(INDEX(Projects[Act Software Eng],134)))</f>
        <v/>
      </c>
      <c r="BW135" s="5">
        <f>IF(A135="","",N(INDEX(Projects[Act 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INDEX(Projects[Sold Value (USD M)],134)</f>
        <v/>
      </c>
      <c r="CE135" s="5" t="n"/>
      <c r="CF135" s="5">
        <f>IF(A135="","",N(INDEX(Projects[Est Mech Inst],134)))</f>
        <v/>
      </c>
      <c r="CG135" s="5">
        <f>IF(A135="","",N(INDEX(Projects[Est Elec Inst],134)))</f>
        <v/>
      </c>
      <c r="CH135" s="5">
        <f>IF(A135="","",N(INDEX(Projects[Est Project Management],134)))</f>
        <v/>
      </c>
      <c r="CI135" s="5">
        <f>IF(A135="","",N(INDEX(Projects[Est Systems Eng],134)))</f>
        <v/>
      </c>
      <c r="CJ135" s="5">
        <f>IF(A135="","",N(INDEX(Projects[Est Mechanical Eng],134)))</f>
        <v/>
      </c>
      <c r="CK135" s="5">
        <f>IF(A135="","",N(INDEX(Projects[Est Structural Engineering],134)))</f>
        <v/>
      </c>
      <c r="CL135" s="5">
        <f>IF(A135="","",N(INDEX(Projects[Est Site Sup],134)))</f>
        <v/>
      </c>
      <c r="CM135" s="5">
        <f>IF(A135="","",N(INDEX(Projects[Est Controls Commissioning],134)))</f>
        <v/>
      </c>
      <c r="CN135" s="5">
        <f>IF(A135="","",N(INDEX(Projects[Est Systems Commissioning],134)))</f>
        <v/>
      </c>
      <c r="CO135" s="5">
        <f>IF(A135="","",N(INDEX(Projects[Est Service Commissioning],134)))</f>
        <v/>
      </c>
      <c r="CP135" s="5">
        <f>IF(A135="","",N(INDEX(Projects[Est Controls Eng],134)))</f>
        <v/>
      </c>
      <c r="CQ135" s="5">
        <f>IF(A135="","",N(INDEX(Projects[Est Controls Purchase],134)))</f>
        <v/>
      </c>
      <c r="CR135" s="5">
        <f>IF(A135="","",N(INDEX(Projects[Est Software Eng],134)))</f>
        <v/>
      </c>
      <c r="CS135" s="5">
        <f>IF(A135="","",N(INDEX(Projects[Est Misc],134)))</f>
        <v/>
      </c>
      <c r="CT135" s="5">
        <f>IF(A135="","",SUM(CF135:CS135))</f>
        <v/>
      </c>
      <c r="CU135" s="5">
        <f>INDEX(Projects[Est Cost (M)],134)</f>
        <v/>
      </c>
      <c r="CV135" s="5">
        <f>INDEX(Projects[Act Cost (M)],134)</f>
        <v/>
      </c>
      <c r="CW135" s="5">
        <f>INDEX(Projects[Plan Mech Eng (wks)],134)</f>
        <v/>
      </c>
      <c r="CX135" s="5">
        <f>INDEX(Projects[Plan Controls Eng (wks)],134)</f>
        <v/>
      </c>
      <c r="CY135" s="5">
        <f>INDEX(Projects[Plan Systems Eng (wks)],134)</f>
        <v/>
      </c>
      <c r="CZ135" s="5">
        <f>INDEX(Projects[Plan Software Eng (wks)],134)</f>
        <v/>
      </c>
      <c r="DA135" s="5">
        <f>INDEX(Projects[Plan M&amp;E Installation (wks)],134)</f>
        <v/>
      </c>
      <c r="DB135" s="5">
        <f>INDEX(Projects[Plan Commissioning (wks)],134)</f>
        <v/>
      </c>
      <c r="DC135" s="5">
        <f>INDEX(Projects[Plan Total (wks)],134)</f>
        <v/>
      </c>
      <c r="DD135" s="5">
        <f>INDEX(Projects[Act Mech Eng (wks)],134)</f>
        <v/>
      </c>
      <c r="DE135" s="5">
        <f>INDEX(Projects[Act Controls Eng (wks)],134)</f>
        <v/>
      </c>
      <c r="DF135" s="5">
        <f>INDEX(Projects[Act Systems Eng (wks)],134)</f>
        <v/>
      </c>
      <c r="DG135" s="5">
        <f>INDEX(Projects[Act Software Eng (wks)],134)</f>
        <v/>
      </c>
      <c r="DH135" s="5">
        <f>INDEX(Projects[Act M&amp;E Installation (wks)],134)</f>
        <v/>
      </c>
      <c r="DI135" s="5">
        <f>INDEX(Projects[Act Commissioning (wks)],134)</f>
        <v/>
      </c>
      <c r="DJ135" s="5">
        <f>INDEX(Projects[Act Total (wks)],134)</f>
        <v/>
      </c>
    </row>
    <row r="136" ht="15" customHeight="1" s="82">
      <c r="A136" s="64">
        <f>INDEX(Projects[Project ID *],135)&amp;""</f>
        <v/>
      </c>
      <c r="B136" s="64">
        <f>INDEX(Projects[Project Name *],135)&amp;""</f>
        <v/>
      </c>
      <c r="C136" s="64">
        <f>INDEX(Projects[MS Shuttles],135)</f>
        <v/>
      </c>
      <c r="D136" s="64">
        <f>INDEX(Projects[MS Tote Locations],135)</f>
        <v/>
      </c>
      <c r="E136" s="64">
        <f>INDEX(Projects[AS Robots],135)</f>
        <v/>
      </c>
      <c r="F136" s="64">
        <f>INDEX(Projects[AS Tote Locations],135)</f>
        <v/>
      </c>
      <c r="G136" s="64">
        <f>INDEX(Projects[PS Shuttles],135)</f>
        <v/>
      </c>
      <c r="H136" s="64">
        <f>INDEX(Projects[PS Pallet Locations],135)</f>
        <v/>
      </c>
      <c r="I136" s="64">
        <f>INDEX(Projects[SRM Cranes],135)</f>
        <v/>
      </c>
      <c r="J136" s="64">
        <f>INDEX(Projects[SRM Pallet Locations],135)</f>
        <v/>
      </c>
      <c r="K136" s="64">
        <f>INDEX(Projects[Case Conv (m)],135)</f>
        <v/>
      </c>
      <c r="L136" s="64">
        <f>INDEX(Projects[Pallet Conv (m)],135)</f>
        <v/>
      </c>
      <c r="M136" s="64">
        <f>IF(N(DJ136)&gt;0,DD136,CW136)</f>
        <v/>
      </c>
      <c r="N136" s="64">
        <f>IF(N(DJ136)&gt;0,DE136,CX136)</f>
        <v/>
      </c>
      <c r="O136" s="64">
        <f>IF(N(DJ136)&gt;0,DF136,CY136)</f>
        <v/>
      </c>
      <c r="P136" s="64">
        <f>IF(N(DJ136)&gt;0,DG136,CZ136)</f>
        <v/>
      </c>
      <c r="Q136" s="64">
        <f>IF(N(DJ136)&gt;0,DH136,DA136)</f>
        <v/>
      </c>
      <c r="R136" s="64">
        <f>IF(N(DJ136)&gt;0,DI136,DB136)</f>
        <v/>
      </c>
      <c r="S136" s="64">
        <f>IF(N(DJ136)&gt;0,DJ136,DC136)</f>
        <v/>
      </c>
      <c r="T136" s="64">
        <f>INDEX(Projects[Currency],135)&amp;""</f>
        <v/>
      </c>
      <c r="U136" s="65">
        <f>INDEX(Projects[Sold Value (M)],135)</f>
        <v/>
      </c>
      <c r="V136" s="64">
        <f>IF('Smart Search'!B13=1,IFERROR(1/'Smart Search'!H13,0),0)</f>
        <v/>
      </c>
      <c r="W136" s="64">
        <f>IF('Smart Search'!B13=1,IFERROR(1/'Smart Search'!H13,0),0)</f>
        <v/>
      </c>
      <c r="X136" s="64">
        <f>IF('Smart Search'!C13=1,IFERROR(1/'Smart Search'!H13,0),0)</f>
        <v/>
      </c>
      <c r="Y136" s="64">
        <f>IF('Smart Search'!C13=1,IFERROR(1/'Smart Search'!H13,0),0)</f>
        <v/>
      </c>
      <c r="Z136" s="64">
        <f>IF('Smart Search'!D13=1,IFERROR(1/'Smart Search'!H13,0),0)</f>
        <v/>
      </c>
      <c r="AA136" s="64">
        <f>IF('Smart Search'!D13=1,IFERROR(1/'Smart Search'!H13,0),0)</f>
        <v/>
      </c>
      <c r="AB136" s="64">
        <f>IF('Smart Search'!E13=1,IFERROR(1/'Smart Search'!H13,0),0)</f>
        <v/>
      </c>
      <c r="AC136" s="64">
        <f>IF('Smart Search'!E13=1,IFERROR(1/'Smart Search'!H13,0),0)</f>
        <v/>
      </c>
      <c r="AD136" s="64">
        <f>IF('Smart Search'!F13=1,IFERROR(1/'Smart Search'!H13,0),0)</f>
        <v/>
      </c>
      <c r="AE136" s="64">
        <f>IF('Smart Search'!F13=1,IFERROR(1/'Smart Search'!H13,0),0)</f>
        <v/>
      </c>
      <c r="AF136" s="64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4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4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4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4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4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4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4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4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4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4">
        <f>AF136*V136</f>
        <v/>
      </c>
      <c r="AQ136" s="64">
        <f>AG136*W136</f>
        <v/>
      </c>
      <c r="AR136" s="64">
        <f>AH136*X136</f>
        <v/>
      </c>
      <c r="AS136" s="64">
        <f>AI136*Y136</f>
        <v/>
      </c>
      <c r="AT136" s="64">
        <f>AJ136*Z136</f>
        <v/>
      </c>
      <c r="AU136" s="64">
        <f>AK136*AA136</f>
        <v/>
      </c>
      <c r="AV136" s="64">
        <f>AL136*AB136</f>
        <v/>
      </c>
      <c r="AW136" s="64">
        <f>AM136*AC136</f>
        <v/>
      </c>
      <c r="AX136" s="64">
        <f>AN136*AD136</f>
        <v/>
      </c>
      <c r="AY136" s="64">
        <f>AO136*AE136</f>
        <v/>
      </c>
      <c r="AZ136" s="64">
        <f>INDEX(Projects[Automation Equipment],135)&amp;""</f>
        <v/>
      </c>
      <c r="BA136" s="64">
        <f>IF(OR(A136="",'Smart Search'!H13=0),"",MAX(0,BE136*BF136*MAX(0,1-BG136)))</f>
        <v/>
      </c>
      <c r="BB136" s="64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4">
        <f>IF('Smart Search'!G13=1,IFERROR(1/'Smart Search'!H13,0),0)</f>
        <v/>
      </c>
      <c r="BD136" s="64">
        <f>BB136*BC136</f>
        <v/>
      </c>
      <c r="BE136" s="64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IF(A136="","",N(INDEX(Projects[Act Mech Inst],135)))</f>
        <v/>
      </c>
      <c r="BK136" s="5">
        <f>IF(A136="","",N(INDEX(Projects[Act Elec Inst],135)))</f>
        <v/>
      </c>
      <c r="BL136" s="5">
        <f>IF(A136="","",N(INDEX(Projects[Act Project Management],135)))</f>
        <v/>
      </c>
      <c r="BM136" s="5">
        <f>IF(A136="","",N(INDEX(Projects[Act Systems Eng],135)))</f>
        <v/>
      </c>
      <c r="BN136" s="5">
        <f>IF(A136="","",N(INDEX(Projects[Act Mechanical Eng],135)))</f>
        <v/>
      </c>
      <c r="BO136" s="5">
        <f>IF(A136="","",N(INDEX(Projects[Act Structural Engineering],135)))</f>
        <v/>
      </c>
      <c r="BP136" s="5">
        <f>IF(A136="","",N(INDEX(Projects[Act Site Sup],135)))</f>
        <v/>
      </c>
      <c r="BQ136" s="5">
        <f>IF(A136="","",N(INDEX(Projects[Act Controls Commissioning],135)))</f>
        <v/>
      </c>
      <c r="BR136" s="5">
        <f>IF(A136="","",N(INDEX(Projects[Act Systems Commissioning],135)))</f>
        <v/>
      </c>
      <c r="BS136" s="5">
        <f>IF(A136="","",N(INDEX(Projects[Act Service Commissioning],135)))</f>
        <v/>
      </c>
      <c r="BT136" s="5">
        <f>IF(A136="","",N(INDEX(Projects[Act Controls Eng],135)))</f>
        <v/>
      </c>
      <c r="BU136" s="5">
        <f>IF(A136="","",N(INDEX(Projects[Act Controls Purchase],135)))</f>
        <v/>
      </c>
      <c r="BV136" s="5">
        <f>IF(A136="","",N(INDEX(Projects[Act Software Eng],135)))</f>
        <v/>
      </c>
      <c r="BW136" s="5">
        <f>IF(A136="","",N(INDEX(Projects[Act 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INDEX(Projects[Sold Value (USD M)],135)</f>
        <v/>
      </c>
      <c r="CE136" s="5" t="n"/>
      <c r="CF136" s="5">
        <f>IF(A136="","",N(INDEX(Projects[Est Mech Inst],135)))</f>
        <v/>
      </c>
      <c r="CG136" s="5">
        <f>IF(A136="","",N(INDEX(Projects[Est Elec Inst],135)))</f>
        <v/>
      </c>
      <c r="CH136" s="5">
        <f>IF(A136="","",N(INDEX(Projects[Est Project Management],135)))</f>
        <v/>
      </c>
      <c r="CI136" s="5">
        <f>IF(A136="","",N(INDEX(Projects[Est Systems Eng],135)))</f>
        <v/>
      </c>
      <c r="CJ136" s="5">
        <f>IF(A136="","",N(INDEX(Projects[Est Mechanical Eng],135)))</f>
        <v/>
      </c>
      <c r="CK136" s="5">
        <f>IF(A136="","",N(INDEX(Projects[Est Structural Engineering],135)))</f>
        <v/>
      </c>
      <c r="CL136" s="5">
        <f>IF(A136="","",N(INDEX(Projects[Est Site Sup],135)))</f>
        <v/>
      </c>
      <c r="CM136" s="5">
        <f>IF(A136="","",N(INDEX(Projects[Est Controls Commissioning],135)))</f>
        <v/>
      </c>
      <c r="CN136" s="5">
        <f>IF(A136="","",N(INDEX(Projects[Est Systems Commissioning],135)))</f>
        <v/>
      </c>
      <c r="CO136" s="5">
        <f>IF(A136="","",N(INDEX(Projects[Est Service Commissioning],135)))</f>
        <v/>
      </c>
      <c r="CP136" s="5">
        <f>IF(A136="","",N(INDEX(Projects[Est Controls Eng],135)))</f>
        <v/>
      </c>
      <c r="CQ136" s="5">
        <f>IF(A136="","",N(INDEX(Projects[Est Controls Purchase],135)))</f>
        <v/>
      </c>
      <c r="CR136" s="5">
        <f>IF(A136="","",N(INDEX(Projects[Est Software Eng],135)))</f>
        <v/>
      </c>
      <c r="CS136" s="5">
        <f>IF(A136="","",N(INDEX(Projects[Est Misc],135)))</f>
        <v/>
      </c>
      <c r="CT136" s="5">
        <f>IF(A136="","",SUM(CF136:CS136))</f>
        <v/>
      </c>
      <c r="CU136" s="5">
        <f>INDEX(Projects[Est Cost (M)],135)</f>
        <v/>
      </c>
      <c r="CV136" s="5">
        <f>INDEX(Projects[Act Cost (M)],135)</f>
        <v/>
      </c>
      <c r="CW136" s="5">
        <f>INDEX(Projects[Plan Mech Eng (wks)],135)</f>
        <v/>
      </c>
      <c r="CX136" s="5">
        <f>INDEX(Projects[Plan Controls Eng (wks)],135)</f>
        <v/>
      </c>
      <c r="CY136" s="5">
        <f>INDEX(Projects[Plan Systems Eng (wks)],135)</f>
        <v/>
      </c>
      <c r="CZ136" s="5">
        <f>INDEX(Projects[Plan Software Eng (wks)],135)</f>
        <v/>
      </c>
      <c r="DA136" s="5">
        <f>INDEX(Projects[Plan M&amp;E Installation (wks)],135)</f>
        <v/>
      </c>
      <c r="DB136" s="5">
        <f>INDEX(Projects[Plan Commissioning (wks)],135)</f>
        <v/>
      </c>
      <c r="DC136" s="5">
        <f>INDEX(Projects[Plan Total (wks)],135)</f>
        <v/>
      </c>
      <c r="DD136" s="5">
        <f>INDEX(Projects[Act Mech Eng (wks)],135)</f>
        <v/>
      </c>
      <c r="DE136" s="5">
        <f>INDEX(Projects[Act Controls Eng (wks)],135)</f>
        <v/>
      </c>
      <c r="DF136" s="5">
        <f>INDEX(Projects[Act Systems Eng (wks)],135)</f>
        <v/>
      </c>
      <c r="DG136" s="5">
        <f>INDEX(Projects[Act Software Eng (wks)],135)</f>
        <v/>
      </c>
      <c r="DH136" s="5">
        <f>INDEX(Projects[Act M&amp;E Installation (wks)],135)</f>
        <v/>
      </c>
      <c r="DI136" s="5">
        <f>INDEX(Projects[Act Commissioning (wks)],135)</f>
        <v/>
      </c>
      <c r="DJ136" s="5">
        <f>INDEX(Projects[Act Total (wks)],135)</f>
        <v/>
      </c>
    </row>
    <row r="137" ht="15" customHeight="1" s="82">
      <c r="A137" s="64">
        <f>INDEX(Projects[Project ID *],136)&amp;""</f>
        <v/>
      </c>
      <c r="B137" s="64">
        <f>INDEX(Projects[Project Name *],136)&amp;""</f>
        <v/>
      </c>
      <c r="C137" s="64">
        <f>INDEX(Projects[MS Shuttles],136)</f>
        <v/>
      </c>
      <c r="D137" s="64">
        <f>INDEX(Projects[MS Tote Locations],136)</f>
        <v/>
      </c>
      <c r="E137" s="64">
        <f>INDEX(Projects[AS Robots],136)</f>
        <v/>
      </c>
      <c r="F137" s="64">
        <f>INDEX(Projects[AS Tote Locations],136)</f>
        <v/>
      </c>
      <c r="G137" s="64">
        <f>INDEX(Projects[PS Shuttles],136)</f>
        <v/>
      </c>
      <c r="H137" s="64">
        <f>INDEX(Projects[PS Pallet Locations],136)</f>
        <v/>
      </c>
      <c r="I137" s="64">
        <f>INDEX(Projects[SRM Cranes],136)</f>
        <v/>
      </c>
      <c r="J137" s="64">
        <f>INDEX(Projects[SRM Pallet Locations],136)</f>
        <v/>
      </c>
      <c r="K137" s="64">
        <f>INDEX(Projects[Case Conv (m)],136)</f>
        <v/>
      </c>
      <c r="L137" s="64">
        <f>INDEX(Projects[Pallet Conv (m)],136)</f>
        <v/>
      </c>
      <c r="M137" s="64">
        <f>IF(N(DJ137)&gt;0,DD137,CW137)</f>
        <v/>
      </c>
      <c r="N137" s="64">
        <f>IF(N(DJ137)&gt;0,DE137,CX137)</f>
        <v/>
      </c>
      <c r="O137" s="64">
        <f>IF(N(DJ137)&gt;0,DF137,CY137)</f>
        <v/>
      </c>
      <c r="P137" s="64">
        <f>IF(N(DJ137)&gt;0,DG137,CZ137)</f>
        <v/>
      </c>
      <c r="Q137" s="64">
        <f>IF(N(DJ137)&gt;0,DH137,DA137)</f>
        <v/>
      </c>
      <c r="R137" s="64">
        <f>IF(N(DJ137)&gt;0,DI137,DB137)</f>
        <v/>
      </c>
      <c r="S137" s="64">
        <f>IF(N(DJ137)&gt;0,DJ137,DC137)</f>
        <v/>
      </c>
      <c r="T137" s="64">
        <f>INDEX(Projects[Currency],136)&amp;""</f>
        <v/>
      </c>
      <c r="U137" s="65">
        <f>INDEX(Projects[Sold Value (M)],136)</f>
        <v/>
      </c>
      <c r="V137" s="64">
        <f>IF('Smart Search'!B13=1,IFERROR(1/'Smart Search'!H13,0),0)</f>
        <v/>
      </c>
      <c r="W137" s="64">
        <f>IF('Smart Search'!B13=1,IFERROR(1/'Smart Search'!H13,0),0)</f>
        <v/>
      </c>
      <c r="X137" s="64">
        <f>IF('Smart Search'!C13=1,IFERROR(1/'Smart Search'!H13,0),0)</f>
        <v/>
      </c>
      <c r="Y137" s="64">
        <f>IF('Smart Search'!C13=1,IFERROR(1/'Smart Search'!H13,0),0)</f>
        <v/>
      </c>
      <c r="Z137" s="64">
        <f>IF('Smart Search'!D13=1,IFERROR(1/'Smart Search'!H13,0),0)</f>
        <v/>
      </c>
      <c r="AA137" s="64">
        <f>IF('Smart Search'!D13=1,IFERROR(1/'Smart Search'!H13,0),0)</f>
        <v/>
      </c>
      <c r="AB137" s="64">
        <f>IF('Smart Search'!E13=1,IFERROR(1/'Smart Search'!H13,0),0)</f>
        <v/>
      </c>
      <c r="AC137" s="64">
        <f>IF('Smart Search'!E13=1,IFERROR(1/'Smart Search'!H13,0),0)</f>
        <v/>
      </c>
      <c r="AD137" s="64">
        <f>IF('Smart Search'!F13=1,IFERROR(1/'Smart Search'!H13,0),0)</f>
        <v/>
      </c>
      <c r="AE137" s="64">
        <f>IF('Smart Search'!F13=1,IFERROR(1/'Smart Search'!H13,0),0)</f>
        <v/>
      </c>
      <c r="AF137" s="64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4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4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4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4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4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4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4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4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4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4">
        <f>AF137*V137</f>
        <v/>
      </c>
      <c r="AQ137" s="64">
        <f>AG137*W137</f>
        <v/>
      </c>
      <c r="AR137" s="64">
        <f>AH137*X137</f>
        <v/>
      </c>
      <c r="AS137" s="64">
        <f>AI137*Y137</f>
        <v/>
      </c>
      <c r="AT137" s="64">
        <f>AJ137*Z137</f>
        <v/>
      </c>
      <c r="AU137" s="64">
        <f>AK137*AA137</f>
        <v/>
      </c>
      <c r="AV137" s="64">
        <f>AL137*AB137</f>
        <v/>
      </c>
      <c r="AW137" s="64">
        <f>AM137*AC137</f>
        <v/>
      </c>
      <c r="AX137" s="64">
        <f>AN137*AD137</f>
        <v/>
      </c>
      <c r="AY137" s="64">
        <f>AO137*AE137</f>
        <v/>
      </c>
      <c r="AZ137" s="64">
        <f>INDEX(Projects[Automation Equipment],136)&amp;""</f>
        <v/>
      </c>
      <c r="BA137" s="64">
        <f>IF(OR(A137="",'Smart Search'!H13=0),"",MAX(0,BE137*BF137*MAX(0,1-BG137)))</f>
        <v/>
      </c>
      <c r="BB137" s="64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4">
        <f>IF('Smart Search'!G13=1,IFERROR(1/'Smart Search'!H13,0),0)</f>
        <v/>
      </c>
      <c r="BD137" s="64">
        <f>BB137*BC137</f>
        <v/>
      </c>
      <c r="BE137" s="64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IF(A137="","",N(INDEX(Projects[Act Mech Inst],136)))</f>
        <v/>
      </c>
      <c r="BK137" s="5">
        <f>IF(A137="","",N(INDEX(Projects[Act Elec Inst],136)))</f>
        <v/>
      </c>
      <c r="BL137" s="5">
        <f>IF(A137="","",N(INDEX(Projects[Act Project Management],136)))</f>
        <v/>
      </c>
      <c r="BM137" s="5">
        <f>IF(A137="","",N(INDEX(Projects[Act Systems Eng],136)))</f>
        <v/>
      </c>
      <c r="BN137" s="5">
        <f>IF(A137="","",N(INDEX(Projects[Act Mechanical Eng],136)))</f>
        <v/>
      </c>
      <c r="BO137" s="5">
        <f>IF(A137="","",N(INDEX(Projects[Act Structural Engineering],136)))</f>
        <v/>
      </c>
      <c r="BP137" s="5">
        <f>IF(A137="","",N(INDEX(Projects[Act Site Sup],136)))</f>
        <v/>
      </c>
      <c r="BQ137" s="5">
        <f>IF(A137="","",N(INDEX(Projects[Act Controls Commissioning],136)))</f>
        <v/>
      </c>
      <c r="BR137" s="5">
        <f>IF(A137="","",N(INDEX(Projects[Act Systems Commissioning],136)))</f>
        <v/>
      </c>
      <c r="BS137" s="5">
        <f>IF(A137="","",N(INDEX(Projects[Act Service Commissioning],136)))</f>
        <v/>
      </c>
      <c r="BT137" s="5">
        <f>IF(A137="","",N(INDEX(Projects[Act Controls Eng],136)))</f>
        <v/>
      </c>
      <c r="BU137" s="5">
        <f>IF(A137="","",N(INDEX(Projects[Act Controls Purchase],136)))</f>
        <v/>
      </c>
      <c r="BV137" s="5">
        <f>IF(A137="","",N(INDEX(Projects[Act Software Eng],136)))</f>
        <v/>
      </c>
      <c r="BW137" s="5">
        <f>IF(A137="","",N(INDEX(Projects[Act 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INDEX(Projects[Sold Value (USD M)],136)</f>
        <v/>
      </c>
      <c r="CE137" s="5" t="n"/>
      <c r="CF137" s="5">
        <f>IF(A137="","",N(INDEX(Projects[Est Mech Inst],136)))</f>
        <v/>
      </c>
      <c r="CG137" s="5">
        <f>IF(A137="","",N(INDEX(Projects[Est Elec Inst],136)))</f>
        <v/>
      </c>
      <c r="CH137" s="5">
        <f>IF(A137="","",N(INDEX(Projects[Est Project Management],136)))</f>
        <v/>
      </c>
      <c r="CI137" s="5">
        <f>IF(A137="","",N(INDEX(Projects[Est Systems Eng],136)))</f>
        <v/>
      </c>
      <c r="CJ137" s="5">
        <f>IF(A137="","",N(INDEX(Projects[Est Mechanical Eng],136)))</f>
        <v/>
      </c>
      <c r="CK137" s="5">
        <f>IF(A137="","",N(INDEX(Projects[Est Structural Engineering],136)))</f>
        <v/>
      </c>
      <c r="CL137" s="5">
        <f>IF(A137="","",N(INDEX(Projects[Est Site Sup],136)))</f>
        <v/>
      </c>
      <c r="CM137" s="5">
        <f>IF(A137="","",N(INDEX(Projects[Est Controls Commissioning],136)))</f>
        <v/>
      </c>
      <c r="CN137" s="5">
        <f>IF(A137="","",N(INDEX(Projects[Est Systems Commissioning],136)))</f>
        <v/>
      </c>
      <c r="CO137" s="5">
        <f>IF(A137="","",N(INDEX(Projects[Est Service Commissioning],136)))</f>
        <v/>
      </c>
      <c r="CP137" s="5">
        <f>IF(A137="","",N(INDEX(Projects[Est Controls Eng],136)))</f>
        <v/>
      </c>
      <c r="CQ137" s="5">
        <f>IF(A137="","",N(INDEX(Projects[Est Controls Purchase],136)))</f>
        <v/>
      </c>
      <c r="CR137" s="5">
        <f>IF(A137="","",N(INDEX(Projects[Est Software Eng],136)))</f>
        <v/>
      </c>
      <c r="CS137" s="5">
        <f>IF(A137="","",N(INDEX(Projects[Est Misc],136)))</f>
        <v/>
      </c>
      <c r="CT137" s="5">
        <f>IF(A137="","",SUM(CF137:CS137))</f>
        <v/>
      </c>
      <c r="CU137" s="5">
        <f>INDEX(Projects[Est Cost (M)],136)</f>
        <v/>
      </c>
      <c r="CV137" s="5">
        <f>INDEX(Projects[Act Cost (M)],136)</f>
        <v/>
      </c>
      <c r="CW137" s="5">
        <f>INDEX(Projects[Plan Mech Eng (wks)],136)</f>
        <v/>
      </c>
      <c r="CX137" s="5">
        <f>INDEX(Projects[Plan Controls Eng (wks)],136)</f>
        <v/>
      </c>
      <c r="CY137" s="5">
        <f>INDEX(Projects[Plan Systems Eng (wks)],136)</f>
        <v/>
      </c>
      <c r="CZ137" s="5">
        <f>INDEX(Projects[Plan Software Eng (wks)],136)</f>
        <v/>
      </c>
      <c r="DA137" s="5">
        <f>INDEX(Projects[Plan M&amp;E Installation (wks)],136)</f>
        <v/>
      </c>
      <c r="DB137" s="5">
        <f>INDEX(Projects[Plan Commissioning (wks)],136)</f>
        <v/>
      </c>
      <c r="DC137" s="5">
        <f>INDEX(Projects[Plan Total (wks)],136)</f>
        <v/>
      </c>
      <c r="DD137" s="5">
        <f>INDEX(Projects[Act Mech Eng (wks)],136)</f>
        <v/>
      </c>
      <c r="DE137" s="5">
        <f>INDEX(Projects[Act Controls Eng (wks)],136)</f>
        <v/>
      </c>
      <c r="DF137" s="5">
        <f>INDEX(Projects[Act Systems Eng (wks)],136)</f>
        <v/>
      </c>
      <c r="DG137" s="5">
        <f>INDEX(Projects[Act Software Eng (wks)],136)</f>
        <v/>
      </c>
      <c r="DH137" s="5">
        <f>INDEX(Projects[Act M&amp;E Installation (wks)],136)</f>
        <v/>
      </c>
      <c r="DI137" s="5">
        <f>INDEX(Projects[Act Commissioning (wks)],136)</f>
        <v/>
      </c>
      <c r="DJ137" s="5">
        <f>INDEX(Projects[Act Total (wks)],136)</f>
        <v/>
      </c>
    </row>
    <row r="138" ht="15" customHeight="1" s="82">
      <c r="A138" s="64">
        <f>INDEX(Projects[Project ID *],137)&amp;""</f>
        <v/>
      </c>
      <c r="B138" s="64">
        <f>INDEX(Projects[Project Name *],137)&amp;""</f>
        <v/>
      </c>
      <c r="C138" s="64">
        <f>INDEX(Projects[MS Shuttles],137)</f>
        <v/>
      </c>
      <c r="D138" s="64">
        <f>INDEX(Projects[MS Tote Locations],137)</f>
        <v/>
      </c>
      <c r="E138" s="64">
        <f>INDEX(Projects[AS Robots],137)</f>
        <v/>
      </c>
      <c r="F138" s="64">
        <f>INDEX(Projects[AS Tote Locations],137)</f>
        <v/>
      </c>
      <c r="G138" s="64">
        <f>INDEX(Projects[PS Shuttles],137)</f>
        <v/>
      </c>
      <c r="H138" s="64">
        <f>INDEX(Projects[PS Pallet Locations],137)</f>
        <v/>
      </c>
      <c r="I138" s="64">
        <f>INDEX(Projects[SRM Cranes],137)</f>
        <v/>
      </c>
      <c r="J138" s="64">
        <f>INDEX(Projects[SRM Pallet Locations],137)</f>
        <v/>
      </c>
      <c r="K138" s="64">
        <f>INDEX(Projects[Case Conv (m)],137)</f>
        <v/>
      </c>
      <c r="L138" s="64">
        <f>INDEX(Projects[Pallet Conv (m)],137)</f>
        <v/>
      </c>
      <c r="M138" s="64">
        <f>IF(N(DJ138)&gt;0,DD138,CW138)</f>
        <v/>
      </c>
      <c r="N138" s="64">
        <f>IF(N(DJ138)&gt;0,DE138,CX138)</f>
        <v/>
      </c>
      <c r="O138" s="64">
        <f>IF(N(DJ138)&gt;0,DF138,CY138)</f>
        <v/>
      </c>
      <c r="P138" s="64">
        <f>IF(N(DJ138)&gt;0,DG138,CZ138)</f>
        <v/>
      </c>
      <c r="Q138" s="64">
        <f>IF(N(DJ138)&gt;0,DH138,DA138)</f>
        <v/>
      </c>
      <c r="R138" s="64">
        <f>IF(N(DJ138)&gt;0,DI138,DB138)</f>
        <v/>
      </c>
      <c r="S138" s="64">
        <f>IF(N(DJ138)&gt;0,DJ138,DC138)</f>
        <v/>
      </c>
      <c r="T138" s="64">
        <f>INDEX(Projects[Currency],137)&amp;""</f>
        <v/>
      </c>
      <c r="U138" s="65">
        <f>INDEX(Projects[Sold Value (M)],137)</f>
        <v/>
      </c>
      <c r="V138" s="64">
        <f>IF('Smart Search'!B13=1,IFERROR(1/'Smart Search'!H13,0),0)</f>
        <v/>
      </c>
      <c r="W138" s="64">
        <f>IF('Smart Search'!B13=1,IFERROR(1/'Smart Search'!H13,0),0)</f>
        <v/>
      </c>
      <c r="X138" s="64">
        <f>IF('Smart Search'!C13=1,IFERROR(1/'Smart Search'!H13,0),0)</f>
        <v/>
      </c>
      <c r="Y138" s="64">
        <f>IF('Smart Search'!C13=1,IFERROR(1/'Smart Search'!H13,0),0)</f>
        <v/>
      </c>
      <c r="Z138" s="64">
        <f>IF('Smart Search'!D13=1,IFERROR(1/'Smart Search'!H13,0),0)</f>
        <v/>
      </c>
      <c r="AA138" s="64">
        <f>IF('Smart Search'!D13=1,IFERROR(1/'Smart Search'!H13,0),0)</f>
        <v/>
      </c>
      <c r="AB138" s="64">
        <f>IF('Smart Search'!E13=1,IFERROR(1/'Smart Search'!H13,0),0)</f>
        <v/>
      </c>
      <c r="AC138" s="64">
        <f>IF('Smart Search'!E13=1,IFERROR(1/'Smart Search'!H13,0),0)</f>
        <v/>
      </c>
      <c r="AD138" s="64">
        <f>IF('Smart Search'!F13=1,IFERROR(1/'Smart Search'!H13,0),0)</f>
        <v/>
      </c>
      <c r="AE138" s="64">
        <f>IF('Smart Search'!F13=1,IFERROR(1/'Smart Search'!H13,0),0)</f>
        <v/>
      </c>
      <c r="AF138" s="64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4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4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4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4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4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4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4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4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4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4">
        <f>AF138*V138</f>
        <v/>
      </c>
      <c r="AQ138" s="64">
        <f>AG138*W138</f>
        <v/>
      </c>
      <c r="AR138" s="64">
        <f>AH138*X138</f>
        <v/>
      </c>
      <c r="AS138" s="64">
        <f>AI138*Y138</f>
        <v/>
      </c>
      <c r="AT138" s="64">
        <f>AJ138*Z138</f>
        <v/>
      </c>
      <c r="AU138" s="64">
        <f>AK138*AA138</f>
        <v/>
      </c>
      <c r="AV138" s="64">
        <f>AL138*AB138</f>
        <v/>
      </c>
      <c r="AW138" s="64">
        <f>AM138*AC138</f>
        <v/>
      </c>
      <c r="AX138" s="64">
        <f>AN138*AD138</f>
        <v/>
      </c>
      <c r="AY138" s="64">
        <f>AO138*AE138</f>
        <v/>
      </c>
      <c r="AZ138" s="64">
        <f>INDEX(Projects[Automation Equipment],137)&amp;""</f>
        <v/>
      </c>
      <c r="BA138" s="64">
        <f>IF(OR(A138="",'Smart Search'!H13=0),"",MAX(0,BE138*BF138*MAX(0,1-BG138)))</f>
        <v/>
      </c>
      <c r="BB138" s="64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4">
        <f>IF('Smart Search'!G13=1,IFERROR(1/'Smart Search'!H13,0),0)</f>
        <v/>
      </c>
      <c r="BD138" s="64">
        <f>BB138*BC138</f>
        <v/>
      </c>
      <c r="BE138" s="64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IF(A138="","",N(INDEX(Projects[Act Mech Inst],137)))</f>
        <v/>
      </c>
      <c r="BK138" s="5">
        <f>IF(A138="","",N(INDEX(Projects[Act Elec Inst],137)))</f>
        <v/>
      </c>
      <c r="BL138" s="5">
        <f>IF(A138="","",N(INDEX(Projects[Act Project Management],137)))</f>
        <v/>
      </c>
      <c r="BM138" s="5">
        <f>IF(A138="","",N(INDEX(Projects[Act Systems Eng],137)))</f>
        <v/>
      </c>
      <c r="BN138" s="5">
        <f>IF(A138="","",N(INDEX(Projects[Act Mechanical Eng],137)))</f>
        <v/>
      </c>
      <c r="BO138" s="5">
        <f>IF(A138="","",N(INDEX(Projects[Act Structural Engineering],137)))</f>
        <v/>
      </c>
      <c r="BP138" s="5">
        <f>IF(A138="","",N(INDEX(Projects[Act Site Sup],137)))</f>
        <v/>
      </c>
      <c r="BQ138" s="5">
        <f>IF(A138="","",N(INDEX(Projects[Act Controls Commissioning],137)))</f>
        <v/>
      </c>
      <c r="BR138" s="5">
        <f>IF(A138="","",N(INDEX(Projects[Act Systems Commissioning],137)))</f>
        <v/>
      </c>
      <c r="BS138" s="5">
        <f>IF(A138="","",N(INDEX(Projects[Act Service Commissioning],137)))</f>
        <v/>
      </c>
      <c r="BT138" s="5">
        <f>IF(A138="","",N(INDEX(Projects[Act Controls Eng],137)))</f>
        <v/>
      </c>
      <c r="BU138" s="5">
        <f>IF(A138="","",N(INDEX(Projects[Act Controls Purchase],137)))</f>
        <v/>
      </c>
      <c r="BV138" s="5">
        <f>IF(A138="","",N(INDEX(Projects[Act Software Eng],137)))</f>
        <v/>
      </c>
      <c r="BW138" s="5">
        <f>IF(A138="","",N(INDEX(Projects[Act 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INDEX(Projects[Sold Value (USD M)],137)</f>
        <v/>
      </c>
      <c r="CE138" s="5" t="n"/>
      <c r="CF138" s="5">
        <f>IF(A138="","",N(INDEX(Projects[Est Mech Inst],137)))</f>
        <v/>
      </c>
      <c r="CG138" s="5">
        <f>IF(A138="","",N(INDEX(Projects[Est Elec Inst],137)))</f>
        <v/>
      </c>
      <c r="CH138" s="5">
        <f>IF(A138="","",N(INDEX(Projects[Est Project Management],137)))</f>
        <v/>
      </c>
      <c r="CI138" s="5">
        <f>IF(A138="","",N(INDEX(Projects[Est Systems Eng],137)))</f>
        <v/>
      </c>
      <c r="CJ138" s="5">
        <f>IF(A138="","",N(INDEX(Projects[Est Mechanical Eng],137)))</f>
        <v/>
      </c>
      <c r="CK138" s="5">
        <f>IF(A138="","",N(INDEX(Projects[Est Structural Engineering],137)))</f>
        <v/>
      </c>
      <c r="CL138" s="5">
        <f>IF(A138="","",N(INDEX(Projects[Est Site Sup],137)))</f>
        <v/>
      </c>
      <c r="CM138" s="5">
        <f>IF(A138="","",N(INDEX(Projects[Est Controls Commissioning],137)))</f>
        <v/>
      </c>
      <c r="CN138" s="5">
        <f>IF(A138="","",N(INDEX(Projects[Est Systems Commissioning],137)))</f>
        <v/>
      </c>
      <c r="CO138" s="5">
        <f>IF(A138="","",N(INDEX(Projects[Est Service Commissioning],137)))</f>
        <v/>
      </c>
      <c r="CP138" s="5">
        <f>IF(A138="","",N(INDEX(Projects[Est Controls Eng],137)))</f>
        <v/>
      </c>
      <c r="CQ138" s="5">
        <f>IF(A138="","",N(INDEX(Projects[Est Controls Purchase],137)))</f>
        <v/>
      </c>
      <c r="CR138" s="5">
        <f>IF(A138="","",N(INDEX(Projects[Est Software Eng],137)))</f>
        <v/>
      </c>
      <c r="CS138" s="5">
        <f>IF(A138="","",N(INDEX(Projects[Est Misc],137)))</f>
        <v/>
      </c>
      <c r="CT138" s="5">
        <f>IF(A138="","",SUM(CF138:CS138))</f>
        <v/>
      </c>
      <c r="CU138" s="5">
        <f>INDEX(Projects[Est Cost (M)],137)</f>
        <v/>
      </c>
      <c r="CV138" s="5">
        <f>INDEX(Projects[Act Cost (M)],137)</f>
        <v/>
      </c>
      <c r="CW138" s="5">
        <f>INDEX(Projects[Plan Mech Eng (wks)],137)</f>
        <v/>
      </c>
      <c r="CX138" s="5">
        <f>INDEX(Projects[Plan Controls Eng (wks)],137)</f>
        <v/>
      </c>
      <c r="CY138" s="5">
        <f>INDEX(Projects[Plan Systems Eng (wks)],137)</f>
        <v/>
      </c>
      <c r="CZ138" s="5">
        <f>INDEX(Projects[Plan Software Eng (wks)],137)</f>
        <v/>
      </c>
      <c r="DA138" s="5">
        <f>INDEX(Projects[Plan M&amp;E Installation (wks)],137)</f>
        <v/>
      </c>
      <c r="DB138" s="5">
        <f>INDEX(Projects[Plan Commissioning (wks)],137)</f>
        <v/>
      </c>
      <c r="DC138" s="5">
        <f>INDEX(Projects[Plan Total (wks)],137)</f>
        <v/>
      </c>
      <c r="DD138" s="5">
        <f>INDEX(Projects[Act Mech Eng (wks)],137)</f>
        <v/>
      </c>
      <c r="DE138" s="5">
        <f>INDEX(Projects[Act Controls Eng (wks)],137)</f>
        <v/>
      </c>
      <c r="DF138" s="5">
        <f>INDEX(Projects[Act Systems Eng (wks)],137)</f>
        <v/>
      </c>
      <c r="DG138" s="5">
        <f>INDEX(Projects[Act Software Eng (wks)],137)</f>
        <v/>
      </c>
      <c r="DH138" s="5">
        <f>INDEX(Projects[Act M&amp;E Installation (wks)],137)</f>
        <v/>
      </c>
      <c r="DI138" s="5">
        <f>INDEX(Projects[Act Commissioning (wks)],137)</f>
        <v/>
      </c>
      <c r="DJ138" s="5">
        <f>INDEX(Projects[Act Total (wks)],137)</f>
        <v/>
      </c>
    </row>
    <row r="139" ht="15" customHeight="1" s="82">
      <c r="A139" s="64">
        <f>INDEX(Projects[Project ID *],138)&amp;""</f>
        <v/>
      </c>
      <c r="B139" s="64">
        <f>INDEX(Projects[Project Name *],138)&amp;""</f>
        <v/>
      </c>
      <c r="C139" s="64">
        <f>INDEX(Projects[MS Shuttles],138)</f>
        <v/>
      </c>
      <c r="D139" s="64">
        <f>INDEX(Projects[MS Tote Locations],138)</f>
        <v/>
      </c>
      <c r="E139" s="64">
        <f>INDEX(Projects[AS Robots],138)</f>
        <v/>
      </c>
      <c r="F139" s="64">
        <f>INDEX(Projects[AS Tote Locations],138)</f>
        <v/>
      </c>
      <c r="G139" s="64">
        <f>INDEX(Projects[PS Shuttles],138)</f>
        <v/>
      </c>
      <c r="H139" s="64">
        <f>INDEX(Projects[PS Pallet Locations],138)</f>
        <v/>
      </c>
      <c r="I139" s="64">
        <f>INDEX(Projects[SRM Cranes],138)</f>
        <v/>
      </c>
      <c r="J139" s="64">
        <f>INDEX(Projects[SRM Pallet Locations],138)</f>
        <v/>
      </c>
      <c r="K139" s="64">
        <f>INDEX(Projects[Case Conv (m)],138)</f>
        <v/>
      </c>
      <c r="L139" s="64">
        <f>INDEX(Projects[Pallet Conv (m)],138)</f>
        <v/>
      </c>
      <c r="M139" s="64">
        <f>IF(N(DJ139)&gt;0,DD139,CW139)</f>
        <v/>
      </c>
      <c r="N139" s="64">
        <f>IF(N(DJ139)&gt;0,DE139,CX139)</f>
        <v/>
      </c>
      <c r="O139" s="64">
        <f>IF(N(DJ139)&gt;0,DF139,CY139)</f>
        <v/>
      </c>
      <c r="P139" s="64">
        <f>IF(N(DJ139)&gt;0,DG139,CZ139)</f>
        <v/>
      </c>
      <c r="Q139" s="64">
        <f>IF(N(DJ139)&gt;0,DH139,DA139)</f>
        <v/>
      </c>
      <c r="R139" s="64">
        <f>IF(N(DJ139)&gt;0,DI139,DB139)</f>
        <v/>
      </c>
      <c r="S139" s="64">
        <f>IF(N(DJ139)&gt;0,DJ139,DC139)</f>
        <v/>
      </c>
      <c r="T139" s="64">
        <f>INDEX(Projects[Currency],138)&amp;""</f>
        <v/>
      </c>
      <c r="U139" s="65">
        <f>INDEX(Projects[Sold Value (M)],138)</f>
        <v/>
      </c>
      <c r="V139" s="64">
        <f>IF('Smart Search'!B13=1,IFERROR(1/'Smart Search'!H13,0),0)</f>
        <v/>
      </c>
      <c r="W139" s="64">
        <f>IF('Smart Search'!B13=1,IFERROR(1/'Smart Search'!H13,0),0)</f>
        <v/>
      </c>
      <c r="X139" s="64">
        <f>IF('Smart Search'!C13=1,IFERROR(1/'Smart Search'!H13,0),0)</f>
        <v/>
      </c>
      <c r="Y139" s="64">
        <f>IF('Smart Search'!C13=1,IFERROR(1/'Smart Search'!H13,0),0)</f>
        <v/>
      </c>
      <c r="Z139" s="64">
        <f>IF('Smart Search'!D13=1,IFERROR(1/'Smart Search'!H13,0),0)</f>
        <v/>
      </c>
      <c r="AA139" s="64">
        <f>IF('Smart Search'!D13=1,IFERROR(1/'Smart Search'!H13,0),0)</f>
        <v/>
      </c>
      <c r="AB139" s="64">
        <f>IF('Smart Search'!E13=1,IFERROR(1/'Smart Search'!H13,0),0)</f>
        <v/>
      </c>
      <c r="AC139" s="64">
        <f>IF('Smart Search'!E13=1,IFERROR(1/'Smart Search'!H13,0),0)</f>
        <v/>
      </c>
      <c r="AD139" s="64">
        <f>IF('Smart Search'!F13=1,IFERROR(1/'Smart Search'!H13,0),0)</f>
        <v/>
      </c>
      <c r="AE139" s="64">
        <f>IF('Smart Search'!F13=1,IFERROR(1/'Smart Search'!H13,0),0)</f>
        <v/>
      </c>
      <c r="AF139" s="64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4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4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4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4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4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4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4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4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4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4">
        <f>AF139*V139</f>
        <v/>
      </c>
      <c r="AQ139" s="64">
        <f>AG139*W139</f>
        <v/>
      </c>
      <c r="AR139" s="64">
        <f>AH139*X139</f>
        <v/>
      </c>
      <c r="AS139" s="64">
        <f>AI139*Y139</f>
        <v/>
      </c>
      <c r="AT139" s="64">
        <f>AJ139*Z139</f>
        <v/>
      </c>
      <c r="AU139" s="64">
        <f>AK139*AA139</f>
        <v/>
      </c>
      <c r="AV139" s="64">
        <f>AL139*AB139</f>
        <v/>
      </c>
      <c r="AW139" s="64">
        <f>AM139*AC139</f>
        <v/>
      </c>
      <c r="AX139" s="64">
        <f>AN139*AD139</f>
        <v/>
      </c>
      <c r="AY139" s="64">
        <f>AO139*AE139</f>
        <v/>
      </c>
      <c r="AZ139" s="64">
        <f>INDEX(Projects[Automation Equipment],138)&amp;""</f>
        <v/>
      </c>
      <c r="BA139" s="64">
        <f>IF(OR(A139="",'Smart Search'!H13=0),"",MAX(0,BE139*BF139*MAX(0,1-BG139)))</f>
        <v/>
      </c>
      <c r="BB139" s="64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4">
        <f>IF('Smart Search'!G13=1,IFERROR(1/'Smart Search'!H13,0),0)</f>
        <v/>
      </c>
      <c r="BD139" s="64">
        <f>BB139*BC139</f>
        <v/>
      </c>
      <c r="BE139" s="64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IF(A139="","",N(INDEX(Projects[Act Mech Inst],138)))</f>
        <v/>
      </c>
      <c r="BK139" s="5">
        <f>IF(A139="","",N(INDEX(Projects[Act Elec Inst],138)))</f>
        <v/>
      </c>
      <c r="BL139" s="5">
        <f>IF(A139="","",N(INDEX(Projects[Act Project Management],138)))</f>
        <v/>
      </c>
      <c r="BM139" s="5">
        <f>IF(A139="","",N(INDEX(Projects[Act Systems Eng],138)))</f>
        <v/>
      </c>
      <c r="BN139" s="5">
        <f>IF(A139="","",N(INDEX(Projects[Act Mechanical Eng],138)))</f>
        <v/>
      </c>
      <c r="BO139" s="5">
        <f>IF(A139="","",N(INDEX(Projects[Act Structural Engineering],138)))</f>
        <v/>
      </c>
      <c r="BP139" s="5">
        <f>IF(A139="","",N(INDEX(Projects[Act Site Sup],138)))</f>
        <v/>
      </c>
      <c r="BQ139" s="5">
        <f>IF(A139="","",N(INDEX(Projects[Act Controls Commissioning],138)))</f>
        <v/>
      </c>
      <c r="BR139" s="5">
        <f>IF(A139="","",N(INDEX(Projects[Act Systems Commissioning],138)))</f>
        <v/>
      </c>
      <c r="BS139" s="5">
        <f>IF(A139="","",N(INDEX(Projects[Act Service Commissioning],138)))</f>
        <v/>
      </c>
      <c r="BT139" s="5">
        <f>IF(A139="","",N(INDEX(Projects[Act Controls Eng],138)))</f>
        <v/>
      </c>
      <c r="BU139" s="5">
        <f>IF(A139="","",N(INDEX(Projects[Act Controls Purchase],138)))</f>
        <v/>
      </c>
      <c r="BV139" s="5">
        <f>IF(A139="","",N(INDEX(Projects[Act Software Eng],138)))</f>
        <v/>
      </c>
      <c r="BW139" s="5">
        <f>IF(A139="","",N(INDEX(Projects[Act 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INDEX(Projects[Sold Value (USD M)],138)</f>
        <v/>
      </c>
      <c r="CE139" s="5" t="n"/>
      <c r="CF139" s="5">
        <f>IF(A139="","",N(INDEX(Projects[Est Mech Inst],138)))</f>
        <v/>
      </c>
      <c r="CG139" s="5">
        <f>IF(A139="","",N(INDEX(Projects[Est Elec Inst],138)))</f>
        <v/>
      </c>
      <c r="CH139" s="5">
        <f>IF(A139="","",N(INDEX(Projects[Est Project Management],138)))</f>
        <v/>
      </c>
      <c r="CI139" s="5">
        <f>IF(A139="","",N(INDEX(Projects[Est Systems Eng],138)))</f>
        <v/>
      </c>
      <c r="CJ139" s="5">
        <f>IF(A139="","",N(INDEX(Projects[Est Mechanical Eng],138)))</f>
        <v/>
      </c>
      <c r="CK139" s="5">
        <f>IF(A139="","",N(INDEX(Projects[Est Structural Engineering],138)))</f>
        <v/>
      </c>
      <c r="CL139" s="5">
        <f>IF(A139="","",N(INDEX(Projects[Est Site Sup],138)))</f>
        <v/>
      </c>
      <c r="CM139" s="5">
        <f>IF(A139="","",N(INDEX(Projects[Est Controls Commissioning],138)))</f>
        <v/>
      </c>
      <c r="CN139" s="5">
        <f>IF(A139="","",N(INDEX(Projects[Est Systems Commissioning],138)))</f>
        <v/>
      </c>
      <c r="CO139" s="5">
        <f>IF(A139="","",N(INDEX(Projects[Est Service Commissioning],138)))</f>
        <v/>
      </c>
      <c r="CP139" s="5">
        <f>IF(A139="","",N(INDEX(Projects[Est Controls Eng],138)))</f>
        <v/>
      </c>
      <c r="CQ139" s="5">
        <f>IF(A139="","",N(INDEX(Projects[Est Controls Purchase],138)))</f>
        <v/>
      </c>
      <c r="CR139" s="5">
        <f>IF(A139="","",N(INDEX(Projects[Est Software Eng],138)))</f>
        <v/>
      </c>
      <c r="CS139" s="5">
        <f>IF(A139="","",N(INDEX(Projects[Est Misc],138)))</f>
        <v/>
      </c>
      <c r="CT139" s="5">
        <f>IF(A139="","",SUM(CF139:CS139))</f>
        <v/>
      </c>
      <c r="CU139" s="5">
        <f>INDEX(Projects[Est Cost (M)],138)</f>
        <v/>
      </c>
      <c r="CV139" s="5">
        <f>INDEX(Projects[Act Cost (M)],138)</f>
        <v/>
      </c>
      <c r="CW139" s="5">
        <f>INDEX(Projects[Plan Mech Eng (wks)],138)</f>
        <v/>
      </c>
      <c r="CX139" s="5">
        <f>INDEX(Projects[Plan Controls Eng (wks)],138)</f>
        <v/>
      </c>
      <c r="CY139" s="5">
        <f>INDEX(Projects[Plan Systems Eng (wks)],138)</f>
        <v/>
      </c>
      <c r="CZ139" s="5">
        <f>INDEX(Projects[Plan Software Eng (wks)],138)</f>
        <v/>
      </c>
      <c r="DA139" s="5">
        <f>INDEX(Projects[Plan M&amp;E Installation (wks)],138)</f>
        <v/>
      </c>
      <c r="DB139" s="5">
        <f>INDEX(Projects[Plan Commissioning (wks)],138)</f>
        <v/>
      </c>
      <c r="DC139" s="5">
        <f>INDEX(Projects[Plan Total (wks)],138)</f>
        <v/>
      </c>
      <c r="DD139" s="5">
        <f>INDEX(Projects[Act Mech Eng (wks)],138)</f>
        <v/>
      </c>
      <c r="DE139" s="5">
        <f>INDEX(Projects[Act Controls Eng (wks)],138)</f>
        <v/>
      </c>
      <c r="DF139" s="5">
        <f>INDEX(Projects[Act Systems Eng (wks)],138)</f>
        <v/>
      </c>
      <c r="DG139" s="5">
        <f>INDEX(Projects[Act Software Eng (wks)],138)</f>
        <v/>
      </c>
      <c r="DH139" s="5">
        <f>INDEX(Projects[Act M&amp;E Installation (wks)],138)</f>
        <v/>
      </c>
      <c r="DI139" s="5">
        <f>INDEX(Projects[Act Commissioning (wks)],138)</f>
        <v/>
      </c>
      <c r="DJ139" s="5">
        <f>INDEX(Projects[Act Total (wks)],138)</f>
        <v/>
      </c>
    </row>
    <row r="140" ht="15" customHeight="1" s="82">
      <c r="A140" s="64">
        <f>INDEX(Projects[Project ID *],139)&amp;""</f>
        <v/>
      </c>
      <c r="B140" s="64">
        <f>INDEX(Projects[Project Name *],139)&amp;""</f>
        <v/>
      </c>
      <c r="C140" s="64">
        <f>INDEX(Projects[MS Shuttles],139)</f>
        <v/>
      </c>
      <c r="D140" s="64">
        <f>INDEX(Projects[MS Tote Locations],139)</f>
        <v/>
      </c>
      <c r="E140" s="64">
        <f>INDEX(Projects[AS Robots],139)</f>
        <v/>
      </c>
      <c r="F140" s="64">
        <f>INDEX(Projects[AS Tote Locations],139)</f>
        <v/>
      </c>
      <c r="G140" s="64">
        <f>INDEX(Projects[PS Shuttles],139)</f>
        <v/>
      </c>
      <c r="H140" s="64">
        <f>INDEX(Projects[PS Pallet Locations],139)</f>
        <v/>
      </c>
      <c r="I140" s="64">
        <f>INDEX(Projects[SRM Cranes],139)</f>
        <v/>
      </c>
      <c r="J140" s="64">
        <f>INDEX(Projects[SRM Pallet Locations],139)</f>
        <v/>
      </c>
      <c r="K140" s="64">
        <f>INDEX(Projects[Case Conv (m)],139)</f>
        <v/>
      </c>
      <c r="L140" s="64">
        <f>INDEX(Projects[Pallet Conv (m)],139)</f>
        <v/>
      </c>
      <c r="M140" s="64">
        <f>IF(N(DJ140)&gt;0,DD140,CW140)</f>
        <v/>
      </c>
      <c r="N140" s="64">
        <f>IF(N(DJ140)&gt;0,DE140,CX140)</f>
        <v/>
      </c>
      <c r="O140" s="64">
        <f>IF(N(DJ140)&gt;0,DF140,CY140)</f>
        <v/>
      </c>
      <c r="P140" s="64">
        <f>IF(N(DJ140)&gt;0,DG140,CZ140)</f>
        <v/>
      </c>
      <c r="Q140" s="64">
        <f>IF(N(DJ140)&gt;0,DH140,DA140)</f>
        <v/>
      </c>
      <c r="R140" s="64">
        <f>IF(N(DJ140)&gt;0,DI140,DB140)</f>
        <v/>
      </c>
      <c r="S140" s="64">
        <f>IF(N(DJ140)&gt;0,DJ140,DC140)</f>
        <v/>
      </c>
      <c r="T140" s="64">
        <f>INDEX(Projects[Currency],139)&amp;""</f>
        <v/>
      </c>
      <c r="U140" s="65">
        <f>INDEX(Projects[Sold Value (M)],139)</f>
        <v/>
      </c>
      <c r="V140" s="64">
        <f>IF('Smart Search'!B13=1,IFERROR(1/'Smart Search'!H13,0),0)</f>
        <v/>
      </c>
      <c r="W140" s="64">
        <f>IF('Smart Search'!B13=1,IFERROR(1/'Smart Search'!H13,0),0)</f>
        <v/>
      </c>
      <c r="X140" s="64">
        <f>IF('Smart Search'!C13=1,IFERROR(1/'Smart Search'!H13,0),0)</f>
        <v/>
      </c>
      <c r="Y140" s="64">
        <f>IF('Smart Search'!C13=1,IFERROR(1/'Smart Search'!H13,0),0)</f>
        <v/>
      </c>
      <c r="Z140" s="64">
        <f>IF('Smart Search'!D13=1,IFERROR(1/'Smart Search'!H13,0),0)</f>
        <v/>
      </c>
      <c r="AA140" s="64">
        <f>IF('Smart Search'!D13=1,IFERROR(1/'Smart Search'!H13,0),0)</f>
        <v/>
      </c>
      <c r="AB140" s="64">
        <f>IF('Smart Search'!E13=1,IFERROR(1/'Smart Search'!H13,0),0)</f>
        <v/>
      </c>
      <c r="AC140" s="64">
        <f>IF('Smart Search'!E13=1,IFERROR(1/'Smart Search'!H13,0),0)</f>
        <v/>
      </c>
      <c r="AD140" s="64">
        <f>IF('Smart Search'!F13=1,IFERROR(1/'Smart Search'!H13,0),0)</f>
        <v/>
      </c>
      <c r="AE140" s="64">
        <f>IF('Smart Search'!F13=1,IFERROR(1/'Smart Search'!H13,0),0)</f>
        <v/>
      </c>
      <c r="AF140" s="64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4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4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4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4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4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4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4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4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4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4">
        <f>AF140*V140</f>
        <v/>
      </c>
      <c r="AQ140" s="64">
        <f>AG140*W140</f>
        <v/>
      </c>
      <c r="AR140" s="64">
        <f>AH140*X140</f>
        <v/>
      </c>
      <c r="AS140" s="64">
        <f>AI140*Y140</f>
        <v/>
      </c>
      <c r="AT140" s="64">
        <f>AJ140*Z140</f>
        <v/>
      </c>
      <c r="AU140" s="64">
        <f>AK140*AA140</f>
        <v/>
      </c>
      <c r="AV140" s="64">
        <f>AL140*AB140</f>
        <v/>
      </c>
      <c r="AW140" s="64">
        <f>AM140*AC140</f>
        <v/>
      </c>
      <c r="AX140" s="64">
        <f>AN140*AD140</f>
        <v/>
      </c>
      <c r="AY140" s="64">
        <f>AO140*AE140</f>
        <v/>
      </c>
      <c r="AZ140" s="64">
        <f>INDEX(Projects[Automation Equipment],139)&amp;""</f>
        <v/>
      </c>
      <c r="BA140" s="64">
        <f>IF(OR(A140="",'Smart Search'!H13=0),"",MAX(0,BE140*BF140*MAX(0,1-BG140)))</f>
        <v/>
      </c>
      <c r="BB140" s="64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4">
        <f>IF('Smart Search'!G13=1,IFERROR(1/'Smart Search'!H13,0),0)</f>
        <v/>
      </c>
      <c r="BD140" s="64">
        <f>BB140*BC140</f>
        <v/>
      </c>
      <c r="BE140" s="64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IF(A140="","",N(INDEX(Projects[Act Mech Inst],139)))</f>
        <v/>
      </c>
      <c r="BK140" s="5">
        <f>IF(A140="","",N(INDEX(Projects[Act Elec Inst],139)))</f>
        <v/>
      </c>
      <c r="BL140" s="5">
        <f>IF(A140="","",N(INDEX(Projects[Act Project Management],139)))</f>
        <v/>
      </c>
      <c r="BM140" s="5">
        <f>IF(A140="","",N(INDEX(Projects[Act Systems Eng],139)))</f>
        <v/>
      </c>
      <c r="BN140" s="5">
        <f>IF(A140="","",N(INDEX(Projects[Act Mechanical Eng],139)))</f>
        <v/>
      </c>
      <c r="BO140" s="5">
        <f>IF(A140="","",N(INDEX(Projects[Act Structural Engineering],139)))</f>
        <v/>
      </c>
      <c r="BP140" s="5">
        <f>IF(A140="","",N(INDEX(Projects[Act Site Sup],139)))</f>
        <v/>
      </c>
      <c r="BQ140" s="5">
        <f>IF(A140="","",N(INDEX(Projects[Act Controls Commissioning],139)))</f>
        <v/>
      </c>
      <c r="BR140" s="5">
        <f>IF(A140="","",N(INDEX(Projects[Act Systems Commissioning],139)))</f>
        <v/>
      </c>
      <c r="BS140" s="5">
        <f>IF(A140="","",N(INDEX(Projects[Act Service Commissioning],139)))</f>
        <v/>
      </c>
      <c r="BT140" s="5">
        <f>IF(A140="","",N(INDEX(Projects[Act Controls Eng],139)))</f>
        <v/>
      </c>
      <c r="BU140" s="5">
        <f>IF(A140="","",N(INDEX(Projects[Act Controls Purchase],139)))</f>
        <v/>
      </c>
      <c r="BV140" s="5">
        <f>IF(A140="","",N(INDEX(Projects[Act Software Eng],139)))</f>
        <v/>
      </c>
      <c r="BW140" s="5">
        <f>IF(A140="","",N(INDEX(Projects[Act 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INDEX(Projects[Sold Value (USD M)],139)</f>
        <v/>
      </c>
      <c r="CE140" s="5" t="n"/>
      <c r="CF140" s="5">
        <f>IF(A140="","",N(INDEX(Projects[Est Mech Inst],139)))</f>
        <v/>
      </c>
      <c r="CG140" s="5">
        <f>IF(A140="","",N(INDEX(Projects[Est Elec Inst],139)))</f>
        <v/>
      </c>
      <c r="CH140" s="5">
        <f>IF(A140="","",N(INDEX(Projects[Est Project Management],139)))</f>
        <v/>
      </c>
      <c r="CI140" s="5">
        <f>IF(A140="","",N(INDEX(Projects[Est Systems Eng],139)))</f>
        <v/>
      </c>
      <c r="CJ140" s="5">
        <f>IF(A140="","",N(INDEX(Projects[Est Mechanical Eng],139)))</f>
        <v/>
      </c>
      <c r="CK140" s="5">
        <f>IF(A140="","",N(INDEX(Projects[Est Structural Engineering],139)))</f>
        <v/>
      </c>
      <c r="CL140" s="5">
        <f>IF(A140="","",N(INDEX(Projects[Est Site Sup],139)))</f>
        <v/>
      </c>
      <c r="CM140" s="5">
        <f>IF(A140="","",N(INDEX(Projects[Est Controls Commissioning],139)))</f>
        <v/>
      </c>
      <c r="CN140" s="5">
        <f>IF(A140="","",N(INDEX(Projects[Est Systems Commissioning],139)))</f>
        <v/>
      </c>
      <c r="CO140" s="5">
        <f>IF(A140="","",N(INDEX(Projects[Est Service Commissioning],139)))</f>
        <v/>
      </c>
      <c r="CP140" s="5">
        <f>IF(A140="","",N(INDEX(Projects[Est Controls Eng],139)))</f>
        <v/>
      </c>
      <c r="CQ140" s="5">
        <f>IF(A140="","",N(INDEX(Projects[Est Controls Purchase],139)))</f>
        <v/>
      </c>
      <c r="CR140" s="5">
        <f>IF(A140="","",N(INDEX(Projects[Est Software Eng],139)))</f>
        <v/>
      </c>
      <c r="CS140" s="5">
        <f>IF(A140="","",N(INDEX(Projects[Est Misc],139)))</f>
        <v/>
      </c>
      <c r="CT140" s="5">
        <f>IF(A140="","",SUM(CF140:CS140))</f>
        <v/>
      </c>
      <c r="CU140" s="5">
        <f>INDEX(Projects[Est Cost (M)],139)</f>
        <v/>
      </c>
      <c r="CV140" s="5">
        <f>INDEX(Projects[Act Cost (M)],139)</f>
        <v/>
      </c>
      <c r="CW140" s="5">
        <f>INDEX(Projects[Plan Mech Eng (wks)],139)</f>
        <v/>
      </c>
      <c r="CX140" s="5">
        <f>INDEX(Projects[Plan Controls Eng (wks)],139)</f>
        <v/>
      </c>
      <c r="CY140" s="5">
        <f>INDEX(Projects[Plan Systems Eng (wks)],139)</f>
        <v/>
      </c>
      <c r="CZ140" s="5">
        <f>INDEX(Projects[Plan Software Eng (wks)],139)</f>
        <v/>
      </c>
      <c r="DA140" s="5">
        <f>INDEX(Projects[Plan M&amp;E Installation (wks)],139)</f>
        <v/>
      </c>
      <c r="DB140" s="5">
        <f>INDEX(Projects[Plan Commissioning (wks)],139)</f>
        <v/>
      </c>
      <c r="DC140" s="5">
        <f>INDEX(Projects[Plan Total (wks)],139)</f>
        <v/>
      </c>
      <c r="DD140" s="5">
        <f>INDEX(Projects[Act Mech Eng (wks)],139)</f>
        <v/>
      </c>
      <c r="DE140" s="5">
        <f>INDEX(Projects[Act Controls Eng (wks)],139)</f>
        <v/>
      </c>
      <c r="DF140" s="5">
        <f>INDEX(Projects[Act Systems Eng (wks)],139)</f>
        <v/>
      </c>
      <c r="DG140" s="5">
        <f>INDEX(Projects[Act Software Eng (wks)],139)</f>
        <v/>
      </c>
      <c r="DH140" s="5">
        <f>INDEX(Projects[Act M&amp;E Installation (wks)],139)</f>
        <v/>
      </c>
      <c r="DI140" s="5">
        <f>INDEX(Projects[Act Commissioning (wks)],139)</f>
        <v/>
      </c>
      <c r="DJ140" s="5">
        <f>INDEX(Projects[Act Total (wks)],139)</f>
        <v/>
      </c>
    </row>
    <row r="141" ht="15" customHeight="1" s="82">
      <c r="A141" s="64">
        <f>INDEX(Projects[Project ID *],140)&amp;""</f>
        <v/>
      </c>
      <c r="B141" s="64">
        <f>INDEX(Projects[Project Name *],140)&amp;""</f>
        <v/>
      </c>
      <c r="C141" s="64">
        <f>INDEX(Projects[MS Shuttles],140)</f>
        <v/>
      </c>
      <c r="D141" s="64">
        <f>INDEX(Projects[MS Tote Locations],140)</f>
        <v/>
      </c>
      <c r="E141" s="64">
        <f>INDEX(Projects[AS Robots],140)</f>
        <v/>
      </c>
      <c r="F141" s="64">
        <f>INDEX(Projects[AS Tote Locations],140)</f>
        <v/>
      </c>
      <c r="G141" s="64">
        <f>INDEX(Projects[PS Shuttles],140)</f>
        <v/>
      </c>
      <c r="H141" s="64">
        <f>INDEX(Projects[PS Pallet Locations],140)</f>
        <v/>
      </c>
      <c r="I141" s="64">
        <f>INDEX(Projects[SRM Cranes],140)</f>
        <v/>
      </c>
      <c r="J141" s="64">
        <f>INDEX(Projects[SRM Pallet Locations],140)</f>
        <v/>
      </c>
      <c r="K141" s="64">
        <f>INDEX(Projects[Case Conv (m)],140)</f>
        <v/>
      </c>
      <c r="L141" s="64">
        <f>INDEX(Projects[Pallet Conv (m)],140)</f>
        <v/>
      </c>
      <c r="M141" s="64">
        <f>IF(N(DJ141)&gt;0,DD141,CW141)</f>
        <v/>
      </c>
      <c r="N141" s="64">
        <f>IF(N(DJ141)&gt;0,DE141,CX141)</f>
        <v/>
      </c>
      <c r="O141" s="64">
        <f>IF(N(DJ141)&gt;0,DF141,CY141)</f>
        <v/>
      </c>
      <c r="P141" s="64">
        <f>IF(N(DJ141)&gt;0,DG141,CZ141)</f>
        <v/>
      </c>
      <c r="Q141" s="64">
        <f>IF(N(DJ141)&gt;0,DH141,DA141)</f>
        <v/>
      </c>
      <c r="R141" s="64">
        <f>IF(N(DJ141)&gt;0,DI141,DB141)</f>
        <v/>
      </c>
      <c r="S141" s="64">
        <f>IF(N(DJ141)&gt;0,DJ141,DC141)</f>
        <v/>
      </c>
      <c r="T141" s="64">
        <f>INDEX(Projects[Currency],140)&amp;""</f>
        <v/>
      </c>
      <c r="U141" s="65">
        <f>INDEX(Projects[Sold Value (M)],140)</f>
        <v/>
      </c>
      <c r="V141" s="64">
        <f>IF('Smart Search'!B13=1,IFERROR(1/'Smart Search'!H13,0),0)</f>
        <v/>
      </c>
      <c r="W141" s="64">
        <f>IF('Smart Search'!B13=1,IFERROR(1/'Smart Search'!H13,0),0)</f>
        <v/>
      </c>
      <c r="X141" s="64">
        <f>IF('Smart Search'!C13=1,IFERROR(1/'Smart Search'!H13,0),0)</f>
        <v/>
      </c>
      <c r="Y141" s="64">
        <f>IF('Smart Search'!C13=1,IFERROR(1/'Smart Search'!H13,0),0)</f>
        <v/>
      </c>
      <c r="Z141" s="64">
        <f>IF('Smart Search'!D13=1,IFERROR(1/'Smart Search'!H13,0),0)</f>
        <v/>
      </c>
      <c r="AA141" s="64">
        <f>IF('Smart Search'!D13=1,IFERROR(1/'Smart Search'!H13,0),0)</f>
        <v/>
      </c>
      <c r="AB141" s="64">
        <f>IF('Smart Search'!E13=1,IFERROR(1/'Smart Search'!H13,0),0)</f>
        <v/>
      </c>
      <c r="AC141" s="64">
        <f>IF('Smart Search'!E13=1,IFERROR(1/'Smart Search'!H13,0),0)</f>
        <v/>
      </c>
      <c r="AD141" s="64">
        <f>IF('Smart Search'!F13=1,IFERROR(1/'Smart Search'!H13,0),0)</f>
        <v/>
      </c>
      <c r="AE141" s="64">
        <f>IF('Smart Search'!F13=1,IFERROR(1/'Smart Search'!H13,0),0)</f>
        <v/>
      </c>
      <c r="AF141" s="64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4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4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4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4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4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4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4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4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4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4">
        <f>AF141*V141</f>
        <v/>
      </c>
      <c r="AQ141" s="64">
        <f>AG141*W141</f>
        <v/>
      </c>
      <c r="AR141" s="64">
        <f>AH141*X141</f>
        <v/>
      </c>
      <c r="AS141" s="64">
        <f>AI141*Y141</f>
        <v/>
      </c>
      <c r="AT141" s="64">
        <f>AJ141*Z141</f>
        <v/>
      </c>
      <c r="AU141" s="64">
        <f>AK141*AA141</f>
        <v/>
      </c>
      <c r="AV141" s="64">
        <f>AL141*AB141</f>
        <v/>
      </c>
      <c r="AW141" s="64">
        <f>AM141*AC141</f>
        <v/>
      </c>
      <c r="AX141" s="64">
        <f>AN141*AD141</f>
        <v/>
      </c>
      <c r="AY141" s="64">
        <f>AO141*AE141</f>
        <v/>
      </c>
      <c r="AZ141" s="64">
        <f>INDEX(Projects[Automation Equipment],140)&amp;""</f>
        <v/>
      </c>
      <c r="BA141" s="64">
        <f>IF(OR(A141="",'Smart Search'!H13=0),"",MAX(0,BE141*BF141*MAX(0,1-BG141)))</f>
        <v/>
      </c>
      <c r="BB141" s="64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4">
        <f>IF('Smart Search'!G13=1,IFERROR(1/'Smart Search'!H13,0),0)</f>
        <v/>
      </c>
      <c r="BD141" s="64">
        <f>BB141*BC141</f>
        <v/>
      </c>
      <c r="BE141" s="64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IF(A141="","",N(INDEX(Projects[Act Mech Inst],140)))</f>
        <v/>
      </c>
      <c r="BK141" s="5">
        <f>IF(A141="","",N(INDEX(Projects[Act Elec Inst],140)))</f>
        <v/>
      </c>
      <c r="BL141" s="5">
        <f>IF(A141="","",N(INDEX(Projects[Act Project Management],140)))</f>
        <v/>
      </c>
      <c r="BM141" s="5">
        <f>IF(A141="","",N(INDEX(Projects[Act Systems Eng],140)))</f>
        <v/>
      </c>
      <c r="BN141" s="5">
        <f>IF(A141="","",N(INDEX(Projects[Act Mechanical Eng],140)))</f>
        <v/>
      </c>
      <c r="BO141" s="5">
        <f>IF(A141="","",N(INDEX(Projects[Act Structural Engineering],140)))</f>
        <v/>
      </c>
      <c r="BP141" s="5">
        <f>IF(A141="","",N(INDEX(Projects[Act Site Sup],140)))</f>
        <v/>
      </c>
      <c r="BQ141" s="5">
        <f>IF(A141="","",N(INDEX(Projects[Act Controls Commissioning],140)))</f>
        <v/>
      </c>
      <c r="BR141" s="5">
        <f>IF(A141="","",N(INDEX(Projects[Act Systems Commissioning],140)))</f>
        <v/>
      </c>
      <c r="BS141" s="5">
        <f>IF(A141="","",N(INDEX(Projects[Act Service Commissioning],140)))</f>
        <v/>
      </c>
      <c r="BT141" s="5">
        <f>IF(A141="","",N(INDEX(Projects[Act Controls Eng],140)))</f>
        <v/>
      </c>
      <c r="BU141" s="5">
        <f>IF(A141="","",N(INDEX(Projects[Act Controls Purchase],140)))</f>
        <v/>
      </c>
      <c r="BV141" s="5">
        <f>IF(A141="","",N(INDEX(Projects[Act Software Eng],140)))</f>
        <v/>
      </c>
      <c r="BW141" s="5">
        <f>IF(A141="","",N(INDEX(Projects[Act 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INDEX(Projects[Sold Value (USD M)],140)</f>
        <v/>
      </c>
      <c r="CE141" s="5" t="n"/>
      <c r="CF141" s="5">
        <f>IF(A141="","",N(INDEX(Projects[Est Mech Inst],140)))</f>
        <v/>
      </c>
      <c r="CG141" s="5">
        <f>IF(A141="","",N(INDEX(Projects[Est Elec Inst],140)))</f>
        <v/>
      </c>
      <c r="CH141" s="5">
        <f>IF(A141="","",N(INDEX(Projects[Est Project Management],140)))</f>
        <v/>
      </c>
      <c r="CI141" s="5">
        <f>IF(A141="","",N(INDEX(Projects[Est Systems Eng],140)))</f>
        <v/>
      </c>
      <c r="CJ141" s="5">
        <f>IF(A141="","",N(INDEX(Projects[Est Mechanical Eng],140)))</f>
        <v/>
      </c>
      <c r="CK141" s="5">
        <f>IF(A141="","",N(INDEX(Projects[Est Structural Engineering],140)))</f>
        <v/>
      </c>
      <c r="CL141" s="5">
        <f>IF(A141="","",N(INDEX(Projects[Est Site Sup],140)))</f>
        <v/>
      </c>
      <c r="CM141" s="5">
        <f>IF(A141="","",N(INDEX(Projects[Est Controls Commissioning],140)))</f>
        <v/>
      </c>
      <c r="CN141" s="5">
        <f>IF(A141="","",N(INDEX(Projects[Est Systems Commissioning],140)))</f>
        <v/>
      </c>
      <c r="CO141" s="5">
        <f>IF(A141="","",N(INDEX(Projects[Est Service Commissioning],140)))</f>
        <v/>
      </c>
      <c r="CP141" s="5">
        <f>IF(A141="","",N(INDEX(Projects[Est Controls Eng],140)))</f>
        <v/>
      </c>
      <c r="CQ141" s="5">
        <f>IF(A141="","",N(INDEX(Projects[Est Controls Purchase],140)))</f>
        <v/>
      </c>
      <c r="CR141" s="5">
        <f>IF(A141="","",N(INDEX(Projects[Est Software Eng],140)))</f>
        <v/>
      </c>
      <c r="CS141" s="5">
        <f>IF(A141="","",N(INDEX(Projects[Est Misc],140)))</f>
        <v/>
      </c>
      <c r="CT141" s="5">
        <f>IF(A141="","",SUM(CF141:CS141))</f>
        <v/>
      </c>
      <c r="CU141" s="5">
        <f>INDEX(Projects[Est Cost (M)],140)</f>
        <v/>
      </c>
      <c r="CV141" s="5">
        <f>INDEX(Projects[Act Cost (M)],140)</f>
        <v/>
      </c>
      <c r="CW141" s="5">
        <f>INDEX(Projects[Plan Mech Eng (wks)],140)</f>
        <v/>
      </c>
      <c r="CX141" s="5">
        <f>INDEX(Projects[Plan Controls Eng (wks)],140)</f>
        <v/>
      </c>
      <c r="CY141" s="5">
        <f>INDEX(Projects[Plan Systems Eng (wks)],140)</f>
        <v/>
      </c>
      <c r="CZ141" s="5">
        <f>INDEX(Projects[Plan Software Eng (wks)],140)</f>
        <v/>
      </c>
      <c r="DA141" s="5">
        <f>INDEX(Projects[Plan M&amp;E Installation (wks)],140)</f>
        <v/>
      </c>
      <c r="DB141" s="5">
        <f>INDEX(Projects[Plan Commissioning (wks)],140)</f>
        <v/>
      </c>
      <c r="DC141" s="5">
        <f>INDEX(Projects[Plan Total (wks)],140)</f>
        <v/>
      </c>
      <c r="DD141" s="5">
        <f>INDEX(Projects[Act Mech Eng (wks)],140)</f>
        <v/>
      </c>
      <c r="DE141" s="5">
        <f>INDEX(Projects[Act Controls Eng (wks)],140)</f>
        <v/>
      </c>
      <c r="DF141" s="5">
        <f>INDEX(Projects[Act Systems Eng (wks)],140)</f>
        <v/>
      </c>
      <c r="DG141" s="5">
        <f>INDEX(Projects[Act Software Eng (wks)],140)</f>
        <v/>
      </c>
      <c r="DH141" s="5">
        <f>INDEX(Projects[Act M&amp;E Installation (wks)],140)</f>
        <v/>
      </c>
      <c r="DI141" s="5">
        <f>INDEX(Projects[Act Commissioning (wks)],140)</f>
        <v/>
      </c>
      <c r="DJ141" s="5">
        <f>INDEX(Projects[Act Total (wks)],140)</f>
        <v/>
      </c>
    </row>
    <row r="142" ht="15" customHeight="1" s="82">
      <c r="A142" s="64">
        <f>INDEX(Projects[Project ID *],141)&amp;""</f>
        <v/>
      </c>
      <c r="B142" s="64">
        <f>INDEX(Projects[Project Name *],141)&amp;""</f>
        <v/>
      </c>
      <c r="C142" s="64">
        <f>INDEX(Projects[MS Shuttles],141)</f>
        <v/>
      </c>
      <c r="D142" s="64">
        <f>INDEX(Projects[MS Tote Locations],141)</f>
        <v/>
      </c>
      <c r="E142" s="64">
        <f>INDEX(Projects[AS Robots],141)</f>
        <v/>
      </c>
      <c r="F142" s="64">
        <f>INDEX(Projects[AS Tote Locations],141)</f>
        <v/>
      </c>
      <c r="G142" s="64">
        <f>INDEX(Projects[PS Shuttles],141)</f>
        <v/>
      </c>
      <c r="H142" s="64">
        <f>INDEX(Projects[PS Pallet Locations],141)</f>
        <v/>
      </c>
      <c r="I142" s="64">
        <f>INDEX(Projects[SRM Cranes],141)</f>
        <v/>
      </c>
      <c r="J142" s="64">
        <f>INDEX(Projects[SRM Pallet Locations],141)</f>
        <v/>
      </c>
      <c r="K142" s="64">
        <f>INDEX(Projects[Case Conv (m)],141)</f>
        <v/>
      </c>
      <c r="L142" s="64">
        <f>INDEX(Projects[Pallet Conv (m)],141)</f>
        <v/>
      </c>
      <c r="M142" s="64">
        <f>IF(N(DJ142)&gt;0,DD142,CW142)</f>
        <v/>
      </c>
      <c r="N142" s="64">
        <f>IF(N(DJ142)&gt;0,DE142,CX142)</f>
        <v/>
      </c>
      <c r="O142" s="64">
        <f>IF(N(DJ142)&gt;0,DF142,CY142)</f>
        <v/>
      </c>
      <c r="P142" s="64">
        <f>IF(N(DJ142)&gt;0,DG142,CZ142)</f>
        <v/>
      </c>
      <c r="Q142" s="64">
        <f>IF(N(DJ142)&gt;0,DH142,DA142)</f>
        <v/>
      </c>
      <c r="R142" s="64">
        <f>IF(N(DJ142)&gt;0,DI142,DB142)</f>
        <v/>
      </c>
      <c r="S142" s="64">
        <f>IF(N(DJ142)&gt;0,DJ142,DC142)</f>
        <v/>
      </c>
      <c r="T142" s="64">
        <f>INDEX(Projects[Currency],141)&amp;""</f>
        <v/>
      </c>
      <c r="U142" s="65">
        <f>INDEX(Projects[Sold Value (M)],141)</f>
        <v/>
      </c>
      <c r="V142" s="64">
        <f>IF('Smart Search'!B13=1,IFERROR(1/'Smart Search'!H13,0),0)</f>
        <v/>
      </c>
      <c r="W142" s="64">
        <f>IF('Smart Search'!B13=1,IFERROR(1/'Smart Search'!H13,0),0)</f>
        <v/>
      </c>
      <c r="X142" s="64">
        <f>IF('Smart Search'!C13=1,IFERROR(1/'Smart Search'!H13,0),0)</f>
        <v/>
      </c>
      <c r="Y142" s="64">
        <f>IF('Smart Search'!C13=1,IFERROR(1/'Smart Search'!H13,0),0)</f>
        <v/>
      </c>
      <c r="Z142" s="64">
        <f>IF('Smart Search'!D13=1,IFERROR(1/'Smart Search'!H13,0),0)</f>
        <v/>
      </c>
      <c r="AA142" s="64">
        <f>IF('Smart Search'!D13=1,IFERROR(1/'Smart Search'!H13,0),0)</f>
        <v/>
      </c>
      <c r="AB142" s="64">
        <f>IF('Smart Search'!E13=1,IFERROR(1/'Smart Search'!H13,0),0)</f>
        <v/>
      </c>
      <c r="AC142" s="64">
        <f>IF('Smart Search'!E13=1,IFERROR(1/'Smart Search'!H13,0),0)</f>
        <v/>
      </c>
      <c r="AD142" s="64">
        <f>IF('Smart Search'!F13=1,IFERROR(1/'Smart Search'!H13,0),0)</f>
        <v/>
      </c>
      <c r="AE142" s="64">
        <f>IF('Smart Search'!F13=1,IFERROR(1/'Smart Search'!H13,0),0)</f>
        <v/>
      </c>
      <c r="AF142" s="64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4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4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4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4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4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4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4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4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4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4">
        <f>AF142*V142</f>
        <v/>
      </c>
      <c r="AQ142" s="64">
        <f>AG142*W142</f>
        <v/>
      </c>
      <c r="AR142" s="64">
        <f>AH142*X142</f>
        <v/>
      </c>
      <c r="AS142" s="64">
        <f>AI142*Y142</f>
        <v/>
      </c>
      <c r="AT142" s="64">
        <f>AJ142*Z142</f>
        <v/>
      </c>
      <c r="AU142" s="64">
        <f>AK142*AA142</f>
        <v/>
      </c>
      <c r="AV142" s="64">
        <f>AL142*AB142</f>
        <v/>
      </c>
      <c r="AW142" s="64">
        <f>AM142*AC142</f>
        <v/>
      </c>
      <c r="AX142" s="64">
        <f>AN142*AD142</f>
        <v/>
      </c>
      <c r="AY142" s="64">
        <f>AO142*AE142</f>
        <v/>
      </c>
      <c r="AZ142" s="64">
        <f>INDEX(Projects[Automation Equipment],141)&amp;""</f>
        <v/>
      </c>
      <c r="BA142" s="64">
        <f>IF(OR(A142="",'Smart Search'!H13=0),"",MAX(0,BE142*BF142*MAX(0,1-BG142)))</f>
        <v/>
      </c>
      <c r="BB142" s="64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4">
        <f>IF('Smart Search'!G13=1,IFERROR(1/'Smart Search'!H13,0),0)</f>
        <v/>
      </c>
      <c r="BD142" s="64">
        <f>BB142*BC142</f>
        <v/>
      </c>
      <c r="BE142" s="64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IF(A142="","",N(INDEX(Projects[Act Mech Inst],141)))</f>
        <v/>
      </c>
      <c r="BK142" s="5">
        <f>IF(A142="","",N(INDEX(Projects[Act Elec Inst],141)))</f>
        <v/>
      </c>
      <c r="BL142" s="5">
        <f>IF(A142="","",N(INDEX(Projects[Act Project Management],141)))</f>
        <v/>
      </c>
      <c r="BM142" s="5">
        <f>IF(A142="","",N(INDEX(Projects[Act Systems Eng],141)))</f>
        <v/>
      </c>
      <c r="BN142" s="5">
        <f>IF(A142="","",N(INDEX(Projects[Act Mechanical Eng],141)))</f>
        <v/>
      </c>
      <c r="BO142" s="5">
        <f>IF(A142="","",N(INDEX(Projects[Act Structural Engineering],141)))</f>
        <v/>
      </c>
      <c r="BP142" s="5">
        <f>IF(A142="","",N(INDEX(Projects[Act Site Sup],141)))</f>
        <v/>
      </c>
      <c r="BQ142" s="5">
        <f>IF(A142="","",N(INDEX(Projects[Act Controls Commissioning],141)))</f>
        <v/>
      </c>
      <c r="BR142" s="5">
        <f>IF(A142="","",N(INDEX(Projects[Act Systems Commissioning],141)))</f>
        <v/>
      </c>
      <c r="BS142" s="5">
        <f>IF(A142="","",N(INDEX(Projects[Act Service Commissioning],141)))</f>
        <v/>
      </c>
      <c r="BT142" s="5">
        <f>IF(A142="","",N(INDEX(Projects[Act Controls Eng],141)))</f>
        <v/>
      </c>
      <c r="BU142" s="5">
        <f>IF(A142="","",N(INDEX(Projects[Act Controls Purchase],141)))</f>
        <v/>
      </c>
      <c r="BV142" s="5">
        <f>IF(A142="","",N(INDEX(Projects[Act Software Eng],141)))</f>
        <v/>
      </c>
      <c r="BW142" s="5">
        <f>IF(A142="","",N(INDEX(Projects[Act 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INDEX(Projects[Sold Value (USD M)],141)</f>
        <v/>
      </c>
      <c r="CE142" s="5" t="n"/>
      <c r="CF142" s="5">
        <f>IF(A142="","",N(INDEX(Projects[Est Mech Inst],141)))</f>
        <v/>
      </c>
      <c r="CG142" s="5">
        <f>IF(A142="","",N(INDEX(Projects[Est Elec Inst],141)))</f>
        <v/>
      </c>
      <c r="CH142" s="5">
        <f>IF(A142="","",N(INDEX(Projects[Est Project Management],141)))</f>
        <v/>
      </c>
      <c r="CI142" s="5">
        <f>IF(A142="","",N(INDEX(Projects[Est Systems Eng],141)))</f>
        <v/>
      </c>
      <c r="CJ142" s="5">
        <f>IF(A142="","",N(INDEX(Projects[Est Mechanical Eng],141)))</f>
        <v/>
      </c>
      <c r="CK142" s="5">
        <f>IF(A142="","",N(INDEX(Projects[Est Structural Engineering],141)))</f>
        <v/>
      </c>
      <c r="CL142" s="5">
        <f>IF(A142="","",N(INDEX(Projects[Est Site Sup],141)))</f>
        <v/>
      </c>
      <c r="CM142" s="5">
        <f>IF(A142="","",N(INDEX(Projects[Est Controls Commissioning],141)))</f>
        <v/>
      </c>
      <c r="CN142" s="5">
        <f>IF(A142="","",N(INDEX(Projects[Est Systems Commissioning],141)))</f>
        <v/>
      </c>
      <c r="CO142" s="5">
        <f>IF(A142="","",N(INDEX(Projects[Est Service Commissioning],141)))</f>
        <v/>
      </c>
      <c r="CP142" s="5">
        <f>IF(A142="","",N(INDEX(Projects[Est Controls Eng],141)))</f>
        <v/>
      </c>
      <c r="CQ142" s="5">
        <f>IF(A142="","",N(INDEX(Projects[Est Controls Purchase],141)))</f>
        <v/>
      </c>
      <c r="CR142" s="5">
        <f>IF(A142="","",N(INDEX(Projects[Est Software Eng],141)))</f>
        <v/>
      </c>
      <c r="CS142" s="5">
        <f>IF(A142="","",N(INDEX(Projects[Est Misc],141)))</f>
        <v/>
      </c>
      <c r="CT142" s="5">
        <f>IF(A142="","",SUM(CF142:CS142))</f>
        <v/>
      </c>
      <c r="CU142" s="5">
        <f>INDEX(Projects[Est Cost (M)],141)</f>
        <v/>
      </c>
      <c r="CV142" s="5">
        <f>INDEX(Projects[Act Cost (M)],141)</f>
        <v/>
      </c>
      <c r="CW142" s="5">
        <f>INDEX(Projects[Plan Mech Eng (wks)],141)</f>
        <v/>
      </c>
      <c r="CX142" s="5">
        <f>INDEX(Projects[Plan Controls Eng (wks)],141)</f>
        <v/>
      </c>
      <c r="CY142" s="5">
        <f>INDEX(Projects[Plan Systems Eng (wks)],141)</f>
        <v/>
      </c>
      <c r="CZ142" s="5">
        <f>INDEX(Projects[Plan Software Eng (wks)],141)</f>
        <v/>
      </c>
      <c r="DA142" s="5">
        <f>INDEX(Projects[Plan M&amp;E Installation (wks)],141)</f>
        <v/>
      </c>
      <c r="DB142" s="5">
        <f>INDEX(Projects[Plan Commissioning (wks)],141)</f>
        <v/>
      </c>
      <c r="DC142" s="5">
        <f>INDEX(Projects[Plan Total (wks)],141)</f>
        <v/>
      </c>
      <c r="DD142" s="5">
        <f>INDEX(Projects[Act Mech Eng (wks)],141)</f>
        <v/>
      </c>
      <c r="DE142" s="5">
        <f>INDEX(Projects[Act Controls Eng (wks)],141)</f>
        <v/>
      </c>
      <c r="DF142" s="5">
        <f>INDEX(Projects[Act Systems Eng (wks)],141)</f>
        <v/>
      </c>
      <c r="DG142" s="5">
        <f>INDEX(Projects[Act Software Eng (wks)],141)</f>
        <v/>
      </c>
      <c r="DH142" s="5">
        <f>INDEX(Projects[Act M&amp;E Installation (wks)],141)</f>
        <v/>
      </c>
      <c r="DI142" s="5">
        <f>INDEX(Projects[Act Commissioning (wks)],141)</f>
        <v/>
      </c>
      <c r="DJ142" s="5">
        <f>INDEX(Projects[Act Total (wks)],141)</f>
        <v/>
      </c>
    </row>
    <row r="143" ht="15" customHeight="1" s="82">
      <c r="A143" s="64">
        <f>INDEX(Projects[Project ID *],142)&amp;""</f>
        <v/>
      </c>
      <c r="B143" s="64">
        <f>INDEX(Projects[Project Name *],142)&amp;""</f>
        <v/>
      </c>
      <c r="C143" s="64">
        <f>INDEX(Projects[MS Shuttles],142)</f>
        <v/>
      </c>
      <c r="D143" s="64">
        <f>INDEX(Projects[MS Tote Locations],142)</f>
        <v/>
      </c>
      <c r="E143" s="64">
        <f>INDEX(Projects[AS Robots],142)</f>
        <v/>
      </c>
      <c r="F143" s="64">
        <f>INDEX(Projects[AS Tote Locations],142)</f>
        <v/>
      </c>
      <c r="G143" s="64">
        <f>INDEX(Projects[PS Shuttles],142)</f>
        <v/>
      </c>
      <c r="H143" s="64">
        <f>INDEX(Projects[PS Pallet Locations],142)</f>
        <v/>
      </c>
      <c r="I143" s="64">
        <f>INDEX(Projects[SRM Cranes],142)</f>
        <v/>
      </c>
      <c r="J143" s="64">
        <f>INDEX(Projects[SRM Pallet Locations],142)</f>
        <v/>
      </c>
      <c r="K143" s="64">
        <f>INDEX(Projects[Case Conv (m)],142)</f>
        <v/>
      </c>
      <c r="L143" s="64">
        <f>INDEX(Projects[Pallet Conv (m)],142)</f>
        <v/>
      </c>
      <c r="M143" s="64">
        <f>IF(N(DJ143)&gt;0,DD143,CW143)</f>
        <v/>
      </c>
      <c r="N143" s="64">
        <f>IF(N(DJ143)&gt;0,DE143,CX143)</f>
        <v/>
      </c>
      <c r="O143" s="64">
        <f>IF(N(DJ143)&gt;0,DF143,CY143)</f>
        <v/>
      </c>
      <c r="P143" s="64">
        <f>IF(N(DJ143)&gt;0,DG143,CZ143)</f>
        <v/>
      </c>
      <c r="Q143" s="64">
        <f>IF(N(DJ143)&gt;0,DH143,DA143)</f>
        <v/>
      </c>
      <c r="R143" s="64">
        <f>IF(N(DJ143)&gt;0,DI143,DB143)</f>
        <v/>
      </c>
      <c r="S143" s="64">
        <f>IF(N(DJ143)&gt;0,DJ143,DC143)</f>
        <v/>
      </c>
      <c r="T143" s="64">
        <f>INDEX(Projects[Currency],142)&amp;""</f>
        <v/>
      </c>
      <c r="U143" s="65">
        <f>INDEX(Projects[Sold Value (M)],142)</f>
        <v/>
      </c>
      <c r="V143" s="64">
        <f>IF('Smart Search'!B13=1,IFERROR(1/'Smart Search'!H13,0),0)</f>
        <v/>
      </c>
      <c r="W143" s="64">
        <f>IF('Smart Search'!B13=1,IFERROR(1/'Smart Search'!H13,0),0)</f>
        <v/>
      </c>
      <c r="X143" s="64">
        <f>IF('Smart Search'!C13=1,IFERROR(1/'Smart Search'!H13,0),0)</f>
        <v/>
      </c>
      <c r="Y143" s="64">
        <f>IF('Smart Search'!C13=1,IFERROR(1/'Smart Search'!H13,0),0)</f>
        <v/>
      </c>
      <c r="Z143" s="64">
        <f>IF('Smart Search'!D13=1,IFERROR(1/'Smart Search'!H13,0),0)</f>
        <v/>
      </c>
      <c r="AA143" s="64">
        <f>IF('Smart Search'!D13=1,IFERROR(1/'Smart Search'!H13,0),0)</f>
        <v/>
      </c>
      <c r="AB143" s="64">
        <f>IF('Smart Search'!E13=1,IFERROR(1/'Smart Search'!H13,0),0)</f>
        <v/>
      </c>
      <c r="AC143" s="64">
        <f>IF('Smart Search'!E13=1,IFERROR(1/'Smart Search'!H13,0),0)</f>
        <v/>
      </c>
      <c r="AD143" s="64">
        <f>IF('Smart Search'!F13=1,IFERROR(1/'Smart Search'!H13,0),0)</f>
        <v/>
      </c>
      <c r="AE143" s="64">
        <f>IF('Smart Search'!F13=1,IFERROR(1/'Smart Search'!H13,0),0)</f>
        <v/>
      </c>
      <c r="AF143" s="64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4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4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4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4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4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4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4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4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4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4">
        <f>AF143*V143</f>
        <v/>
      </c>
      <c r="AQ143" s="64">
        <f>AG143*W143</f>
        <v/>
      </c>
      <c r="AR143" s="64">
        <f>AH143*X143</f>
        <v/>
      </c>
      <c r="AS143" s="64">
        <f>AI143*Y143</f>
        <v/>
      </c>
      <c r="AT143" s="64">
        <f>AJ143*Z143</f>
        <v/>
      </c>
      <c r="AU143" s="64">
        <f>AK143*AA143</f>
        <v/>
      </c>
      <c r="AV143" s="64">
        <f>AL143*AB143</f>
        <v/>
      </c>
      <c r="AW143" s="64">
        <f>AM143*AC143</f>
        <v/>
      </c>
      <c r="AX143" s="64">
        <f>AN143*AD143</f>
        <v/>
      </c>
      <c r="AY143" s="64">
        <f>AO143*AE143</f>
        <v/>
      </c>
      <c r="AZ143" s="64">
        <f>INDEX(Projects[Automation Equipment],142)&amp;""</f>
        <v/>
      </c>
      <c r="BA143" s="64">
        <f>IF(OR(A143="",'Smart Search'!H13=0),"",MAX(0,BE143*BF143*MAX(0,1-BG143)))</f>
        <v/>
      </c>
      <c r="BB143" s="64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4">
        <f>IF('Smart Search'!G13=1,IFERROR(1/'Smart Search'!H13,0),0)</f>
        <v/>
      </c>
      <c r="BD143" s="64">
        <f>BB143*BC143</f>
        <v/>
      </c>
      <c r="BE143" s="64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IF(A143="","",N(INDEX(Projects[Act Mech Inst],142)))</f>
        <v/>
      </c>
      <c r="BK143" s="5">
        <f>IF(A143="","",N(INDEX(Projects[Act Elec Inst],142)))</f>
        <v/>
      </c>
      <c r="BL143" s="5">
        <f>IF(A143="","",N(INDEX(Projects[Act Project Management],142)))</f>
        <v/>
      </c>
      <c r="BM143" s="5">
        <f>IF(A143="","",N(INDEX(Projects[Act Systems Eng],142)))</f>
        <v/>
      </c>
      <c r="BN143" s="5">
        <f>IF(A143="","",N(INDEX(Projects[Act Mechanical Eng],142)))</f>
        <v/>
      </c>
      <c r="BO143" s="5">
        <f>IF(A143="","",N(INDEX(Projects[Act Structural Engineering],142)))</f>
        <v/>
      </c>
      <c r="BP143" s="5">
        <f>IF(A143="","",N(INDEX(Projects[Act Site Sup],142)))</f>
        <v/>
      </c>
      <c r="BQ143" s="5">
        <f>IF(A143="","",N(INDEX(Projects[Act Controls Commissioning],142)))</f>
        <v/>
      </c>
      <c r="BR143" s="5">
        <f>IF(A143="","",N(INDEX(Projects[Act Systems Commissioning],142)))</f>
        <v/>
      </c>
      <c r="BS143" s="5">
        <f>IF(A143="","",N(INDEX(Projects[Act Service Commissioning],142)))</f>
        <v/>
      </c>
      <c r="BT143" s="5">
        <f>IF(A143="","",N(INDEX(Projects[Act Controls Eng],142)))</f>
        <v/>
      </c>
      <c r="BU143" s="5">
        <f>IF(A143="","",N(INDEX(Projects[Act Controls Purchase],142)))</f>
        <v/>
      </c>
      <c r="BV143" s="5">
        <f>IF(A143="","",N(INDEX(Projects[Act Software Eng],142)))</f>
        <v/>
      </c>
      <c r="BW143" s="5">
        <f>IF(A143="","",N(INDEX(Projects[Act 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INDEX(Projects[Sold Value (USD M)],142)</f>
        <v/>
      </c>
      <c r="CE143" s="5" t="n"/>
      <c r="CF143" s="5">
        <f>IF(A143="","",N(INDEX(Projects[Est Mech Inst],142)))</f>
        <v/>
      </c>
      <c r="CG143" s="5">
        <f>IF(A143="","",N(INDEX(Projects[Est Elec Inst],142)))</f>
        <v/>
      </c>
      <c r="CH143" s="5">
        <f>IF(A143="","",N(INDEX(Projects[Est Project Management],142)))</f>
        <v/>
      </c>
      <c r="CI143" s="5">
        <f>IF(A143="","",N(INDEX(Projects[Est Systems Eng],142)))</f>
        <v/>
      </c>
      <c r="CJ143" s="5">
        <f>IF(A143="","",N(INDEX(Projects[Est Mechanical Eng],142)))</f>
        <v/>
      </c>
      <c r="CK143" s="5">
        <f>IF(A143="","",N(INDEX(Projects[Est Structural Engineering],142)))</f>
        <v/>
      </c>
      <c r="CL143" s="5">
        <f>IF(A143="","",N(INDEX(Projects[Est Site Sup],142)))</f>
        <v/>
      </c>
      <c r="CM143" s="5">
        <f>IF(A143="","",N(INDEX(Projects[Est Controls Commissioning],142)))</f>
        <v/>
      </c>
      <c r="CN143" s="5">
        <f>IF(A143="","",N(INDEX(Projects[Est Systems Commissioning],142)))</f>
        <v/>
      </c>
      <c r="CO143" s="5">
        <f>IF(A143="","",N(INDEX(Projects[Est Service Commissioning],142)))</f>
        <v/>
      </c>
      <c r="CP143" s="5">
        <f>IF(A143="","",N(INDEX(Projects[Est Controls Eng],142)))</f>
        <v/>
      </c>
      <c r="CQ143" s="5">
        <f>IF(A143="","",N(INDEX(Projects[Est Controls Purchase],142)))</f>
        <v/>
      </c>
      <c r="CR143" s="5">
        <f>IF(A143="","",N(INDEX(Projects[Est Software Eng],142)))</f>
        <v/>
      </c>
      <c r="CS143" s="5">
        <f>IF(A143="","",N(INDEX(Projects[Est Misc],142)))</f>
        <v/>
      </c>
      <c r="CT143" s="5">
        <f>IF(A143="","",SUM(CF143:CS143))</f>
        <v/>
      </c>
      <c r="CU143" s="5">
        <f>INDEX(Projects[Est Cost (M)],142)</f>
        <v/>
      </c>
      <c r="CV143" s="5">
        <f>INDEX(Projects[Act Cost (M)],142)</f>
        <v/>
      </c>
      <c r="CW143" s="5">
        <f>INDEX(Projects[Plan Mech Eng (wks)],142)</f>
        <v/>
      </c>
      <c r="CX143" s="5">
        <f>INDEX(Projects[Plan Controls Eng (wks)],142)</f>
        <v/>
      </c>
      <c r="CY143" s="5">
        <f>INDEX(Projects[Plan Systems Eng (wks)],142)</f>
        <v/>
      </c>
      <c r="CZ143" s="5">
        <f>INDEX(Projects[Plan Software Eng (wks)],142)</f>
        <v/>
      </c>
      <c r="DA143" s="5">
        <f>INDEX(Projects[Plan M&amp;E Installation (wks)],142)</f>
        <v/>
      </c>
      <c r="DB143" s="5">
        <f>INDEX(Projects[Plan Commissioning (wks)],142)</f>
        <v/>
      </c>
      <c r="DC143" s="5">
        <f>INDEX(Projects[Plan Total (wks)],142)</f>
        <v/>
      </c>
      <c r="DD143" s="5">
        <f>INDEX(Projects[Act Mech Eng (wks)],142)</f>
        <v/>
      </c>
      <c r="DE143" s="5">
        <f>INDEX(Projects[Act Controls Eng (wks)],142)</f>
        <v/>
      </c>
      <c r="DF143" s="5">
        <f>INDEX(Projects[Act Systems Eng (wks)],142)</f>
        <v/>
      </c>
      <c r="DG143" s="5">
        <f>INDEX(Projects[Act Software Eng (wks)],142)</f>
        <v/>
      </c>
      <c r="DH143" s="5">
        <f>INDEX(Projects[Act M&amp;E Installation (wks)],142)</f>
        <v/>
      </c>
      <c r="DI143" s="5">
        <f>INDEX(Projects[Act Commissioning (wks)],142)</f>
        <v/>
      </c>
      <c r="DJ143" s="5">
        <f>INDEX(Projects[Act Total (wks)],142)</f>
        <v/>
      </c>
    </row>
    <row r="144" ht="15" customHeight="1" s="82">
      <c r="A144" s="64">
        <f>INDEX(Projects[Project ID *],143)&amp;""</f>
        <v/>
      </c>
      <c r="B144" s="64">
        <f>INDEX(Projects[Project Name *],143)&amp;""</f>
        <v/>
      </c>
      <c r="C144" s="64">
        <f>INDEX(Projects[MS Shuttles],143)</f>
        <v/>
      </c>
      <c r="D144" s="64">
        <f>INDEX(Projects[MS Tote Locations],143)</f>
        <v/>
      </c>
      <c r="E144" s="64">
        <f>INDEX(Projects[AS Robots],143)</f>
        <v/>
      </c>
      <c r="F144" s="64">
        <f>INDEX(Projects[AS Tote Locations],143)</f>
        <v/>
      </c>
      <c r="G144" s="64">
        <f>INDEX(Projects[PS Shuttles],143)</f>
        <v/>
      </c>
      <c r="H144" s="64">
        <f>INDEX(Projects[PS Pallet Locations],143)</f>
        <v/>
      </c>
      <c r="I144" s="64">
        <f>INDEX(Projects[SRM Cranes],143)</f>
        <v/>
      </c>
      <c r="J144" s="64">
        <f>INDEX(Projects[SRM Pallet Locations],143)</f>
        <v/>
      </c>
      <c r="K144" s="64">
        <f>INDEX(Projects[Case Conv (m)],143)</f>
        <v/>
      </c>
      <c r="L144" s="64">
        <f>INDEX(Projects[Pallet Conv (m)],143)</f>
        <v/>
      </c>
      <c r="M144" s="64">
        <f>IF(N(DJ144)&gt;0,DD144,CW144)</f>
        <v/>
      </c>
      <c r="N144" s="64">
        <f>IF(N(DJ144)&gt;0,DE144,CX144)</f>
        <v/>
      </c>
      <c r="O144" s="64">
        <f>IF(N(DJ144)&gt;0,DF144,CY144)</f>
        <v/>
      </c>
      <c r="P144" s="64">
        <f>IF(N(DJ144)&gt;0,DG144,CZ144)</f>
        <v/>
      </c>
      <c r="Q144" s="64">
        <f>IF(N(DJ144)&gt;0,DH144,DA144)</f>
        <v/>
      </c>
      <c r="R144" s="64">
        <f>IF(N(DJ144)&gt;0,DI144,DB144)</f>
        <v/>
      </c>
      <c r="S144" s="64">
        <f>IF(N(DJ144)&gt;0,DJ144,DC144)</f>
        <v/>
      </c>
      <c r="T144" s="64">
        <f>INDEX(Projects[Currency],143)&amp;""</f>
        <v/>
      </c>
      <c r="U144" s="65">
        <f>INDEX(Projects[Sold Value (M)],143)</f>
        <v/>
      </c>
      <c r="V144" s="64">
        <f>IF('Smart Search'!B13=1,IFERROR(1/'Smart Search'!H13,0),0)</f>
        <v/>
      </c>
      <c r="W144" s="64">
        <f>IF('Smart Search'!B13=1,IFERROR(1/'Smart Search'!H13,0),0)</f>
        <v/>
      </c>
      <c r="X144" s="64">
        <f>IF('Smart Search'!C13=1,IFERROR(1/'Smart Search'!H13,0),0)</f>
        <v/>
      </c>
      <c r="Y144" s="64">
        <f>IF('Smart Search'!C13=1,IFERROR(1/'Smart Search'!H13,0),0)</f>
        <v/>
      </c>
      <c r="Z144" s="64">
        <f>IF('Smart Search'!D13=1,IFERROR(1/'Smart Search'!H13,0),0)</f>
        <v/>
      </c>
      <c r="AA144" s="64">
        <f>IF('Smart Search'!D13=1,IFERROR(1/'Smart Search'!H13,0),0)</f>
        <v/>
      </c>
      <c r="AB144" s="64">
        <f>IF('Smart Search'!E13=1,IFERROR(1/'Smart Search'!H13,0),0)</f>
        <v/>
      </c>
      <c r="AC144" s="64">
        <f>IF('Smart Search'!E13=1,IFERROR(1/'Smart Search'!H13,0),0)</f>
        <v/>
      </c>
      <c r="AD144" s="64">
        <f>IF('Smart Search'!F13=1,IFERROR(1/'Smart Search'!H13,0),0)</f>
        <v/>
      </c>
      <c r="AE144" s="64">
        <f>IF('Smart Search'!F13=1,IFERROR(1/'Smart Search'!H13,0),0)</f>
        <v/>
      </c>
      <c r="AF144" s="64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4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4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4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4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4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4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4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4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4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4">
        <f>AF144*V144</f>
        <v/>
      </c>
      <c r="AQ144" s="64">
        <f>AG144*W144</f>
        <v/>
      </c>
      <c r="AR144" s="64">
        <f>AH144*X144</f>
        <v/>
      </c>
      <c r="AS144" s="64">
        <f>AI144*Y144</f>
        <v/>
      </c>
      <c r="AT144" s="64">
        <f>AJ144*Z144</f>
        <v/>
      </c>
      <c r="AU144" s="64">
        <f>AK144*AA144</f>
        <v/>
      </c>
      <c r="AV144" s="64">
        <f>AL144*AB144</f>
        <v/>
      </c>
      <c r="AW144" s="64">
        <f>AM144*AC144</f>
        <v/>
      </c>
      <c r="AX144" s="64">
        <f>AN144*AD144</f>
        <v/>
      </c>
      <c r="AY144" s="64">
        <f>AO144*AE144</f>
        <v/>
      </c>
      <c r="AZ144" s="64">
        <f>INDEX(Projects[Automation Equipment],143)&amp;""</f>
        <v/>
      </c>
      <c r="BA144" s="64">
        <f>IF(OR(A144="",'Smart Search'!H13=0),"",MAX(0,BE144*BF144*MAX(0,1-BG144)))</f>
        <v/>
      </c>
      <c r="BB144" s="64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4">
        <f>IF('Smart Search'!G13=1,IFERROR(1/'Smart Search'!H13,0),0)</f>
        <v/>
      </c>
      <c r="BD144" s="64">
        <f>BB144*BC144</f>
        <v/>
      </c>
      <c r="BE144" s="64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IF(A144="","",N(INDEX(Projects[Act Mech Inst],143)))</f>
        <v/>
      </c>
      <c r="BK144" s="5">
        <f>IF(A144="","",N(INDEX(Projects[Act Elec Inst],143)))</f>
        <v/>
      </c>
      <c r="BL144" s="5">
        <f>IF(A144="","",N(INDEX(Projects[Act Project Management],143)))</f>
        <v/>
      </c>
      <c r="BM144" s="5">
        <f>IF(A144="","",N(INDEX(Projects[Act Systems Eng],143)))</f>
        <v/>
      </c>
      <c r="BN144" s="5">
        <f>IF(A144="","",N(INDEX(Projects[Act Mechanical Eng],143)))</f>
        <v/>
      </c>
      <c r="BO144" s="5">
        <f>IF(A144="","",N(INDEX(Projects[Act Structural Engineering],143)))</f>
        <v/>
      </c>
      <c r="BP144" s="5">
        <f>IF(A144="","",N(INDEX(Projects[Act Site Sup],143)))</f>
        <v/>
      </c>
      <c r="BQ144" s="5">
        <f>IF(A144="","",N(INDEX(Projects[Act Controls Commissioning],143)))</f>
        <v/>
      </c>
      <c r="BR144" s="5">
        <f>IF(A144="","",N(INDEX(Projects[Act Systems Commissioning],143)))</f>
        <v/>
      </c>
      <c r="BS144" s="5">
        <f>IF(A144="","",N(INDEX(Projects[Act Service Commissioning],143)))</f>
        <v/>
      </c>
      <c r="BT144" s="5">
        <f>IF(A144="","",N(INDEX(Projects[Act Controls Eng],143)))</f>
        <v/>
      </c>
      <c r="BU144" s="5">
        <f>IF(A144="","",N(INDEX(Projects[Act Controls Purchase],143)))</f>
        <v/>
      </c>
      <c r="BV144" s="5">
        <f>IF(A144="","",N(INDEX(Projects[Act Software Eng],143)))</f>
        <v/>
      </c>
      <c r="BW144" s="5">
        <f>IF(A144="","",N(INDEX(Projects[Act 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INDEX(Projects[Sold Value (USD M)],143)</f>
        <v/>
      </c>
      <c r="CE144" s="5" t="n"/>
      <c r="CF144" s="5">
        <f>IF(A144="","",N(INDEX(Projects[Est Mech Inst],143)))</f>
        <v/>
      </c>
      <c r="CG144" s="5">
        <f>IF(A144="","",N(INDEX(Projects[Est Elec Inst],143)))</f>
        <v/>
      </c>
      <c r="CH144" s="5">
        <f>IF(A144="","",N(INDEX(Projects[Est Project Management],143)))</f>
        <v/>
      </c>
      <c r="CI144" s="5">
        <f>IF(A144="","",N(INDEX(Projects[Est Systems Eng],143)))</f>
        <v/>
      </c>
      <c r="CJ144" s="5">
        <f>IF(A144="","",N(INDEX(Projects[Est Mechanical Eng],143)))</f>
        <v/>
      </c>
      <c r="CK144" s="5">
        <f>IF(A144="","",N(INDEX(Projects[Est Structural Engineering],143)))</f>
        <v/>
      </c>
      <c r="CL144" s="5">
        <f>IF(A144="","",N(INDEX(Projects[Est Site Sup],143)))</f>
        <v/>
      </c>
      <c r="CM144" s="5">
        <f>IF(A144="","",N(INDEX(Projects[Est Controls Commissioning],143)))</f>
        <v/>
      </c>
      <c r="CN144" s="5">
        <f>IF(A144="","",N(INDEX(Projects[Est Systems Commissioning],143)))</f>
        <v/>
      </c>
      <c r="CO144" s="5">
        <f>IF(A144="","",N(INDEX(Projects[Est Service Commissioning],143)))</f>
        <v/>
      </c>
      <c r="CP144" s="5">
        <f>IF(A144="","",N(INDEX(Projects[Est Controls Eng],143)))</f>
        <v/>
      </c>
      <c r="CQ144" s="5">
        <f>IF(A144="","",N(INDEX(Projects[Est Controls Purchase],143)))</f>
        <v/>
      </c>
      <c r="CR144" s="5">
        <f>IF(A144="","",N(INDEX(Projects[Est Software Eng],143)))</f>
        <v/>
      </c>
      <c r="CS144" s="5">
        <f>IF(A144="","",N(INDEX(Projects[Est Misc],143)))</f>
        <v/>
      </c>
      <c r="CT144" s="5">
        <f>IF(A144="","",SUM(CF144:CS144))</f>
        <v/>
      </c>
      <c r="CU144" s="5">
        <f>INDEX(Projects[Est Cost (M)],143)</f>
        <v/>
      </c>
      <c r="CV144" s="5">
        <f>INDEX(Projects[Act Cost (M)],143)</f>
        <v/>
      </c>
      <c r="CW144" s="5">
        <f>INDEX(Projects[Plan Mech Eng (wks)],143)</f>
        <v/>
      </c>
      <c r="CX144" s="5">
        <f>INDEX(Projects[Plan Controls Eng (wks)],143)</f>
        <v/>
      </c>
      <c r="CY144" s="5">
        <f>INDEX(Projects[Plan Systems Eng (wks)],143)</f>
        <v/>
      </c>
      <c r="CZ144" s="5">
        <f>INDEX(Projects[Plan Software Eng (wks)],143)</f>
        <v/>
      </c>
      <c r="DA144" s="5">
        <f>INDEX(Projects[Plan M&amp;E Installation (wks)],143)</f>
        <v/>
      </c>
      <c r="DB144" s="5">
        <f>INDEX(Projects[Plan Commissioning (wks)],143)</f>
        <v/>
      </c>
      <c r="DC144" s="5">
        <f>INDEX(Projects[Plan Total (wks)],143)</f>
        <v/>
      </c>
      <c r="DD144" s="5">
        <f>INDEX(Projects[Act Mech Eng (wks)],143)</f>
        <v/>
      </c>
      <c r="DE144" s="5">
        <f>INDEX(Projects[Act Controls Eng (wks)],143)</f>
        <v/>
      </c>
      <c r="DF144" s="5">
        <f>INDEX(Projects[Act Systems Eng (wks)],143)</f>
        <v/>
      </c>
      <c r="DG144" s="5">
        <f>INDEX(Projects[Act Software Eng (wks)],143)</f>
        <v/>
      </c>
      <c r="DH144" s="5">
        <f>INDEX(Projects[Act M&amp;E Installation (wks)],143)</f>
        <v/>
      </c>
      <c r="DI144" s="5">
        <f>INDEX(Projects[Act Commissioning (wks)],143)</f>
        <v/>
      </c>
      <c r="DJ144" s="5">
        <f>INDEX(Projects[Act Total (wks)],143)</f>
        <v/>
      </c>
    </row>
    <row r="145" ht="15" customHeight="1" s="82">
      <c r="A145" s="64">
        <f>INDEX(Projects[Project ID *],144)&amp;""</f>
        <v/>
      </c>
      <c r="B145" s="64">
        <f>INDEX(Projects[Project Name *],144)&amp;""</f>
        <v/>
      </c>
      <c r="C145" s="64">
        <f>INDEX(Projects[MS Shuttles],144)</f>
        <v/>
      </c>
      <c r="D145" s="64">
        <f>INDEX(Projects[MS Tote Locations],144)</f>
        <v/>
      </c>
      <c r="E145" s="64">
        <f>INDEX(Projects[AS Robots],144)</f>
        <v/>
      </c>
      <c r="F145" s="64">
        <f>INDEX(Projects[AS Tote Locations],144)</f>
        <v/>
      </c>
      <c r="G145" s="64">
        <f>INDEX(Projects[PS Shuttles],144)</f>
        <v/>
      </c>
      <c r="H145" s="64">
        <f>INDEX(Projects[PS Pallet Locations],144)</f>
        <v/>
      </c>
      <c r="I145" s="64">
        <f>INDEX(Projects[SRM Cranes],144)</f>
        <v/>
      </c>
      <c r="J145" s="64">
        <f>INDEX(Projects[SRM Pallet Locations],144)</f>
        <v/>
      </c>
      <c r="K145" s="64">
        <f>INDEX(Projects[Case Conv (m)],144)</f>
        <v/>
      </c>
      <c r="L145" s="64">
        <f>INDEX(Projects[Pallet Conv (m)],144)</f>
        <v/>
      </c>
      <c r="M145" s="64">
        <f>IF(N(DJ145)&gt;0,DD145,CW145)</f>
        <v/>
      </c>
      <c r="N145" s="64">
        <f>IF(N(DJ145)&gt;0,DE145,CX145)</f>
        <v/>
      </c>
      <c r="O145" s="64">
        <f>IF(N(DJ145)&gt;0,DF145,CY145)</f>
        <v/>
      </c>
      <c r="P145" s="64">
        <f>IF(N(DJ145)&gt;0,DG145,CZ145)</f>
        <v/>
      </c>
      <c r="Q145" s="64">
        <f>IF(N(DJ145)&gt;0,DH145,DA145)</f>
        <v/>
      </c>
      <c r="R145" s="64">
        <f>IF(N(DJ145)&gt;0,DI145,DB145)</f>
        <v/>
      </c>
      <c r="S145" s="64">
        <f>IF(N(DJ145)&gt;0,DJ145,DC145)</f>
        <v/>
      </c>
      <c r="T145" s="64">
        <f>INDEX(Projects[Currency],144)&amp;""</f>
        <v/>
      </c>
      <c r="U145" s="65">
        <f>INDEX(Projects[Sold Value (M)],144)</f>
        <v/>
      </c>
      <c r="V145" s="64">
        <f>IF('Smart Search'!B13=1,IFERROR(1/'Smart Search'!H13,0),0)</f>
        <v/>
      </c>
      <c r="W145" s="64">
        <f>IF('Smart Search'!B13=1,IFERROR(1/'Smart Search'!H13,0),0)</f>
        <v/>
      </c>
      <c r="X145" s="64">
        <f>IF('Smart Search'!C13=1,IFERROR(1/'Smart Search'!H13,0),0)</f>
        <v/>
      </c>
      <c r="Y145" s="64">
        <f>IF('Smart Search'!C13=1,IFERROR(1/'Smart Search'!H13,0),0)</f>
        <v/>
      </c>
      <c r="Z145" s="64">
        <f>IF('Smart Search'!D13=1,IFERROR(1/'Smart Search'!H13,0),0)</f>
        <v/>
      </c>
      <c r="AA145" s="64">
        <f>IF('Smart Search'!D13=1,IFERROR(1/'Smart Search'!H13,0),0)</f>
        <v/>
      </c>
      <c r="AB145" s="64">
        <f>IF('Smart Search'!E13=1,IFERROR(1/'Smart Search'!H13,0),0)</f>
        <v/>
      </c>
      <c r="AC145" s="64">
        <f>IF('Smart Search'!E13=1,IFERROR(1/'Smart Search'!H13,0),0)</f>
        <v/>
      </c>
      <c r="AD145" s="64">
        <f>IF('Smart Search'!F13=1,IFERROR(1/'Smart Search'!H13,0),0)</f>
        <v/>
      </c>
      <c r="AE145" s="64">
        <f>IF('Smart Search'!F13=1,IFERROR(1/'Smart Search'!H13,0),0)</f>
        <v/>
      </c>
      <c r="AF145" s="64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4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4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4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4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4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4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4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4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4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4">
        <f>AF145*V145</f>
        <v/>
      </c>
      <c r="AQ145" s="64">
        <f>AG145*W145</f>
        <v/>
      </c>
      <c r="AR145" s="64">
        <f>AH145*X145</f>
        <v/>
      </c>
      <c r="AS145" s="64">
        <f>AI145*Y145</f>
        <v/>
      </c>
      <c r="AT145" s="64">
        <f>AJ145*Z145</f>
        <v/>
      </c>
      <c r="AU145" s="64">
        <f>AK145*AA145</f>
        <v/>
      </c>
      <c r="AV145" s="64">
        <f>AL145*AB145</f>
        <v/>
      </c>
      <c r="AW145" s="64">
        <f>AM145*AC145</f>
        <v/>
      </c>
      <c r="AX145" s="64">
        <f>AN145*AD145</f>
        <v/>
      </c>
      <c r="AY145" s="64">
        <f>AO145*AE145</f>
        <v/>
      </c>
      <c r="AZ145" s="64">
        <f>INDEX(Projects[Automation Equipment],144)&amp;""</f>
        <v/>
      </c>
      <c r="BA145" s="64">
        <f>IF(OR(A145="",'Smart Search'!H13=0),"",MAX(0,BE145*BF145*MAX(0,1-BG145)))</f>
        <v/>
      </c>
      <c r="BB145" s="64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4">
        <f>IF('Smart Search'!G13=1,IFERROR(1/'Smart Search'!H13,0),0)</f>
        <v/>
      </c>
      <c r="BD145" s="64">
        <f>BB145*BC145</f>
        <v/>
      </c>
      <c r="BE145" s="64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IF(A145="","",N(INDEX(Projects[Act Mech Inst],144)))</f>
        <v/>
      </c>
      <c r="BK145" s="5">
        <f>IF(A145="","",N(INDEX(Projects[Act Elec Inst],144)))</f>
        <v/>
      </c>
      <c r="BL145" s="5">
        <f>IF(A145="","",N(INDEX(Projects[Act Project Management],144)))</f>
        <v/>
      </c>
      <c r="BM145" s="5">
        <f>IF(A145="","",N(INDEX(Projects[Act Systems Eng],144)))</f>
        <v/>
      </c>
      <c r="BN145" s="5">
        <f>IF(A145="","",N(INDEX(Projects[Act Mechanical Eng],144)))</f>
        <v/>
      </c>
      <c r="BO145" s="5">
        <f>IF(A145="","",N(INDEX(Projects[Act Structural Engineering],144)))</f>
        <v/>
      </c>
      <c r="BP145" s="5">
        <f>IF(A145="","",N(INDEX(Projects[Act Site Sup],144)))</f>
        <v/>
      </c>
      <c r="BQ145" s="5">
        <f>IF(A145="","",N(INDEX(Projects[Act Controls Commissioning],144)))</f>
        <v/>
      </c>
      <c r="BR145" s="5">
        <f>IF(A145="","",N(INDEX(Projects[Act Systems Commissioning],144)))</f>
        <v/>
      </c>
      <c r="BS145" s="5">
        <f>IF(A145="","",N(INDEX(Projects[Act Service Commissioning],144)))</f>
        <v/>
      </c>
      <c r="BT145" s="5">
        <f>IF(A145="","",N(INDEX(Projects[Act Controls Eng],144)))</f>
        <v/>
      </c>
      <c r="BU145" s="5">
        <f>IF(A145="","",N(INDEX(Projects[Act Controls Purchase],144)))</f>
        <v/>
      </c>
      <c r="BV145" s="5">
        <f>IF(A145="","",N(INDEX(Projects[Act Software Eng],144)))</f>
        <v/>
      </c>
      <c r="BW145" s="5">
        <f>IF(A145="","",N(INDEX(Projects[Act 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INDEX(Projects[Sold Value (USD M)],144)</f>
        <v/>
      </c>
      <c r="CE145" s="5" t="n"/>
      <c r="CF145" s="5">
        <f>IF(A145="","",N(INDEX(Projects[Est Mech Inst],144)))</f>
        <v/>
      </c>
      <c r="CG145" s="5">
        <f>IF(A145="","",N(INDEX(Projects[Est Elec Inst],144)))</f>
        <v/>
      </c>
      <c r="CH145" s="5">
        <f>IF(A145="","",N(INDEX(Projects[Est Project Management],144)))</f>
        <v/>
      </c>
      <c r="CI145" s="5">
        <f>IF(A145="","",N(INDEX(Projects[Est Systems Eng],144)))</f>
        <v/>
      </c>
      <c r="CJ145" s="5">
        <f>IF(A145="","",N(INDEX(Projects[Est Mechanical Eng],144)))</f>
        <v/>
      </c>
      <c r="CK145" s="5">
        <f>IF(A145="","",N(INDEX(Projects[Est Structural Engineering],144)))</f>
        <v/>
      </c>
      <c r="CL145" s="5">
        <f>IF(A145="","",N(INDEX(Projects[Est Site Sup],144)))</f>
        <v/>
      </c>
      <c r="CM145" s="5">
        <f>IF(A145="","",N(INDEX(Projects[Est Controls Commissioning],144)))</f>
        <v/>
      </c>
      <c r="CN145" s="5">
        <f>IF(A145="","",N(INDEX(Projects[Est Systems Commissioning],144)))</f>
        <v/>
      </c>
      <c r="CO145" s="5">
        <f>IF(A145="","",N(INDEX(Projects[Est Service Commissioning],144)))</f>
        <v/>
      </c>
      <c r="CP145" s="5">
        <f>IF(A145="","",N(INDEX(Projects[Est Controls Eng],144)))</f>
        <v/>
      </c>
      <c r="CQ145" s="5">
        <f>IF(A145="","",N(INDEX(Projects[Est Controls Purchase],144)))</f>
        <v/>
      </c>
      <c r="CR145" s="5">
        <f>IF(A145="","",N(INDEX(Projects[Est Software Eng],144)))</f>
        <v/>
      </c>
      <c r="CS145" s="5">
        <f>IF(A145="","",N(INDEX(Projects[Est Misc],144)))</f>
        <v/>
      </c>
      <c r="CT145" s="5">
        <f>IF(A145="","",SUM(CF145:CS145))</f>
        <v/>
      </c>
      <c r="CU145" s="5">
        <f>INDEX(Projects[Est Cost (M)],144)</f>
        <v/>
      </c>
      <c r="CV145" s="5">
        <f>INDEX(Projects[Act Cost (M)],144)</f>
        <v/>
      </c>
      <c r="CW145" s="5">
        <f>INDEX(Projects[Plan Mech Eng (wks)],144)</f>
        <v/>
      </c>
      <c r="CX145" s="5">
        <f>INDEX(Projects[Plan Controls Eng (wks)],144)</f>
        <v/>
      </c>
      <c r="CY145" s="5">
        <f>INDEX(Projects[Plan Systems Eng (wks)],144)</f>
        <v/>
      </c>
      <c r="CZ145" s="5">
        <f>INDEX(Projects[Plan Software Eng (wks)],144)</f>
        <v/>
      </c>
      <c r="DA145" s="5">
        <f>INDEX(Projects[Plan M&amp;E Installation (wks)],144)</f>
        <v/>
      </c>
      <c r="DB145" s="5">
        <f>INDEX(Projects[Plan Commissioning (wks)],144)</f>
        <v/>
      </c>
      <c r="DC145" s="5">
        <f>INDEX(Projects[Plan Total (wks)],144)</f>
        <v/>
      </c>
      <c r="DD145" s="5">
        <f>INDEX(Projects[Act Mech Eng (wks)],144)</f>
        <v/>
      </c>
      <c r="DE145" s="5">
        <f>INDEX(Projects[Act Controls Eng (wks)],144)</f>
        <v/>
      </c>
      <c r="DF145" s="5">
        <f>INDEX(Projects[Act Systems Eng (wks)],144)</f>
        <v/>
      </c>
      <c r="DG145" s="5">
        <f>INDEX(Projects[Act Software Eng (wks)],144)</f>
        <v/>
      </c>
      <c r="DH145" s="5">
        <f>INDEX(Projects[Act M&amp;E Installation (wks)],144)</f>
        <v/>
      </c>
      <c r="DI145" s="5">
        <f>INDEX(Projects[Act Commissioning (wks)],144)</f>
        <v/>
      </c>
      <c r="DJ145" s="5">
        <f>INDEX(Projects[Act Total (wks)],144)</f>
        <v/>
      </c>
    </row>
    <row r="146" ht="15" customHeight="1" s="82">
      <c r="A146" s="64">
        <f>INDEX(Projects[Project ID *],145)&amp;""</f>
        <v/>
      </c>
      <c r="B146" s="64">
        <f>INDEX(Projects[Project Name *],145)&amp;""</f>
        <v/>
      </c>
      <c r="C146" s="64">
        <f>INDEX(Projects[MS Shuttles],145)</f>
        <v/>
      </c>
      <c r="D146" s="64">
        <f>INDEX(Projects[MS Tote Locations],145)</f>
        <v/>
      </c>
      <c r="E146" s="64">
        <f>INDEX(Projects[AS Robots],145)</f>
        <v/>
      </c>
      <c r="F146" s="64">
        <f>INDEX(Projects[AS Tote Locations],145)</f>
        <v/>
      </c>
      <c r="G146" s="64">
        <f>INDEX(Projects[PS Shuttles],145)</f>
        <v/>
      </c>
      <c r="H146" s="64">
        <f>INDEX(Projects[PS Pallet Locations],145)</f>
        <v/>
      </c>
      <c r="I146" s="64">
        <f>INDEX(Projects[SRM Cranes],145)</f>
        <v/>
      </c>
      <c r="J146" s="64">
        <f>INDEX(Projects[SRM Pallet Locations],145)</f>
        <v/>
      </c>
      <c r="K146" s="64">
        <f>INDEX(Projects[Case Conv (m)],145)</f>
        <v/>
      </c>
      <c r="L146" s="64">
        <f>INDEX(Projects[Pallet Conv (m)],145)</f>
        <v/>
      </c>
      <c r="M146" s="64">
        <f>IF(N(DJ146)&gt;0,DD146,CW146)</f>
        <v/>
      </c>
      <c r="N146" s="64">
        <f>IF(N(DJ146)&gt;0,DE146,CX146)</f>
        <v/>
      </c>
      <c r="O146" s="64">
        <f>IF(N(DJ146)&gt;0,DF146,CY146)</f>
        <v/>
      </c>
      <c r="P146" s="64">
        <f>IF(N(DJ146)&gt;0,DG146,CZ146)</f>
        <v/>
      </c>
      <c r="Q146" s="64">
        <f>IF(N(DJ146)&gt;0,DH146,DA146)</f>
        <v/>
      </c>
      <c r="R146" s="64">
        <f>IF(N(DJ146)&gt;0,DI146,DB146)</f>
        <v/>
      </c>
      <c r="S146" s="64">
        <f>IF(N(DJ146)&gt;0,DJ146,DC146)</f>
        <v/>
      </c>
      <c r="T146" s="64">
        <f>INDEX(Projects[Currency],145)&amp;""</f>
        <v/>
      </c>
      <c r="U146" s="65">
        <f>INDEX(Projects[Sold Value (M)],145)</f>
        <v/>
      </c>
      <c r="V146" s="64">
        <f>IF('Smart Search'!B13=1,IFERROR(1/'Smart Search'!H13,0),0)</f>
        <v/>
      </c>
      <c r="W146" s="64">
        <f>IF('Smart Search'!B13=1,IFERROR(1/'Smart Search'!H13,0),0)</f>
        <v/>
      </c>
      <c r="X146" s="64">
        <f>IF('Smart Search'!C13=1,IFERROR(1/'Smart Search'!H13,0),0)</f>
        <v/>
      </c>
      <c r="Y146" s="64">
        <f>IF('Smart Search'!C13=1,IFERROR(1/'Smart Search'!H13,0),0)</f>
        <v/>
      </c>
      <c r="Z146" s="64">
        <f>IF('Smart Search'!D13=1,IFERROR(1/'Smart Search'!H13,0),0)</f>
        <v/>
      </c>
      <c r="AA146" s="64">
        <f>IF('Smart Search'!D13=1,IFERROR(1/'Smart Search'!H13,0),0)</f>
        <v/>
      </c>
      <c r="AB146" s="64">
        <f>IF('Smart Search'!E13=1,IFERROR(1/'Smart Search'!H13,0),0)</f>
        <v/>
      </c>
      <c r="AC146" s="64">
        <f>IF('Smart Search'!E13=1,IFERROR(1/'Smart Search'!H13,0),0)</f>
        <v/>
      </c>
      <c r="AD146" s="64">
        <f>IF('Smart Search'!F13=1,IFERROR(1/'Smart Search'!H13,0),0)</f>
        <v/>
      </c>
      <c r="AE146" s="64">
        <f>IF('Smart Search'!F13=1,IFERROR(1/'Smart Search'!H13,0),0)</f>
        <v/>
      </c>
      <c r="AF146" s="64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4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4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4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4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4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4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4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4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4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4">
        <f>AF146*V146</f>
        <v/>
      </c>
      <c r="AQ146" s="64">
        <f>AG146*W146</f>
        <v/>
      </c>
      <c r="AR146" s="64">
        <f>AH146*X146</f>
        <v/>
      </c>
      <c r="AS146" s="64">
        <f>AI146*Y146</f>
        <v/>
      </c>
      <c r="AT146" s="64">
        <f>AJ146*Z146</f>
        <v/>
      </c>
      <c r="AU146" s="64">
        <f>AK146*AA146</f>
        <v/>
      </c>
      <c r="AV146" s="64">
        <f>AL146*AB146</f>
        <v/>
      </c>
      <c r="AW146" s="64">
        <f>AM146*AC146</f>
        <v/>
      </c>
      <c r="AX146" s="64">
        <f>AN146*AD146</f>
        <v/>
      </c>
      <c r="AY146" s="64">
        <f>AO146*AE146</f>
        <v/>
      </c>
      <c r="AZ146" s="64">
        <f>INDEX(Projects[Automation Equipment],145)&amp;""</f>
        <v/>
      </c>
      <c r="BA146" s="64">
        <f>IF(OR(A146="",'Smart Search'!H13=0),"",MAX(0,BE146*BF146*MAX(0,1-BG146)))</f>
        <v/>
      </c>
      <c r="BB146" s="64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4">
        <f>IF('Smart Search'!G13=1,IFERROR(1/'Smart Search'!H13,0),0)</f>
        <v/>
      </c>
      <c r="BD146" s="64">
        <f>BB146*BC146</f>
        <v/>
      </c>
      <c r="BE146" s="64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IF(A146="","",N(INDEX(Projects[Act Mech Inst],145)))</f>
        <v/>
      </c>
      <c r="BK146" s="5">
        <f>IF(A146="","",N(INDEX(Projects[Act Elec Inst],145)))</f>
        <v/>
      </c>
      <c r="BL146" s="5">
        <f>IF(A146="","",N(INDEX(Projects[Act Project Management],145)))</f>
        <v/>
      </c>
      <c r="BM146" s="5">
        <f>IF(A146="","",N(INDEX(Projects[Act Systems Eng],145)))</f>
        <v/>
      </c>
      <c r="BN146" s="5">
        <f>IF(A146="","",N(INDEX(Projects[Act Mechanical Eng],145)))</f>
        <v/>
      </c>
      <c r="BO146" s="5">
        <f>IF(A146="","",N(INDEX(Projects[Act Structural Engineering],145)))</f>
        <v/>
      </c>
      <c r="BP146" s="5">
        <f>IF(A146="","",N(INDEX(Projects[Act Site Sup],145)))</f>
        <v/>
      </c>
      <c r="BQ146" s="5">
        <f>IF(A146="","",N(INDEX(Projects[Act Controls Commissioning],145)))</f>
        <v/>
      </c>
      <c r="BR146" s="5">
        <f>IF(A146="","",N(INDEX(Projects[Act Systems Commissioning],145)))</f>
        <v/>
      </c>
      <c r="BS146" s="5">
        <f>IF(A146="","",N(INDEX(Projects[Act Service Commissioning],145)))</f>
        <v/>
      </c>
      <c r="BT146" s="5">
        <f>IF(A146="","",N(INDEX(Projects[Act Controls Eng],145)))</f>
        <v/>
      </c>
      <c r="BU146" s="5">
        <f>IF(A146="","",N(INDEX(Projects[Act Controls Purchase],145)))</f>
        <v/>
      </c>
      <c r="BV146" s="5">
        <f>IF(A146="","",N(INDEX(Projects[Act Software Eng],145)))</f>
        <v/>
      </c>
      <c r="BW146" s="5">
        <f>IF(A146="","",N(INDEX(Projects[Act 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INDEX(Projects[Sold Value (USD M)],145)</f>
        <v/>
      </c>
      <c r="CE146" s="5" t="n"/>
      <c r="CF146" s="5">
        <f>IF(A146="","",N(INDEX(Projects[Est Mech Inst],145)))</f>
        <v/>
      </c>
      <c r="CG146" s="5">
        <f>IF(A146="","",N(INDEX(Projects[Est Elec Inst],145)))</f>
        <v/>
      </c>
      <c r="CH146" s="5">
        <f>IF(A146="","",N(INDEX(Projects[Est Project Management],145)))</f>
        <v/>
      </c>
      <c r="CI146" s="5">
        <f>IF(A146="","",N(INDEX(Projects[Est Systems Eng],145)))</f>
        <v/>
      </c>
      <c r="CJ146" s="5">
        <f>IF(A146="","",N(INDEX(Projects[Est Mechanical Eng],145)))</f>
        <v/>
      </c>
      <c r="CK146" s="5">
        <f>IF(A146="","",N(INDEX(Projects[Est Structural Engineering],145)))</f>
        <v/>
      </c>
      <c r="CL146" s="5">
        <f>IF(A146="","",N(INDEX(Projects[Est Site Sup],145)))</f>
        <v/>
      </c>
      <c r="CM146" s="5">
        <f>IF(A146="","",N(INDEX(Projects[Est Controls Commissioning],145)))</f>
        <v/>
      </c>
      <c r="CN146" s="5">
        <f>IF(A146="","",N(INDEX(Projects[Est Systems Commissioning],145)))</f>
        <v/>
      </c>
      <c r="CO146" s="5">
        <f>IF(A146="","",N(INDEX(Projects[Est Service Commissioning],145)))</f>
        <v/>
      </c>
      <c r="CP146" s="5">
        <f>IF(A146="","",N(INDEX(Projects[Est Controls Eng],145)))</f>
        <v/>
      </c>
      <c r="CQ146" s="5">
        <f>IF(A146="","",N(INDEX(Projects[Est Controls Purchase],145)))</f>
        <v/>
      </c>
      <c r="CR146" s="5">
        <f>IF(A146="","",N(INDEX(Projects[Est Software Eng],145)))</f>
        <v/>
      </c>
      <c r="CS146" s="5">
        <f>IF(A146="","",N(INDEX(Projects[Est Misc],145)))</f>
        <v/>
      </c>
      <c r="CT146" s="5">
        <f>IF(A146="","",SUM(CF146:CS146))</f>
        <v/>
      </c>
      <c r="CU146" s="5">
        <f>INDEX(Projects[Est Cost (M)],145)</f>
        <v/>
      </c>
      <c r="CV146" s="5">
        <f>INDEX(Projects[Act Cost (M)],145)</f>
        <v/>
      </c>
      <c r="CW146" s="5">
        <f>INDEX(Projects[Plan Mech Eng (wks)],145)</f>
        <v/>
      </c>
      <c r="CX146" s="5">
        <f>INDEX(Projects[Plan Controls Eng (wks)],145)</f>
        <v/>
      </c>
      <c r="CY146" s="5">
        <f>INDEX(Projects[Plan Systems Eng (wks)],145)</f>
        <v/>
      </c>
      <c r="CZ146" s="5">
        <f>INDEX(Projects[Plan Software Eng (wks)],145)</f>
        <v/>
      </c>
      <c r="DA146" s="5">
        <f>INDEX(Projects[Plan M&amp;E Installation (wks)],145)</f>
        <v/>
      </c>
      <c r="DB146" s="5">
        <f>INDEX(Projects[Plan Commissioning (wks)],145)</f>
        <v/>
      </c>
      <c r="DC146" s="5">
        <f>INDEX(Projects[Plan Total (wks)],145)</f>
        <v/>
      </c>
      <c r="DD146" s="5">
        <f>INDEX(Projects[Act Mech Eng (wks)],145)</f>
        <v/>
      </c>
      <c r="DE146" s="5">
        <f>INDEX(Projects[Act Controls Eng (wks)],145)</f>
        <v/>
      </c>
      <c r="DF146" s="5">
        <f>INDEX(Projects[Act Systems Eng (wks)],145)</f>
        <v/>
      </c>
      <c r="DG146" s="5">
        <f>INDEX(Projects[Act Software Eng (wks)],145)</f>
        <v/>
      </c>
      <c r="DH146" s="5">
        <f>INDEX(Projects[Act M&amp;E Installation (wks)],145)</f>
        <v/>
      </c>
      <c r="DI146" s="5">
        <f>INDEX(Projects[Act Commissioning (wks)],145)</f>
        <v/>
      </c>
      <c r="DJ146" s="5">
        <f>INDEX(Projects[Act Total (wks)],145)</f>
        <v/>
      </c>
    </row>
    <row r="147" ht="15" customHeight="1" s="82">
      <c r="A147" s="64">
        <f>INDEX(Projects[Project ID *],146)&amp;""</f>
        <v/>
      </c>
      <c r="B147" s="64">
        <f>INDEX(Projects[Project Name *],146)&amp;""</f>
        <v/>
      </c>
      <c r="C147" s="64">
        <f>INDEX(Projects[MS Shuttles],146)</f>
        <v/>
      </c>
      <c r="D147" s="64">
        <f>INDEX(Projects[MS Tote Locations],146)</f>
        <v/>
      </c>
      <c r="E147" s="64">
        <f>INDEX(Projects[AS Robots],146)</f>
        <v/>
      </c>
      <c r="F147" s="64">
        <f>INDEX(Projects[AS Tote Locations],146)</f>
        <v/>
      </c>
      <c r="G147" s="64">
        <f>INDEX(Projects[PS Shuttles],146)</f>
        <v/>
      </c>
      <c r="H147" s="64">
        <f>INDEX(Projects[PS Pallet Locations],146)</f>
        <v/>
      </c>
      <c r="I147" s="64">
        <f>INDEX(Projects[SRM Cranes],146)</f>
        <v/>
      </c>
      <c r="J147" s="64">
        <f>INDEX(Projects[SRM Pallet Locations],146)</f>
        <v/>
      </c>
      <c r="K147" s="64">
        <f>INDEX(Projects[Case Conv (m)],146)</f>
        <v/>
      </c>
      <c r="L147" s="64">
        <f>INDEX(Projects[Pallet Conv (m)],146)</f>
        <v/>
      </c>
      <c r="M147" s="64">
        <f>IF(N(DJ147)&gt;0,DD147,CW147)</f>
        <v/>
      </c>
      <c r="N147" s="64">
        <f>IF(N(DJ147)&gt;0,DE147,CX147)</f>
        <v/>
      </c>
      <c r="O147" s="64">
        <f>IF(N(DJ147)&gt;0,DF147,CY147)</f>
        <v/>
      </c>
      <c r="P147" s="64">
        <f>IF(N(DJ147)&gt;0,DG147,CZ147)</f>
        <v/>
      </c>
      <c r="Q147" s="64">
        <f>IF(N(DJ147)&gt;0,DH147,DA147)</f>
        <v/>
      </c>
      <c r="R147" s="64">
        <f>IF(N(DJ147)&gt;0,DI147,DB147)</f>
        <v/>
      </c>
      <c r="S147" s="64">
        <f>IF(N(DJ147)&gt;0,DJ147,DC147)</f>
        <v/>
      </c>
      <c r="T147" s="64">
        <f>INDEX(Projects[Currency],146)&amp;""</f>
        <v/>
      </c>
      <c r="U147" s="65">
        <f>INDEX(Projects[Sold Value (M)],146)</f>
        <v/>
      </c>
      <c r="V147" s="64">
        <f>IF('Smart Search'!B13=1,IFERROR(1/'Smart Search'!H13,0),0)</f>
        <v/>
      </c>
      <c r="W147" s="64">
        <f>IF('Smart Search'!B13=1,IFERROR(1/'Smart Search'!H13,0),0)</f>
        <v/>
      </c>
      <c r="X147" s="64">
        <f>IF('Smart Search'!C13=1,IFERROR(1/'Smart Search'!H13,0),0)</f>
        <v/>
      </c>
      <c r="Y147" s="64">
        <f>IF('Smart Search'!C13=1,IFERROR(1/'Smart Search'!H13,0),0)</f>
        <v/>
      </c>
      <c r="Z147" s="64">
        <f>IF('Smart Search'!D13=1,IFERROR(1/'Smart Search'!H13,0),0)</f>
        <v/>
      </c>
      <c r="AA147" s="64">
        <f>IF('Smart Search'!D13=1,IFERROR(1/'Smart Search'!H13,0),0)</f>
        <v/>
      </c>
      <c r="AB147" s="64">
        <f>IF('Smart Search'!E13=1,IFERROR(1/'Smart Search'!H13,0),0)</f>
        <v/>
      </c>
      <c r="AC147" s="64">
        <f>IF('Smart Search'!E13=1,IFERROR(1/'Smart Search'!H13,0),0)</f>
        <v/>
      </c>
      <c r="AD147" s="64">
        <f>IF('Smart Search'!F13=1,IFERROR(1/'Smart Search'!H13,0),0)</f>
        <v/>
      </c>
      <c r="AE147" s="64">
        <f>IF('Smart Search'!F13=1,IFERROR(1/'Smart Search'!H13,0),0)</f>
        <v/>
      </c>
      <c r="AF147" s="64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4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4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4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4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4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4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4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4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4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4">
        <f>AF147*V147</f>
        <v/>
      </c>
      <c r="AQ147" s="64">
        <f>AG147*W147</f>
        <v/>
      </c>
      <c r="AR147" s="64">
        <f>AH147*X147</f>
        <v/>
      </c>
      <c r="AS147" s="64">
        <f>AI147*Y147</f>
        <v/>
      </c>
      <c r="AT147" s="64">
        <f>AJ147*Z147</f>
        <v/>
      </c>
      <c r="AU147" s="64">
        <f>AK147*AA147</f>
        <v/>
      </c>
      <c r="AV147" s="64">
        <f>AL147*AB147</f>
        <v/>
      </c>
      <c r="AW147" s="64">
        <f>AM147*AC147</f>
        <v/>
      </c>
      <c r="AX147" s="64">
        <f>AN147*AD147</f>
        <v/>
      </c>
      <c r="AY147" s="64">
        <f>AO147*AE147</f>
        <v/>
      </c>
      <c r="AZ147" s="64">
        <f>INDEX(Projects[Automation Equipment],146)&amp;""</f>
        <v/>
      </c>
      <c r="BA147" s="64">
        <f>IF(OR(A147="",'Smart Search'!H13=0),"",MAX(0,BE147*BF147*MAX(0,1-BG147)))</f>
        <v/>
      </c>
      <c r="BB147" s="64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4">
        <f>IF('Smart Search'!G13=1,IFERROR(1/'Smart Search'!H13,0),0)</f>
        <v/>
      </c>
      <c r="BD147" s="64">
        <f>BB147*BC147</f>
        <v/>
      </c>
      <c r="BE147" s="64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IF(A147="","",N(INDEX(Projects[Act Mech Inst],146)))</f>
        <v/>
      </c>
      <c r="BK147" s="5">
        <f>IF(A147="","",N(INDEX(Projects[Act Elec Inst],146)))</f>
        <v/>
      </c>
      <c r="BL147" s="5">
        <f>IF(A147="","",N(INDEX(Projects[Act Project Management],146)))</f>
        <v/>
      </c>
      <c r="BM147" s="5">
        <f>IF(A147="","",N(INDEX(Projects[Act Systems Eng],146)))</f>
        <v/>
      </c>
      <c r="BN147" s="5">
        <f>IF(A147="","",N(INDEX(Projects[Act Mechanical Eng],146)))</f>
        <v/>
      </c>
      <c r="BO147" s="5">
        <f>IF(A147="","",N(INDEX(Projects[Act Structural Engineering],146)))</f>
        <v/>
      </c>
      <c r="BP147" s="5">
        <f>IF(A147="","",N(INDEX(Projects[Act Site Sup],146)))</f>
        <v/>
      </c>
      <c r="BQ147" s="5">
        <f>IF(A147="","",N(INDEX(Projects[Act Controls Commissioning],146)))</f>
        <v/>
      </c>
      <c r="BR147" s="5">
        <f>IF(A147="","",N(INDEX(Projects[Act Systems Commissioning],146)))</f>
        <v/>
      </c>
      <c r="BS147" s="5">
        <f>IF(A147="","",N(INDEX(Projects[Act Service Commissioning],146)))</f>
        <v/>
      </c>
      <c r="BT147" s="5">
        <f>IF(A147="","",N(INDEX(Projects[Act Controls Eng],146)))</f>
        <v/>
      </c>
      <c r="BU147" s="5">
        <f>IF(A147="","",N(INDEX(Projects[Act Controls Purchase],146)))</f>
        <v/>
      </c>
      <c r="BV147" s="5">
        <f>IF(A147="","",N(INDEX(Projects[Act Software Eng],146)))</f>
        <v/>
      </c>
      <c r="BW147" s="5">
        <f>IF(A147="","",N(INDEX(Projects[Act 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INDEX(Projects[Sold Value (USD M)],146)</f>
        <v/>
      </c>
      <c r="CE147" s="5" t="n"/>
      <c r="CF147" s="5">
        <f>IF(A147="","",N(INDEX(Projects[Est Mech Inst],146)))</f>
        <v/>
      </c>
      <c r="CG147" s="5">
        <f>IF(A147="","",N(INDEX(Projects[Est Elec Inst],146)))</f>
        <v/>
      </c>
      <c r="CH147" s="5">
        <f>IF(A147="","",N(INDEX(Projects[Est Project Management],146)))</f>
        <v/>
      </c>
      <c r="CI147" s="5">
        <f>IF(A147="","",N(INDEX(Projects[Est Systems Eng],146)))</f>
        <v/>
      </c>
      <c r="CJ147" s="5">
        <f>IF(A147="","",N(INDEX(Projects[Est Mechanical Eng],146)))</f>
        <v/>
      </c>
      <c r="CK147" s="5">
        <f>IF(A147="","",N(INDEX(Projects[Est Structural Engineering],146)))</f>
        <v/>
      </c>
      <c r="CL147" s="5">
        <f>IF(A147="","",N(INDEX(Projects[Est Site Sup],146)))</f>
        <v/>
      </c>
      <c r="CM147" s="5">
        <f>IF(A147="","",N(INDEX(Projects[Est Controls Commissioning],146)))</f>
        <v/>
      </c>
      <c r="CN147" s="5">
        <f>IF(A147="","",N(INDEX(Projects[Est Systems Commissioning],146)))</f>
        <v/>
      </c>
      <c r="CO147" s="5">
        <f>IF(A147="","",N(INDEX(Projects[Est Service Commissioning],146)))</f>
        <v/>
      </c>
      <c r="CP147" s="5">
        <f>IF(A147="","",N(INDEX(Projects[Est Controls Eng],146)))</f>
        <v/>
      </c>
      <c r="CQ147" s="5">
        <f>IF(A147="","",N(INDEX(Projects[Est Controls Purchase],146)))</f>
        <v/>
      </c>
      <c r="CR147" s="5">
        <f>IF(A147="","",N(INDEX(Projects[Est Software Eng],146)))</f>
        <v/>
      </c>
      <c r="CS147" s="5">
        <f>IF(A147="","",N(INDEX(Projects[Est Misc],146)))</f>
        <v/>
      </c>
      <c r="CT147" s="5">
        <f>IF(A147="","",SUM(CF147:CS147))</f>
        <v/>
      </c>
      <c r="CU147" s="5">
        <f>INDEX(Projects[Est Cost (M)],146)</f>
        <v/>
      </c>
      <c r="CV147" s="5">
        <f>INDEX(Projects[Act Cost (M)],146)</f>
        <v/>
      </c>
      <c r="CW147" s="5">
        <f>INDEX(Projects[Plan Mech Eng (wks)],146)</f>
        <v/>
      </c>
      <c r="CX147" s="5">
        <f>INDEX(Projects[Plan Controls Eng (wks)],146)</f>
        <v/>
      </c>
      <c r="CY147" s="5">
        <f>INDEX(Projects[Plan Systems Eng (wks)],146)</f>
        <v/>
      </c>
      <c r="CZ147" s="5">
        <f>INDEX(Projects[Plan Software Eng (wks)],146)</f>
        <v/>
      </c>
      <c r="DA147" s="5">
        <f>INDEX(Projects[Plan M&amp;E Installation (wks)],146)</f>
        <v/>
      </c>
      <c r="DB147" s="5">
        <f>INDEX(Projects[Plan Commissioning (wks)],146)</f>
        <v/>
      </c>
      <c r="DC147" s="5">
        <f>INDEX(Projects[Plan Total (wks)],146)</f>
        <v/>
      </c>
      <c r="DD147" s="5">
        <f>INDEX(Projects[Act Mech Eng (wks)],146)</f>
        <v/>
      </c>
      <c r="DE147" s="5">
        <f>INDEX(Projects[Act Controls Eng (wks)],146)</f>
        <v/>
      </c>
      <c r="DF147" s="5">
        <f>INDEX(Projects[Act Systems Eng (wks)],146)</f>
        <v/>
      </c>
      <c r="DG147" s="5">
        <f>INDEX(Projects[Act Software Eng (wks)],146)</f>
        <v/>
      </c>
      <c r="DH147" s="5">
        <f>INDEX(Projects[Act M&amp;E Installation (wks)],146)</f>
        <v/>
      </c>
      <c r="DI147" s="5">
        <f>INDEX(Projects[Act Commissioning (wks)],146)</f>
        <v/>
      </c>
      <c r="DJ147" s="5">
        <f>INDEX(Projects[Act Total (wks)],146)</f>
        <v/>
      </c>
    </row>
    <row r="148" ht="15" customHeight="1" s="82">
      <c r="A148" s="64">
        <f>INDEX(Projects[Project ID *],147)&amp;""</f>
        <v/>
      </c>
      <c r="B148" s="64">
        <f>INDEX(Projects[Project Name *],147)&amp;""</f>
        <v/>
      </c>
      <c r="C148" s="64">
        <f>INDEX(Projects[MS Shuttles],147)</f>
        <v/>
      </c>
      <c r="D148" s="64">
        <f>INDEX(Projects[MS Tote Locations],147)</f>
        <v/>
      </c>
      <c r="E148" s="64">
        <f>INDEX(Projects[AS Robots],147)</f>
        <v/>
      </c>
      <c r="F148" s="64">
        <f>INDEX(Projects[AS Tote Locations],147)</f>
        <v/>
      </c>
      <c r="G148" s="64">
        <f>INDEX(Projects[PS Shuttles],147)</f>
        <v/>
      </c>
      <c r="H148" s="64">
        <f>INDEX(Projects[PS Pallet Locations],147)</f>
        <v/>
      </c>
      <c r="I148" s="64">
        <f>INDEX(Projects[SRM Cranes],147)</f>
        <v/>
      </c>
      <c r="J148" s="64">
        <f>INDEX(Projects[SRM Pallet Locations],147)</f>
        <v/>
      </c>
      <c r="K148" s="64">
        <f>INDEX(Projects[Case Conv (m)],147)</f>
        <v/>
      </c>
      <c r="L148" s="64">
        <f>INDEX(Projects[Pallet Conv (m)],147)</f>
        <v/>
      </c>
      <c r="M148" s="64">
        <f>IF(N(DJ148)&gt;0,DD148,CW148)</f>
        <v/>
      </c>
      <c r="N148" s="64">
        <f>IF(N(DJ148)&gt;0,DE148,CX148)</f>
        <v/>
      </c>
      <c r="O148" s="64">
        <f>IF(N(DJ148)&gt;0,DF148,CY148)</f>
        <v/>
      </c>
      <c r="P148" s="64">
        <f>IF(N(DJ148)&gt;0,DG148,CZ148)</f>
        <v/>
      </c>
      <c r="Q148" s="64">
        <f>IF(N(DJ148)&gt;0,DH148,DA148)</f>
        <v/>
      </c>
      <c r="R148" s="64">
        <f>IF(N(DJ148)&gt;0,DI148,DB148)</f>
        <v/>
      </c>
      <c r="S148" s="64">
        <f>IF(N(DJ148)&gt;0,DJ148,DC148)</f>
        <v/>
      </c>
      <c r="T148" s="64">
        <f>INDEX(Projects[Currency],147)&amp;""</f>
        <v/>
      </c>
      <c r="U148" s="65">
        <f>INDEX(Projects[Sold Value (M)],147)</f>
        <v/>
      </c>
      <c r="V148" s="64">
        <f>IF('Smart Search'!B13=1,IFERROR(1/'Smart Search'!H13,0),0)</f>
        <v/>
      </c>
      <c r="W148" s="64">
        <f>IF('Smart Search'!B13=1,IFERROR(1/'Smart Search'!H13,0),0)</f>
        <v/>
      </c>
      <c r="X148" s="64">
        <f>IF('Smart Search'!C13=1,IFERROR(1/'Smart Search'!H13,0),0)</f>
        <v/>
      </c>
      <c r="Y148" s="64">
        <f>IF('Smart Search'!C13=1,IFERROR(1/'Smart Search'!H13,0),0)</f>
        <v/>
      </c>
      <c r="Z148" s="64">
        <f>IF('Smart Search'!D13=1,IFERROR(1/'Smart Search'!H13,0),0)</f>
        <v/>
      </c>
      <c r="AA148" s="64">
        <f>IF('Smart Search'!D13=1,IFERROR(1/'Smart Search'!H13,0),0)</f>
        <v/>
      </c>
      <c r="AB148" s="64">
        <f>IF('Smart Search'!E13=1,IFERROR(1/'Smart Search'!H13,0),0)</f>
        <v/>
      </c>
      <c r="AC148" s="64">
        <f>IF('Smart Search'!E13=1,IFERROR(1/'Smart Search'!H13,0),0)</f>
        <v/>
      </c>
      <c r="AD148" s="64">
        <f>IF('Smart Search'!F13=1,IFERROR(1/'Smart Search'!H13,0),0)</f>
        <v/>
      </c>
      <c r="AE148" s="64">
        <f>IF('Smart Search'!F13=1,IFERROR(1/'Smart Search'!H13,0),0)</f>
        <v/>
      </c>
      <c r="AF148" s="64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4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4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4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4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4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4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4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4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4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4">
        <f>AF148*V148</f>
        <v/>
      </c>
      <c r="AQ148" s="64">
        <f>AG148*W148</f>
        <v/>
      </c>
      <c r="AR148" s="64">
        <f>AH148*X148</f>
        <v/>
      </c>
      <c r="AS148" s="64">
        <f>AI148*Y148</f>
        <v/>
      </c>
      <c r="AT148" s="64">
        <f>AJ148*Z148</f>
        <v/>
      </c>
      <c r="AU148" s="64">
        <f>AK148*AA148</f>
        <v/>
      </c>
      <c r="AV148" s="64">
        <f>AL148*AB148</f>
        <v/>
      </c>
      <c r="AW148" s="64">
        <f>AM148*AC148</f>
        <v/>
      </c>
      <c r="AX148" s="64">
        <f>AN148*AD148</f>
        <v/>
      </c>
      <c r="AY148" s="64">
        <f>AO148*AE148</f>
        <v/>
      </c>
      <c r="AZ148" s="64">
        <f>INDEX(Projects[Automation Equipment],147)&amp;""</f>
        <v/>
      </c>
      <c r="BA148" s="64">
        <f>IF(OR(A148="",'Smart Search'!H13=0),"",MAX(0,BE148*BF148*MAX(0,1-BG148)))</f>
        <v/>
      </c>
      <c r="BB148" s="64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4">
        <f>IF('Smart Search'!G13=1,IFERROR(1/'Smart Search'!H13,0),0)</f>
        <v/>
      </c>
      <c r="BD148" s="64">
        <f>BB148*BC148</f>
        <v/>
      </c>
      <c r="BE148" s="64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IF(A148="","",N(INDEX(Projects[Act Mech Inst],147)))</f>
        <v/>
      </c>
      <c r="BK148" s="5">
        <f>IF(A148="","",N(INDEX(Projects[Act Elec Inst],147)))</f>
        <v/>
      </c>
      <c r="BL148" s="5">
        <f>IF(A148="","",N(INDEX(Projects[Act Project Management],147)))</f>
        <v/>
      </c>
      <c r="BM148" s="5">
        <f>IF(A148="","",N(INDEX(Projects[Act Systems Eng],147)))</f>
        <v/>
      </c>
      <c r="BN148" s="5">
        <f>IF(A148="","",N(INDEX(Projects[Act Mechanical Eng],147)))</f>
        <v/>
      </c>
      <c r="BO148" s="5">
        <f>IF(A148="","",N(INDEX(Projects[Act Structural Engineering],147)))</f>
        <v/>
      </c>
      <c r="BP148" s="5">
        <f>IF(A148="","",N(INDEX(Projects[Act Site Sup],147)))</f>
        <v/>
      </c>
      <c r="BQ148" s="5">
        <f>IF(A148="","",N(INDEX(Projects[Act Controls Commissioning],147)))</f>
        <v/>
      </c>
      <c r="BR148" s="5">
        <f>IF(A148="","",N(INDEX(Projects[Act Systems Commissioning],147)))</f>
        <v/>
      </c>
      <c r="BS148" s="5">
        <f>IF(A148="","",N(INDEX(Projects[Act Service Commissioning],147)))</f>
        <v/>
      </c>
      <c r="BT148" s="5">
        <f>IF(A148="","",N(INDEX(Projects[Act Controls Eng],147)))</f>
        <v/>
      </c>
      <c r="BU148" s="5">
        <f>IF(A148="","",N(INDEX(Projects[Act Controls Purchase],147)))</f>
        <v/>
      </c>
      <c r="BV148" s="5">
        <f>IF(A148="","",N(INDEX(Projects[Act Software Eng],147)))</f>
        <v/>
      </c>
      <c r="BW148" s="5">
        <f>IF(A148="","",N(INDEX(Projects[Act 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INDEX(Projects[Sold Value (USD M)],147)</f>
        <v/>
      </c>
      <c r="CE148" s="5" t="n"/>
      <c r="CF148" s="5">
        <f>IF(A148="","",N(INDEX(Projects[Est Mech Inst],147)))</f>
        <v/>
      </c>
      <c r="CG148" s="5">
        <f>IF(A148="","",N(INDEX(Projects[Est Elec Inst],147)))</f>
        <v/>
      </c>
      <c r="CH148" s="5">
        <f>IF(A148="","",N(INDEX(Projects[Est Project Management],147)))</f>
        <v/>
      </c>
      <c r="CI148" s="5">
        <f>IF(A148="","",N(INDEX(Projects[Est Systems Eng],147)))</f>
        <v/>
      </c>
      <c r="CJ148" s="5">
        <f>IF(A148="","",N(INDEX(Projects[Est Mechanical Eng],147)))</f>
        <v/>
      </c>
      <c r="CK148" s="5">
        <f>IF(A148="","",N(INDEX(Projects[Est Structural Engineering],147)))</f>
        <v/>
      </c>
      <c r="CL148" s="5">
        <f>IF(A148="","",N(INDEX(Projects[Est Site Sup],147)))</f>
        <v/>
      </c>
      <c r="CM148" s="5">
        <f>IF(A148="","",N(INDEX(Projects[Est Controls Commissioning],147)))</f>
        <v/>
      </c>
      <c r="CN148" s="5">
        <f>IF(A148="","",N(INDEX(Projects[Est Systems Commissioning],147)))</f>
        <v/>
      </c>
      <c r="CO148" s="5">
        <f>IF(A148="","",N(INDEX(Projects[Est Service Commissioning],147)))</f>
        <v/>
      </c>
      <c r="CP148" s="5">
        <f>IF(A148="","",N(INDEX(Projects[Est Controls Eng],147)))</f>
        <v/>
      </c>
      <c r="CQ148" s="5">
        <f>IF(A148="","",N(INDEX(Projects[Est Controls Purchase],147)))</f>
        <v/>
      </c>
      <c r="CR148" s="5">
        <f>IF(A148="","",N(INDEX(Projects[Est Software Eng],147)))</f>
        <v/>
      </c>
      <c r="CS148" s="5">
        <f>IF(A148="","",N(INDEX(Projects[Est Misc],147)))</f>
        <v/>
      </c>
      <c r="CT148" s="5">
        <f>IF(A148="","",SUM(CF148:CS148))</f>
        <v/>
      </c>
      <c r="CU148" s="5">
        <f>INDEX(Projects[Est Cost (M)],147)</f>
        <v/>
      </c>
      <c r="CV148" s="5">
        <f>INDEX(Projects[Act Cost (M)],147)</f>
        <v/>
      </c>
      <c r="CW148" s="5">
        <f>INDEX(Projects[Plan Mech Eng (wks)],147)</f>
        <v/>
      </c>
      <c r="CX148" s="5">
        <f>INDEX(Projects[Plan Controls Eng (wks)],147)</f>
        <v/>
      </c>
      <c r="CY148" s="5">
        <f>INDEX(Projects[Plan Systems Eng (wks)],147)</f>
        <v/>
      </c>
      <c r="CZ148" s="5">
        <f>INDEX(Projects[Plan Software Eng (wks)],147)</f>
        <v/>
      </c>
      <c r="DA148" s="5">
        <f>INDEX(Projects[Plan M&amp;E Installation (wks)],147)</f>
        <v/>
      </c>
      <c r="DB148" s="5">
        <f>INDEX(Projects[Plan Commissioning (wks)],147)</f>
        <v/>
      </c>
      <c r="DC148" s="5">
        <f>INDEX(Projects[Plan Total (wks)],147)</f>
        <v/>
      </c>
      <c r="DD148" s="5">
        <f>INDEX(Projects[Act Mech Eng (wks)],147)</f>
        <v/>
      </c>
      <c r="DE148" s="5">
        <f>INDEX(Projects[Act Controls Eng (wks)],147)</f>
        <v/>
      </c>
      <c r="DF148" s="5">
        <f>INDEX(Projects[Act Systems Eng (wks)],147)</f>
        <v/>
      </c>
      <c r="DG148" s="5">
        <f>INDEX(Projects[Act Software Eng (wks)],147)</f>
        <v/>
      </c>
      <c r="DH148" s="5">
        <f>INDEX(Projects[Act M&amp;E Installation (wks)],147)</f>
        <v/>
      </c>
      <c r="DI148" s="5">
        <f>INDEX(Projects[Act Commissioning (wks)],147)</f>
        <v/>
      </c>
      <c r="DJ148" s="5">
        <f>INDEX(Projects[Act Total (wks)],147)</f>
        <v/>
      </c>
    </row>
    <row r="149" ht="15" customHeight="1" s="82">
      <c r="A149" s="64">
        <f>INDEX(Projects[Project ID *],148)&amp;""</f>
        <v/>
      </c>
      <c r="B149" s="64">
        <f>INDEX(Projects[Project Name *],148)&amp;""</f>
        <v/>
      </c>
      <c r="C149" s="64">
        <f>INDEX(Projects[MS Shuttles],148)</f>
        <v/>
      </c>
      <c r="D149" s="64">
        <f>INDEX(Projects[MS Tote Locations],148)</f>
        <v/>
      </c>
      <c r="E149" s="64">
        <f>INDEX(Projects[AS Robots],148)</f>
        <v/>
      </c>
      <c r="F149" s="64">
        <f>INDEX(Projects[AS Tote Locations],148)</f>
        <v/>
      </c>
      <c r="G149" s="64">
        <f>INDEX(Projects[PS Shuttles],148)</f>
        <v/>
      </c>
      <c r="H149" s="64">
        <f>INDEX(Projects[PS Pallet Locations],148)</f>
        <v/>
      </c>
      <c r="I149" s="64">
        <f>INDEX(Projects[SRM Cranes],148)</f>
        <v/>
      </c>
      <c r="J149" s="64">
        <f>INDEX(Projects[SRM Pallet Locations],148)</f>
        <v/>
      </c>
      <c r="K149" s="64">
        <f>INDEX(Projects[Case Conv (m)],148)</f>
        <v/>
      </c>
      <c r="L149" s="64">
        <f>INDEX(Projects[Pallet Conv (m)],148)</f>
        <v/>
      </c>
      <c r="M149" s="64">
        <f>IF(N(DJ149)&gt;0,DD149,CW149)</f>
        <v/>
      </c>
      <c r="N149" s="64">
        <f>IF(N(DJ149)&gt;0,DE149,CX149)</f>
        <v/>
      </c>
      <c r="O149" s="64">
        <f>IF(N(DJ149)&gt;0,DF149,CY149)</f>
        <v/>
      </c>
      <c r="P149" s="64">
        <f>IF(N(DJ149)&gt;0,DG149,CZ149)</f>
        <v/>
      </c>
      <c r="Q149" s="64">
        <f>IF(N(DJ149)&gt;0,DH149,DA149)</f>
        <v/>
      </c>
      <c r="R149" s="64">
        <f>IF(N(DJ149)&gt;0,DI149,DB149)</f>
        <v/>
      </c>
      <c r="S149" s="64">
        <f>IF(N(DJ149)&gt;0,DJ149,DC149)</f>
        <v/>
      </c>
      <c r="T149" s="64">
        <f>INDEX(Projects[Currency],148)&amp;""</f>
        <v/>
      </c>
      <c r="U149" s="65">
        <f>INDEX(Projects[Sold Value (M)],148)</f>
        <v/>
      </c>
      <c r="V149" s="64">
        <f>IF('Smart Search'!B13=1,IFERROR(1/'Smart Search'!H13,0),0)</f>
        <v/>
      </c>
      <c r="W149" s="64">
        <f>IF('Smart Search'!B13=1,IFERROR(1/'Smart Search'!H13,0),0)</f>
        <v/>
      </c>
      <c r="X149" s="64">
        <f>IF('Smart Search'!C13=1,IFERROR(1/'Smart Search'!H13,0),0)</f>
        <v/>
      </c>
      <c r="Y149" s="64">
        <f>IF('Smart Search'!C13=1,IFERROR(1/'Smart Search'!H13,0),0)</f>
        <v/>
      </c>
      <c r="Z149" s="64">
        <f>IF('Smart Search'!D13=1,IFERROR(1/'Smart Search'!H13,0),0)</f>
        <v/>
      </c>
      <c r="AA149" s="64">
        <f>IF('Smart Search'!D13=1,IFERROR(1/'Smart Search'!H13,0),0)</f>
        <v/>
      </c>
      <c r="AB149" s="64">
        <f>IF('Smart Search'!E13=1,IFERROR(1/'Smart Search'!H13,0),0)</f>
        <v/>
      </c>
      <c r="AC149" s="64">
        <f>IF('Smart Search'!E13=1,IFERROR(1/'Smart Search'!H13,0),0)</f>
        <v/>
      </c>
      <c r="AD149" s="64">
        <f>IF('Smart Search'!F13=1,IFERROR(1/'Smart Search'!H13,0),0)</f>
        <v/>
      </c>
      <c r="AE149" s="64">
        <f>IF('Smart Search'!F13=1,IFERROR(1/'Smart Search'!H13,0),0)</f>
        <v/>
      </c>
      <c r="AF149" s="64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4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4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4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4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4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4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4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4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4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4">
        <f>AF149*V149</f>
        <v/>
      </c>
      <c r="AQ149" s="64">
        <f>AG149*W149</f>
        <v/>
      </c>
      <c r="AR149" s="64">
        <f>AH149*X149</f>
        <v/>
      </c>
      <c r="AS149" s="64">
        <f>AI149*Y149</f>
        <v/>
      </c>
      <c r="AT149" s="64">
        <f>AJ149*Z149</f>
        <v/>
      </c>
      <c r="AU149" s="64">
        <f>AK149*AA149</f>
        <v/>
      </c>
      <c r="AV149" s="64">
        <f>AL149*AB149</f>
        <v/>
      </c>
      <c r="AW149" s="64">
        <f>AM149*AC149</f>
        <v/>
      </c>
      <c r="AX149" s="64">
        <f>AN149*AD149</f>
        <v/>
      </c>
      <c r="AY149" s="64">
        <f>AO149*AE149</f>
        <v/>
      </c>
      <c r="AZ149" s="64">
        <f>INDEX(Projects[Automation Equipment],148)&amp;""</f>
        <v/>
      </c>
      <c r="BA149" s="64">
        <f>IF(OR(A149="",'Smart Search'!H13=0),"",MAX(0,BE149*BF149*MAX(0,1-BG149)))</f>
        <v/>
      </c>
      <c r="BB149" s="64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4">
        <f>IF('Smart Search'!G13=1,IFERROR(1/'Smart Search'!H13,0),0)</f>
        <v/>
      </c>
      <c r="BD149" s="64">
        <f>BB149*BC149</f>
        <v/>
      </c>
      <c r="BE149" s="64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IF(A149="","",N(INDEX(Projects[Act Mech Inst],148)))</f>
        <v/>
      </c>
      <c r="BK149" s="5">
        <f>IF(A149="","",N(INDEX(Projects[Act Elec Inst],148)))</f>
        <v/>
      </c>
      <c r="BL149" s="5">
        <f>IF(A149="","",N(INDEX(Projects[Act Project Management],148)))</f>
        <v/>
      </c>
      <c r="BM149" s="5">
        <f>IF(A149="","",N(INDEX(Projects[Act Systems Eng],148)))</f>
        <v/>
      </c>
      <c r="BN149" s="5">
        <f>IF(A149="","",N(INDEX(Projects[Act Mechanical Eng],148)))</f>
        <v/>
      </c>
      <c r="BO149" s="5">
        <f>IF(A149="","",N(INDEX(Projects[Act Structural Engineering],148)))</f>
        <v/>
      </c>
      <c r="BP149" s="5">
        <f>IF(A149="","",N(INDEX(Projects[Act Site Sup],148)))</f>
        <v/>
      </c>
      <c r="BQ149" s="5">
        <f>IF(A149="","",N(INDEX(Projects[Act Controls Commissioning],148)))</f>
        <v/>
      </c>
      <c r="BR149" s="5">
        <f>IF(A149="","",N(INDEX(Projects[Act Systems Commissioning],148)))</f>
        <v/>
      </c>
      <c r="BS149" s="5">
        <f>IF(A149="","",N(INDEX(Projects[Act Service Commissioning],148)))</f>
        <v/>
      </c>
      <c r="BT149" s="5">
        <f>IF(A149="","",N(INDEX(Projects[Act Controls Eng],148)))</f>
        <v/>
      </c>
      <c r="BU149" s="5">
        <f>IF(A149="","",N(INDEX(Projects[Act Controls Purchase],148)))</f>
        <v/>
      </c>
      <c r="BV149" s="5">
        <f>IF(A149="","",N(INDEX(Projects[Act Software Eng],148)))</f>
        <v/>
      </c>
      <c r="BW149" s="5">
        <f>IF(A149="","",N(INDEX(Projects[Act 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INDEX(Projects[Sold Value (USD M)],148)</f>
        <v/>
      </c>
      <c r="CE149" s="5" t="n"/>
      <c r="CF149" s="5">
        <f>IF(A149="","",N(INDEX(Projects[Est Mech Inst],148)))</f>
        <v/>
      </c>
      <c r="CG149" s="5">
        <f>IF(A149="","",N(INDEX(Projects[Est Elec Inst],148)))</f>
        <v/>
      </c>
      <c r="CH149" s="5">
        <f>IF(A149="","",N(INDEX(Projects[Est Project Management],148)))</f>
        <v/>
      </c>
      <c r="CI149" s="5">
        <f>IF(A149="","",N(INDEX(Projects[Est Systems Eng],148)))</f>
        <v/>
      </c>
      <c r="CJ149" s="5">
        <f>IF(A149="","",N(INDEX(Projects[Est Mechanical Eng],148)))</f>
        <v/>
      </c>
      <c r="CK149" s="5">
        <f>IF(A149="","",N(INDEX(Projects[Est Structural Engineering],148)))</f>
        <v/>
      </c>
      <c r="CL149" s="5">
        <f>IF(A149="","",N(INDEX(Projects[Est Site Sup],148)))</f>
        <v/>
      </c>
      <c r="CM149" s="5">
        <f>IF(A149="","",N(INDEX(Projects[Est Controls Commissioning],148)))</f>
        <v/>
      </c>
      <c r="CN149" s="5">
        <f>IF(A149="","",N(INDEX(Projects[Est Systems Commissioning],148)))</f>
        <v/>
      </c>
      <c r="CO149" s="5">
        <f>IF(A149="","",N(INDEX(Projects[Est Service Commissioning],148)))</f>
        <v/>
      </c>
      <c r="CP149" s="5">
        <f>IF(A149="","",N(INDEX(Projects[Est Controls Eng],148)))</f>
        <v/>
      </c>
      <c r="CQ149" s="5">
        <f>IF(A149="","",N(INDEX(Projects[Est Controls Purchase],148)))</f>
        <v/>
      </c>
      <c r="CR149" s="5">
        <f>IF(A149="","",N(INDEX(Projects[Est Software Eng],148)))</f>
        <v/>
      </c>
      <c r="CS149" s="5">
        <f>IF(A149="","",N(INDEX(Projects[Est Misc],148)))</f>
        <v/>
      </c>
      <c r="CT149" s="5">
        <f>IF(A149="","",SUM(CF149:CS149))</f>
        <v/>
      </c>
      <c r="CU149" s="5">
        <f>INDEX(Projects[Est Cost (M)],148)</f>
        <v/>
      </c>
      <c r="CV149" s="5">
        <f>INDEX(Projects[Act Cost (M)],148)</f>
        <v/>
      </c>
      <c r="CW149" s="5">
        <f>INDEX(Projects[Plan Mech Eng (wks)],148)</f>
        <v/>
      </c>
      <c r="CX149" s="5">
        <f>INDEX(Projects[Plan Controls Eng (wks)],148)</f>
        <v/>
      </c>
      <c r="CY149" s="5">
        <f>INDEX(Projects[Plan Systems Eng (wks)],148)</f>
        <v/>
      </c>
      <c r="CZ149" s="5">
        <f>INDEX(Projects[Plan Software Eng (wks)],148)</f>
        <v/>
      </c>
      <c r="DA149" s="5">
        <f>INDEX(Projects[Plan M&amp;E Installation (wks)],148)</f>
        <v/>
      </c>
      <c r="DB149" s="5">
        <f>INDEX(Projects[Plan Commissioning (wks)],148)</f>
        <v/>
      </c>
      <c r="DC149" s="5">
        <f>INDEX(Projects[Plan Total (wks)],148)</f>
        <v/>
      </c>
      <c r="DD149" s="5">
        <f>INDEX(Projects[Act Mech Eng (wks)],148)</f>
        <v/>
      </c>
      <c r="DE149" s="5">
        <f>INDEX(Projects[Act Controls Eng (wks)],148)</f>
        <v/>
      </c>
      <c r="DF149" s="5">
        <f>INDEX(Projects[Act Systems Eng (wks)],148)</f>
        <v/>
      </c>
      <c r="DG149" s="5">
        <f>INDEX(Projects[Act Software Eng (wks)],148)</f>
        <v/>
      </c>
      <c r="DH149" s="5">
        <f>INDEX(Projects[Act M&amp;E Installation (wks)],148)</f>
        <v/>
      </c>
      <c r="DI149" s="5">
        <f>INDEX(Projects[Act Commissioning (wks)],148)</f>
        <v/>
      </c>
      <c r="DJ149" s="5">
        <f>INDEX(Projects[Act Total (wks)],148)</f>
        <v/>
      </c>
    </row>
    <row r="150" ht="15" customHeight="1" s="82">
      <c r="A150" s="64">
        <f>INDEX(Projects[Project ID *],149)&amp;""</f>
        <v/>
      </c>
      <c r="B150" s="64">
        <f>INDEX(Projects[Project Name *],149)&amp;""</f>
        <v/>
      </c>
      <c r="C150" s="64">
        <f>INDEX(Projects[MS Shuttles],149)</f>
        <v/>
      </c>
      <c r="D150" s="64">
        <f>INDEX(Projects[MS Tote Locations],149)</f>
        <v/>
      </c>
      <c r="E150" s="64">
        <f>INDEX(Projects[AS Robots],149)</f>
        <v/>
      </c>
      <c r="F150" s="64">
        <f>INDEX(Projects[AS Tote Locations],149)</f>
        <v/>
      </c>
      <c r="G150" s="64">
        <f>INDEX(Projects[PS Shuttles],149)</f>
        <v/>
      </c>
      <c r="H150" s="64">
        <f>INDEX(Projects[PS Pallet Locations],149)</f>
        <v/>
      </c>
      <c r="I150" s="64">
        <f>INDEX(Projects[SRM Cranes],149)</f>
        <v/>
      </c>
      <c r="J150" s="64">
        <f>INDEX(Projects[SRM Pallet Locations],149)</f>
        <v/>
      </c>
      <c r="K150" s="64">
        <f>INDEX(Projects[Case Conv (m)],149)</f>
        <v/>
      </c>
      <c r="L150" s="64">
        <f>INDEX(Projects[Pallet Conv (m)],149)</f>
        <v/>
      </c>
      <c r="M150" s="64">
        <f>IF(N(DJ150)&gt;0,DD150,CW150)</f>
        <v/>
      </c>
      <c r="N150" s="64">
        <f>IF(N(DJ150)&gt;0,DE150,CX150)</f>
        <v/>
      </c>
      <c r="O150" s="64">
        <f>IF(N(DJ150)&gt;0,DF150,CY150)</f>
        <v/>
      </c>
      <c r="P150" s="64">
        <f>IF(N(DJ150)&gt;0,DG150,CZ150)</f>
        <v/>
      </c>
      <c r="Q150" s="64">
        <f>IF(N(DJ150)&gt;0,DH150,DA150)</f>
        <v/>
      </c>
      <c r="R150" s="64">
        <f>IF(N(DJ150)&gt;0,DI150,DB150)</f>
        <v/>
      </c>
      <c r="S150" s="64">
        <f>IF(N(DJ150)&gt;0,DJ150,DC150)</f>
        <v/>
      </c>
      <c r="T150" s="64">
        <f>INDEX(Projects[Currency],149)&amp;""</f>
        <v/>
      </c>
      <c r="U150" s="65">
        <f>INDEX(Projects[Sold Value (M)],149)</f>
        <v/>
      </c>
      <c r="V150" s="64">
        <f>IF('Smart Search'!B13=1,IFERROR(1/'Smart Search'!H13,0),0)</f>
        <v/>
      </c>
      <c r="W150" s="64">
        <f>IF('Smart Search'!B13=1,IFERROR(1/'Smart Search'!H13,0),0)</f>
        <v/>
      </c>
      <c r="X150" s="64">
        <f>IF('Smart Search'!C13=1,IFERROR(1/'Smart Search'!H13,0),0)</f>
        <v/>
      </c>
      <c r="Y150" s="64">
        <f>IF('Smart Search'!C13=1,IFERROR(1/'Smart Search'!H13,0),0)</f>
        <v/>
      </c>
      <c r="Z150" s="64">
        <f>IF('Smart Search'!D13=1,IFERROR(1/'Smart Search'!H13,0),0)</f>
        <v/>
      </c>
      <c r="AA150" s="64">
        <f>IF('Smart Search'!D13=1,IFERROR(1/'Smart Search'!H13,0),0)</f>
        <v/>
      </c>
      <c r="AB150" s="64">
        <f>IF('Smart Search'!E13=1,IFERROR(1/'Smart Search'!H13,0),0)</f>
        <v/>
      </c>
      <c r="AC150" s="64">
        <f>IF('Smart Search'!E13=1,IFERROR(1/'Smart Search'!H13,0),0)</f>
        <v/>
      </c>
      <c r="AD150" s="64">
        <f>IF('Smart Search'!F13=1,IFERROR(1/'Smart Search'!H13,0),0)</f>
        <v/>
      </c>
      <c r="AE150" s="64">
        <f>IF('Smart Search'!F13=1,IFERROR(1/'Smart Search'!H13,0),0)</f>
        <v/>
      </c>
      <c r="AF150" s="64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4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4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4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4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4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4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4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4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4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4">
        <f>AF150*V150</f>
        <v/>
      </c>
      <c r="AQ150" s="64">
        <f>AG150*W150</f>
        <v/>
      </c>
      <c r="AR150" s="64">
        <f>AH150*X150</f>
        <v/>
      </c>
      <c r="AS150" s="64">
        <f>AI150*Y150</f>
        <v/>
      </c>
      <c r="AT150" s="64">
        <f>AJ150*Z150</f>
        <v/>
      </c>
      <c r="AU150" s="64">
        <f>AK150*AA150</f>
        <v/>
      </c>
      <c r="AV150" s="64">
        <f>AL150*AB150</f>
        <v/>
      </c>
      <c r="AW150" s="64">
        <f>AM150*AC150</f>
        <v/>
      </c>
      <c r="AX150" s="64">
        <f>AN150*AD150</f>
        <v/>
      </c>
      <c r="AY150" s="64">
        <f>AO150*AE150</f>
        <v/>
      </c>
      <c r="AZ150" s="64">
        <f>INDEX(Projects[Automation Equipment],149)&amp;""</f>
        <v/>
      </c>
      <c r="BA150" s="64">
        <f>IF(OR(A150="",'Smart Search'!H13=0),"",MAX(0,BE150*BF150*MAX(0,1-BG150)))</f>
        <v/>
      </c>
      <c r="BB150" s="64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4">
        <f>IF('Smart Search'!G13=1,IFERROR(1/'Smart Search'!H13,0),0)</f>
        <v/>
      </c>
      <c r="BD150" s="64">
        <f>BB150*BC150</f>
        <v/>
      </c>
      <c r="BE150" s="64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IF(A150="","",N(INDEX(Projects[Act Mech Inst],149)))</f>
        <v/>
      </c>
      <c r="BK150" s="5">
        <f>IF(A150="","",N(INDEX(Projects[Act Elec Inst],149)))</f>
        <v/>
      </c>
      <c r="BL150" s="5">
        <f>IF(A150="","",N(INDEX(Projects[Act Project Management],149)))</f>
        <v/>
      </c>
      <c r="BM150" s="5">
        <f>IF(A150="","",N(INDEX(Projects[Act Systems Eng],149)))</f>
        <v/>
      </c>
      <c r="BN150" s="5">
        <f>IF(A150="","",N(INDEX(Projects[Act Mechanical Eng],149)))</f>
        <v/>
      </c>
      <c r="BO150" s="5">
        <f>IF(A150="","",N(INDEX(Projects[Act Structural Engineering],149)))</f>
        <v/>
      </c>
      <c r="BP150" s="5">
        <f>IF(A150="","",N(INDEX(Projects[Act Site Sup],149)))</f>
        <v/>
      </c>
      <c r="BQ150" s="5">
        <f>IF(A150="","",N(INDEX(Projects[Act Controls Commissioning],149)))</f>
        <v/>
      </c>
      <c r="BR150" s="5">
        <f>IF(A150="","",N(INDEX(Projects[Act Systems Commissioning],149)))</f>
        <v/>
      </c>
      <c r="BS150" s="5">
        <f>IF(A150="","",N(INDEX(Projects[Act Service Commissioning],149)))</f>
        <v/>
      </c>
      <c r="BT150" s="5">
        <f>IF(A150="","",N(INDEX(Projects[Act Controls Eng],149)))</f>
        <v/>
      </c>
      <c r="BU150" s="5">
        <f>IF(A150="","",N(INDEX(Projects[Act Controls Purchase],149)))</f>
        <v/>
      </c>
      <c r="BV150" s="5">
        <f>IF(A150="","",N(INDEX(Projects[Act Software Eng],149)))</f>
        <v/>
      </c>
      <c r="BW150" s="5">
        <f>IF(A150="","",N(INDEX(Projects[Act 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INDEX(Projects[Sold Value (USD M)],149)</f>
        <v/>
      </c>
      <c r="CE150" s="5" t="n"/>
      <c r="CF150" s="5">
        <f>IF(A150="","",N(INDEX(Projects[Est Mech Inst],149)))</f>
        <v/>
      </c>
      <c r="CG150" s="5">
        <f>IF(A150="","",N(INDEX(Projects[Est Elec Inst],149)))</f>
        <v/>
      </c>
      <c r="CH150" s="5">
        <f>IF(A150="","",N(INDEX(Projects[Est Project Management],149)))</f>
        <v/>
      </c>
      <c r="CI150" s="5">
        <f>IF(A150="","",N(INDEX(Projects[Est Systems Eng],149)))</f>
        <v/>
      </c>
      <c r="CJ150" s="5">
        <f>IF(A150="","",N(INDEX(Projects[Est Mechanical Eng],149)))</f>
        <v/>
      </c>
      <c r="CK150" s="5">
        <f>IF(A150="","",N(INDEX(Projects[Est Structural Engineering],149)))</f>
        <v/>
      </c>
      <c r="CL150" s="5">
        <f>IF(A150="","",N(INDEX(Projects[Est Site Sup],149)))</f>
        <v/>
      </c>
      <c r="CM150" s="5">
        <f>IF(A150="","",N(INDEX(Projects[Est Controls Commissioning],149)))</f>
        <v/>
      </c>
      <c r="CN150" s="5">
        <f>IF(A150="","",N(INDEX(Projects[Est Systems Commissioning],149)))</f>
        <v/>
      </c>
      <c r="CO150" s="5">
        <f>IF(A150="","",N(INDEX(Projects[Est Service Commissioning],149)))</f>
        <v/>
      </c>
      <c r="CP150" s="5">
        <f>IF(A150="","",N(INDEX(Projects[Est Controls Eng],149)))</f>
        <v/>
      </c>
      <c r="CQ150" s="5">
        <f>IF(A150="","",N(INDEX(Projects[Est Controls Purchase],149)))</f>
        <v/>
      </c>
      <c r="CR150" s="5">
        <f>IF(A150="","",N(INDEX(Projects[Est Software Eng],149)))</f>
        <v/>
      </c>
      <c r="CS150" s="5">
        <f>IF(A150="","",N(INDEX(Projects[Est Misc],149)))</f>
        <v/>
      </c>
      <c r="CT150" s="5">
        <f>IF(A150="","",SUM(CF150:CS150))</f>
        <v/>
      </c>
      <c r="CU150" s="5">
        <f>INDEX(Projects[Est Cost (M)],149)</f>
        <v/>
      </c>
      <c r="CV150" s="5">
        <f>INDEX(Projects[Act Cost (M)],149)</f>
        <v/>
      </c>
      <c r="CW150" s="5">
        <f>INDEX(Projects[Plan Mech Eng (wks)],149)</f>
        <v/>
      </c>
      <c r="CX150" s="5">
        <f>INDEX(Projects[Plan Controls Eng (wks)],149)</f>
        <v/>
      </c>
      <c r="CY150" s="5">
        <f>INDEX(Projects[Plan Systems Eng (wks)],149)</f>
        <v/>
      </c>
      <c r="CZ150" s="5">
        <f>INDEX(Projects[Plan Software Eng (wks)],149)</f>
        <v/>
      </c>
      <c r="DA150" s="5">
        <f>INDEX(Projects[Plan M&amp;E Installation (wks)],149)</f>
        <v/>
      </c>
      <c r="DB150" s="5">
        <f>INDEX(Projects[Plan Commissioning (wks)],149)</f>
        <v/>
      </c>
      <c r="DC150" s="5">
        <f>INDEX(Projects[Plan Total (wks)],149)</f>
        <v/>
      </c>
      <c r="DD150" s="5">
        <f>INDEX(Projects[Act Mech Eng (wks)],149)</f>
        <v/>
      </c>
      <c r="DE150" s="5">
        <f>INDEX(Projects[Act Controls Eng (wks)],149)</f>
        <v/>
      </c>
      <c r="DF150" s="5">
        <f>INDEX(Projects[Act Systems Eng (wks)],149)</f>
        <v/>
      </c>
      <c r="DG150" s="5">
        <f>INDEX(Projects[Act Software Eng (wks)],149)</f>
        <v/>
      </c>
      <c r="DH150" s="5">
        <f>INDEX(Projects[Act M&amp;E Installation (wks)],149)</f>
        <v/>
      </c>
      <c r="DI150" s="5">
        <f>INDEX(Projects[Act Commissioning (wks)],149)</f>
        <v/>
      </c>
      <c r="DJ150" s="5">
        <f>INDEX(Projects[Act Total (wks)],149)</f>
        <v/>
      </c>
    </row>
    <row r="151" ht="15" customHeight="1" s="82">
      <c r="A151" s="64">
        <f>INDEX(Projects[Project ID *],150)&amp;""</f>
        <v/>
      </c>
      <c r="B151" s="64">
        <f>INDEX(Projects[Project Name *],150)&amp;""</f>
        <v/>
      </c>
      <c r="C151" s="64">
        <f>INDEX(Projects[MS Shuttles],150)</f>
        <v/>
      </c>
      <c r="D151" s="64">
        <f>INDEX(Projects[MS Tote Locations],150)</f>
        <v/>
      </c>
      <c r="E151" s="64">
        <f>INDEX(Projects[AS Robots],150)</f>
        <v/>
      </c>
      <c r="F151" s="64">
        <f>INDEX(Projects[AS Tote Locations],150)</f>
        <v/>
      </c>
      <c r="G151" s="64">
        <f>INDEX(Projects[PS Shuttles],150)</f>
        <v/>
      </c>
      <c r="H151" s="64">
        <f>INDEX(Projects[PS Pallet Locations],150)</f>
        <v/>
      </c>
      <c r="I151" s="64">
        <f>INDEX(Projects[SRM Cranes],150)</f>
        <v/>
      </c>
      <c r="J151" s="64">
        <f>INDEX(Projects[SRM Pallet Locations],150)</f>
        <v/>
      </c>
      <c r="K151" s="64">
        <f>INDEX(Projects[Case Conv (m)],150)</f>
        <v/>
      </c>
      <c r="L151" s="64">
        <f>INDEX(Projects[Pallet Conv (m)],150)</f>
        <v/>
      </c>
      <c r="M151" s="64">
        <f>IF(N(DJ151)&gt;0,DD151,CW151)</f>
        <v/>
      </c>
      <c r="N151" s="64">
        <f>IF(N(DJ151)&gt;0,DE151,CX151)</f>
        <v/>
      </c>
      <c r="O151" s="64">
        <f>IF(N(DJ151)&gt;0,DF151,CY151)</f>
        <v/>
      </c>
      <c r="P151" s="64">
        <f>IF(N(DJ151)&gt;0,DG151,CZ151)</f>
        <v/>
      </c>
      <c r="Q151" s="64">
        <f>IF(N(DJ151)&gt;0,DH151,DA151)</f>
        <v/>
      </c>
      <c r="R151" s="64">
        <f>IF(N(DJ151)&gt;0,DI151,DB151)</f>
        <v/>
      </c>
      <c r="S151" s="64">
        <f>IF(N(DJ151)&gt;0,DJ151,DC151)</f>
        <v/>
      </c>
      <c r="T151" s="64">
        <f>INDEX(Projects[Currency],150)&amp;""</f>
        <v/>
      </c>
      <c r="U151" s="65">
        <f>INDEX(Projects[Sold Value (M)],150)</f>
        <v/>
      </c>
      <c r="V151" s="64">
        <f>IF('Smart Search'!B13=1,IFERROR(1/'Smart Search'!H13,0),0)</f>
        <v/>
      </c>
      <c r="W151" s="64">
        <f>IF('Smart Search'!B13=1,IFERROR(1/'Smart Search'!H13,0),0)</f>
        <v/>
      </c>
      <c r="X151" s="64">
        <f>IF('Smart Search'!C13=1,IFERROR(1/'Smart Search'!H13,0),0)</f>
        <v/>
      </c>
      <c r="Y151" s="64">
        <f>IF('Smart Search'!C13=1,IFERROR(1/'Smart Search'!H13,0),0)</f>
        <v/>
      </c>
      <c r="Z151" s="64">
        <f>IF('Smart Search'!D13=1,IFERROR(1/'Smart Search'!H13,0),0)</f>
        <v/>
      </c>
      <c r="AA151" s="64">
        <f>IF('Smart Search'!D13=1,IFERROR(1/'Smart Search'!H13,0),0)</f>
        <v/>
      </c>
      <c r="AB151" s="64">
        <f>IF('Smart Search'!E13=1,IFERROR(1/'Smart Search'!H13,0),0)</f>
        <v/>
      </c>
      <c r="AC151" s="64">
        <f>IF('Smart Search'!E13=1,IFERROR(1/'Smart Search'!H13,0),0)</f>
        <v/>
      </c>
      <c r="AD151" s="64">
        <f>IF('Smart Search'!F13=1,IFERROR(1/'Smart Search'!H13,0),0)</f>
        <v/>
      </c>
      <c r="AE151" s="64">
        <f>IF('Smart Search'!F13=1,IFERROR(1/'Smart Search'!H13,0),0)</f>
        <v/>
      </c>
      <c r="AF151" s="64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4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4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4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4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4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4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4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4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4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4">
        <f>AF151*V151</f>
        <v/>
      </c>
      <c r="AQ151" s="64">
        <f>AG151*W151</f>
        <v/>
      </c>
      <c r="AR151" s="64">
        <f>AH151*X151</f>
        <v/>
      </c>
      <c r="AS151" s="64">
        <f>AI151*Y151</f>
        <v/>
      </c>
      <c r="AT151" s="64">
        <f>AJ151*Z151</f>
        <v/>
      </c>
      <c r="AU151" s="64">
        <f>AK151*AA151</f>
        <v/>
      </c>
      <c r="AV151" s="64">
        <f>AL151*AB151</f>
        <v/>
      </c>
      <c r="AW151" s="64">
        <f>AM151*AC151</f>
        <v/>
      </c>
      <c r="AX151" s="64">
        <f>AN151*AD151</f>
        <v/>
      </c>
      <c r="AY151" s="64">
        <f>AO151*AE151</f>
        <v/>
      </c>
      <c r="AZ151" s="64">
        <f>INDEX(Projects[Automation Equipment],150)&amp;""</f>
        <v/>
      </c>
      <c r="BA151" s="64">
        <f>IF(OR(A151="",'Smart Search'!H13=0),"",MAX(0,BE151*BF151*MAX(0,1-BG151)))</f>
        <v/>
      </c>
      <c r="BB151" s="64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4">
        <f>IF('Smart Search'!G13=1,IFERROR(1/'Smart Search'!H13,0),0)</f>
        <v/>
      </c>
      <c r="BD151" s="64">
        <f>BB151*BC151</f>
        <v/>
      </c>
      <c r="BE151" s="64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IF(A151="","",N(INDEX(Projects[Act Mech Inst],150)))</f>
        <v/>
      </c>
      <c r="BK151" s="5">
        <f>IF(A151="","",N(INDEX(Projects[Act Elec Inst],150)))</f>
        <v/>
      </c>
      <c r="BL151" s="5">
        <f>IF(A151="","",N(INDEX(Projects[Act Project Management],150)))</f>
        <v/>
      </c>
      <c r="BM151" s="5">
        <f>IF(A151="","",N(INDEX(Projects[Act Systems Eng],150)))</f>
        <v/>
      </c>
      <c r="BN151" s="5">
        <f>IF(A151="","",N(INDEX(Projects[Act Mechanical Eng],150)))</f>
        <v/>
      </c>
      <c r="BO151" s="5">
        <f>IF(A151="","",N(INDEX(Projects[Act Structural Engineering],150)))</f>
        <v/>
      </c>
      <c r="BP151" s="5">
        <f>IF(A151="","",N(INDEX(Projects[Act Site Sup],150)))</f>
        <v/>
      </c>
      <c r="BQ151" s="5">
        <f>IF(A151="","",N(INDEX(Projects[Act Controls Commissioning],150)))</f>
        <v/>
      </c>
      <c r="BR151" s="5">
        <f>IF(A151="","",N(INDEX(Projects[Act Systems Commissioning],150)))</f>
        <v/>
      </c>
      <c r="BS151" s="5">
        <f>IF(A151="","",N(INDEX(Projects[Act Service Commissioning],150)))</f>
        <v/>
      </c>
      <c r="BT151" s="5">
        <f>IF(A151="","",N(INDEX(Projects[Act Controls Eng],150)))</f>
        <v/>
      </c>
      <c r="BU151" s="5">
        <f>IF(A151="","",N(INDEX(Projects[Act Controls Purchase],150)))</f>
        <v/>
      </c>
      <c r="BV151" s="5">
        <f>IF(A151="","",N(INDEX(Projects[Act Software Eng],150)))</f>
        <v/>
      </c>
      <c r="BW151" s="5">
        <f>IF(A151="","",N(INDEX(Projects[Act 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INDEX(Projects[Sold Value (USD M)],150)</f>
        <v/>
      </c>
      <c r="CE151" s="5" t="n"/>
      <c r="CF151" s="5">
        <f>IF(A151="","",N(INDEX(Projects[Est Mech Inst],150)))</f>
        <v/>
      </c>
      <c r="CG151" s="5">
        <f>IF(A151="","",N(INDEX(Projects[Est Elec Inst],150)))</f>
        <v/>
      </c>
      <c r="CH151" s="5">
        <f>IF(A151="","",N(INDEX(Projects[Est Project Management],150)))</f>
        <v/>
      </c>
      <c r="CI151" s="5">
        <f>IF(A151="","",N(INDEX(Projects[Est Systems Eng],150)))</f>
        <v/>
      </c>
      <c r="CJ151" s="5">
        <f>IF(A151="","",N(INDEX(Projects[Est Mechanical Eng],150)))</f>
        <v/>
      </c>
      <c r="CK151" s="5">
        <f>IF(A151="","",N(INDEX(Projects[Est Structural Engineering],150)))</f>
        <v/>
      </c>
      <c r="CL151" s="5">
        <f>IF(A151="","",N(INDEX(Projects[Est Site Sup],150)))</f>
        <v/>
      </c>
      <c r="CM151" s="5">
        <f>IF(A151="","",N(INDEX(Projects[Est Controls Commissioning],150)))</f>
        <v/>
      </c>
      <c r="CN151" s="5">
        <f>IF(A151="","",N(INDEX(Projects[Est Systems Commissioning],150)))</f>
        <v/>
      </c>
      <c r="CO151" s="5">
        <f>IF(A151="","",N(INDEX(Projects[Est Service Commissioning],150)))</f>
        <v/>
      </c>
      <c r="CP151" s="5">
        <f>IF(A151="","",N(INDEX(Projects[Est Controls Eng],150)))</f>
        <v/>
      </c>
      <c r="CQ151" s="5">
        <f>IF(A151="","",N(INDEX(Projects[Est Controls Purchase],150)))</f>
        <v/>
      </c>
      <c r="CR151" s="5">
        <f>IF(A151="","",N(INDEX(Projects[Est Software Eng],150)))</f>
        <v/>
      </c>
      <c r="CS151" s="5">
        <f>IF(A151="","",N(INDEX(Projects[Est Misc],150)))</f>
        <v/>
      </c>
      <c r="CT151" s="5">
        <f>IF(A151="","",SUM(CF151:CS151))</f>
        <v/>
      </c>
      <c r="CU151" s="5">
        <f>INDEX(Projects[Est Cost (M)],150)</f>
        <v/>
      </c>
      <c r="CV151" s="5">
        <f>INDEX(Projects[Act Cost (M)],150)</f>
        <v/>
      </c>
      <c r="CW151" s="5">
        <f>INDEX(Projects[Plan Mech Eng (wks)],150)</f>
        <v/>
      </c>
      <c r="CX151" s="5">
        <f>INDEX(Projects[Plan Controls Eng (wks)],150)</f>
        <v/>
      </c>
      <c r="CY151" s="5">
        <f>INDEX(Projects[Plan Systems Eng (wks)],150)</f>
        <v/>
      </c>
      <c r="CZ151" s="5">
        <f>INDEX(Projects[Plan Software Eng (wks)],150)</f>
        <v/>
      </c>
      <c r="DA151" s="5">
        <f>INDEX(Projects[Plan M&amp;E Installation (wks)],150)</f>
        <v/>
      </c>
      <c r="DB151" s="5">
        <f>INDEX(Projects[Plan Commissioning (wks)],150)</f>
        <v/>
      </c>
      <c r="DC151" s="5">
        <f>INDEX(Projects[Plan Total (wks)],150)</f>
        <v/>
      </c>
      <c r="DD151" s="5">
        <f>INDEX(Projects[Act Mech Eng (wks)],150)</f>
        <v/>
      </c>
      <c r="DE151" s="5">
        <f>INDEX(Projects[Act Controls Eng (wks)],150)</f>
        <v/>
      </c>
      <c r="DF151" s="5">
        <f>INDEX(Projects[Act Systems Eng (wks)],150)</f>
        <v/>
      </c>
      <c r="DG151" s="5">
        <f>INDEX(Projects[Act Software Eng (wks)],150)</f>
        <v/>
      </c>
      <c r="DH151" s="5">
        <f>INDEX(Projects[Act M&amp;E Installation (wks)],150)</f>
        <v/>
      </c>
      <c r="DI151" s="5">
        <f>INDEX(Projects[Act Commissioning (wks)],150)</f>
        <v/>
      </c>
      <c r="DJ151" s="5">
        <f>INDEX(Projects[Act Total (wks)],150)</f>
        <v/>
      </c>
    </row>
    <row r="152" ht="15" customHeight="1" s="82">
      <c r="A152" s="64">
        <f>INDEX(Projects[Project ID *],151)&amp;""</f>
        <v/>
      </c>
      <c r="B152" s="64">
        <f>INDEX(Projects[Project Name *],151)&amp;""</f>
        <v/>
      </c>
      <c r="C152" s="64">
        <f>INDEX(Projects[MS Shuttles],151)</f>
        <v/>
      </c>
      <c r="D152" s="64">
        <f>INDEX(Projects[MS Tote Locations],151)</f>
        <v/>
      </c>
      <c r="E152" s="64">
        <f>INDEX(Projects[AS Robots],151)</f>
        <v/>
      </c>
      <c r="F152" s="64">
        <f>INDEX(Projects[AS Tote Locations],151)</f>
        <v/>
      </c>
      <c r="G152" s="64">
        <f>INDEX(Projects[PS Shuttles],151)</f>
        <v/>
      </c>
      <c r="H152" s="64">
        <f>INDEX(Projects[PS Pallet Locations],151)</f>
        <v/>
      </c>
      <c r="I152" s="64">
        <f>INDEX(Projects[SRM Cranes],151)</f>
        <v/>
      </c>
      <c r="J152" s="64">
        <f>INDEX(Projects[SRM Pallet Locations],151)</f>
        <v/>
      </c>
      <c r="K152" s="64">
        <f>INDEX(Projects[Case Conv (m)],151)</f>
        <v/>
      </c>
      <c r="L152" s="64">
        <f>INDEX(Projects[Pallet Conv (m)],151)</f>
        <v/>
      </c>
      <c r="M152" s="64">
        <f>IF(N(DJ152)&gt;0,DD152,CW152)</f>
        <v/>
      </c>
      <c r="N152" s="64">
        <f>IF(N(DJ152)&gt;0,DE152,CX152)</f>
        <v/>
      </c>
      <c r="O152" s="64">
        <f>IF(N(DJ152)&gt;0,DF152,CY152)</f>
        <v/>
      </c>
      <c r="P152" s="64">
        <f>IF(N(DJ152)&gt;0,DG152,CZ152)</f>
        <v/>
      </c>
      <c r="Q152" s="64">
        <f>IF(N(DJ152)&gt;0,DH152,DA152)</f>
        <v/>
      </c>
      <c r="R152" s="64">
        <f>IF(N(DJ152)&gt;0,DI152,DB152)</f>
        <v/>
      </c>
      <c r="S152" s="64">
        <f>IF(N(DJ152)&gt;0,DJ152,DC152)</f>
        <v/>
      </c>
      <c r="T152" s="64">
        <f>INDEX(Projects[Currency],151)&amp;""</f>
        <v/>
      </c>
      <c r="U152" s="65">
        <f>INDEX(Projects[Sold Value (M)],151)</f>
        <v/>
      </c>
      <c r="V152" s="64">
        <f>IF('Smart Search'!B13=1,IFERROR(1/'Smart Search'!H13,0),0)</f>
        <v/>
      </c>
      <c r="W152" s="64">
        <f>IF('Smart Search'!B13=1,IFERROR(1/'Smart Search'!H13,0),0)</f>
        <v/>
      </c>
      <c r="X152" s="64">
        <f>IF('Smart Search'!C13=1,IFERROR(1/'Smart Search'!H13,0),0)</f>
        <v/>
      </c>
      <c r="Y152" s="64">
        <f>IF('Smart Search'!C13=1,IFERROR(1/'Smart Search'!H13,0),0)</f>
        <v/>
      </c>
      <c r="Z152" s="64">
        <f>IF('Smart Search'!D13=1,IFERROR(1/'Smart Search'!H13,0),0)</f>
        <v/>
      </c>
      <c r="AA152" s="64">
        <f>IF('Smart Search'!D13=1,IFERROR(1/'Smart Search'!H13,0),0)</f>
        <v/>
      </c>
      <c r="AB152" s="64">
        <f>IF('Smart Search'!E13=1,IFERROR(1/'Smart Search'!H13,0),0)</f>
        <v/>
      </c>
      <c r="AC152" s="64">
        <f>IF('Smart Search'!E13=1,IFERROR(1/'Smart Search'!H13,0),0)</f>
        <v/>
      </c>
      <c r="AD152" s="64">
        <f>IF('Smart Search'!F13=1,IFERROR(1/'Smart Search'!H13,0),0)</f>
        <v/>
      </c>
      <c r="AE152" s="64">
        <f>IF('Smart Search'!F13=1,IFERROR(1/'Smart Search'!H13,0),0)</f>
        <v/>
      </c>
      <c r="AF152" s="64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4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4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4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4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4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4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4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4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4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4">
        <f>AF152*V152</f>
        <v/>
      </c>
      <c r="AQ152" s="64">
        <f>AG152*W152</f>
        <v/>
      </c>
      <c r="AR152" s="64">
        <f>AH152*X152</f>
        <v/>
      </c>
      <c r="AS152" s="64">
        <f>AI152*Y152</f>
        <v/>
      </c>
      <c r="AT152" s="64">
        <f>AJ152*Z152</f>
        <v/>
      </c>
      <c r="AU152" s="64">
        <f>AK152*AA152</f>
        <v/>
      </c>
      <c r="AV152" s="64">
        <f>AL152*AB152</f>
        <v/>
      </c>
      <c r="AW152" s="64">
        <f>AM152*AC152</f>
        <v/>
      </c>
      <c r="AX152" s="64">
        <f>AN152*AD152</f>
        <v/>
      </c>
      <c r="AY152" s="64">
        <f>AO152*AE152</f>
        <v/>
      </c>
      <c r="AZ152" s="64">
        <f>INDEX(Projects[Automation Equipment],151)&amp;""</f>
        <v/>
      </c>
      <c r="BA152" s="64">
        <f>IF(OR(A152="",'Smart Search'!H13=0),"",MAX(0,BE152*BF152*MAX(0,1-BG152)))</f>
        <v/>
      </c>
      <c r="BB152" s="64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4">
        <f>IF('Smart Search'!G13=1,IFERROR(1/'Smart Search'!H13,0),0)</f>
        <v/>
      </c>
      <c r="BD152" s="64">
        <f>BB152*BC152</f>
        <v/>
      </c>
      <c r="BE152" s="64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IF(A152="","",N(INDEX(Projects[Act Mech Inst],151)))</f>
        <v/>
      </c>
      <c r="BK152" s="5">
        <f>IF(A152="","",N(INDEX(Projects[Act Elec Inst],151)))</f>
        <v/>
      </c>
      <c r="BL152" s="5">
        <f>IF(A152="","",N(INDEX(Projects[Act Project Management],151)))</f>
        <v/>
      </c>
      <c r="BM152" s="5">
        <f>IF(A152="","",N(INDEX(Projects[Act Systems Eng],151)))</f>
        <v/>
      </c>
      <c r="BN152" s="5">
        <f>IF(A152="","",N(INDEX(Projects[Act Mechanical Eng],151)))</f>
        <v/>
      </c>
      <c r="BO152" s="5">
        <f>IF(A152="","",N(INDEX(Projects[Act Structural Engineering],151)))</f>
        <v/>
      </c>
      <c r="BP152" s="5">
        <f>IF(A152="","",N(INDEX(Projects[Act Site Sup],151)))</f>
        <v/>
      </c>
      <c r="BQ152" s="5">
        <f>IF(A152="","",N(INDEX(Projects[Act Controls Commissioning],151)))</f>
        <v/>
      </c>
      <c r="BR152" s="5">
        <f>IF(A152="","",N(INDEX(Projects[Act Systems Commissioning],151)))</f>
        <v/>
      </c>
      <c r="BS152" s="5">
        <f>IF(A152="","",N(INDEX(Projects[Act Service Commissioning],151)))</f>
        <v/>
      </c>
      <c r="BT152" s="5">
        <f>IF(A152="","",N(INDEX(Projects[Act Controls Eng],151)))</f>
        <v/>
      </c>
      <c r="BU152" s="5">
        <f>IF(A152="","",N(INDEX(Projects[Act Controls Purchase],151)))</f>
        <v/>
      </c>
      <c r="BV152" s="5">
        <f>IF(A152="","",N(INDEX(Projects[Act Software Eng],151)))</f>
        <v/>
      </c>
      <c r="BW152" s="5">
        <f>IF(A152="","",N(INDEX(Projects[Act 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INDEX(Projects[Sold Value (USD M)],151)</f>
        <v/>
      </c>
      <c r="CE152" s="5" t="n"/>
      <c r="CF152" s="5">
        <f>IF(A152="","",N(INDEX(Projects[Est Mech Inst],151)))</f>
        <v/>
      </c>
      <c r="CG152" s="5">
        <f>IF(A152="","",N(INDEX(Projects[Est Elec Inst],151)))</f>
        <v/>
      </c>
      <c r="CH152" s="5">
        <f>IF(A152="","",N(INDEX(Projects[Est Project Management],151)))</f>
        <v/>
      </c>
      <c r="CI152" s="5">
        <f>IF(A152="","",N(INDEX(Projects[Est Systems Eng],151)))</f>
        <v/>
      </c>
      <c r="CJ152" s="5">
        <f>IF(A152="","",N(INDEX(Projects[Est Mechanical Eng],151)))</f>
        <v/>
      </c>
      <c r="CK152" s="5">
        <f>IF(A152="","",N(INDEX(Projects[Est Structural Engineering],151)))</f>
        <v/>
      </c>
      <c r="CL152" s="5">
        <f>IF(A152="","",N(INDEX(Projects[Est Site Sup],151)))</f>
        <v/>
      </c>
      <c r="CM152" s="5">
        <f>IF(A152="","",N(INDEX(Projects[Est Controls Commissioning],151)))</f>
        <v/>
      </c>
      <c r="CN152" s="5">
        <f>IF(A152="","",N(INDEX(Projects[Est Systems Commissioning],151)))</f>
        <v/>
      </c>
      <c r="CO152" s="5">
        <f>IF(A152="","",N(INDEX(Projects[Est Service Commissioning],151)))</f>
        <v/>
      </c>
      <c r="CP152" s="5">
        <f>IF(A152="","",N(INDEX(Projects[Est Controls Eng],151)))</f>
        <v/>
      </c>
      <c r="CQ152" s="5">
        <f>IF(A152="","",N(INDEX(Projects[Est Controls Purchase],151)))</f>
        <v/>
      </c>
      <c r="CR152" s="5">
        <f>IF(A152="","",N(INDEX(Projects[Est Software Eng],151)))</f>
        <v/>
      </c>
      <c r="CS152" s="5">
        <f>IF(A152="","",N(INDEX(Projects[Est Misc],151)))</f>
        <v/>
      </c>
      <c r="CT152" s="5">
        <f>IF(A152="","",SUM(CF152:CS152))</f>
        <v/>
      </c>
      <c r="CU152" s="5">
        <f>INDEX(Projects[Est Cost (M)],151)</f>
        <v/>
      </c>
      <c r="CV152" s="5">
        <f>INDEX(Projects[Act Cost (M)],151)</f>
        <v/>
      </c>
      <c r="CW152" s="5">
        <f>INDEX(Projects[Plan Mech Eng (wks)],151)</f>
        <v/>
      </c>
      <c r="CX152" s="5">
        <f>INDEX(Projects[Plan Controls Eng (wks)],151)</f>
        <v/>
      </c>
      <c r="CY152" s="5">
        <f>INDEX(Projects[Plan Systems Eng (wks)],151)</f>
        <v/>
      </c>
      <c r="CZ152" s="5">
        <f>INDEX(Projects[Plan Software Eng (wks)],151)</f>
        <v/>
      </c>
      <c r="DA152" s="5">
        <f>INDEX(Projects[Plan M&amp;E Installation (wks)],151)</f>
        <v/>
      </c>
      <c r="DB152" s="5">
        <f>INDEX(Projects[Plan Commissioning (wks)],151)</f>
        <v/>
      </c>
      <c r="DC152" s="5">
        <f>INDEX(Projects[Plan Total (wks)],151)</f>
        <v/>
      </c>
      <c r="DD152" s="5">
        <f>INDEX(Projects[Act Mech Eng (wks)],151)</f>
        <v/>
      </c>
      <c r="DE152" s="5">
        <f>INDEX(Projects[Act Controls Eng (wks)],151)</f>
        <v/>
      </c>
      <c r="DF152" s="5">
        <f>INDEX(Projects[Act Systems Eng (wks)],151)</f>
        <v/>
      </c>
      <c r="DG152" s="5">
        <f>INDEX(Projects[Act Software Eng (wks)],151)</f>
        <v/>
      </c>
      <c r="DH152" s="5">
        <f>INDEX(Projects[Act M&amp;E Installation (wks)],151)</f>
        <v/>
      </c>
      <c r="DI152" s="5">
        <f>INDEX(Projects[Act Commissioning (wks)],151)</f>
        <v/>
      </c>
      <c r="DJ152" s="5">
        <f>INDEX(Projects[Act Total (wks)],151)</f>
        <v/>
      </c>
    </row>
    <row r="153" ht="15" customHeight="1" s="82">
      <c r="A153" s="64">
        <f>INDEX(Projects[Project ID *],152)&amp;""</f>
        <v/>
      </c>
      <c r="B153" s="64">
        <f>INDEX(Projects[Project Name *],152)&amp;""</f>
        <v/>
      </c>
      <c r="C153" s="64">
        <f>INDEX(Projects[MS Shuttles],152)</f>
        <v/>
      </c>
      <c r="D153" s="64">
        <f>INDEX(Projects[MS Tote Locations],152)</f>
        <v/>
      </c>
      <c r="E153" s="64">
        <f>INDEX(Projects[AS Robots],152)</f>
        <v/>
      </c>
      <c r="F153" s="64">
        <f>INDEX(Projects[AS Tote Locations],152)</f>
        <v/>
      </c>
      <c r="G153" s="64">
        <f>INDEX(Projects[PS Shuttles],152)</f>
        <v/>
      </c>
      <c r="H153" s="64">
        <f>INDEX(Projects[PS Pallet Locations],152)</f>
        <v/>
      </c>
      <c r="I153" s="64">
        <f>INDEX(Projects[SRM Cranes],152)</f>
        <v/>
      </c>
      <c r="J153" s="64">
        <f>INDEX(Projects[SRM Pallet Locations],152)</f>
        <v/>
      </c>
      <c r="K153" s="64">
        <f>INDEX(Projects[Case Conv (m)],152)</f>
        <v/>
      </c>
      <c r="L153" s="64">
        <f>INDEX(Projects[Pallet Conv (m)],152)</f>
        <v/>
      </c>
      <c r="M153" s="64">
        <f>IF(N(DJ153)&gt;0,DD153,CW153)</f>
        <v/>
      </c>
      <c r="N153" s="64">
        <f>IF(N(DJ153)&gt;0,DE153,CX153)</f>
        <v/>
      </c>
      <c r="O153" s="64">
        <f>IF(N(DJ153)&gt;0,DF153,CY153)</f>
        <v/>
      </c>
      <c r="P153" s="64">
        <f>IF(N(DJ153)&gt;0,DG153,CZ153)</f>
        <v/>
      </c>
      <c r="Q153" s="64">
        <f>IF(N(DJ153)&gt;0,DH153,DA153)</f>
        <v/>
      </c>
      <c r="R153" s="64">
        <f>IF(N(DJ153)&gt;0,DI153,DB153)</f>
        <v/>
      </c>
      <c r="S153" s="64">
        <f>IF(N(DJ153)&gt;0,DJ153,DC153)</f>
        <v/>
      </c>
      <c r="T153" s="64">
        <f>INDEX(Projects[Currency],152)&amp;""</f>
        <v/>
      </c>
      <c r="U153" s="65">
        <f>INDEX(Projects[Sold Value (M)],152)</f>
        <v/>
      </c>
      <c r="V153" s="64">
        <f>IF('Smart Search'!B13=1,IFERROR(1/'Smart Search'!H13,0),0)</f>
        <v/>
      </c>
      <c r="W153" s="64">
        <f>IF('Smart Search'!B13=1,IFERROR(1/'Smart Search'!H13,0),0)</f>
        <v/>
      </c>
      <c r="X153" s="64">
        <f>IF('Smart Search'!C13=1,IFERROR(1/'Smart Search'!H13,0),0)</f>
        <v/>
      </c>
      <c r="Y153" s="64">
        <f>IF('Smart Search'!C13=1,IFERROR(1/'Smart Search'!H13,0),0)</f>
        <v/>
      </c>
      <c r="Z153" s="64">
        <f>IF('Smart Search'!D13=1,IFERROR(1/'Smart Search'!H13,0),0)</f>
        <v/>
      </c>
      <c r="AA153" s="64">
        <f>IF('Smart Search'!D13=1,IFERROR(1/'Smart Search'!H13,0),0)</f>
        <v/>
      </c>
      <c r="AB153" s="64">
        <f>IF('Smart Search'!E13=1,IFERROR(1/'Smart Search'!H13,0),0)</f>
        <v/>
      </c>
      <c r="AC153" s="64">
        <f>IF('Smart Search'!E13=1,IFERROR(1/'Smart Search'!H13,0),0)</f>
        <v/>
      </c>
      <c r="AD153" s="64">
        <f>IF('Smart Search'!F13=1,IFERROR(1/'Smart Search'!H13,0),0)</f>
        <v/>
      </c>
      <c r="AE153" s="64">
        <f>IF('Smart Search'!F13=1,IFERROR(1/'Smart Search'!H13,0),0)</f>
        <v/>
      </c>
      <c r="AF153" s="64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4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4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4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4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4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4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4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4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4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4">
        <f>AF153*V153</f>
        <v/>
      </c>
      <c r="AQ153" s="64">
        <f>AG153*W153</f>
        <v/>
      </c>
      <c r="AR153" s="64">
        <f>AH153*X153</f>
        <v/>
      </c>
      <c r="AS153" s="64">
        <f>AI153*Y153</f>
        <v/>
      </c>
      <c r="AT153" s="64">
        <f>AJ153*Z153</f>
        <v/>
      </c>
      <c r="AU153" s="64">
        <f>AK153*AA153</f>
        <v/>
      </c>
      <c r="AV153" s="64">
        <f>AL153*AB153</f>
        <v/>
      </c>
      <c r="AW153" s="64">
        <f>AM153*AC153</f>
        <v/>
      </c>
      <c r="AX153" s="64">
        <f>AN153*AD153</f>
        <v/>
      </c>
      <c r="AY153" s="64">
        <f>AO153*AE153</f>
        <v/>
      </c>
      <c r="AZ153" s="64">
        <f>INDEX(Projects[Automation Equipment],152)&amp;""</f>
        <v/>
      </c>
      <c r="BA153" s="64">
        <f>IF(OR(A153="",'Smart Search'!H13=0),"",MAX(0,BE153*BF153*MAX(0,1-BG153)))</f>
        <v/>
      </c>
      <c r="BB153" s="64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4">
        <f>IF('Smart Search'!G13=1,IFERROR(1/'Smart Search'!H13,0),0)</f>
        <v/>
      </c>
      <c r="BD153" s="64">
        <f>BB153*BC153</f>
        <v/>
      </c>
      <c r="BE153" s="64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IF(A153="","",N(INDEX(Projects[Act Mech Inst],152)))</f>
        <v/>
      </c>
      <c r="BK153" s="5">
        <f>IF(A153="","",N(INDEX(Projects[Act Elec Inst],152)))</f>
        <v/>
      </c>
      <c r="BL153" s="5">
        <f>IF(A153="","",N(INDEX(Projects[Act Project Management],152)))</f>
        <v/>
      </c>
      <c r="BM153" s="5">
        <f>IF(A153="","",N(INDEX(Projects[Act Systems Eng],152)))</f>
        <v/>
      </c>
      <c r="BN153" s="5">
        <f>IF(A153="","",N(INDEX(Projects[Act Mechanical Eng],152)))</f>
        <v/>
      </c>
      <c r="BO153" s="5">
        <f>IF(A153="","",N(INDEX(Projects[Act Structural Engineering],152)))</f>
        <v/>
      </c>
      <c r="BP153" s="5">
        <f>IF(A153="","",N(INDEX(Projects[Act Site Sup],152)))</f>
        <v/>
      </c>
      <c r="BQ153" s="5">
        <f>IF(A153="","",N(INDEX(Projects[Act Controls Commissioning],152)))</f>
        <v/>
      </c>
      <c r="BR153" s="5">
        <f>IF(A153="","",N(INDEX(Projects[Act Systems Commissioning],152)))</f>
        <v/>
      </c>
      <c r="BS153" s="5">
        <f>IF(A153="","",N(INDEX(Projects[Act Service Commissioning],152)))</f>
        <v/>
      </c>
      <c r="BT153" s="5">
        <f>IF(A153="","",N(INDEX(Projects[Act Controls Eng],152)))</f>
        <v/>
      </c>
      <c r="BU153" s="5">
        <f>IF(A153="","",N(INDEX(Projects[Act Controls Purchase],152)))</f>
        <v/>
      </c>
      <c r="BV153" s="5">
        <f>IF(A153="","",N(INDEX(Projects[Act Software Eng],152)))</f>
        <v/>
      </c>
      <c r="BW153" s="5">
        <f>IF(A153="","",N(INDEX(Projects[Act 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INDEX(Projects[Sold Value (USD M)],152)</f>
        <v/>
      </c>
      <c r="CE153" s="5" t="n"/>
      <c r="CF153" s="5">
        <f>IF(A153="","",N(INDEX(Projects[Est Mech Inst],152)))</f>
        <v/>
      </c>
      <c r="CG153" s="5">
        <f>IF(A153="","",N(INDEX(Projects[Est Elec Inst],152)))</f>
        <v/>
      </c>
      <c r="CH153" s="5">
        <f>IF(A153="","",N(INDEX(Projects[Est Project Management],152)))</f>
        <v/>
      </c>
      <c r="CI153" s="5">
        <f>IF(A153="","",N(INDEX(Projects[Est Systems Eng],152)))</f>
        <v/>
      </c>
      <c r="CJ153" s="5">
        <f>IF(A153="","",N(INDEX(Projects[Est Mechanical Eng],152)))</f>
        <v/>
      </c>
      <c r="CK153" s="5">
        <f>IF(A153="","",N(INDEX(Projects[Est Structural Engineering],152)))</f>
        <v/>
      </c>
      <c r="CL153" s="5">
        <f>IF(A153="","",N(INDEX(Projects[Est Site Sup],152)))</f>
        <v/>
      </c>
      <c r="CM153" s="5">
        <f>IF(A153="","",N(INDEX(Projects[Est Controls Commissioning],152)))</f>
        <v/>
      </c>
      <c r="CN153" s="5">
        <f>IF(A153="","",N(INDEX(Projects[Est Systems Commissioning],152)))</f>
        <v/>
      </c>
      <c r="CO153" s="5">
        <f>IF(A153="","",N(INDEX(Projects[Est Service Commissioning],152)))</f>
        <v/>
      </c>
      <c r="CP153" s="5">
        <f>IF(A153="","",N(INDEX(Projects[Est Controls Eng],152)))</f>
        <v/>
      </c>
      <c r="CQ153" s="5">
        <f>IF(A153="","",N(INDEX(Projects[Est Controls Purchase],152)))</f>
        <v/>
      </c>
      <c r="CR153" s="5">
        <f>IF(A153="","",N(INDEX(Projects[Est Software Eng],152)))</f>
        <v/>
      </c>
      <c r="CS153" s="5">
        <f>IF(A153="","",N(INDEX(Projects[Est Misc],152)))</f>
        <v/>
      </c>
      <c r="CT153" s="5">
        <f>IF(A153="","",SUM(CF153:CS153))</f>
        <v/>
      </c>
      <c r="CU153" s="5">
        <f>INDEX(Projects[Est Cost (M)],152)</f>
        <v/>
      </c>
      <c r="CV153" s="5">
        <f>INDEX(Projects[Act Cost (M)],152)</f>
        <v/>
      </c>
      <c r="CW153" s="5">
        <f>INDEX(Projects[Plan Mech Eng (wks)],152)</f>
        <v/>
      </c>
      <c r="CX153" s="5">
        <f>INDEX(Projects[Plan Controls Eng (wks)],152)</f>
        <v/>
      </c>
      <c r="CY153" s="5">
        <f>INDEX(Projects[Plan Systems Eng (wks)],152)</f>
        <v/>
      </c>
      <c r="CZ153" s="5">
        <f>INDEX(Projects[Plan Software Eng (wks)],152)</f>
        <v/>
      </c>
      <c r="DA153" s="5">
        <f>INDEX(Projects[Plan M&amp;E Installation (wks)],152)</f>
        <v/>
      </c>
      <c r="DB153" s="5">
        <f>INDEX(Projects[Plan Commissioning (wks)],152)</f>
        <v/>
      </c>
      <c r="DC153" s="5">
        <f>INDEX(Projects[Plan Total (wks)],152)</f>
        <v/>
      </c>
      <c r="DD153" s="5">
        <f>INDEX(Projects[Act Mech Eng (wks)],152)</f>
        <v/>
      </c>
      <c r="DE153" s="5">
        <f>INDEX(Projects[Act Controls Eng (wks)],152)</f>
        <v/>
      </c>
      <c r="DF153" s="5">
        <f>INDEX(Projects[Act Systems Eng (wks)],152)</f>
        <v/>
      </c>
      <c r="DG153" s="5">
        <f>INDEX(Projects[Act Software Eng (wks)],152)</f>
        <v/>
      </c>
      <c r="DH153" s="5">
        <f>INDEX(Projects[Act M&amp;E Installation (wks)],152)</f>
        <v/>
      </c>
      <c r="DI153" s="5">
        <f>INDEX(Projects[Act Commissioning (wks)],152)</f>
        <v/>
      </c>
      <c r="DJ153" s="5">
        <f>INDEX(Projects[Act Total (wks)],152)</f>
        <v/>
      </c>
    </row>
    <row r="154" ht="15" customHeight="1" s="82">
      <c r="A154" s="64">
        <f>INDEX(Projects[Project ID *],153)&amp;""</f>
        <v/>
      </c>
      <c r="B154" s="64">
        <f>INDEX(Projects[Project Name *],153)&amp;""</f>
        <v/>
      </c>
      <c r="C154" s="64">
        <f>INDEX(Projects[MS Shuttles],153)</f>
        <v/>
      </c>
      <c r="D154" s="64">
        <f>INDEX(Projects[MS Tote Locations],153)</f>
        <v/>
      </c>
      <c r="E154" s="64">
        <f>INDEX(Projects[AS Robots],153)</f>
        <v/>
      </c>
      <c r="F154" s="64">
        <f>INDEX(Projects[AS Tote Locations],153)</f>
        <v/>
      </c>
      <c r="G154" s="64">
        <f>INDEX(Projects[PS Shuttles],153)</f>
        <v/>
      </c>
      <c r="H154" s="64">
        <f>INDEX(Projects[PS Pallet Locations],153)</f>
        <v/>
      </c>
      <c r="I154" s="64">
        <f>INDEX(Projects[SRM Cranes],153)</f>
        <v/>
      </c>
      <c r="J154" s="64">
        <f>INDEX(Projects[SRM Pallet Locations],153)</f>
        <v/>
      </c>
      <c r="K154" s="64">
        <f>INDEX(Projects[Case Conv (m)],153)</f>
        <v/>
      </c>
      <c r="L154" s="64">
        <f>INDEX(Projects[Pallet Conv (m)],153)</f>
        <v/>
      </c>
      <c r="M154" s="64">
        <f>IF(N(DJ154)&gt;0,DD154,CW154)</f>
        <v/>
      </c>
      <c r="N154" s="64">
        <f>IF(N(DJ154)&gt;0,DE154,CX154)</f>
        <v/>
      </c>
      <c r="O154" s="64">
        <f>IF(N(DJ154)&gt;0,DF154,CY154)</f>
        <v/>
      </c>
      <c r="P154" s="64">
        <f>IF(N(DJ154)&gt;0,DG154,CZ154)</f>
        <v/>
      </c>
      <c r="Q154" s="64">
        <f>IF(N(DJ154)&gt;0,DH154,DA154)</f>
        <v/>
      </c>
      <c r="R154" s="64">
        <f>IF(N(DJ154)&gt;0,DI154,DB154)</f>
        <v/>
      </c>
      <c r="S154" s="64">
        <f>IF(N(DJ154)&gt;0,DJ154,DC154)</f>
        <v/>
      </c>
      <c r="T154" s="64">
        <f>INDEX(Projects[Currency],153)&amp;""</f>
        <v/>
      </c>
      <c r="U154" s="65">
        <f>INDEX(Projects[Sold Value (M)],153)</f>
        <v/>
      </c>
      <c r="V154" s="64">
        <f>IF('Smart Search'!B13=1,IFERROR(1/'Smart Search'!H13,0),0)</f>
        <v/>
      </c>
      <c r="W154" s="64">
        <f>IF('Smart Search'!B13=1,IFERROR(1/'Smart Search'!H13,0),0)</f>
        <v/>
      </c>
      <c r="X154" s="64">
        <f>IF('Smart Search'!C13=1,IFERROR(1/'Smart Search'!H13,0),0)</f>
        <v/>
      </c>
      <c r="Y154" s="64">
        <f>IF('Smart Search'!C13=1,IFERROR(1/'Smart Search'!H13,0),0)</f>
        <v/>
      </c>
      <c r="Z154" s="64">
        <f>IF('Smart Search'!D13=1,IFERROR(1/'Smart Search'!H13,0),0)</f>
        <v/>
      </c>
      <c r="AA154" s="64">
        <f>IF('Smart Search'!D13=1,IFERROR(1/'Smart Search'!H13,0),0)</f>
        <v/>
      </c>
      <c r="AB154" s="64">
        <f>IF('Smart Search'!E13=1,IFERROR(1/'Smart Search'!H13,0),0)</f>
        <v/>
      </c>
      <c r="AC154" s="64">
        <f>IF('Smart Search'!E13=1,IFERROR(1/'Smart Search'!H13,0),0)</f>
        <v/>
      </c>
      <c r="AD154" s="64">
        <f>IF('Smart Search'!F13=1,IFERROR(1/'Smart Search'!H13,0),0)</f>
        <v/>
      </c>
      <c r="AE154" s="64">
        <f>IF('Smart Search'!F13=1,IFERROR(1/'Smart Search'!H13,0),0)</f>
        <v/>
      </c>
      <c r="AF154" s="64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4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4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4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4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4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4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4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4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4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4">
        <f>AF154*V154</f>
        <v/>
      </c>
      <c r="AQ154" s="64">
        <f>AG154*W154</f>
        <v/>
      </c>
      <c r="AR154" s="64">
        <f>AH154*X154</f>
        <v/>
      </c>
      <c r="AS154" s="64">
        <f>AI154*Y154</f>
        <v/>
      </c>
      <c r="AT154" s="64">
        <f>AJ154*Z154</f>
        <v/>
      </c>
      <c r="AU154" s="64">
        <f>AK154*AA154</f>
        <v/>
      </c>
      <c r="AV154" s="64">
        <f>AL154*AB154</f>
        <v/>
      </c>
      <c r="AW154" s="64">
        <f>AM154*AC154</f>
        <v/>
      </c>
      <c r="AX154" s="64">
        <f>AN154*AD154</f>
        <v/>
      </c>
      <c r="AY154" s="64">
        <f>AO154*AE154</f>
        <v/>
      </c>
      <c r="AZ154" s="64">
        <f>INDEX(Projects[Automation Equipment],153)&amp;""</f>
        <v/>
      </c>
      <c r="BA154" s="64">
        <f>IF(OR(A154="",'Smart Search'!H13=0),"",MAX(0,BE154*BF154*MAX(0,1-BG154)))</f>
        <v/>
      </c>
      <c r="BB154" s="64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4">
        <f>IF('Smart Search'!G13=1,IFERROR(1/'Smart Search'!H13,0),0)</f>
        <v/>
      </c>
      <c r="BD154" s="64">
        <f>BB154*BC154</f>
        <v/>
      </c>
      <c r="BE154" s="64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IF(A154="","",N(INDEX(Projects[Act Mech Inst],153)))</f>
        <v/>
      </c>
      <c r="BK154" s="5">
        <f>IF(A154="","",N(INDEX(Projects[Act Elec Inst],153)))</f>
        <v/>
      </c>
      <c r="BL154" s="5">
        <f>IF(A154="","",N(INDEX(Projects[Act Project Management],153)))</f>
        <v/>
      </c>
      <c r="BM154" s="5">
        <f>IF(A154="","",N(INDEX(Projects[Act Systems Eng],153)))</f>
        <v/>
      </c>
      <c r="BN154" s="5">
        <f>IF(A154="","",N(INDEX(Projects[Act Mechanical Eng],153)))</f>
        <v/>
      </c>
      <c r="BO154" s="5">
        <f>IF(A154="","",N(INDEX(Projects[Act Structural Engineering],153)))</f>
        <v/>
      </c>
      <c r="BP154" s="5">
        <f>IF(A154="","",N(INDEX(Projects[Act Site Sup],153)))</f>
        <v/>
      </c>
      <c r="BQ154" s="5">
        <f>IF(A154="","",N(INDEX(Projects[Act Controls Commissioning],153)))</f>
        <v/>
      </c>
      <c r="BR154" s="5">
        <f>IF(A154="","",N(INDEX(Projects[Act Systems Commissioning],153)))</f>
        <v/>
      </c>
      <c r="BS154" s="5">
        <f>IF(A154="","",N(INDEX(Projects[Act Service Commissioning],153)))</f>
        <v/>
      </c>
      <c r="BT154" s="5">
        <f>IF(A154="","",N(INDEX(Projects[Act Controls Eng],153)))</f>
        <v/>
      </c>
      <c r="BU154" s="5">
        <f>IF(A154="","",N(INDEX(Projects[Act Controls Purchase],153)))</f>
        <v/>
      </c>
      <c r="BV154" s="5">
        <f>IF(A154="","",N(INDEX(Projects[Act Software Eng],153)))</f>
        <v/>
      </c>
      <c r="BW154" s="5">
        <f>IF(A154="","",N(INDEX(Projects[Act 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INDEX(Projects[Sold Value (USD M)],153)</f>
        <v/>
      </c>
      <c r="CE154" s="5" t="n"/>
      <c r="CF154" s="5">
        <f>IF(A154="","",N(INDEX(Projects[Est Mech Inst],153)))</f>
        <v/>
      </c>
      <c r="CG154" s="5">
        <f>IF(A154="","",N(INDEX(Projects[Est Elec Inst],153)))</f>
        <v/>
      </c>
      <c r="CH154" s="5">
        <f>IF(A154="","",N(INDEX(Projects[Est Project Management],153)))</f>
        <v/>
      </c>
      <c r="CI154" s="5">
        <f>IF(A154="","",N(INDEX(Projects[Est Systems Eng],153)))</f>
        <v/>
      </c>
      <c r="CJ154" s="5">
        <f>IF(A154="","",N(INDEX(Projects[Est Mechanical Eng],153)))</f>
        <v/>
      </c>
      <c r="CK154" s="5">
        <f>IF(A154="","",N(INDEX(Projects[Est Structural Engineering],153)))</f>
        <v/>
      </c>
      <c r="CL154" s="5">
        <f>IF(A154="","",N(INDEX(Projects[Est Site Sup],153)))</f>
        <v/>
      </c>
      <c r="CM154" s="5">
        <f>IF(A154="","",N(INDEX(Projects[Est Controls Commissioning],153)))</f>
        <v/>
      </c>
      <c r="CN154" s="5">
        <f>IF(A154="","",N(INDEX(Projects[Est Systems Commissioning],153)))</f>
        <v/>
      </c>
      <c r="CO154" s="5">
        <f>IF(A154="","",N(INDEX(Projects[Est Service Commissioning],153)))</f>
        <v/>
      </c>
      <c r="CP154" s="5">
        <f>IF(A154="","",N(INDEX(Projects[Est Controls Eng],153)))</f>
        <v/>
      </c>
      <c r="CQ154" s="5">
        <f>IF(A154="","",N(INDEX(Projects[Est Controls Purchase],153)))</f>
        <v/>
      </c>
      <c r="CR154" s="5">
        <f>IF(A154="","",N(INDEX(Projects[Est Software Eng],153)))</f>
        <v/>
      </c>
      <c r="CS154" s="5">
        <f>IF(A154="","",N(INDEX(Projects[Est Misc],153)))</f>
        <v/>
      </c>
      <c r="CT154" s="5">
        <f>IF(A154="","",SUM(CF154:CS154))</f>
        <v/>
      </c>
      <c r="CU154" s="5">
        <f>INDEX(Projects[Est Cost (M)],153)</f>
        <v/>
      </c>
      <c r="CV154" s="5">
        <f>INDEX(Projects[Act Cost (M)],153)</f>
        <v/>
      </c>
      <c r="CW154" s="5">
        <f>INDEX(Projects[Plan Mech Eng (wks)],153)</f>
        <v/>
      </c>
      <c r="CX154" s="5">
        <f>INDEX(Projects[Plan Controls Eng (wks)],153)</f>
        <v/>
      </c>
      <c r="CY154" s="5">
        <f>INDEX(Projects[Plan Systems Eng (wks)],153)</f>
        <v/>
      </c>
      <c r="CZ154" s="5">
        <f>INDEX(Projects[Plan Software Eng (wks)],153)</f>
        <v/>
      </c>
      <c r="DA154" s="5">
        <f>INDEX(Projects[Plan M&amp;E Installation (wks)],153)</f>
        <v/>
      </c>
      <c r="DB154" s="5">
        <f>INDEX(Projects[Plan Commissioning (wks)],153)</f>
        <v/>
      </c>
      <c r="DC154" s="5">
        <f>INDEX(Projects[Plan Total (wks)],153)</f>
        <v/>
      </c>
      <c r="DD154" s="5">
        <f>INDEX(Projects[Act Mech Eng (wks)],153)</f>
        <v/>
      </c>
      <c r="DE154" s="5">
        <f>INDEX(Projects[Act Controls Eng (wks)],153)</f>
        <v/>
      </c>
      <c r="DF154" s="5">
        <f>INDEX(Projects[Act Systems Eng (wks)],153)</f>
        <v/>
      </c>
      <c r="DG154" s="5">
        <f>INDEX(Projects[Act Software Eng (wks)],153)</f>
        <v/>
      </c>
      <c r="DH154" s="5">
        <f>INDEX(Projects[Act M&amp;E Installation (wks)],153)</f>
        <v/>
      </c>
      <c r="DI154" s="5">
        <f>INDEX(Projects[Act Commissioning (wks)],153)</f>
        <v/>
      </c>
      <c r="DJ154" s="5">
        <f>INDEX(Projects[Act Total (wks)],153)</f>
        <v/>
      </c>
    </row>
    <row r="155" ht="15" customHeight="1" s="82">
      <c r="A155" s="64">
        <f>INDEX(Projects[Project ID *],154)&amp;""</f>
        <v/>
      </c>
      <c r="B155" s="64">
        <f>INDEX(Projects[Project Name *],154)&amp;""</f>
        <v/>
      </c>
      <c r="C155" s="64">
        <f>INDEX(Projects[MS Shuttles],154)</f>
        <v/>
      </c>
      <c r="D155" s="64">
        <f>INDEX(Projects[MS Tote Locations],154)</f>
        <v/>
      </c>
      <c r="E155" s="64">
        <f>INDEX(Projects[AS Robots],154)</f>
        <v/>
      </c>
      <c r="F155" s="64">
        <f>INDEX(Projects[AS Tote Locations],154)</f>
        <v/>
      </c>
      <c r="G155" s="64">
        <f>INDEX(Projects[PS Shuttles],154)</f>
        <v/>
      </c>
      <c r="H155" s="64">
        <f>INDEX(Projects[PS Pallet Locations],154)</f>
        <v/>
      </c>
      <c r="I155" s="64">
        <f>INDEX(Projects[SRM Cranes],154)</f>
        <v/>
      </c>
      <c r="J155" s="64">
        <f>INDEX(Projects[SRM Pallet Locations],154)</f>
        <v/>
      </c>
      <c r="K155" s="64">
        <f>INDEX(Projects[Case Conv (m)],154)</f>
        <v/>
      </c>
      <c r="L155" s="64">
        <f>INDEX(Projects[Pallet Conv (m)],154)</f>
        <v/>
      </c>
      <c r="M155" s="64">
        <f>IF(N(DJ155)&gt;0,DD155,CW155)</f>
        <v/>
      </c>
      <c r="N155" s="64">
        <f>IF(N(DJ155)&gt;0,DE155,CX155)</f>
        <v/>
      </c>
      <c r="O155" s="64">
        <f>IF(N(DJ155)&gt;0,DF155,CY155)</f>
        <v/>
      </c>
      <c r="P155" s="64">
        <f>IF(N(DJ155)&gt;0,DG155,CZ155)</f>
        <v/>
      </c>
      <c r="Q155" s="64">
        <f>IF(N(DJ155)&gt;0,DH155,DA155)</f>
        <v/>
      </c>
      <c r="R155" s="64">
        <f>IF(N(DJ155)&gt;0,DI155,DB155)</f>
        <v/>
      </c>
      <c r="S155" s="64">
        <f>IF(N(DJ155)&gt;0,DJ155,DC155)</f>
        <v/>
      </c>
      <c r="T155" s="64">
        <f>INDEX(Projects[Currency],154)&amp;""</f>
        <v/>
      </c>
      <c r="U155" s="65">
        <f>INDEX(Projects[Sold Value (M)],154)</f>
        <v/>
      </c>
      <c r="V155" s="64">
        <f>IF('Smart Search'!B13=1,IFERROR(1/'Smart Search'!H13,0),0)</f>
        <v/>
      </c>
      <c r="W155" s="64">
        <f>IF('Smart Search'!B13=1,IFERROR(1/'Smart Search'!H13,0),0)</f>
        <v/>
      </c>
      <c r="X155" s="64">
        <f>IF('Smart Search'!C13=1,IFERROR(1/'Smart Search'!H13,0),0)</f>
        <v/>
      </c>
      <c r="Y155" s="64">
        <f>IF('Smart Search'!C13=1,IFERROR(1/'Smart Search'!H13,0),0)</f>
        <v/>
      </c>
      <c r="Z155" s="64">
        <f>IF('Smart Search'!D13=1,IFERROR(1/'Smart Search'!H13,0),0)</f>
        <v/>
      </c>
      <c r="AA155" s="64">
        <f>IF('Smart Search'!D13=1,IFERROR(1/'Smart Search'!H13,0),0)</f>
        <v/>
      </c>
      <c r="AB155" s="64">
        <f>IF('Smart Search'!E13=1,IFERROR(1/'Smart Search'!H13,0),0)</f>
        <v/>
      </c>
      <c r="AC155" s="64">
        <f>IF('Smart Search'!E13=1,IFERROR(1/'Smart Search'!H13,0),0)</f>
        <v/>
      </c>
      <c r="AD155" s="64">
        <f>IF('Smart Search'!F13=1,IFERROR(1/'Smart Search'!H13,0),0)</f>
        <v/>
      </c>
      <c r="AE155" s="64">
        <f>IF('Smart Search'!F13=1,IFERROR(1/'Smart Search'!H13,0),0)</f>
        <v/>
      </c>
      <c r="AF155" s="64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4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4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4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4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4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4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4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4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4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4">
        <f>AF155*V155</f>
        <v/>
      </c>
      <c r="AQ155" s="64">
        <f>AG155*W155</f>
        <v/>
      </c>
      <c r="AR155" s="64">
        <f>AH155*X155</f>
        <v/>
      </c>
      <c r="AS155" s="64">
        <f>AI155*Y155</f>
        <v/>
      </c>
      <c r="AT155" s="64">
        <f>AJ155*Z155</f>
        <v/>
      </c>
      <c r="AU155" s="64">
        <f>AK155*AA155</f>
        <v/>
      </c>
      <c r="AV155" s="64">
        <f>AL155*AB155</f>
        <v/>
      </c>
      <c r="AW155" s="64">
        <f>AM155*AC155</f>
        <v/>
      </c>
      <c r="AX155" s="64">
        <f>AN155*AD155</f>
        <v/>
      </c>
      <c r="AY155" s="64">
        <f>AO155*AE155</f>
        <v/>
      </c>
      <c r="AZ155" s="64">
        <f>INDEX(Projects[Automation Equipment],154)&amp;""</f>
        <v/>
      </c>
      <c r="BA155" s="64">
        <f>IF(OR(A155="",'Smart Search'!H13=0),"",MAX(0,BE155*BF155*MAX(0,1-BG155)))</f>
        <v/>
      </c>
      <c r="BB155" s="64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4">
        <f>IF('Smart Search'!G13=1,IFERROR(1/'Smart Search'!H13,0),0)</f>
        <v/>
      </c>
      <c r="BD155" s="64">
        <f>BB155*BC155</f>
        <v/>
      </c>
      <c r="BE155" s="64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IF(A155="","",N(INDEX(Projects[Act Mech Inst],154)))</f>
        <v/>
      </c>
      <c r="BK155" s="5">
        <f>IF(A155="","",N(INDEX(Projects[Act Elec Inst],154)))</f>
        <v/>
      </c>
      <c r="BL155" s="5">
        <f>IF(A155="","",N(INDEX(Projects[Act Project Management],154)))</f>
        <v/>
      </c>
      <c r="BM155" s="5">
        <f>IF(A155="","",N(INDEX(Projects[Act Systems Eng],154)))</f>
        <v/>
      </c>
      <c r="BN155" s="5">
        <f>IF(A155="","",N(INDEX(Projects[Act Mechanical Eng],154)))</f>
        <v/>
      </c>
      <c r="BO155" s="5">
        <f>IF(A155="","",N(INDEX(Projects[Act Structural Engineering],154)))</f>
        <v/>
      </c>
      <c r="BP155" s="5">
        <f>IF(A155="","",N(INDEX(Projects[Act Site Sup],154)))</f>
        <v/>
      </c>
      <c r="BQ155" s="5">
        <f>IF(A155="","",N(INDEX(Projects[Act Controls Commissioning],154)))</f>
        <v/>
      </c>
      <c r="BR155" s="5">
        <f>IF(A155="","",N(INDEX(Projects[Act Systems Commissioning],154)))</f>
        <v/>
      </c>
      <c r="BS155" s="5">
        <f>IF(A155="","",N(INDEX(Projects[Act Service Commissioning],154)))</f>
        <v/>
      </c>
      <c r="BT155" s="5">
        <f>IF(A155="","",N(INDEX(Projects[Act Controls Eng],154)))</f>
        <v/>
      </c>
      <c r="BU155" s="5">
        <f>IF(A155="","",N(INDEX(Projects[Act Controls Purchase],154)))</f>
        <v/>
      </c>
      <c r="BV155" s="5">
        <f>IF(A155="","",N(INDEX(Projects[Act Software Eng],154)))</f>
        <v/>
      </c>
      <c r="BW155" s="5">
        <f>IF(A155="","",N(INDEX(Projects[Act 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INDEX(Projects[Sold Value (USD M)],154)</f>
        <v/>
      </c>
      <c r="CE155" s="5" t="n"/>
      <c r="CF155" s="5">
        <f>IF(A155="","",N(INDEX(Projects[Est Mech Inst],154)))</f>
        <v/>
      </c>
      <c r="CG155" s="5">
        <f>IF(A155="","",N(INDEX(Projects[Est Elec Inst],154)))</f>
        <v/>
      </c>
      <c r="CH155" s="5">
        <f>IF(A155="","",N(INDEX(Projects[Est Project Management],154)))</f>
        <v/>
      </c>
      <c r="CI155" s="5">
        <f>IF(A155="","",N(INDEX(Projects[Est Systems Eng],154)))</f>
        <v/>
      </c>
      <c r="CJ155" s="5">
        <f>IF(A155="","",N(INDEX(Projects[Est Mechanical Eng],154)))</f>
        <v/>
      </c>
      <c r="CK155" s="5">
        <f>IF(A155="","",N(INDEX(Projects[Est Structural Engineering],154)))</f>
        <v/>
      </c>
      <c r="CL155" s="5">
        <f>IF(A155="","",N(INDEX(Projects[Est Site Sup],154)))</f>
        <v/>
      </c>
      <c r="CM155" s="5">
        <f>IF(A155="","",N(INDEX(Projects[Est Controls Commissioning],154)))</f>
        <v/>
      </c>
      <c r="CN155" s="5">
        <f>IF(A155="","",N(INDEX(Projects[Est Systems Commissioning],154)))</f>
        <v/>
      </c>
      <c r="CO155" s="5">
        <f>IF(A155="","",N(INDEX(Projects[Est Service Commissioning],154)))</f>
        <v/>
      </c>
      <c r="CP155" s="5">
        <f>IF(A155="","",N(INDEX(Projects[Est Controls Eng],154)))</f>
        <v/>
      </c>
      <c r="CQ155" s="5">
        <f>IF(A155="","",N(INDEX(Projects[Est Controls Purchase],154)))</f>
        <v/>
      </c>
      <c r="CR155" s="5">
        <f>IF(A155="","",N(INDEX(Projects[Est Software Eng],154)))</f>
        <v/>
      </c>
      <c r="CS155" s="5">
        <f>IF(A155="","",N(INDEX(Projects[Est Misc],154)))</f>
        <v/>
      </c>
      <c r="CT155" s="5">
        <f>IF(A155="","",SUM(CF155:CS155))</f>
        <v/>
      </c>
      <c r="CU155" s="5">
        <f>INDEX(Projects[Est Cost (M)],154)</f>
        <v/>
      </c>
      <c r="CV155" s="5">
        <f>INDEX(Projects[Act Cost (M)],154)</f>
        <v/>
      </c>
      <c r="CW155" s="5">
        <f>INDEX(Projects[Plan Mech Eng (wks)],154)</f>
        <v/>
      </c>
      <c r="CX155" s="5">
        <f>INDEX(Projects[Plan Controls Eng (wks)],154)</f>
        <v/>
      </c>
      <c r="CY155" s="5">
        <f>INDEX(Projects[Plan Systems Eng (wks)],154)</f>
        <v/>
      </c>
      <c r="CZ155" s="5">
        <f>INDEX(Projects[Plan Software Eng (wks)],154)</f>
        <v/>
      </c>
      <c r="DA155" s="5">
        <f>INDEX(Projects[Plan M&amp;E Installation (wks)],154)</f>
        <v/>
      </c>
      <c r="DB155" s="5">
        <f>INDEX(Projects[Plan Commissioning (wks)],154)</f>
        <v/>
      </c>
      <c r="DC155" s="5">
        <f>INDEX(Projects[Plan Total (wks)],154)</f>
        <v/>
      </c>
      <c r="DD155" s="5">
        <f>INDEX(Projects[Act Mech Eng (wks)],154)</f>
        <v/>
      </c>
      <c r="DE155" s="5">
        <f>INDEX(Projects[Act Controls Eng (wks)],154)</f>
        <v/>
      </c>
      <c r="DF155" s="5">
        <f>INDEX(Projects[Act Systems Eng (wks)],154)</f>
        <v/>
      </c>
      <c r="DG155" s="5">
        <f>INDEX(Projects[Act Software Eng (wks)],154)</f>
        <v/>
      </c>
      <c r="DH155" s="5">
        <f>INDEX(Projects[Act M&amp;E Installation (wks)],154)</f>
        <v/>
      </c>
      <c r="DI155" s="5">
        <f>INDEX(Projects[Act Commissioning (wks)],154)</f>
        <v/>
      </c>
      <c r="DJ155" s="5">
        <f>INDEX(Projects[Act Total (wks)],154)</f>
        <v/>
      </c>
    </row>
    <row r="156" ht="15" customHeight="1" s="82">
      <c r="A156" s="64">
        <f>INDEX(Projects[Project ID *],155)&amp;""</f>
        <v/>
      </c>
      <c r="B156" s="64">
        <f>INDEX(Projects[Project Name *],155)&amp;""</f>
        <v/>
      </c>
      <c r="C156" s="64">
        <f>INDEX(Projects[MS Shuttles],155)</f>
        <v/>
      </c>
      <c r="D156" s="64">
        <f>INDEX(Projects[MS Tote Locations],155)</f>
        <v/>
      </c>
      <c r="E156" s="64">
        <f>INDEX(Projects[AS Robots],155)</f>
        <v/>
      </c>
      <c r="F156" s="64">
        <f>INDEX(Projects[AS Tote Locations],155)</f>
        <v/>
      </c>
      <c r="G156" s="64">
        <f>INDEX(Projects[PS Shuttles],155)</f>
        <v/>
      </c>
      <c r="H156" s="64">
        <f>INDEX(Projects[PS Pallet Locations],155)</f>
        <v/>
      </c>
      <c r="I156" s="64">
        <f>INDEX(Projects[SRM Cranes],155)</f>
        <v/>
      </c>
      <c r="J156" s="64">
        <f>INDEX(Projects[SRM Pallet Locations],155)</f>
        <v/>
      </c>
      <c r="K156" s="64">
        <f>INDEX(Projects[Case Conv (m)],155)</f>
        <v/>
      </c>
      <c r="L156" s="64">
        <f>INDEX(Projects[Pallet Conv (m)],155)</f>
        <v/>
      </c>
      <c r="M156" s="64">
        <f>IF(N(DJ156)&gt;0,DD156,CW156)</f>
        <v/>
      </c>
      <c r="N156" s="64">
        <f>IF(N(DJ156)&gt;0,DE156,CX156)</f>
        <v/>
      </c>
      <c r="O156" s="64">
        <f>IF(N(DJ156)&gt;0,DF156,CY156)</f>
        <v/>
      </c>
      <c r="P156" s="64">
        <f>IF(N(DJ156)&gt;0,DG156,CZ156)</f>
        <v/>
      </c>
      <c r="Q156" s="64">
        <f>IF(N(DJ156)&gt;0,DH156,DA156)</f>
        <v/>
      </c>
      <c r="R156" s="64">
        <f>IF(N(DJ156)&gt;0,DI156,DB156)</f>
        <v/>
      </c>
      <c r="S156" s="64">
        <f>IF(N(DJ156)&gt;0,DJ156,DC156)</f>
        <v/>
      </c>
      <c r="T156" s="64">
        <f>INDEX(Projects[Currency],155)&amp;""</f>
        <v/>
      </c>
      <c r="U156" s="65">
        <f>INDEX(Projects[Sold Value (M)],155)</f>
        <v/>
      </c>
      <c r="V156" s="64">
        <f>IF('Smart Search'!B13=1,IFERROR(1/'Smart Search'!H13,0),0)</f>
        <v/>
      </c>
      <c r="W156" s="64">
        <f>IF('Smart Search'!B13=1,IFERROR(1/'Smart Search'!H13,0),0)</f>
        <v/>
      </c>
      <c r="X156" s="64">
        <f>IF('Smart Search'!C13=1,IFERROR(1/'Smart Search'!H13,0),0)</f>
        <v/>
      </c>
      <c r="Y156" s="64">
        <f>IF('Smart Search'!C13=1,IFERROR(1/'Smart Search'!H13,0),0)</f>
        <v/>
      </c>
      <c r="Z156" s="64">
        <f>IF('Smart Search'!D13=1,IFERROR(1/'Smart Search'!H13,0),0)</f>
        <v/>
      </c>
      <c r="AA156" s="64">
        <f>IF('Smart Search'!D13=1,IFERROR(1/'Smart Search'!H13,0),0)</f>
        <v/>
      </c>
      <c r="AB156" s="64">
        <f>IF('Smart Search'!E13=1,IFERROR(1/'Smart Search'!H13,0),0)</f>
        <v/>
      </c>
      <c r="AC156" s="64">
        <f>IF('Smart Search'!E13=1,IFERROR(1/'Smart Search'!H13,0),0)</f>
        <v/>
      </c>
      <c r="AD156" s="64">
        <f>IF('Smart Search'!F13=1,IFERROR(1/'Smart Search'!H13,0),0)</f>
        <v/>
      </c>
      <c r="AE156" s="64">
        <f>IF('Smart Search'!F13=1,IFERROR(1/'Smart Search'!H13,0),0)</f>
        <v/>
      </c>
      <c r="AF156" s="64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4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4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4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4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4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4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4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4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4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4">
        <f>AF156*V156</f>
        <v/>
      </c>
      <c r="AQ156" s="64">
        <f>AG156*W156</f>
        <v/>
      </c>
      <c r="AR156" s="64">
        <f>AH156*X156</f>
        <v/>
      </c>
      <c r="AS156" s="64">
        <f>AI156*Y156</f>
        <v/>
      </c>
      <c r="AT156" s="64">
        <f>AJ156*Z156</f>
        <v/>
      </c>
      <c r="AU156" s="64">
        <f>AK156*AA156</f>
        <v/>
      </c>
      <c r="AV156" s="64">
        <f>AL156*AB156</f>
        <v/>
      </c>
      <c r="AW156" s="64">
        <f>AM156*AC156</f>
        <v/>
      </c>
      <c r="AX156" s="64">
        <f>AN156*AD156</f>
        <v/>
      </c>
      <c r="AY156" s="64">
        <f>AO156*AE156</f>
        <v/>
      </c>
      <c r="AZ156" s="64">
        <f>INDEX(Projects[Automation Equipment],155)&amp;""</f>
        <v/>
      </c>
      <c r="BA156" s="64">
        <f>IF(OR(A156="",'Smart Search'!H13=0),"",MAX(0,BE156*BF156*MAX(0,1-BG156)))</f>
        <v/>
      </c>
      <c r="BB156" s="64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4">
        <f>IF('Smart Search'!G13=1,IFERROR(1/'Smart Search'!H13,0),0)</f>
        <v/>
      </c>
      <c r="BD156" s="64">
        <f>BB156*BC156</f>
        <v/>
      </c>
      <c r="BE156" s="64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IF(A156="","",N(INDEX(Projects[Act Mech Inst],155)))</f>
        <v/>
      </c>
      <c r="BK156" s="5">
        <f>IF(A156="","",N(INDEX(Projects[Act Elec Inst],155)))</f>
        <v/>
      </c>
      <c r="BL156" s="5">
        <f>IF(A156="","",N(INDEX(Projects[Act Project Management],155)))</f>
        <v/>
      </c>
      <c r="BM156" s="5">
        <f>IF(A156="","",N(INDEX(Projects[Act Systems Eng],155)))</f>
        <v/>
      </c>
      <c r="BN156" s="5">
        <f>IF(A156="","",N(INDEX(Projects[Act Mechanical Eng],155)))</f>
        <v/>
      </c>
      <c r="BO156" s="5">
        <f>IF(A156="","",N(INDEX(Projects[Act Structural Engineering],155)))</f>
        <v/>
      </c>
      <c r="BP156" s="5">
        <f>IF(A156="","",N(INDEX(Projects[Act Site Sup],155)))</f>
        <v/>
      </c>
      <c r="BQ156" s="5">
        <f>IF(A156="","",N(INDEX(Projects[Act Controls Commissioning],155)))</f>
        <v/>
      </c>
      <c r="BR156" s="5">
        <f>IF(A156="","",N(INDEX(Projects[Act Systems Commissioning],155)))</f>
        <v/>
      </c>
      <c r="BS156" s="5">
        <f>IF(A156="","",N(INDEX(Projects[Act Service Commissioning],155)))</f>
        <v/>
      </c>
      <c r="BT156" s="5">
        <f>IF(A156="","",N(INDEX(Projects[Act Controls Eng],155)))</f>
        <v/>
      </c>
      <c r="BU156" s="5">
        <f>IF(A156="","",N(INDEX(Projects[Act Controls Purchase],155)))</f>
        <v/>
      </c>
      <c r="BV156" s="5">
        <f>IF(A156="","",N(INDEX(Projects[Act Software Eng],155)))</f>
        <v/>
      </c>
      <c r="BW156" s="5">
        <f>IF(A156="","",N(INDEX(Projects[Act 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INDEX(Projects[Sold Value (USD M)],155)</f>
        <v/>
      </c>
      <c r="CE156" s="5" t="n"/>
      <c r="CF156" s="5">
        <f>IF(A156="","",N(INDEX(Projects[Est Mech Inst],155)))</f>
        <v/>
      </c>
      <c r="CG156" s="5">
        <f>IF(A156="","",N(INDEX(Projects[Est Elec Inst],155)))</f>
        <v/>
      </c>
      <c r="CH156" s="5">
        <f>IF(A156="","",N(INDEX(Projects[Est Project Management],155)))</f>
        <v/>
      </c>
      <c r="CI156" s="5">
        <f>IF(A156="","",N(INDEX(Projects[Est Systems Eng],155)))</f>
        <v/>
      </c>
      <c r="CJ156" s="5">
        <f>IF(A156="","",N(INDEX(Projects[Est Mechanical Eng],155)))</f>
        <v/>
      </c>
      <c r="CK156" s="5">
        <f>IF(A156="","",N(INDEX(Projects[Est Structural Engineering],155)))</f>
        <v/>
      </c>
      <c r="CL156" s="5">
        <f>IF(A156="","",N(INDEX(Projects[Est Site Sup],155)))</f>
        <v/>
      </c>
      <c r="CM156" s="5">
        <f>IF(A156="","",N(INDEX(Projects[Est Controls Commissioning],155)))</f>
        <v/>
      </c>
      <c r="CN156" s="5">
        <f>IF(A156="","",N(INDEX(Projects[Est Systems Commissioning],155)))</f>
        <v/>
      </c>
      <c r="CO156" s="5">
        <f>IF(A156="","",N(INDEX(Projects[Est Service Commissioning],155)))</f>
        <v/>
      </c>
      <c r="CP156" s="5">
        <f>IF(A156="","",N(INDEX(Projects[Est Controls Eng],155)))</f>
        <v/>
      </c>
      <c r="CQ156" s="5">
        <f>IF(A156="","",N(INDEX(Projects[Est Controls Purchase],155)))</f>
        <v/>
      </c>
      <c r="CR156" s="5">
        <f>IF(A156="","",N(INDEX(Projects[Est Software Eng],155)))</f>
        <v/>
      </c>
      <c r="CS156" s="5">
        <f>IF(A156="","",N(INDEX(Projects[Est Misc],155)))</f>
        <v/>
      </c>
      <c r="CT156" s="5">
        <f>IF(A156="","",SUM(CF156:CS156))</f>
        <v/>
      </c>
      <c r="CU156" s="5">
        <f>INDEX(Projects[Est Cost (M)],155)</f>
        <v/>
      </c>
      <c r="CV156" s="5">
        <f>INDEX(Projects[Act Cost (M)],155)</f>
        <v/>
      </c>
      <c r="CW156" s="5">
        <f>INDEX(Projects[Plan Mech Eng (wks)],155)</f>
        <v/>
      </c>
      <c r="CX156" s="5">
        <f>INDEX(Projects[Plan Controls Eng (wks)],155)</f>
        <v/>
      </c>
      <c r="CY156" s="5">
        <f>INDEX(Projects[Plan Systems Eng (wks)],155)</f>
        <v/>
      </c>
      <c r="CZ156" s="5">
        <f>INDEX(Projects[Plan Software Eng (wks)],155)</f>
        <v/>
      </c>
      <c r="DA156" s="5">
        <f>INDEX(Projects[Plan M&amp;E Installation (wks)],155)</f>
        <v/>
      </c>
      <c r="DB156" s="5">
        <f>INDEX(Projects[Plan Commissioning (wks)],155)</f>
        <v/>
      </c>
      <c r="DC156" s="5">
        <f>INDEX(Projects[Plan Total (wks)],155)</f>
        <v/>
      </c>
      <c r="DD156" s="5">
        <f>INDEX(Projects[Act Mech Eng (wks)],155)</f>
        <v/>
      </c>
      <c r="DE156" s="5">
        <f>INDEX(Projects[Act Controls Eng (wks)],155)</f>
        <v/>
      </c>
      <c r="DF156" s="5">
        <f>INDEX(Projects[Act Systems Eng (wks)],155)</f>
        <v/>
      </c>
      <c r="DG156" s="5">
        <f>INDEX(Projects[Act Software Eng (wks)],155)</f>
        <v/>
      </c>
      <c r="DH156" s="5">
        <f>INDEX(Projects[Act M&amp;E Installation (wks)],155)</f>
        <v/>
      </c>
      <c r="DI156" s="5">
        <f>INDEX(Projects[Act Commissioning (wks)],155)</f>
        <v/>
      </c>
      <c r="DJ156" s="5">
        <f>INDEX(Projects[Act Total (wks)],155)</f>
        <v/>
      </c>
    </row>
    <row r="157" ht="15" customHeight="1" s="82">
      <c r="A157" s="64">
        <f>INDEX(Projects[Project ID *],156)&amp;""</f>
        <v/>
      </c>
      <c r="B157" s="64">
        <f>INDEX(Projects[Project Name *],156)&amp;""</f>
        <v/>
      </c>
      <c r="C157" s="64">
        <f>INDEX(Projects[MS Shuttles],156)</f>
        <v/>
      </c>
      <c r="D157" s="64">
        <f>INDEX(Projects[MS Tote Locations],156)</f>
        <v/>
      </c>
      <c r="E157" s="64">
        <f>INDEX(Projects[AS Robots],156)</f>
        <v/>
      </c>
      <c r="F157" s="64">
        <f>INDEX(Projects[AS Tote Locations],156)</f>
        <v/>
      </c>
      <c r="G157" s="64">
        <f>INDEX(Projects[PS Shuttles],156)</f>
        <v/>
      </c>
      <c r="H157" s="64">
        <f>INDEX(Projects[PS Pallet Locations],156)</f>
        <v/>
      </c>
      <c r="I157" s="64">
        <f>INDEX(Projects[SRM Cranes],156)</f>
        <v/>
      </c>
      <c r="J157" s="64">
        <f>INDEX(Projects[SRM Pallet Locations],156)</f>
        <v/>
      </c>
      <c r="K157" s="64">
        <f>INDEX(Projects[Case Conv (m)],156)</f>
        <v/>
      </c>
      <c r="L157" s="64">
        <f>INDEX(Projects[Pallet Conv (m)],156)</f>
        <v/>
      </c>
      <c r="M157" s="64">
        <f>IF(N(DJ157)&gt;0,DD157,CW157)</f>
        <v/>
      </c>
      <c r="N157" s="64">
        <f>IF(N(DJ157)&gt;0,DE157,CX157)</f>
        <v/>
      </c>
      <c r="O157" s="64">
        <f>IF(N(DJ157)&gt;0,DF157,CY157)</f>
        <v/>
      </c>
      <c r="P157" s="64">
        <f>IF(N(DJ157)&gt;0,DG157,CZ157)</f>
        <v/>
      </c>
      <c r="Q157" s="64">
        <f>IF(N(DJ157)&gt;0,DH157,DA157)</f>
        <v/>
      </c>
      <c r="R157" s="64">
        <f>IF(N(DJ157)&gt;0,DI157,DB157)</f>
        <v/>
      </c>
      <c r="S157" s="64">
        <f>IF(N(DJ157)&gt;0,DJ157,DC157)</f>
        <v/>
      </c>
      <c r="T157" s="64">
        <f>INDEX(Projects[Currency],156)&amp;""</f>
        <v/>
      </c>
      <c r="U157" s="65">
        <f>INDEX(Projects[Sold Value (M)],156)</f>
        <v/>
      </c>
      <c r="V157" s="64">
        <f>IF('Smart Search'!B13=1,IFERROR(1/'Smart Search'!H13,0),0)</f>
        <v/>
      </c>
      <c r="W157" s="64">
        <f>IF('Smart Search'!B13=1,IFERROR(1/'Smart Search'!H13,0),0)</f>
        <v/>
      </c>
      <c r="X157" s="64">
        <f>IF('Smart Search'!C13=1,IFERROR(1/'Smart Search'!H13,0),0)</f>
        <v/>
      </c>
      <c r="Y157" s="64">
        <f>IF('Smart Search'!C13=1,IFERROR(1/'Smart Search'!H13,0),0)</f>
        <v/>
      </c>
      <c r="Z157" s="64">
        <f>IF('Smart Search'!D13=1,IFERROR(1/'Smart Search'!H13,0),0)</f>
        <v/>
      </c>
      <c r="AA157" s="64">
        <f>IF('Smart Search'!D13=1,IFERROR(1/'Smart Search'!H13,0),0)</f>
        <v/>
      </c>
      <c r="AB157" s="64">
        <f>IF('Smart Search'!E13=1,IFERROR(1/'Smart Search'!H13,0),0)</f>
        <v/>
      </c>
      <c r="AC157" s="64">
        <f>IF('Smart Search'!E13=1,IFERROR(1/'Smart Search'!H13,0),0)</f>
        <v/>
      </c>
      <c r="AD157" s="64">
        <f>IF('Smart Search'!F13=1,IFERROR(1/'Smart Search'!H13,0),0)</f>
        <v/>
      </c>
      <c r="AE157" s="64">
        <f>IF('Smart Search'!F13=1,IFERROR(1/'Smart Search'!H13,0),0)</f>
        <v/>
      </c>
      <c r="AF157" s="64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4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4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4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4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4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4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4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4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4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4">
        <f>AF157*V157</f>
        <v/>
      </c>
      <c r="AQ157" s="64">
        <f>AG157*W157</f>
        <v/>
      </c>
      <c r="AR157" s="64">
        <f>AH157*X157</f>
        <v/>
      </c>
      <c r="AS157" s="64">
        <f>AI157*Y157</f>
        <v/>
      </c>
      <c r="AT157" s="64">
        <f>AJ157*Z157</f>
        <v/>
      </c>
      <c r="AU157" s="64">
        <f>AK157*AA157</f>
        <v/>
      </c>
      <c r="AV157" s="64">
        <f>AL157*AB157</f>
        <v/>
      </c>
      <c r="AW157" s="64">
        <f>AM157*AC157</f>
        <v/>
      </c>
      <c r="AX157" s="64">
        <f>AN157*AD157</f>
        <v/>
      </c>
      <c r="AY157" s="64">
        <f>AO157*AE157</f>
        <v/>
      </c>
      <c r="AZ157" s="64">
        <f>INDEX(Projects[Automation Equipment],156)&amp;""</f>
        <v/>
      </c>
      <c r="BA157" s="64">
        <f>IF(OR(A157="",'Smart Search'!H13=0),"",MAX(0,BE157*BF157*MAX(0,1-BG157)))</f>
        <v/>
      </c>
      <c r="BB157" s="64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4">
        <f>IF('Smart Search'!G13=1,IFERROR(1/'Smart Search'!H13,0),0)</f>
        <v/>
      </c>
      <c r="BD157" s="64">
        <f>BB157*BC157</f>
        <v/>
      </c>
      <c r="BE157" s="64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IF(A157="","",N(INDEX(Projects[Act Mech Inst],156)))</f>
        <v/>
      </c>
      <c r="BK157" s="5">
        <f>IF(A157="","",N(INDEX(Projects[Act Elec Inst],156)))</f>
        <v/>
      </c>
      <c r="BL157" s="5">
        <f>IF(A157="","",N(INDEX(Projects[Act Project Management],156)))</f>
        <v/>
      </c>
      <c r="BM157" s="5">
        <f>IF(A157="","",N(INDEX(Projects[Act Systems Eng],156)))</f>
        <v/>
      </c>
      <c r="BN157" s="5">
        <f>IF(A157="","",N(INDEX(Projects[Act Mechanical Eng],156)))</f>
        <v/>
      </c>
      <c r="BO157" s="5">
        <f>IF(A157="","",N(INDEX(Projects[Act Structural Engineering],156)))</f>
        <v/>
      </c>
      <c r="BP157" s="5">
        <f>IF(A157="","",N(INDEX(Projects[Act Site Sup],156)))</f>
        <v/>
      </c>
      <c r="BQ157" s="5">
        <f>IF(A157="","",N(INDEX(Projects[Act Controls Commissioning],156)))</f>
        <v/>
      </c>
      <c r="BR157" s="5">
        <f>IF(A157="","",N(INDEX(Projects[Act Systems Commissioning],156)))</f>
        <v/>
      </c>
      <c r="BS157" s="5">
        <f>IF(A157="","",N(INDEX(Projects[Act Service Commissioning],156)))</f>
        <v/>
      </c>
      <c r="BT157" s="5">
        <f>IF(A157="","",N(INDEX(Projects[Act Controls Eng],156)))</f>
        <v/>
      </c>
      <c r="BU157" s="5">
        <f>IF(A157="","",N(INDEX(Projects[Act Controls Purchase],156)))</f>
        <v/>
      </c>
      <c r="BV157" s="5">
        <f>IF(A157="","",N(INDEX(Projects[Act Software Eng],156)))</f>
        <v/>
      </c>
      <c r="BW157" s="5">
        <f>IF(A157="","",N(INDEX(Projects[Act 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INDEX(Projects[Sold Value (USD M)],156)</f>
        <v/>
      </c>
      <c r="CE157" s="5" t="n"/>
      <c r="CF157" s="5">
        <f>IF(A157="","",N(INDEX(Projects[Est Mech Inst],156)))</f>
        <v/>
      </c>
      <c r="CG157" s="5">
        <f>IF(A157="","",N(INDEX(Projects[Est Elec Inst],156)))</f>
        <v/>
      </c>
      <c r="CH157" s="5">
        <f>IF(A157="","",N(INDEX(Projects[Est Project Management],156)))</f>
        <v/>
      </c>
      <c r="CI157" s="5">
        <f>IF(A157="","",N(INDEX(Projects[Est Systems Eng],156)))</f>
        <v/>
      </c>
      <c r="CJ157" s="5">
        <f>IF(A157="","",N(INDEX(Projects[Est Mechanical Eng],156)))</f>
        <v/>
      </c>
      <c r="CK157" s="5">
        <f>IF(A157="","",N(INDEX(Projects[Est Structural Engineering],156)))</f>
        <v/>
      </c>
      <c r="CL157" s="5">
        <f>IF(A157="","",N(INDEX(Projects[Est Site Sup],156)))</f>
        <v/>
      </c>
      <c r="CM157" s="5">
        <f>IF(A157="","",N(INDEX(Projects[Est Controls Commissioning],156)))</f>
        <v/>
      </c>
      <c r="CN157" s="5">
        <f>IF(A157="","",N(INDEX(Projects[Est Systems Commissioning],156)))</f>
        <v/>
      </c>
      <c r="CO157" s="5">
        <f>IF(A157="","",N(INDEX(Projects[Est Service Commissioning],156)))</f>
        <v/>
      </c>
      <c r="CP157" s="5">
        <f>IF(A157="","",N(INDEX(Projects[Est Controls Eng],156)))</f>
        <v/>
      </c>
      <c r="CQ157" s="5">
        <f>IF(A157="","",N(INDEX(Projects[Est Controls Purchase],156)))</f>
        <v/>
      </c>
      <c r="CR157" s="5">
        <f>IF(A157="","",N(INDEX(Projects[Est Software Eng],156)))</f>
        <v/>
      </c>
      <c r="CS157" s="5">
        <f>IF(A157="","",N(INDEX(Projects[Est Misc],156)))</f>
        <v/>
      </c>
      <c r="CT157" s="5">
        <f>IF(A157="","",SUM(CF157:CS157))</f>
        <v/>
      </c>
      <c r="CU157" s="5">
        <f>INDEX(Projects[Est Cost (M)],156)</f>
        <v/>
      </c>
      <c r="CV157" s="5">
        <f>INDEX(Projects[Act Cost (M)],156)</f>
        <v/>
      </c>
      <c r="CW157" s="5">
        <f>INDEX(Projects[Plan Mech Eng (wks)],156)</f>
        <v/>
      </c>
      <c r="CX157" s="5">
        <f>INDEX(Projects[Plan Controls Eng (wks)],156)</f>
        <v/>
      </c>
      <c r="CY157" s="5">
        <f>INDEX(Projects[Plan Systems Eng (wks)],156)</f>
        <v/>
      </c>
      <c r="CZ157" s="5">
        <f>INDEX(Projects[Plan Software Eng (wks)],156)</f>
        <v/>
      </c>
      <c r="DA157" s="5">
        <f>INDEX(Projects[Plan M&amp;E Installation (wks)],156)</f>
        <v/>
      </c>
      <c r="DB157" s="5">
        <f>INDEX(Projects[Plan Commissioning (wks)],156)</f>
        <v/>
      </c>
      <c r="DC157" s="5">
        <f>INDEX(Projects[Plan Total (wks)],156)</f>
        <v/>
      </c>
      <c r="DD157" s="5">
        <f>INDEX(Projects[Act Mech Eng (wks)],156)</f>
        <v/>
      </c>
      <c r="DE157" s="5">
        <f>INDEX(Projects[Act Controls Eng (wks)],156)</f>
        <v/>
      </c>
      <c r="DF157" s="5">
        <f>INDEX(Projects[Act Systems Eng (wks)],156)</f>
        <v/>
      </c>
      <c r="DG157" s="5">
        <f>INDEX(Projects[Act Software Eng (wks)],156)</f>
        <v/>
      </c>
      <c r="DH157" s="5">
        <f>INDEX(Projects[Act M&amp;E Installation (wks)],156)</f>
        <v/>
      </c>
      <c r="DI157" s="5">
        <f>INDEX(Projects[Act Commissioning (wks)],156)</f>
        <v/>
      </c>
      <c r="DJ157" s="5">
        <f>INDEX(Projects[Act Total (wks)],156)</f>
        <v/>
      </c>
    </row>
    <row r="158" ht="15" customHeight="1" s="82">
      <c r="A158" s="64">
        <f>INDEX(Projects[Project ID *],157)&amp;""</f>
        <v/>
      </c>
      <c r="B158" s="64">
        <f>INDEX(Projects[Project Name *],157)&amp;""</f>
        <v/>
      </c>
      <c r="C158" s="64">
        <f>INDEX(Projects[MS Shuttles],157)</f>
        <v/>
      </c>
      <c r="D158" s="64">
        <f>INDEX(Projects[MS Tote Locations],157)</f>
        <v/>
      </c>
      <c r="E158" s="64">
        <f>INDEX(Projects[AS Robots],157)</f>
        <v/>
      </c>
      <c r="F158" s="64">
        <f>INDEX(Projects[AS Tote Locations],157)</f>
        <v/>
      </c>
      <c r="G158" s="64">
        <f>INDEX(Projects[PS Shuttles],157)</f>
        <v/>
      </c>
      <c r="H158" s="64">
        <f>INDEX(Projects[PS Pallet Locations],157)</f>
        <v/>
      </c>
      <c r="I158" s="64">
        <f>INDEX(Projects[SRM Cranes],157)</f>
        <v/>
      </c>
      <c r="J158" s="64">
        <f>INDEX(Projects[SRM Pallet Locations],157)</f>
        <v/>
      </c>
      <c r="K158" s="64">
        <f>INDEX(Projects[Case Conv (m)],157)</f>
        <v/>
      </c>
      <c r="L158" s="64">
        <f>INDEX(Projects[Pallet Conv (m)],157)</f>
        <v/>
      </c>
      <c r="M158" s="64">
        <f>IF(N(DJ158)&gt;0,DD158,CW158)</f>
        <v/>
      </c>
      <c r="N158" s="64">
        <f>IF(N(DJ158)&gt;0,DE158,CX158)</f>
        <v/>
      </c>
      <c r="O158" s="64">
        <f>IF(N(DJ158)&gt;0,DF158,CY158)</f>
        <v/>
      </c>
      <c r="P158" s="64">
        <f>IF(N(DJ158)&gt;0,DG158,CZ158)</f>
        <v/>
      </c>
      <c r="Q158" s="64">
        <f>IF(N(DJ158)&gt;0,DH158,DA158)</f>
        <v/>
      </c>
      <c r="R158" s="64">
        <f>IF(N(DJ158)&gt;0,DI158,DB158)</f>
        <v/>
      </c>
      <c r="S158" s="64">
        <f>IF(N(DJ158)&gt;0,DJ158,DC158)</f>
        <v/>
      </c>
      <c r="T158" s="64">
        <f>INDEX(Projects[Currency],157)&amp;""</f>
        <v/>
      </c>
      <c r="U158" s="65">
        <f>INDEX(Projects[Sold Value (M)],157)</f>
        <v/>
      </c>
      <c r="V158" s="64">
        <f>IF('Smart Search'!B13=1,IFERROR(1/'Smart Search'!H13,0),0)</f>
        <v/>
      </c>
      <c r="W158" s="64">
        <f>IF('Smart Search'!B13=1,IFERROR(1/'Smart Search'!H13,0),0)</f>
        <v/>
      </c>
      <c r="X158" s="64">
        <f>IF('Smart Search'!C13=1,IFERROR(1/'Smart Search'!H13,0),0)</f>
        <v/>
      </c>
      <c r="Y158" s="64">
        <f>IF('Smart Search'!C13=1,IFERROR(1/'Smart Search'!H13,0),0)</f>
        <v/>
      </c>
      <c r="Z158" s="64">
        <f>IF('Smart Search'!D13=1,IFERROR(1/'Smart Search'!H13,0),0)</f>
        <v/>
      </c>
      <c r="AA158" s="64">
        <f>IF('Smart Search'!D13=1,IFERROR(1/'Smart Search'!H13,0),0)</f>
        <v/>
      </c>
      <c r="AB158" s="64">
        <f>IF('Smart Search'!E13=1,IFERROR(1/'Smart Search'!H13,0),0)</f>
        <v/>
      </c>
      <c r="AC158" s="64">
        <f>IF('Smart Search'!E13=1,IFERROR(1/'Smart Search'!H13,0),0)</f>
        <v/>
      </c>
      <c r="AD158" s="64">
        <f>IF('Smart Search'!F13=1,IFERROR(1/'Smart Search'!H13,0),0)</f>
        <v/>
      </c>
      <c r="AE158" s="64">
        <f>IF('Smart Search'!F13=1,IFERROR(1/'Smart Search'!H13,0),0)</f>
        <v/>
      </c>
      <c r="AF158" s="64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4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4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4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4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4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4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4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4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4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4">
        <f>AF158*V158</f>
        <v/>
      </c>
      <c r="AQ158" s="64">
        <f>AG158*W158</f>
        <v/>
      </c>
      <c r="AR158" s="64">
        <f>AH158*X158</f>
        <v/>
      </c>
      <c r="AS158" s="64">
        <f>AI158*Y158</f>
        <v/>
      </c>
      <c r="AT158" s="64">
        <f>AJ158*Z158</f>
        <v/>
      </c>
      <c r="AU158" s="64">
        <f>AK158*AA158</f>
        <v/>
      </c>
      <c r="AV158" s="64">
        <f>AL158*AB158</f>
        <v/>
      </c>
      <c r="AW158" s="64">
        <f>AM158*AC158</f>
        <v/>
      </c>
      <c r="AX158" s="64">
        <f>AN158*AD158</f>
        <v/>
      </c>
      <c r="AY158" s="64">
        <f>AO158*AE158</f>
        <v/>
      </c>
      <c r="AZ158" s="64">
        <f>INDEX(Projects[Automation Equipment],157)&amp;""</f>
        <v/>
      </c>
      <c r="BA158" s="64">
        <f>IF(OR(A158="",'Smart Search'!H13=0),"",MAX(0,BE158*BF158*MAX(0,1-BG158)))</f>
        <v/>
      </c>
      <c r="BB158" s="64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4">
        <f>IF('Smart Search'!G13=1,IFERROR(1/'Smart Search'!H13,0),0)</f>
        <v/>
      </c>
      <c r="BD158" s="64">
        <f>BB158*BC158</f>
        <v/>
      </c>
      <c r="BE158" s="64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IF(A158="","",N(INDEX(Projects[Act Mech Inst],157)))</f>
        <v/>
      </c>
      <c r="BK158" s="5">
        <f>IF(A158="","",N(INDEX(Projects[Act Elec Inst],157)))</f>
        <v/>
      </c>
      <c r="BL158" s="5">
        <f>IF(A158="","",N(INDEX(Projects[Act Project Management],157)))</f>
        <v/>
      </c>
      <c r="BM158" s="5">
        <f>IF(A158="","",N(INDEX(Projects[Act Systems Eng],157)))</f>
        <v/>
      </c>
      <c r="BN158" s="5">
        <f>IF(A158="","",N(INDEX(Projects[Act Mechanical Eng],157)))</f>
        <v/>
      </c>
      <c r="BO158" s="5">
        <f>IF(A158="","",N(INDEX(Projects[Act Structural Engineering],157)))</f>
        <v/>
      </c>
      <c r="BP158" s="5">
        <f>IF(A158="","",N(INDEX(Projects[Act Site Sup],157)))</f>
        <v/>
      </c>
      <c r="BQ158" s="5">
        <f>IF(A158="","",N(INDEX(Projects[Act Controls Commissioning],157)))</f>
        <v/>
      </c>
      <c r="BR158" s="5">
        <f>IF(A158="","",N(INDEX(Projects[Act Systems Commissioning],157)))</f>
        <v/>
      </c>
      <c r="BS158" s="5">
        <f>IF(A158="","",N(INDEX(Projects[Act Service Commissioning],157)))</f>
        <v/>
      </c>
      <c r="BT158" s="5">
        <f>IF(A158="","",N(INDEX(Projects[Act Controls Eng],157)))</f>
        <v/>
      </c>
      <c r="BU158" s="5">
        <f>IF(A158="","",N(INDEX(Projects[Act Controls Purchase],157)))</f>
        <v/>
      </c>
      <c r="BV158" s="5">
        <f>IF(A158="","",N(INDEX(Projects[Act Software Eng],157)))</f>
        <v/>
      </c>
      <c r="BW158" s="5">
        <f>IF(A158="","",N(INDEX(Projects[Act 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INDEX(Projects[Sold Value (USD M)],157)</f>
        <v/>
      </c>
      <c r="CE158" s="5" t="n"/>
      <c r="CF158" s="5">
        <f>IF(A158="","",N(INDEX(Projects[Est Mech Inst],157)))</f>
        <v/>
      </c>
      <c r="CG158" s="5">
        <f>IF(A158="","",N(INDEX(Projects[Est Elec Inst],157)))</f>
        <v/>
      </c>
      <c r="CH158" s="5">
        <f>IF(A158="","",N(INDEX(Projects[Est Project Management],157)))</f>
        <v/>
      </c>
      <c r="CI158" s="5">
        <f>IF(A158="","",N(INDEX(Projects[Est Systems Eng],157)))</f>
        <v/>
      </c>
      <c r="CJ158" s="5">
        <f>IF(A158="","",N(INDEX(Projects[Est Mechanical Eng],157)))</f>
        <v/>
      </c>
      <c r="CK158" s="5">
        <f>IF(A158="","",N(INDEX(Projects[Est Structural Engineering],157)))</f>
        <v/>
      </c>
      <c r="CL158" s="5">
        <f>IF(A158="","",N(INDEX(Projects[Est Site Sup],157)))</f>
        <v/>
      </c>
      <c r="CM158" s="5">
        <f>IF(A158="","",N(INDEX(Projects[Est Controls Commissioning],157)))</f>
        <v/>
      </c>
      <c r="CN158" s="5">
        <f>IF(A158="","",N(INDEX(Projects[Est Systems Commissioning],157)))</f>
        <v/>
      </c>
      <c r="CO158" s="5">
        <f>IF(A158="","",N(INDEX(Projects[Est Service Commissioning],157)))</f>
        <v/>
      </c>
      <c r="CP158" s="5">
        <f>IF(A158="","",N(INDEX(Projects[Est Controls Eng],157)))</f>
        <v/>
      </c>
      <c r="CQ158" s="5">
        <f>IF(A158="","",N(INDEX(Projects[Est Controls Purchase],157)))</f>
        <v/>
      </c>
      <c r="CR158" s="5">
        <f>IF(A158="","",N(INDEX(Projects[Est Software Eng],157)))</f>
        <v/>
      </c>
      <c r="CS158" s="5">
        <f>IF(A158="","",N(INDEX(Projects[Est Misc],157)))</f>
        <v/>
      </c>
      <c r="CT158" s="5">
        <f>IF(A158="","",SUM(CF158:CS158))</f>
        <v/>
      </c>
      <c r="CU158" s="5">
        <f>INDEX(Projects[Est Cost (M)],157)</f>
        <v/>
      </c>
      <c r="CV158" s="5">
        <f>INDEX(Projects[Act Cost (M)],157)</f>
        <v/>
      </c>
      <c r="CW158" s="5">
        <f>INDEX(Projects[Plan Mech Eng (wks)],157)</f>
        <v/>
      </c>
      <c r="CX158" s="5">
        <f>INDEX(Projects[Plan Controls Eng (wks)],157)</f>
        <v/>
      </c>
      <c r="CY158" s="5">
        <f>INDEX(Projects[Plan Systems Eng (wks)],157)</f>
        <v/>
      </c>
      <c r="CZ158" s="5">
        <f>INDEX(Projects[Plan Software Eng (wks)],157)</f>
        <v/>
      </c>
      <c r="DA158" s="5">
        <f>INDEX(Projects[Plan M&amp;E Installation (wks)],157)</f>
        <v/>
      </c>
      <c r="DB158" s="5">
        <f>INDEX(Projects[Plan Commissioning (wks)],157)</f>
        <v/>
      </c>
      <c r="DC158" s="5">
        <f>INDEX(Projects[Plan Total (wks)],157)</f>
        <v/>
      </c>
      <c r="DD158" s="5">
        <f>INDEX(Projects[Act Mech Eng (wks)],157)</f>
        <v/>
      </c>
      <c r="DE158" s="5">
        <f>INDEX(Projects[Act Controls Eng (wks)],157)</f>
        <v/>
      </c>
      <c r="DF158" s="5">
        <f>INDEX(Projects[Act Systems Eng (wks)],157)</f>
        <v/>
      </c>
      <c r="DG158" s="5">
        <f>INDEX(Projects[Act Software Eng (wks)],157)</f>
        <v/>
      </c>
      <c r="DH158" s="5">
        <f>INDEX(Projects[Act M&amp;E Installation (wks)],157)</f>
        <v/>
      </c>
      <c r="DI158" s="5">
        <f>INDEX(Projects[Act Commissioning (wks)],157)</f>
        <v/>
      </c>
      <c r="DJ158" s="5">
        <f>INDEX(Projects[Act Total (wks)],157)</f>
        <v/>
      </c>
    </row>
    <row r="159" ht="15" customHeight="1" s="82">
      <c r="A159" s="64">
        <f>INDEX(Projects[Project ID *],158)&amp;""</f>
        <v/>
      </c>
      <c r="B159" s="64">
        <f>INDEX(Projects[Project Name *],158)&amp;""</f>
        <v/>
      </c>
      <c r="C159" s="64">
        <f>INDEX(Projects[MS Shuttles],158)</f>
        <v/>
      </c>
      <c r="D159" s="64">
        <f>INDEX(Projects[MS Tote Locations],158)</f>
        <v/>
      </c>
      <c r="E159" s="64">
        <f>INDEX(Projects[AS Robots],158)</f>
        <v/>
      </c>
      <c r="F159" s="64">
        <f>INDEX(Projects[AS Tote Locations],158)</f>
        <v/>
      </c>
      <c r="G159" s="64">
        <f>INDEX(Projects[PS Shuttles],158)</f>
        <v/>
      </c>
      <c r="H159" s="64">
        <f>INDEX(Projects[PS Pallet Locations],158)</f>
        <v/>
      </c>
      <c r="I159" s="64">
        <f>INDEX(Projects[SRM Cranes],158)</f>
        <v/>
      </c>
      <c r="J159" s="64">
        <f>INDEX(Projects[SRM Pallet Locations],158)</f>
        <v/>
      </c>
      <c r="K159" s="64">
        <f>INDEX(Projects[Case Conv (m)],158)</f>
        <v/>
      </c>
      <c r="L159" s="64">
        <f>INDEX(Projects[Pallet Conv (m)],158)</f>
        <v/>
      </c>
      <c r="M159" s="64">
        <f>IF(N(DJ159)&gt;0,DD159,CW159)</f>
        <v/>
      </c>
      <c r="N159" s="64">
        <f>IF(N(DJ159)&gt;0,DE159,CX159)</f>
        <v/>
      </c>
      <c r="O159" s="64">
        <f>IF(N(DJ159)&gt;0,DF159,CY159)</f>
        <v/>
      </c>
      <c r="P159" s="64">
        <f>IF(N(DJ159)&gt;0,DG159,CZ159)</f>
        <v/>
      </c>
      <c r="Q159" s="64">
        <f>IF(N(DJ159)&gt;0,DH159,DA159)</f>
        <v/>
      </c>
      <c r="R159" s="64">
        <f>IF(N(DJ159)&gt;0,DI159,DB159)</f>
        <v/>
      </c>
      <c r="S159" s="64">
        <f>IF(N(DJ159)&gt;0,DJ159,DC159)</f>
        <v/>
      </c>
      <c r="T159" s="64">
        <f>INDEX(Projects[Currency],158)&amp;""</f>
        <v/>
      </c>
      <c r="U159" s="65">
        <f>INDEX(Projects[Sold Value (M)],158)</f>
        <v/>
      </c>
      <c r="V159" s="64">
        <f>IF('Smart Search'!B13=1,IFERROR(1/'Smart Search'!H13,0),0)</f>
        <v/>
      </c>
      <c r="W159" s="64">
        <f>IF('Smart Search'!B13=1,IFERROR(1/'Smart Search'!H13,0),0)</f>
        <v/>
      </c>
      <c r="X159" s="64">
        <f>IF('Smart Search'!C13=1,IFERROR(1/'Smart Search'!H13,0),0)</f>
        <v/>
      </c>
      <c r="Y159" s="64">
        <f>IF('Smart Search'!C13=1,IFERROR(1/'Smart Search'!H13,0),0)</f>
        <v/>
      </c>
      <c r="Z159" s="64">
        <f>IF('Smart Search'!D13=1,IFERROR(1/'Smart Search'!H13,0),0)</f>
        <v/>
      </c>
      <c r="AA159" s="64">
        <f>IF('Smart Search'!D13=1,IFERROR(1/'Smart Search'!H13,0),0)</f>
        <v/>
      </c>
      <c r="AB159" s="64">
        <f>IF('Smart Search'!E13=1,IFERROR(1/'Smart Search'!H13,0),0)</f>
        <v/>
      </c>
      <c r="AC159" s="64">
        <f>IF('Smart Search'!E13=1,IFERROR(1/'Smart Search'!H13,0),0)</f>
        <v/>
      </c>
      <c r="AD159" s="64">
        <f>IF('Smart Search'!F13=1,IFERROR(1/'Smart Search'!H13,0),0)</f>
        <v/>
      </c>
      <c r="AE159" s="64">
        <f>IF('Smart Search'!F13=1,IFERROR(1/'Smart Search'!H13,0),0)</f>
        <v/>
      </c>
      <c r="AF159" s="64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4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4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4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4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4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4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4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4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4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4">
        <f>AF159*V159</f>
        <v/>
      </c>
      <c r="AQ159" s="64">
        <f>AG159*W159</f>
        <v/>
      </c>
      <c r="AR159" s="64">
        <f>AH159*X159</f>
        <v/>
      </c>
      <c r="AS159" s="64">
        <f>AI159*Y159</f>
        <v/>
      </c>
      <c r="AT159" s="64">
        <f>AJ159*Z159</f>
        <v/>
      </c>
      <c r="AU159" s="64">
        <f>AK159*AA159</f>
        <v/>
      </c>
      <c r="AV159" s="64">
        <f>AL159*AB159</f>
        <v/>
      </c>
      <c r="AW159" s="64">
        <f>AM159*AC159</f>
        <v/>
      </c>
      <c r="AX159" s="64">
        <f>AN159*AD159</f>
        <v/>
      </c>
      <c r="AY159" s="64">
        <f>AO159*AE159</f>
        <v/>
      </c>
      <c r="AZ159" s="64">
        <f>INDEX(Projects[Automation Equipment],158)&amp;""</f>
        <v/>
      </c>
      <c r="BA159" s="64">
        <f>IF(OR(A159="",'Smart Search'!H13=0),"",MAX(0,BE159*BF159*MAX(0,1-BG159)))</f>
        <v/>
      </c>
      <c r="BB159" s="64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4">
        <f>IF('Smart Search'!G13=1,IFERROR(1/'Smart Search'!H13,0),0)</f>
        <v/>
      </c>
      <c r="BD159" s="64">
        <f>BB159*BC159</f>
        <v/>
      </c>
      <c r="BE159" s="64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IF(A159="","",N(INDEX(Projects[Act Mech Inst],158)))</f>
        <v/>
      </c>
      <c r="BK159" s="5">
        <f>IF(A159="","",N(INDEX(Projects[Act Elec Inst],158)))</f>
        <v/>
      </c>
      <c r="BL159" s="5">
        <f>IF(A159="","",N(INDEX(Projects[Act Project Management],158)))</f>
        <v/>
      </c>
      <c r="BM159" s="5">
        <f>IF(A159="","",N(INDEX(Projects[Act Systems Eng],158)))</f>
        <v/>
      </c>
      <c r="BN159" s="5">
        <f>IF(A159="","",N(INDEX(Projects[Act Mechanical Eng],158)))</f>
        <v/>
      </c>
      <c r="BO159" s="5">
        <f>IF(A159="","",N(INDEX(Projects[Act Structural Engineering],158)))</f>
        <v/>
      </c>
      <c r="BP159" s="5">
        <f>IF(A159="","",N(INDEX(Projects[Act Site Sup],158)))</f>
        <v/>
      </c>
      <c r="BQ159" s="5">
        <f>IF(A159="","",N(INDEX(Projects[Act Controls Commissioning],158)))</f>
        <v/>
      </c>
      <c r="BR159" s="5">
        <f>IF(A159="","",N(INDEX(Projects[Act Systems Commissioning],158)))</f>
        <v/>
      </c>
      <c r="BS159" s="5">
        <f>IF(A159="","",N(INDEX(Projects[Act Service Commissioning],158)))</f>
        <v/>
      </c>
      <c r="BT159" s="5">
        <f>IF(A159="","",N(INDEX(Projects[Act Controls Eng],158)))</f>
        <v/>
      </c>
      <c r="BU159" s="5">
        <f>IF(A159="","",N(INDEX(Projects[Act Controls Purchase],158)))</f>
        <v/>
      </c>
      <c r="BV159" s="5">
        <f>IF(A159="","",N(INDEX(Projects[Act Software Eng],158)))</f>
        <v/>
      </c>
      <c r="BW159" s="5">
        <f>IF(A159="","",N(INDEX(Projects[Act 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INDEX(Projects[Sold Value (USD M)],158)</f>
        <v/>
      </c>
      <c r="CE159" s="5" t="n"/>
      <c r="CF159" s="5">
        <f>IF(A159="","",N(INDEX(Projects[Est Mech Inst],158)))</f>
        <v/>
      </c>
      <c r="CG159" s="5">
        <f>IF(A159="","",N(INDEX(Projects[Est Elec Inst],158)))</f>
        <v/>
      </c>
      <c r="CH159" s="5">
        <f>IF(A159="","",N(INDEX(Projects[Est Project Management],158)))</f>
        <v/>
      </c>
      <c r="CI159" s="5">
        <f>IF(A159="","",N(INDEX(Projects[Est Systems Eng],158)))</f>
        <v/>
      </c>
      <c r="CJ159" s="5">
        <f>IF(A159="","",N(INDEX(Projects[Est Mechanical Eng],158)))</f>
        <v/>
      </c>
      <c r="CK159" s="5">
        <f>IF(A159="","",N(INDEX(Projects[Est Structural Engineering],158)))</f>
        <v/>
      </c>
      <c r="CL159" s="5">
        <f>IF(A159="","",N(INDEX(Projects[Est Site Sup],158)))</f>
        <v/>
      </c>
      <c r="CM159" s="5">
        <f>IF(A159="","",N(INDEX(Projects[Est Controls Commissioning],158)))</f>
        <v/>
      </c>
      <c r="CN159" s="5">
        <f>IF(A159="","",N(INDEX(Projects[Est Systems Commissioning],158)))</f>
        <v/>
      </c>
      <c r="CO159" s="5">
        <f>IF(A159="","",N(INDEX(Projects[Est Service Commissioning],158)))</f>
        <v/>
      </c>
      <c r="CP159" s="5">
        <f>IF(A159="","",N(INDEX(Projects[Est Controls Eng],158)))</f>
        <v/>
      </c>
      <c r="CQ159" s="5">
        <f>IF(A159="","",N(INDEX(Projects[Est Controls Purchase],158)))</f>
        <v/>
      </c>
      <c r="CR159" s="5">
        <f>IF(A159="","",N(INDEX(Projects[Est Software Eng],158)))</f>
        <v/>
      </c>
      <c r="CS159" s="5">
        <f>IF(A159="","",N(INDEX(Projects[Est Misc],158)))</f>
        <v/>
      </c>
      <c r="CT159" s="5">
        <f>IF(A159="","",SUM(CF159:CS159))</f>
        <v/>
      </c>
      <c r="CU159" s="5">
        <f>INDEX(Projects[Est Cost (M)],158)</f>
        <v/>
      </c>
      <c r="CV159" s="5">
        <f>INDEX(Projects[Act Cost (M)],158)</f>
        <v/>
      </c>
      <c r="CW159" s="5">
        <f>INDEX(Projects[Plan Mech Eng (wks)],158)</f>
        <v/>
      </c>
      <c r="CX159" s="5">
        <f>INDEX(Projects[Plan Controls Eng (wks)],158)</f>
        <v/>
      </c>
      <c r="CY159" s="5">
        <f>INDEX(Projects[Plan Systems Eng (wks)],158)</f>
        <v/>
      </c>
      <c r="CZ159" s="5">
        <f>INDEX(Projects[Plan Software Eng (wks)],158)</f>
        <v/>
      </c>
      <c r="DA159" s="5">
        <f>INDEX(Projects[Plan M&amp;E Installation (wks)],158)</f>
        <v/>
      </c>
      <c r="DB159" s="5">
        <f>INDEX(Projects[Plan Commissioning (wks)],158)</f>
        <v/>
      </c>
      <c r="DC159" s="5">
        <f>INDEX(Projects[Plan Total (wks)],158)</f>
        <v/>
      </c>
      <c r="DD159" s="5">
        <f>INDEX(Projects[Act Mech Eng (wks)],158)</f>
        <v/>
      </c>
      <c r="DE159" s="5">
        <f>INDEX(Projects[Act Controls Eng (wks)],158)</f>
        <v/>
      </c>
      <c r="DF159" s="5">
        <f>INDEX(Projects[Act Systems Eng (wks)],158)</f>
        <v/>
      </c>
      <c r="DG159" s="5">
        <f>INDEX(Projects[Act Software Eng (wks)],158)</f>
        <v/>
      </c>
      <c r="DH159" s="5">
        <f>INDEX(Projects[Act M&amp;E Installation (wks)],158)</f>
        <v/>
      </c>
      <c r="DI159" s="5">
        <f>INDEX(Projects[Act Commissioning (wks)],158)</f>
        <v/>
      </c>
      <c r="DJ159" s="5">
        <f>INDEX(Projects[Act Total (wks)],158)</f>
        <v/>
      </c>
    </row>
    <row r="160" ht="15" customHeight="1" s="82">
      <c r="A160" s="64">
        <f>INDEX(Projects[Project ID *],159)&amp;""</f>
        <v/>
      </c>
      <c r="B160" s="64">
        <f>INDEX(Projects[Project Name *],159)&amp;""</f>
        <v/>
      </c>
      <c r="C160" s="64">
        <f>INDEX(Projects[MS Shuttles],159)</f>
        <v/>
      </c>
      <c r="D160" s="64">
        <f>INDEX(Projects[MS Tote Locations],159)</f>
        <v/>
      </c>
      <c r="E160" s="64">
        <f>INDEX(Projects[AS Robots],159)</f>
        <v/>
      </c>
      <c r="F160" s="64">
        <f>INDEX(Projects[AS Tote Locations],159)</f>
        <v/>
      </c>
      <c r="G160" s="64">
        <f>INDEX(Projects[PS Shuttles],159)</f>
        <v/>
      </c>
      <c r="H160" s="64">
        <f>INDEX(Projects[PS Pallet Locations],159)</f>
        <v/>
      </c>
      <c r="I160" s="64">
        <f>INDEX(Projects[SRM Cranes],159)</f>
        <v/>
      </c>
      <c r="J160" s="64">
        <f>INDEX(Projects[SRM Pallet Locations],159)</f>
        <v/>
      </c>
      <c r="K160" s="64">
        <f>INDEX(Projects[Case Conv (m)],159)</f>
        <v/>
      </c>
      <c r="L160" s="64">
        <f>INDEX(Projects[Pallet Conv (m)],159)</f>
        <v/>
      </c>
      <c r="M160" s="64">
        <f>IF(N(DJ160)&gt;0,DD160,CW160)</f>
        <v/>
      </c>
      <c r="N160" s="64">
        <f>IF(N(DJ160)&gt;0,DE160,CX160)</f>
        <v/>
      </c>
      <c r="O160" s="64">
        <f>IF(N(DJ160)&gt;0,DF160,CY160)</f>
        <v/>
      </c>
      <c r="P160" s="64">
        <f>IF(N(DJ160)&gt;0,DG160,CZ160)</f>
        <v/>
      </c>
      <c r="Q160" s="64">
        <f>IF(N(DJ160)&gt;0,DH160,DA160)</f>
        <v/>
      </c>
      <c r="R160" s="64">
        <f>IF(N(DJ160)&gt;0,DI160,DB160)</f>
        <v/>
      </c>
      <c r="S160" s="64">
        <f>IF(N(DJ160)&gt;0,DJ160,DC160)</f>
        <v/>
      </c>
      <c r="T160" s="64">
        <f>INDEX(Projects[Currency],159)&amp;""</f>
        <v/>
      </c>
      <c r="U160" s="65">
        <f>INDEX(Projects[Sold Value (M)],159)</f>
        <v/>
      </c>
      <c r="V160" s="64">
        <f>IF('Smart Search'!B13=1,IFERROR(1/'Smart Search'!H13,0),0)</f>
        <v/>
      </c>
      <c r="W160" s="64">
        <f>IF('Smart Search'!B13=1,IFERROR(1/'Smart Search'!H13,0),0)</f>
        <v/>
      </c>
      <c r="X160" s="64">
        <f>IF('Smart Search'!C13=1,IFERROR(1/'Smart Search'!H13,0),0)</f>
        <v/>
      </c>
      <c r="Y160" s="64">
        <f>IF('Smart Search'!C13=1,IFERROR(1/'Smart Search'!H13,0),0)</f>
        <v/>
      </c>
      <c r="Z160" s="64">
        <f>IF('Smart Search'!D13=1,IFERROR(1/'Smart Search'!H13,0),0)</f>
        <v/>
      </c>
      <c r="AA160" s="64">
        <f>IF('Smart Search'!D13=1,IFERROR(1/'Smart Search'!H13,0),0)</f>
        <v/>
      </c>
      <c r="AB160" s="64">
        <f>IF('Smart Search'!E13=1,IFERROR(1/'Smart Search'!H13,0),0)</f>
        <v/>
      </c>
      <c r="AC160" s="64">
        <f>IF('Smart Search'!E13=1,IFERROR(1/'Smart Search'!H13,0),0)</f>
        <v/>
      </c>
      <c r="AD160" s="64">
        <f>IF('Smart Search'!F13=1,IFERROR(1/'Smart Search'!H13,0),0)</f>
        <v/>
      </c>
      <c r="AE160" s="64">
        <f>IF('Smart Search'!F13=1,IFERROR(1/'Smart Search'!H13,0),0)</f>
        <v/>
      </c>
      <c r="AF160" s="64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4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4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4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4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4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4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4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4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4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4">
        <f>AF160*V160</f>
        <v/>
      </c>
      <c r="AQ160" s="64">
        <f>AG160*W160</f>
        <v/>
      </c>
      <c r="AR160" s="64">
        <f>AH160*X160</f>
        <v/>
      </c>
      <c r="AS160" s="64">
        <f>AI160*Y160</f>
        <v/>
      </c>
      <c r="AT160" s="64">
        <f>AJ160*Z160</f>
        <v/>
      </c>
      <c r="AU160" s="64">
        <f>AK160*AA160</f>
        <v/>
      </c>
      <c r="AV160" s="64">
        <f>AL160*AB160</f>
        <v/>
      </c>
      <c r="AW160" s="64">
        <f>AM160*AC160</f>
        <v/>
      </c>
      <c r="AX160" s="64">
        <f>AN160*AD160</f>
        <v/>
      </c>
      <c r="AY160" s="64">
        <f>AO160*AE160</f>
        <v/>
      </c>
      <c r="AZ160" s="64">
        <f>INDEX(Projects[Automation Equipment],159)&amp;""</f>
        <v/>
      </c>
      <c r="BA160" s="64">
        <f>IF(OR(A160="",'Smart Search'!H13=0),"",MAX(0,BE160*BF160*MAX(0,1-BG160)))</f>
        <v/>
      </c>
      <c r="BB160" s="64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4">
        <f>IF('Smart Search'!G13=1,IFERROR(1/'Smart Search'!H13,0),0)</f>
        <v/>
      </c>
      <c r="BD160" s="64">
        <f>BB160*BC160</f>
        <v/>
      </c>
      <c r="BE160" s="64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IF(A160="","",N(INDEX(Projects[Act Mech Inst],159)))</f>
        <v/>
      </c>
      <c r="BK160" s="5">
        <f>IF(A160="","",N(INDEX(Projects[Act Elec Inst],159)))</f>
        <v/>
      </c>
      <c r="BL160" s="5">
        <f>IF(A160="","",N(INDEX(Projects[Act Project Management],159)))</f>
        <v/>
      </c>
      <c r="BM160" s="5">
        <f>IF(A160="","",N(INDEX(Projects[Act Systems Eng],159)))</f>
        <v/>
      </c>
      <c r="BN160" s="5">
        <f>IF(A160="","",N(INDEX(Projects[Act Mechanical Eng],159)))</f>
        <v/>
      </c>
      <c r="BO160" s="5">
        <f>IF(A160="","",N(INDEX(Projects[Act Structural Engineering],159)))</f>
        <v/>
      </c>
      <c r="BP160" s="5">
        <f>IF(A160="","",N(INDEX(Projects[Act Site Sup],159)))</f>
        <v/>
      </c>
      <c r="BQ160" s="5">
        <f>IF(A160="","",N(INDEX(Projects[Act Controls Commissioning],159)))</f>
        <v/>
      </c>
      <c r="BR160" s="5">
        <f>IF(A160="","",N(INDEX(Projects[Act Systems Commissioning],159)))</f>
        <v/>
      </c>
      <c r="BS160" s="5">
        <f>IF(A160="","",N(INDEX(Projects[Act Service Commissioning],159)))</f>
        <v/>
      </c>
      <c r="BT160" s="5">
        <f>IF(A160="","",N(INDEX(Projects[Act Controls Eng],159)))</f>
        <v/>
      </c>
      <c r="BU160" s="5">
        <f>IF(A160="","",N(INDEX(Projects[Act Controls Purchase],159)))</f>
        <v/>
      </c>
      <c r="BV160" s="5">
        <f>IF(A160="","",N(INDEX(Projects[Act Software Eng],159)))</f>
        <v/>
      </c>
      <c r="BW160" s="5">
        <f>IF(A160="","",N(INDEX(Projects[Act 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INDEX(Projects[Sold Value (USD M)],159)</f>
        <v/>
      </c>
      <c r="CE160" s="5" t="n"/>
      <c r="CF160" s="5">
        <f>IF(A160="","",N(INDEX(Projects[Est Mech Inst],159)))</f>
        <v/>
      </c>
      <c r="CG160" s="5">
        <f>IF(A160="","",N(INDEX(Projects[Est Elec Inst],159)))</f>
        <v/>
      </c>
      <c r="CH160" s="5">
        <f>IF(A160="","",N(INDEX(Projects[Est Project Management],159)))</f>
        <v/>
      </c>
      <c r="CI160" s="5">
        <f>IF(A160="","",N(INDEX(Projects[Est Systems Eng],159)))</f>
        <v/>
      </c>
      <c r="CJ160" s="5">
        <f>IF(A160="","",N(INDEX(Projects[Est Mechanical Eng],159)))</f>
        <v/>
      </c>
      <c r="CK160" s="5">
        <f>IF(A160="","",N(INDEX(Projects[Est Structural Engineering],159)))</f>
        <v/>
      </c>
      <c r="CL160" s="5">
        <f>IF(A160="","",N(INDEX(Projects[Est Site Sup],159)))</f>
        <v/>
      </c>
      <c r="CM160" s="5">
        <f>IF(A160="","",N(INDEX(Projects[Est Controls Commissioning],159)))</f>
        <v/>
      </c>
      <c r="CN160" s="5">
        <f>IF(A160="","",N(INDEX(Projects[Est Systems Commissioning],159)))</f>
        <v/>
      </c>
      <c r="CO160" s="5">
        <f>IF(A160="","",N(INDEX(Projects[Est Service Commissioning],159)))</f>
        <v/>
      </c>
      <c r="CP160" s="5">
        <f>IF(A160="","",N(INDEX(Projects[Est Controls Eng],159)))</f>
        <v/>
      </c>
      <c r="CQ160" s="5">
        <f>IF(A160="","",N(INDEX(Projects[Est Controls Purchase],159)))</f>
        <v/>
      </c>
      <c r="CR160" s="5">
        <f>IF(A160="","",N(INDEX(Projects[Est Software Eng],159)))</f>
        <v/>
      </c>
      <c r="CS160" s="5">
        <f>IF(A160="","",N(INDEX(Projects[Est Misc],159)))</f>
        <v/>
      </c>
      <c r="CT160" s="5">
        <f>IF(A160="","",SUM(CF160:CS160))</f>
        <v/>
      </c>
      <c r="CU160" s="5">
        <f>INDEX(Projects[Est Cost (M)],159)</f>
        <v/>
      </c>
      <c r="CV160" s="5">
        <f>INDEX(Projects[Act Cost (M)],159)</f>
        <v/>
      </c>
      <c r="CW160" s="5">
        <f>INDEX(Projects[Plan Mech Eng (wks)],159)</f>
        <v/>
      </c>
      <c r="CX160" s="5">
        <f>INDEX(Projects[Plan Controls Eng (wks)],159)</f>
        <v/>
      </c>
      <c r="CY160" s="5">
        <f>INDEX(Projects[Plan Systems Eng (wks)],159)</f>
        <v/>
      </c>
      <c r="CZ160" s="5">
        <f>INDEX(Projects[Plan Software Eng (wks)],159)</f>
        <v/>
      </c>
      <c r="DA160" s="5">
        <f>INDEX(Projects[Plan M&amp;E Installation (wks)],159)</f>
        <v/>
      </c>
      <c r="DB160" s="5">
        <f>INDEX(Projects[Plan Commissioning (wks)],159)</f>
        <v/>
      </c>
      <c r="DC160" s="5">
        <f>INDEX(Projects[Plan Total (wks)],159)</f>
        <v/>
      </c>
      <c r="DD160" s="5">
        <f>INDEX(Projects[Act Mech Eng (wks)],159)</f>
        <v/>
      </c>
      <c r="DE160" s="5">
        <f>INDEX(Projects[Act Controls Eng (wks)],159)</f>
        <v/>
      </c>
      <c r="DF160" s="5">
        <f>INDEX(Projects[Act Systems Eng (wks)],159)</f>
        <v/>
      </c>
      <c r="DG160" s="5">
        <f>INDEX(Projects[Act Software Eng (wks)],159)</f>
        <v/>
      </c>
      <c r="DH160" s="5">
        <f>INDEX(Projects[Act M&amp;E Installation (wks)],159)</f>
        <v/>
      </c>
      <c r="DI160" s="5">
        <f>INDEX(Projects[Act Commissioning (wks)],159)</f>
        <v/>
      </c>
      <c r="DJ160" s="5">
        <f>INDEX(Projects[Act Total (wks)],159)</f>
        <v/>
      </c>
    </row>
    <row r="161" ht="15" customHeight="1" s="82">
      <c r="A161" s="64">
        <f>INDEX(Projects[Project ID *],160)&amp;""</f>
        <v/>
      </c>
      <c r="B161" s="64">
        <f>INDEX(Projects[Project Name *],160)&amp;""</f>
        <v/>
      </c>
      <c r="C161" s="64">
        <f>INDEX(Projects[MS Shuttles],160)</f>
        <v/>
      </c>
      <c r="D161" s="64">
        <f>INDEX(Projects[MS Tote Locations],160)</f>
        <v/>
      </c>
      <c r="E161" s="64">
        <f>INDEX(Projects[AS Robots],160)</f>
        <v/>
      </c>
      <c r="F161" s="64">
        <f>INDEX(Projects[AS Tote Locations],160)</f>
        <v/>
      </c>
      <c r="G161" s="64">
        <f>INDEX(Projects[PS Shuttles],160)</f>
        <v/>
      </c>
      <c r="H161" s="64">
        <f>INDEX(Projects[PS Pallet Locations],160)</f>
        <v/>
      </c>
      <c r="I161" s="64">
        <f>INDEX(Projects[SRM Cranes],160)</f>
        <v/>
      </c>
      <c r="J161" s="64">
        <f>INDEX(Projects[SRM Pallet Locations],160)</f>
        <v/>
      </c>
      <c r="K161" s="64">
        <f>INDEX(Projects[Case Conv (m)],160)</f>
        <v/>
      </c>
      <c r="L161" s="64">
        <f>INDEX(Projects[Pallet Conv (m)],160)</f>
        <v/>
      </c>
      <c r="M161" s="64">
        <f>IF(N(DJ161)&gt;0,DD161,CW161)</f>
        <v/>
      </c>
      <c r="N161" s="64">
        <f>IF(N(DJ161)&gt;0,DE161,CX161)</f>
        <v/>
      </c>
      <c r="O161" s="64">
        <f>IF(N(DJ161)&gt;0,DF161,CY161)</f>
        <v/>
      </c>
      <c r="P161" s="64">
        <f>IF(N(DJ161)&gt;0,DG161,CZ161)</f>
        <v/>
      </c>
      <c r="Q161" s="64">
        <f>IF(N(DJ161)&gt;0,DH161,DA161)</f>
        <v/>
      </c>
      <c r="R161" s="64">
        <f>IF(N(DJ161)&gt;0,DI161,DB161)</f>
        <v/>
      </c>
      <c r="S161" s="64">
        <f>IF(N(DJ161)&gt;0,DJ161,DC161)</f>
        <v/>
      </c>
      <c r="T161" s="64">
        <f>INDEX(Projects[Currency],160)&amp;""</f>
        <v/>
      </c>
      <c r="U161" s="65">
        <f>INDEX(Projects[Sold Value (M)],160)</f>
        <v/>
      </c>
      <c r="V161" s="64">
        <f>IF('Smart Search'!B13=1,IFERROR(1/'Smart Search'!H13,0),0)</f>
        <v/>
      </c>
      <c r="W161" s="64">
        <f>IF('Smart Search'!B13=1,IFERROR(1/'Smart Search'!H13,0),0)</f>
        <v/>
      </c>
      <c r="X161" s="64">
        <f>IF('Smart Search'!C13=1,IFERROR(1/'Smart Search'!H13,0),0)</f>
        <v/>
      </c>
      <c r="Y161" s="64">
        <f>IF('Smart Search'!C13=1,IFERROR(1/'Smart Search'!H13,0),0)</f>
        <v/>
      </c>
      <c r="Z161" s="64">
        <f>IF('Smart Search'!D13=1,IFERROR(1/'Smart Search'!H13,0),0)</f>
        <v/>
      </c>
      <c r="AA161" s="64">
        <f>IF('Smart Search'!D13=1,IFERROR(1/'Smart Search'!H13,0),0)</f>
        <v/>
      </c>
      <c r="AB161" s="64">
        <f>IF('Smart Search'!E13=1,IFERROR(1/'Smart Search'!H13,0),0)</f>
        <v/>
      </c>
      <c r="AC161" s="64">
        <f>IF('Smart Search'!E13=1,IFERROR(1/'Smart Search'!H13,0),0)</f>
        <v/>
      </c>
      <c r="AD161" s="64">
        <f>IF('Smart Search'!F13=1,IFERROR(1/'Smart Search'!H13,0),0)</f>
        <v/>
      </c>
      <c r="AE161" s="64">
        <f>IF('Smart Search'!F13=1,IFERROR(1/'Smart Search'!H13,0),0)</f>
        <v/>
      </c>
      <c r="AF161" s="64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4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4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4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4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4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4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4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4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4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4">
        <f>AF161*V161</f>
        <v/>
      </c>
      <c r="AQ161" s="64">
        <f>AG161*W161</f>
        <v/>
      </c>
      <c r="AR161" s="64">
        <f>AH161*X161</f>
        <v/>
      </c>
      <c r="AS161" s="64">
        <f>AI161*Y161</f>
        <v/>
      </c>
      <c r="AT161" s="64">
        <f>AJ161*Z161</f>
        <v/>
      </c>
      <c r="AU161" s="64">
        <f>AK161*AA161</f>
        <v/>
      </c>
      <c r="AV161" s="64">
        <f>AL161*AB161</f>
        <v/>
      </c>
      <c r="AW161" s="64">
        <f>AM161*AC161</f>
        <v/>
      </c>
      <c r="AX161" s="64">
        <f>AN161*AD161</f>
        <v/>
      </c>
      <c r="AY161" s="64">
        <f>AO161*AE161</f>
        <v/>
      </c>
      <c r="AZ161" s="64">
        <f>INDEX(Projects[Automation Equipment],160)&amp;""</f>
        <v/>
      </c>
      <c r="BA161" s="64">
        <f>IF(OR(A161="",'Smart Search'!H13=0),"",MAX(0,BE161*BF161*MAX(0,1-BG161)))</f>
        <v/>
      </c>
      <c r="BB161" s="64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4">
        <f>IF('Smart Search'!G13=1,IFERROR(1/'Smart Search'!H13,0),0)</f>
        <v/>
      </c>
      <c r="BD161" s="64">
        <f>BB161*BC161</f>
        <v/>
      </c>
      <c r="BE161" s="64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IF(A161="","",N(INDEX(Projects[Act Mech Inst],160)))</f>
        <v/>
      </c>
      <c r="BK161" s="5">
        <f>IF(A161="","",N(INDEX(Projects[Act Elec Inst],160)))</f>
        <v/>
      </c>
      <c r="BL161" s="5">
        <f>IF(A161="","",N(INDEX(Projects[Act Project Management],160)))</f>
        <v/>
      </c>
      <c r="BM161" s="5">
        <f>IF(A161="","",N(INDEX(Projects[Act Systems Eng],160)))</f>
        <v/>
      </c>
      <c r="BN161" s="5">
        <f>IF(A161="","",N(INDEX(Projects[Act Mechanical Eng],160)))</f>
        <v/>
      </c>
      <c r="BO161" s="5">
        <f>IF(A161="","",N(INDEX(Projects[Act Structural Engineering],160)))</f>
        <v/>
      </c>
      <c r="BP161" s="5">
        <f>IF(A161="","",N(INDEX(Projects[Act Site Sup],160)))</f>
        <v/>
      </c>
      <c r="BQ161" s="5">
        <f>IF(A161="","",N(INDEX(Projects[Act Controls Commissioning],160)))</f>
        <v/>
      </c>
      <c r="BR161" s="5">
        <f>IF(A161="","",N(INDEX(Projects[Act Systems Commissioning],160)))</f>
        <v/>
      </c>
      <c r="BS161" s="5">
        <f>IF(A161="","",N(INDEX(Projects[Act Service Commissioning],160)))</f>
        <v/>
      </c>
      <c r="BT161" s="5">
        <f>IF(A161="","",N(INDEX(Projects[Act Controls Eng],160)))</f>
        <v/>
      </c>
      <c r="BU161" s="5">
        <f>IF(A161="","",N(INDEX(Projects[Act Controls Purchase],160)))</f>
        <v/>
      </c>
      <c r="BV161" s="5">
        <f>IF(A161="","",N(INDEX(Projects[Act Software Eng],160)))</f>
        <v/>
      </c>
      <c r="BW161" s="5">
        <f>IF(A161="","",N(INDEX(Projects[Act 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INDEX(Projects[Sold Value (USD M)],160)</f>
        <v/>
      </c>
      <c r="CE161" s="5" t="n"/>
      <c r="CF161" s="5">
        <f>IF(A161="","",N(INDEX(Projects[Est Mech Inst],160)))</f>
        <v/>
      </c>
      <c r="CG161" s="5">
        <f>IF(A161="","",N(INDEX(Projects[Est Elec Inst],160)))</f>
        <v/>
      </c>
      <c r="CH161" s="5">
        <f>IF(A161="","",N(INDEX(Projects[Est Project Management],160)))</f>
        <v/>
      </c>
      <c r="CI161" s="5">
        <f>IF(A161="","",N(INDEX(Projects[Est Systems Eng],160)))</f>
        <v/>
      </c>
      <c r="CJ161" s="5">
        <f>IF(A161="","",N(INDEX(Projects[Est Mechanical Eng],160)))</f>
        <v/>
      </c>
      <c r="CK161" s="5">
        <f>IF(A161="","",N(INDEX(Projects[Est Structural Engineering],160)))</f>
        <v/>
      </c>
      <c r="CL161" s="5">
        <f>IF(A161="","",N(INDEX(Projects[Est Site Sup],160)))</f>
        <v/>
      </c>
      <c r="CM161" s="5">
        <f>IF(A161="","",N(INDEX(Projects[Est Controls Commissioning],160)))</f>
        <v/>
      </c>
      <c r="CN161" s="5">
        <f>IF(A161="","",N(INDEX(Projects[Est Systems Commissioning],160)))</f>
        <v/>
      </c>
      <c r="CO161" s="5">
        <f>IF(A161="","",N(INDEX(Projects[Est Service Commissioning],160)))</f>
        <v/>
      </c>
      <c r="CP161" s="5">
        <f>IF(A161="","",N(INDEX(Projects[Est Controls Eng],160)))</f>
        <v/>
      </c>
      <c r="CQ161" s="5">
        <f>IF(A161="","",N(INDEX(Projects[Est Controls Purchase],160)))</f>
        <v/>
      </c>
      <c r="CR161" s="5">
        <f>IF(A161="","",N(INDEX(Projects[Est Software Eng],160)))</f>
        <v/>
      </c>
      <c r="CS161" s="5">
        <f>IF(A161="","",N(INDEX(Projects[Est Misc],160)))</f>
        <v/>
      </c>
      <c r="CT161" s="5">
        <f>IF(A161="","",SUM(CF161:CS161))</f>
        <v/>
      </c>
      <c r="CU161" s="5">
        <f>INDEX(Projects[Est Cost (M)],160)</f>
        <v/>
      </c>
      <c r="CV161" s="5">
        <f>INDEX(Projects[Act Cost (M)],160)</f>
        <v/>
      </c>
      <c r="CW161" s="5">
        <f>INDEX(Projects[Plan Mech Eng (wks)],160)</f>
        <v/>
      </c>
      <c r="CX161" s="5">
        <f>INDEX(Projects[Plan Controls Eng (wks)],160)</f>
        <v/>
      </c>
      <c r="CY161" s="5">
        <f>INDEX(Projects[Plan Systems Eng (wks)],160)</f>
        <v/>
      </c>
      <c r="CZ161" s="5">
        <f>INDEX(Projects[Plan Software Eng (wks)],160)</f>
        <v/>
      </c>
      <c r="DA161" s="5">
        <f>INDEX(Projects[Plan M&amp;E Installation (wks)],160)</f>
        <v/>
      </c>
      <c r="DB161" s="5">
        <f>INDEX(Projects[Plan Commissioning (wks)],160)</f>
        <v/>
      </c>
      <c r="DC161" s="5">
        <f>INDEX(Projects[Plan Total (wks)],160)</f>
        <v/>
      </c>
      <c r="DD161" s="5">
        <f>INDEX(Projects[Act Mech Eng (wks)],160)</f>
        <v/>
      </c>
      <c r="DE161" s="5">
        <f>INDEX(Projects[Act Controls Eng (wks)],160)</f>
        <v/>
      </c>
      <c r="DF161" s="5">
        <f>INDEX(Projects[Act Systems Eng (wks)],160)</f>
        <v/>
      </c>
      <c r="DG161" s="5">
        <f>INDEX(Projects[Act Software Eng (wks)],160)</f>
        <v/>
      </c>
      <c r="DH161" s="5">
        <f>INDEX(Projects[Act M&amp;E Installation (wks)],160)</f>
        <v/>
      </c>
      <c r="DI161" s="5">
        <f>INDEX(Projects[Act Commissioning (wks)],160)</f>
        <v/>
      </c>
      <c r="DJ161" s="5">
        <f>INDEX(Projects[Act Total (wks)],160)</f>
        <v/>
      </c>
    </row>
    <row r="162" ht="15" customHeight="1" s="82">
      <c r="A162" s="64">
        <f>INDEX(Projects[Project ID *],161)&amp;""</f>
        <v/>
      </c>
      <c r="B162" s="64">
        <f>INDEX(Projects[Project Name *],161)&amp;""</f>
        <v/>
      </c>
      <c r="C162" s="64">
        <f>INDEX(Projects[MS Shuttles],161)</f>
        <v/>
      </c>
      <c r="D162" s="64">
        <f>INDEX(Projects[MS Tote Locations],161)</f>
        <v/>
      </c>
      <c r="E162" s="64">
        <f>INDEX(Projects[AS Robots],161)</f>
        <v/>
      </c>
      <c r="F162" s="64">
        <f>INDEX(Projects[AS Tote Locations],161)</f>
        <v/>
      </c>
      <c r="G162" s="64">
        <f>INDEX(Projects[PS Shuttles],161)</f>
        <v/>
      </c>
      <c r="H162" s="64">
        <f>INDEX(Projects[PS Pallet Locations],161)</f>
        <v/>
      </c>
      <c r="I162" s="64">
        <f>INDEX(Projects[SRM Cranes],161)</f>
        <v/>
      </c>
      <c r="J162" s="64">
        <f>INDEX(Projects[SRM Pallet Locations],161)</f>
        <v/>
      </c>
      <c r="K162" s="64">
        <f>INDEX(Projects[Case Conv (m)],161)</f>
        <v/>
      </c>
      <c r="L162" s="64">
        <f>INDEX(Projects[Pallet Conv (m)],161)</f>
        <v/>
      </c>
      <c r="M162" s="64">
        <f>IF(N(DJ162)&gt;0,DD162,CW162)</f>
        <v/>
      </c>
      <c r="N162" s="64">
        <f>IF(N(DJ162)&gt;0,DE162,CX162)</f>
        <v/>
      </c>
      <c r="O162" s="64">
        <f>IF(N(DJ162)&gt;0,DF162,CY162)</f>
        <v/>
      </c>
      <c r="P162" s="64">
        <f>IF(N(DJ162)&gt;0,DG162,CZ162)</f>
        <v/>
      </c>
      <c r="Q162" s="64">
        <f>IF(N(DJ162)&gt;0,DH162,DA162)</f>
        <v/>
      </c>
      <c r="R162" s="64">
        <f>IF(N(DJ162)&gt;0,DI162,DB162)</f>
        <v/>
      </c>
      <c r="S162" s="64">
        <f>IF(N(DJ162)&gt;0,DJ162,DC162)</f>
        <v/>
      </c>
      <c r="T162" s="64">
        <f>INDEX(Projects[Currency],161)&amp;""</f>
        <v/>
      </c>
      <c r="U162" s="65">
        <f>INDEX(Projects[Sold Value (M)],161)</f>
        <v/>
      </c>
      <c r="V162" s="64">
        <f>IF('Smart Search'!B13=1,IFERROR(1/'Smart Search'!H13,0),0)</f>
        <v/>
      </c>
      <c r="W162" s="64">
        <f>IF('Smart Search'!B13=1,IFERROR(1/'Smart Search'!H13,0),0)</f>
        <v/>
      </c>
      <c r="X162" s="64">
        <f>IF('Smart Search'!C13=1,IFERROR(1/'Smart Search'!H13,0),0)</f>
        <v/>
      </c>
      <c r="Y162" s="64">
        <f>IF('Smart Search'!C13=1,IFERROR(1/'Smart Search'!H13,0),0)</f>
        <v/>
      </c>
      <c r="Z162" s="64">
        <f>IF('Smart Search'!D13=1,IFERROR(1/'Smart Search'!H13,0),0)</f>
        <v/>
      </c>
      <c r="AA162" s="64">
        <f>IF('Smart Search'!D13=1,IFERROR(1/'Smart Search'!H13,0),0)</f>
        <v/>
      </c>
      <c r="AB162" s="64">
        <f>IF('Smart Search'!E13=1,IFERROR(1/'Smart Search'!H13,0),0)</f>
        <v/>
      </c>
      <c r="AC162" s="64">
        <f>IF('Smart Search'!E13=1,IFERROR(1/'Smart Search'!H13,0),0)</f>
        <v/>
      </c>
      <c r="AD162" s="64">
        <f>IF('Smart Search'!F13=1,IFERROR(1/'Smart Search'!H13,0),0)</f>
        <v/>
      </c>
      <c r="AE162" s="64">
        <f>IF('Smart Search'!F13=1,IFERROR(1/'Smart Search'!H13,0),0)</f>
        <v/>
      </c>
      <c r="AF162" s="64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4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4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4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4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4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4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4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4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4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4">
        <f>AF162*V162</f>
        <v/>
      </c>
      <c r="AQ162" s="64">
        <f>AG162*W162</f>
        <v/>
      </c>
      <c r="AR162" s="64">
        <f>AH162*X162</f>
        <v/>
      </c>
      <c r="AS162" s="64">
        <f>AI162*Y162</f>
        <v/>
      </c>
      <c r="AT162" s="64">
        <f>AJ162*Z162</f>
        <v/>
      </c>
      <c r="AU162" s="64">
        <f>AK162*AA162</f>
        <v/>
      </c>
      <c r="AV162" s="64">
        <f>AL162*AB162</f>
        <v/>
      </c>
      <c r="AW162" s="64">
        <f>AM162*AC162</f>
        <v/>
      </c>
      <c r="AX162" s="64">
        <f>AN162*AD162</f>
        <v/>
      </c>
      <c r="AY162" s="64">
        <f>AO162*AE162</f>
        <v/>
      </c>
      <c r="AZ162" s="64">
        <f>INDEX(Projects[Automation Equipment],161)&amp;""</f>
        <v/>
      </c>
      <c r="BA162" s="64">
        <f>IF(OR(A162="",'Smart Search'!H13=0),"",MAX(0,BE162*BF162*MAX(0,1-BG162)))</f>
        <v/>
      </c>
      <c r="BB162" s="64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4">
        <f>IF('Smart Search'!G13=1,IFERROR(1/'Smart Search'!H13,0),0)</f>
        <v/>
      </c>
      <c r="BD162" s="64">
        <f>BB162*BC162</f>
        <v/>
      </c>
      <c r="BE162" s="64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IF(A162="","",N(INDEX(Projects[Act Mech Inst],161)))</f>
        <v/>
      </c>
      <c r="BK162" s="5">
        <f>IF(A162="","",N(INDEX(Projects[Act Elec Inst],161)))</f>
        <v/>
      </c>
      <c r="BL162" s="5">
        <f>IF(A162="","",N(INDEX(Projects[Act Project Management],161)))</f>
        <v/>
      </c>
      <c r="BM162" s="5">
        <f>IF(A162="","",N(INDEX(Projects[Act Systems Eng],161)))</f>
        <v/>
      </c>
      <c r="BN162" s="5">
        <f>IF(A162="","",N(INDEX(Projects[Act Mechanical Eng],161)))</f>
        <v/>
      </c>
      <c r="BO162" s="5">
        <f>IF(A162="","",N(INDEX(Projects[Act Structural Engineering],161)))</f>
        <v/>
      </c>
      <c r="BP162" s="5">
        <f>IF(A162="","",N(INDEX(Projects[Act Site Sup],161)))</f>
        <v/>
      </c>
      <c r="BQ162" s="5">
        <f>IF(A162="","",N(INDEX(Projects[Act Controls Commissioning],161)))</f>
        <v/>
      </c>
      <c r="BR162" s="5">
        <f>IF(A162="","",N(INDEX(Projects[Act Systems Commissioning],161)))</f>
        <v/>
      </c>
      <c r="BS162" s="5">
        <f>IF(A162="","",N(INDEX(Projects[Act Service Commissioning],161)))</f>
        <v/>
      </c>
      <c r="BT162" s="5">
        <f>IF(A162="","",N(INDEX(Projects[Act Controls Eng],161)))</f>
        <v/>
      </c>
      <c r="BU162" s="5">
        <f>IF(A162="","",N(INDEX(Projects[Act Controls Purchase],161)))</f>
        <v/>
      </c>
      <c r="BV162" s="5">
        <f>IF(A162="","",N(INDEX(Projects[Act Software Eng],161)))</f>
        <v/>
      </c>
      <c r="BW162" s="5">
        <f>IF(A162="","",N(INDEX(Projects[Act 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INDEX(Projects[Sold Value (USD M)],161)</f>
        <v/>
      </c>
      <c r="CE162" s="5" t="n"/>
      <c r="CF162" s="5">
        <f>IF(A162="","",N(INDEX(Projects[Est Mech Inst],161)))</f>
        <v/>
      </c>
      <c r="CG162" s="5">
        <f>IF(A162="","",N(INDEX(Projects[Est Elec Inst],161)))</f>
        <v/>
      </c>
      <c r="CH162" s="5">
        <f>IF(A162="","",N(INDEX(Projects[Est Project Management],161)))</f>
        <v/>
      </c>
      <c r="CI162" s="5">
        <f>IF(A162="","",N(INDEX(Projects[Est Systems Eng],161)))</f>
        <v/>
      </c>
      <c r="CJ162" s="5">
        <f>IF(A162="","",N(INDEX(Projects[Est Mechanical Eng],161)))</f>
        <v/>
      </c>
      <c r="CK162" s="5">
        <f>IF(A162="","",N(INDEX(Projects[Est Structural Engineering],161)))</f>
        <v/>
      </c>
      <c r="CL162" s="5">
        <f>IF(A162="","",N(INDEX(Projects[Est Site Sup],161)))</f>
        <v/>
      </c>
      <c r="CM162" s="5">
        <f>IF(A162="","",N(INDEX(Projects[Est Controls Commissioning],161)))</f>
        <v/>
      </c>
      <c r="CN162" s="5">
        <f>IF(A162="","",N(INDEX(Projects[Est Systems Commissioning],161)))</f>
        <v/>
      </c>
      <c r="CO162" s="5">
        <f>IF(A162="","",N(INDEX(Projects[Est Service Commissioning],161)))</f>
        <v/>
      </c>
      <c r="CP162" s="5">
        <f>IF(A162="","",N(INDEX(Projects[Est Controls Eng],161)))</f>
        <v/>
      </c>
      <c r="CQ162" s="5">
        <f>IF(A162="","",N(INDEX(Projects[Est Controls Purchase],161)))</f>
        <v/>
      </c>
      <c r="CR162" s="5">
        <f>IF(A162="","",N(INDEX(Projects[Est Software Eng],161)))</f>
        <v/>
      </c>
      <c r="CS162" s="5">
        <f>IF(A162="","",N(INDEX(Projects[Est Misc],161)))</f>
        <v/>
      </c>
      <c r="CT162" s="5">
        <f>IF(A162="","",SUM(CF162:CS162))</f>
        <v/>
      </c>
      <c r="CU162" s="5">
        <f>INDEX(Projects[Est Cost (M)],161)</f>
        <v/>
      </c>
      <c r="CV162" s="5">
        <f>INDEX(Projects[Act Cost (M)],161)</f>
        <v/>
      </c>
      <c r="CW162" s="5">
        <f>INDEX(Projects[Plan Mech Eng (wks)],161)</f>
        <v/>
      </c>
      <c r="CX162" s="5">
        <f>INDEX(Projects[Plan Controls Eng (wks)],161)</f>
        <v/>
      </c>
      <c r="CY162" s="5">
        <f>INDEX(Projects[Plan Systems Eng (wks)],161)</f>
        <v/>
      </c>
      <c r="CZ162" s="5">
        <f>INDEX(Projects[Plan Software Eng (wks)],161)</f>
        <v/>
      </c>
      <c r="DA162" s="5">
        <f>INDEX(Projects[Plan M&amp;E Installation (wks)],161)</f>
        <v/>
      </c>
      <c r="DB162" s="5">
        <f>INDEX(Projects[Plan Commissioning (wks)],161)</f>
        <v/>
      </c>
      <c r="DC162" s="5">
        <f>INDEX(Projects[Plan Total (wks)],161)</f>
        <v/>
      </c>
      <c r="DD162" s="5">
        <f>INDEX(Projects[Act Mech Eng (wks)],161)</f>
        <v/>
      </c>
      <c r="DE162" s="5">
        <f>INDEX(Projects[Act Controls Eng (wks)],161)</f>
        <v/>
      </c>
      <c r="DF162" s="5">
        <f>INDEX(Projects[Act Systems Eng (wks)],161)</f>
        <v/>
      </c>
      <c r="DG162" s="5">
        <f>INDEX(Projects[Act Software Eng (wks)],161)</f>
        <v/>
      </c>
      <c r="DH162" s="5">
        <f>INDEX(Projects[Act M&amp;E Installation (wks)],161)</f>
        <v/>
      </c>
      <c r="DI162" s="5">
        <f>INDEX(Projects[Act Commissioning (wks)],161)</f>
        <v/>
      </c>
      <c r="DJ162" s="5">
        <f>INDEX(Projects[Act Total (wks)],161)</f>
        <v/>
      </c>
    </row>
    <row r="163" ht="15" customHeight="1" s="82">
      <c r="A163" s="64">
        <f>INDEX(Projects[Project ID *],162)&amp;""</f>
        <v/>
      </c>
      <c r="B163" s="64">
        <f>INDEX(Projects[Project Name *],162)&amp;""</f>
        <v/>
      </c>
      <c r="C163" s="64">
        <f>INDEX(Projects[MS Shuttles],162)</f>
        <v/>
      </c>
      <c r="D163" s="64">
        <f>INDEX(Projects[MS Tote Locations],162)</f>
        <v/>
      </c>
      <c r="E163" s="64">
        <f>INDEX(Projects[AS Robots],162)</f>
        <v/>
      </c>
      <c r="F163" s="64">
        <f>INDEX(Projects[AS Tote Locations],162)</f>
        <v/>
      </c>
      <c r="G163" s="64">
        <f>INDEX(Projects[PS Shuttles],162)</f>
        <v/>
      </c>
      <c r="H163" s="64">
        <f>INDEX(Projects[PS Pallet Locations],162)</f>
        <v/>
      </c>
      <c r="I163" s="64">
        <f>INDEX(Projects[SRM Cranes],162)</f>
        <v/>
      </c>
      <c r="J163" s="64">
        <f>INDEX(Projects[SRM Pallet Locations],162)</f>
        <v/>
      </c>
      <c r="K163" s="64">
        <f>INDEX(Projects[Case Conv (m)],162)</f>
        <v/>
      </c>
      <c r="L163" s="64">
        <f>INDEX(Projects[Pallet Conv (m)],162)</f>
        <v/>
      </c>
      <c r="M163" s="64">
        <f>IF(N(DJ163)&gt;0,DD163,CW163)</f>
        <v/>
      </c>
      <c r="N163" s="64">
        <f>IF(N(DJ163)&gt;0,DE163,CX163)</f>
        <v/>
      </c>
      <c r="O163" s="64">
        <f>IF(N(DJ163)&gt;0,DF163,CY163)</f>
        <v/>
      </c>
      <c r="P163" s="64">
        <f>IF(N(DJ163)&gt;0,DG163,CZ163)</f>
        <v/>
      </c>
      <c r="Q163" s="64">
        <f>IF(N(DJ163)&gt;0,DH163,DA163)</f>
        <v/>
      </c>
      <c r="R163" s="64">
        <f>IF(N(DJ163)&gt;0,DI163,DB163)</f>
        <v/>
      </c>
      <c r="S163" s="64">
        <f>IF(N(DJ163)&gt;0,DJ163,DC163)</f>
        <v/>
      </c>
      <c r="T163" s="64">
        <f>INDEX(Projects[Currency],162)&amp;""</f>
        <v/>
      </c>
      <c r="U163" s="65">
        <f>INDEX(Projects[Sold Value (M)],162)</f>
        <v/>
      </c>
      <c r="V163" s="64">
        <f>IF('Smart Search'!B13=1,IFERROR(1/'Smart Search'!H13,0),0)</f>
        <v/>
      </c>
      <c r="W163" s="64">
        <f>IF('Smart Search'!B13=1,IFERROR(1/'Smart Search'!H13,0),0)</f>
        <v/>
      </c>
      <c r="X163" s="64">
        <f>IF('Smart Search'!C13=1,IFERROR(1/'Smart Search'!H13,0),0)</f>
        <v/>
      </c>
      <c r="Y163" s="64">
        <f>IF('Smart Search'!C13=1,IFERROR(1/'Smart Search'!H13,0),0)</f>
        <v/>
      </c>
      <c r="Z163" s="64">
        <f>IF('Smart Search'!D13=1,IFERROR(1/'Smart Search'!H13,0),0)</f>
        <v/>
      </c>
      <c r="AA163" s="64">
        <f>IF('Smart Search'!D13=1,IFERROR(1/'Smart Search'!H13,0),0)</f>
        <v/>
      </c>
      <c r="AB163" s="64">
        <f>IF('Smart Search'!E13=1,IFERROR(1/'Smart Search'!H13,0),0)</f>
        <v/>
      </c>
      <c r="AC163" s="64">
        <f>IF('Smart Search'!E13=1,IFERROR(1/'Smart Search'!H13,0),0)</f>
        <v/>
      </c>
      <c r="AD163" s="64">
        <f>IF('Smart Search'!F13=1,IFERROR(1/'Smart Search'!H13,0),0)</f>
        <v/>
      </c>
      <c r="AE163" s="64">
        <f>IF('Smart Search'!F13=1,IFERROR(1/'Smart Search'!H13,0),0)</f>
        <v/>
      </c>
      <c r="AF163" s="64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4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4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4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4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4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4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4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4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4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4">
        <f>AF163*V163</f>
        <v/>
      </c>
      <c r="AQ163" s="64">
        <f>AG163*W163</f>
        <v/>
      </c>
      <c r="AR163" s="64">
        <f>AH163*X163</f>
        <v/>
      </c>
      <c r="AS163" s="64">
        <f>AI163*Y163</f>
        <v/>
      </c>
      <c r="AT163" s="64">
        <f>AJ163*Z163</f>
        <v/>
      </c>
      <c r="AU163" s="64">
        <f>AK163*AA163</f>
        <v/>
      </c>
      <c r="AV163" s="64">
        <f>AL163*AB163</f>
        <v/>
      </c>
      <c r="AW163" s="64">
        <f>AM163*AC163</f>
        <v/>
      </c>
      <c r="AX163" s="64">
        <f>AN163*AD163</f>
        <v/>
      </c>
      <c r="AY163" s="64">
        <f>AO163*AE163</f>
        <v/>
      </c>
      <c r="AZ163" s="64">
        <f>INDEX(Projects[Automation Equipment],162)&amp;""</f>
        <v/>
      </c>
      <c r="BA163" s="64">
        <f>IF(OR(A163="",'Smart Search'!H13=0),"",MAX(0,BE163*BF163*MAX(0,1-BG163)))</f>
        <v/>
      </c>
      <c r="BB163" s="64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4">
        <f>IF('Smart Search'!G13=1,IFERROR(1/'Smart Search'!H13,0),0)</f>
        <v/>
      </c>
      <c r="BD163" s="64">
        <f>BB163*BC163</f>
        <v/>
      </c>
      <c r="BE163" s="64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IF(A163="","",N(INDEX(Projects[Act Mech Inst],162)))</f>
        <v/>
      </c>
      <c r="BK163" s="5">
        <f>IF(A163="","",N(INDEX(Projects[Act Elec Inst],162)))</f>
        <v/>
      </c>
      <c r="BL163" s="5">
        <f>IF(A163="","",N(INDEX(Projects[Act Project Management],162)))</f>
        <v/>
      </c>
      <c r="BM163" s="5">
        <f>IF(A163="","",N(INDEX(Projects[Act Systems Eng],162)))</f>
        <v/>
      </c>
      <c r="BN163" s="5">
        <f>IF(A163="","",N(INDEX(Projects[Act Mechanical Eng],162)))</f>
        <v/>
      </c>
      <c r="BO163" s="5">
        <f>IF(A163="","",N(INDEX(Projects[Act Structural Engineering],162)))</f>
        <v/>
      </c>
      <c r="BP163" s="5">
        <f>IF(A163="","",N(INDEX(Projects[Act Site Sup],162)))</f>
        <v/>
      </c>
      <c r="BQ163" s="5">
        <f>IF(A163="","",N(INDEX(Projects[Act Controls Commissioning],162)))</f>
        <v/>
      </c>
      <c r="BR163" s="5">
        <f>IF(A163="","",N(INDEX(Projects[Act Systems Commissioning],162)))</f>
        <v/>
      </c>
      <c r="BS163" s="5">
        <f>IF(A163="","",N(INDEX(Projects[Act Service Commissioning],162)))</f>
        <v/>
      </c>
      <c r="BT163" s="5">
        <f>IF(A163="","",N(INDEX(Projects[Act Controls Eng],162)))</f>
        <v/>
      </c>
      <c r="BU163" s="5">
        <f>IF(A163="","",N(INDEX(Projects[Act Controls Purchase],162)))</f>
        <v/>
      </c>
      <c r="BV163" s="5">
        <f>IF(A163="","",N(INDEX(Projects[Act Software Eng],162)))</f>
        <v/>
      </c>
      <c r="BW163" s="5">
        <f>IF(A163="","",N(INDEX(Projects[Act 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INDEX(Projects[Sold Value (USD M)],162)</f>
        <v/>
      </c>
      <c r="CE163" s="5" t="n"/>
      <c r="CF163" s="5">
        <f>IF(A163="","",N(INDEX(Projects[Est Mech Inst],162)))</f>
        <v/>
      </c>
      <c r="CG163" s="5">
        <f>IF(A163="","",N(INDEX(Projects[Est Elec Inst],162)))</f>
        <v/>
      </c>
      <c r="CH163" s="5">
        <f>IF(A163="","",N(INDEX(Projects[Est Project Management],162)))</f>
        <v/>
      </c>
      <c r="CI163" s="5">
        <f>IF(A163="","",N(INDEX(Projects[Est Systems Eng],162)))</f>
        <v/>
      </c>
      <c r="CJ163" s="5">
        <f>IF(A163="","",N(INDEX(Projects[Est Mechanical Eng],162)))</f>
        <v/>
      </c>
      <c r="CK163" s="5">
        <f>IF(A163="","",N(INDEX(Projects[Est Structural Engineering],162)))</f>
        <v/>
      </c>
      <c r="CL163" s="5">
        <f>IF(A163="","",N(INDEX(Projects[Est Site Sup],162)))</f>
        <v/>
      </c>
      <c r="CM163" s="5">
        <f>IF(A163="","",N(INDEX(Projects[Est Controls Commissioning],162)))</f>
        <v/>
      </c>
      <c r="CN163" s="5">
        <f>IF(A163="","",N(INDEX(Projects[Est Systems Commissioning],162)))</f>
        <v/>
      </c>
      <c r="CO163" s="5">
        <f>IF(A163="","",N(INDEX(Projects[Est Service Commissioning],162)))</f>
        <v/>
      </c>
      <c r="CP163" s="5">
        <f>IF(A163="","",N(INDEX(Projects[Est Controls Eng],162)))</f>
        <v/>
      </c>
      <c r="CQ163" s="5">
        <f>IF(A163="","",N(INDEX(Projects[Est Controls Purchase],162)))</f>
        <v/>
      </c>
      <c r="CR163" s="5">
        <f>IF(A163="","",N(INDEX(Projects[Est Software Eng],162)))</f>
        <v/>
      </c>
      <c r="CS163" s="5">
        <f>IF(A163="","",N(INDEX(Projects[Est Misc],162)))</f>
        <v/>
      </c>
      <c r="CT163" s="5">
        <f>IF(A163="","",SUM(CF163:CS163))</f>
        <v/>
      </c>
      <c r="CU163" s="5">
        <f>INDEX(Projects[Est Cost (M)],162)</f>
        <v/>
      </c>
      <c r="CV163" s="5">
        <f>INDEX(Projects[Act Cost (M)],162)</f>
        <v/>
      </c>
      <c r="CW163" s="5">
        <f>INDEX(Projects[Plan Mech Eng (wks)],162)</f>
        <v/>
      </c>
      <c r="CX163" s="5">
        <f>INDEX(Projects[Plan Controls Eng (wks)],162)</f>
        <v/>
      </c>
      <c r="CY163" s="5">
        <f>INDEX(Projects[Plan Systems Eng (wks)],162)</f>
        <v/>
      </c>
      <c r="CZ163" s="5">
        <f>INDEX(Projects[Plan Software Eng (wks)],162)</f>
        <v/>
      </c>
      <c r="DA163" s="5">
        <f>INDEX(Projects[Plan M&amp;E Installation (wks)],162)</f>
        <v/>
      </c>
      <c r="DB163" s="5">
        <f>INDEX(Projects[Plan Commissioning (wks)],162)</f>
        <v/>
      </c>
      <c r="DC163" s="5">
        <f>INDEX(Projects[Plan Total (wks)],162)</f>
        <v/>
      </c>
      <c r="DD163" s="5">
        <f>INDEX(Projects[Act Mech Eng (wks)],162)</f>
        <v/>
      </c>
      <c r="DE163" s="5">
        <f>INDEX(Projects[Act Controls Eng (wks)],162)</f>
        <v/>
      </c>
      <c r="DF163" s="5">
        <f>INDEX(Projects[Act Systems Eng (wks)],162)</f>
        <v/>
      </c>
      <c r="DG163" s="5">
        <f>INDEX(Projects[Act Software Eng (wks)],162)</f>
        <v/>
      </c>
      <c r="DH163" s="5">
        <f>INDEX(Projects[Act M&amp;E Installation (wks)],162)</f>
        <v/>
      </c>
      <c r="DI163" s="5">
        <f>INDEX(Projects[Act Commissioning (wks)],162)</f>
        <v/>
      </c>
      <c r="DJ163" s="5">
        <f>INDEX(Projects[Act Total (wks)],162)</f>
        <v/>
      </c>
    </row>
    <row r="164" ht="15" customHeight="1" s="82">
      <c r="A164" s="64">
        <f>INDEX(Projects[Project ID *],163)&amp;""</f>
        <v/>
      </c>
      <c r="B164" s="64">
        <f>INDEX(Projects[Project Name *],163)&amp;""</f>
        <v/>
      </c>
      <c r="C164" s="64">
        <f>INDEX(Projects[MS Shuttles],163)</f>
        <v/>
      </c>
      <c r="D164" s="64">
        <f>INDEX(Projects[MS Tote Locations],163)</f>
        <v/>
      </c>
      <c r="E164" s="64">
        <f>INDEX(Projects[AS Robots],163)</f>
        <v/>
      </c>
      <c r="F164" s="64">
        <f>INDEX(Projects[AS Tote Locations],163)</f>
        <v/>
      </c>
      <c r="G164" s="64">
        <f>INDEX(Projects[PS Shuttles],163)</f>
        <v/>
      </c>
      <c r="H164" s="64">
        <f>INDEX(Projects[PS Pallet Locations],163)</f>
        <v/>
      </c>
      <c r="I164" s="64">
        <f>INDEX(Projects[SRM Cranes],163)</f>
        <v/>
      </c>
      <c r="J164" s="64">
        <f>INDEX(Projects[SRM Pallet Locations],163)</f>
        <v/>
      </c>
      <c r="K164" s="64">
        <f>INDEX(Projects[Case Conv (m)],163)</f>
        <v/>
      </c>
      <c r="L164" s="64">
        <f>INDEX(Projects[Pallet Conv (m)],163)</f>
        <v/>
      </c>
      <c r="M164" s="64">
        <f>IF(N(DJ164)&gt;0,DD164,CW164)</f>
        <v/>
      </c>
      <c r="N164" s="64">
        <f>IF(N(DJ164)&gt;0,DE164,CX164)</f>
        <v/>
      </c>
      <c r="O164" s="64">
        <f>IF(N(DJ164)&gt;0,DF164,CY164)</f>
        <v/>
      </c>
      <c r="P164" s="64">
        <f>IF(N(DJ164)&gt;0,DG164,CZ164)</f>
        <v/>
      </c>
      <c r="Q164" s="64">
        <f>IF(N(DJ164)&gt;0,DH164,DA164)</f>
        <v/>
      </c>
      <c r="R164" s="64">
        <f>IF(N(DJ164)&gt;0,DI164,DB164)</f>
        <v/>
      </c>
      <c r="S164" s="64">
        <f>IF(N(DJ164)&gt;0,DJ164,DC164)</f>
        <v/>
      </c>
      <c r="T164" s="64">
        <f>INDEX(Projects[Currency],163)&amp;""</f>
        <v/>
      </c>
      <c r="U164" s="65">
        <f>INDEX(Projects[Sold Value (M)],163)</f>
        <v/>
      </c>
      <c r="V164" s="64">
        <f>IF('Smart Search'!B13=1,IFERROR(1/'Smart Search'!H13,0),0)</f>
        <v/>
      </c>
      <c r="W164" s="64">
        <f>IF('Smart Search'!B13=1,IFERROR(1/'Smart Search'!H13,0),0)</f>
        <v/>
      </c>
      <c r="X164" s="64">
        <f>IF('Smart Search'!C13=1,IFERROR(1/'Smart Search'!H13,0),0)</f>
        <v/>
      </c>
      <c r="Y164" s="64">
        <f>IF('Smart Search'!C13=1,IFERROR(1/'Smart Search'!H13,0),0)</f>
        <v/>
      </c>
      <c r="Z164" s="64">
        <f>IF('Smart Search'!D13=1,IFERROR(1/'Smart Search'!H13,0),0)</f>
        <v/>
      </c>
      <c r="AA164" s="64">
        <f>IF('Smart Search'!D13=1,IFERROR(1/'Smart Search'!H13,0),0)</f>
        <v/>
      </c>
      <c r="AB164" s="64">
        <f>IF('Smart Search'!E13=1,IFERROR(1/'Smart Search'!H13,0),0)</f>
        <v/>
      </c>
      <c r="AC164" s="64">
        <f>IF('Smart Search'!E13=1,IFERROR(1/'Smart Search'!H13,0),0)</f>
        <v/>
      </c>
      <c r="AD164" s="64">
        <f>IF('Smart Search'!F13=1,IFERROR(1/'Smart Search'!H13,0),0)</f>
        <v/>
      </c>
      <c r="AE164" s="64">
        <f>IF('Smart Search'!F13=1,IFERROR(1/'Smart Search'!H13,0),0)</f>
        <v/>
      </c>
      <c r="AF164" s="64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4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4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4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4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4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4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4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4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4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4">
        <f>AF164*V164</f>
        <v/>
      </c>
      <c r="AQ164" s="64">
        <f>AG164*W164</f>
        <v/>
      </c>
      <c r="AR164" s="64">
        <f>AH164*X164</f>
        <v/>
      </c>
      <c r="AS164" s="64">
        <f>AI164*Y164</f>
        <v/>
      </c>
      <c r="AT164" s="64">
        <f>AJ164*Z164</f>
        <v/>
      </c>
      <c r="AU164" s="64">
        <f>AK164*AA164</f>
        <v/>
      </c>
      <c r="AV164" s="64">
        <f>AL164*AB164</f>
        <v/>
      </c>
      <c r="AW164" s="64">
        <f>AM164*AC164</f>
        <v/>
      </c>
      <c r="AX164" s="64">
        <f>AN164*AD164</f>
        <v/>
      </c>
      <c r="AY164" s="64">
        <f>AO164*AE164</f>
        <v/>
      </c>
      <c r="AZ164" s="64">
        <f>INDEX(Projects[Automation Equipment],163)&amp;""</f>
        <v/>
      </c>
      <c r="BA164" s="64">
        <f>IF(OR(A164="",'Smart Search'!H13=0),"",MAX(0,BE164*BF164*MAX(0,1-BG164)))</f>
        <v/>
      </c>
      <c r="BB164" s="64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4">
        <f>IF('Smart Search'!G13=1,IFERROR(1/'Smart Search'!H13,0),0)</f>
        <v/>
      </c>
      <c r="BD164" s="64">
        <f>BB164*BC164</f>
        <v/>
      </c>
      <c r="BE164" s="64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IF(A164="","",N(INDEX(Projects[Act Mech Inst],163)))</f>
        <v/>
      </c>
      <c r="BK164" s="5">
        <f>IF(A164="","",N(INDEX(Projects[Act Elec Inst],163)))</f>
        <v/>
      </c>
      <c r="BL164" s="5">
        <f>IF(A164="","",N(INDEX(Projects[Act Project Management],163)))</f>
        <v/>
      </c>
      <c r="BM164" s="5">
        <f>IF(A164="","",N(INDEX(Projects[Act Systems Eng],163)))</f>
        <v/>
      </c>
      <c r="BN164" s="5">
        <f>IF(A164="","",N(INDEX(Projects[Act Mechanical Eng],163)))</f>
        <v/>
      </c>
      <c r="BO164" s="5">
        <f>IF(A164="","",N(INDEX(Projects[Act Structural Engineering],163)))</f>
        <v/>
      </c>
      <c r="BP164" s="5">
        <f>IF(A164="","",N(INDEX(Projects[Act Site Sup],163)))</f>
        <v/>
      </c>
      <c r="BQ164" s="5">
        <f>IF(A164="","",N(INDEX(Projects[Act Controls Commissioning],163)))</f>
        <v/>
      </c>
      <c r="BR164" s="5">
        <f>IF(A164="","",N(INDEX(Projects[Act Systems Commissioning],163)))</f>
        <v/>
      </c>
      <c r="BS164" s="5">
        <f>IF(A164="","",N(INDEX(Projects[Act Service Commissioning],163)))</f>
        <v/>
      </c>
      <c r="BT164" s="5">
        <f>IF(A164="","",N(INDEX(Projects[Act Controls Eng],163)))</f>
        <v/>
      </c>
      <c r="BU164" s="5">
        <f>IF(A164="","",N(INDEX(Projects[Act Controls Purchase],163)))</f>
        <v/>
      </c>
      <c r="BV164" s="5">
        <f>IF(A164="","",N(INDEX(Projects[Act Software Eng],163)))</f>
        <v/>
      </c>
      <c r="BW164" s="5">
        <f>IF(A164="","",N(INDEX(Projects[Act 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INDEX(Projects[Sold Value (USD M)],163)</f>
        <v/>
      </c>
      <c r="CE164" s="5" t="n"/>
      <c r="CF164" s="5">
        <f>IF(A164="","",N(INDEX(Projects[Est Mech Inst],163)))</f>
        <v/>
      </c>
      <c r="CG164" s="5">
        <f>IF(A164="","",N(INDEX(Projects[Est Elec Inst],163)))</f>
        <v/>
      </c>
      <c r="CH164" s="5">
        <f>IF(A164="","",N(INDEX(Projects[Est Project Management],163)))</f>
        <v/>
      </c>
      <c r="CI164" s="5">
        <f>IF(A164="","",N(INDEX(Projects[Est Systems Eng],163)))</f>
        <v/>
      </c>
      <c r="CJ164" s="5">
        <f>IF(A164="","",N(INDEX(Projects[Est Mechanical Eng],163)))</f>
        <v/>
      </c>
      <c r="CK164" s="5">
        <f>IF(A164="","",N(INDEX(Projects[Est Structural Engineering],163)))</f>
        <v/>
      </c>
      <c r="CL164" s="5">
        <f>IF(A164="","",N(INDEX(Projects[Est Site Sup],163)))</f>
        <v/>
      </c>
      <c r="CM164" s="5">
        <f>IF(A164="","",N(INDEX(Projects[Est Controls Commissioning],163)))</f>
        <v/>
      </c>
      <c r="CN164" s="5">
        <f>IF(A164="","",N(INDEX(Projects[Est Systems Commissioning],163)))</f>
        <v/>
      </c>
      <c r="CO164" s="5">
        <f>IF(A164="","",N(INDEX(Projects[Est Service Commissioning],163)))</f>
        <v/>
      </c>
      <c r="CP164" s="5">
        <f>IF(A164="","",N(INDEX(Projects[Est Controls Eng],163)))</f>
        <v/>
      </c>
      <c r="CQ164" s="5">
        <f>IF(A164="","",N(INDEX(Projects[Est Controls Purchase],163)))</f>
        <v/>
      </c>
      <c r="CR164" s="5">
        <f>IF(A164="","",N(INDEX(Projects[Est Software Eng],163)))</f>
        <v/>
      </c>
      <c r="CS164" s="5">
        <f>IF(A164="","",N(INDEX(Projects[Est Misc],163)))</f>
        <v/>
      </c>
      <c r="CT164" s="5">
        <f>IF(A164="","",SUM(CF164:CS164))</f>
        <v/>
      </c>
      <c r="CU164" s="5">
        <f>INDEX(Projects[Est Cost (M)],163)</f>
        <v/>
      </c>
      <c r="CV164" s="5">
        <f>INDEX(Projects[Act Cost (M)],163)</f>
        <v/>
      </c>
      <c r="CW164" s="5">
        <f>INDEX(Projects[Plan Mech Eng (wks)],163)</f>
        <v/>
      </c>
      <c r="CX164" s="5">
        <f>INDEX(Projects[Plan Controls Eng (wks)],163)</f>
        <v/>
      </c>
      <c r="CY164" s="5">
        <f>INDEX(Projects[Plan Systems Eng (wks)],163)</f>
        <v/>
      </c>
      <c r="CZ164" s="5">
        <f>INDEX(Projects[Plan Software Eng (wks)],163)</f>
        <v/>
      </c>
      <c r="DA164" s="5">
        <f>INDEX(Projects[Plan M&amp;E Installation (wks)],163)</f>
        <v/>
      </c>
      <c r="DB164" s="5">
        <f>INDEX(Projects[Plan Commissioning (wks)],163)</f>
        <v/>
      </c>
      <c r="DC164" s="5">
        <f>INDEX(Projects[Plan Total (wks)],163)</f>
        <v/>
      </c>
      <c r="DD164" s="5">
        <f>INDEX(Projects[Act Mech Eng (wks)],163)</f>
        <v/>
      </c>
      <c r="DE164" s="5">
        <f>INDEX(Projects[Act Controls Eng (wks)],163)</f>
        <v/>
      </c>
      <c r="DF164" s="5">
        <f>INDEX(Projects[Act Systems Eng (wks)],163)</f>
        <v/>
      </c>
      <c r="DG164" s="5">
        <f>INDEX(Projects[Act Software Eng (wks)],163)</f>
        <v/>
      </c>
      <c r="DH164" s="5">
        <f>INDEX(Projects[Act M&amp;E Installation (wks)],163)</f>
        <v/>
      </c>
      <c r="DI164" s="5">
        <f>INDEX(Projects[Act Commissioning (wks)],163)</f>
        <v/>
      </c>
      <c r="DJ164" s="5">
        <f>INDEX(Projects[Act Total (wks)],163)</f>
        <v/>
      </c>
    </row>
    <row r="165" ht="15" customHeight="1" s="82">
      <c r="A165" s="64">
        <f>INDEX(Projects[Project ID *],164)&amp;""</f>
        <v/>
      </c>
      <c r="B165" s="64">
        <f>INDEX(Projects[Project Name *],164)&amp;""</f>
        <v/>
      </c>
      <c r="C165" s="64">
        <f>INDEX(Projects[MS Shuttles],164)</f>
        <v/>
      </c>
      <c r="D165" s="64">
        <f>INDEX(Projects[MS Tote Locations],164)</f>
        <v/>
      </c>
      <c r="E165" s="64">
        <f>INDEX(Projects[AS Robots],164)</f>
        <v/>
      </c>
      <c r="F165" s="64">
        <f>INDEX(Projects[AS Tote Locations],164)</f>
        <v/>
      </c>
      <c r="G165" s="64">
        <f>INDEX(Projects[PS Shuttles],164)</f>
        <v/>
      </c>
      <c r="H165" s="64">
        <f>INDEX(Projects[PS Pallet Locations],164)</f>
        <v/>
      </c>
      <c r="I165" s="64">
        <f>INDEX(Projects[SRM Cranes],164)</f>
        <v/>
      </c>
      <c r="J165" s="64">
        <f>INDEX(Projects[SRM Pallet Locations],164)</f>
        <v/>
      </c>
      <c r="K165" s="64">
        <f>INDEX(Projects[Case Conv (m)],164)</f>
        <v/>
      </c>
      <c r="L165" s="64">
        <f>INDEX(Projects[Pallet Conv (m)],164)</f>
        <v/>
      </c>
      <c r="M165" s="64">
        <f>IF(N(DJ165)&gt;0,DD165,CW165)</f>
        <v/>
      </c>
      <c r="N165" s="64">
        <f>IF(N(DJ165)&gt;0,DE165,CX165)</f>
        <v/>
      </c>
      <c r="O165" s="64">
        <f>IF(N(DJ165)&gt;0,DF165,CY165)</f>
        <v/>
      </c>
      <c r="P165" s="64">
        <f>IF(N(DJ165)&gt;0,DG165,CZ165)</f>
        <v/>
      </c>
      <c r="Q165" s="64">
        <f>IF(N(DJ165)&gt;0,DH165,DA165)</f>
        <v/>
      </c>
      <c r="R165" s="64">
        <f>IF(N(DJ165)&gt;0,DI165,DB165)</f>
        <v/>
      </c>
      <c r="S165" s="64">
        <f>IF(N(DJ165)&gt;0,DJ165,DC165)</f>
        <v/>
      </c>
      <c r="T165" s="64">
        <f>INDEX(Projects[Currency],164)&amp;""</f>
        <v/>
      </c>
      <c r="U165" s="65">
        <f>INDEX(Projects[Sold Value (M)],164)</f>
        <v/>
      </c>
      <c r="V165" s="64">
        <f>IF('Smart Search'!B13=1,IFERROR(1/'Smart Search'!H13,0),0)</f>
        <v/>
      </c>
      <c r="W165" s="64">
        <f>IF('Smart Search'!B13=1,IFERROR(1/'Smart Search'!H13,0),0)</f>
        <v/>
      </c>
      <c r="X165" s="64">
        <f>IF('Smart Search'!C13=1,IFERROR(1/'Smart Search'!H13,0),0)</f>
        <v/>
      </c>
      <c r="Y165" s="64">
        <f>IF('Smart Search'!C13=1,IFERROR(1/'Smart Search'!H13,0),0)</f>
        <v/>
      </c>
      <c r="Z165" s="64">
        <f>IF('Smart Search'!D13=1,IFERROR(1/'Smart Search'!H13,0),0)</f>
        <v/>
      </c>
      <c r="AA165" s="64">
        <f>IF('Smart Search'!D13=1,IFERROR(1/'Smart Search'!H13,0),0)</f>
        <v/>
      </c>
      <c r="AB165" s="64">
        <f>IF('Smart Search'!E13=1,IFERROR(1/'Smart Search'!H13,0),0)</f>
        <v/>
      </c>
      <c r="AC165" s="64">
        <f>IF('Smart Search'!E13=1,IFERROR(1/'Smart Search'!H13,0),0)</f>
        <v/>
      </c>
      <c r="AD165" s="64">
        <f>IF('Smart Search'!F13=1,IFERROR(1/'Smart Search'!H13,0),0)</f>
        <v/>
      </c>
      <c r="AE165" s="64">
        <f>IF('Smart Search'!F13=1,IFERROR(1/'Smart Search'!H13,0),0)</f>
        <v/>
      </c>
      <c r="AF165" s="64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4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4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4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4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4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4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4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4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4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4">
        <f>AF165*V165</f>
        <v/>
      </c>
      <c r="AQ165" s="64">
        <f>AG165*W165</f>
        <v/>
      </c>
      <c r="AR165" s="64">
        <f>AH165*X165</f>
        <v/>
      </c>
      <c r="AS165" s="64">
        <f>AI165*Y165</f>
        <v/>
      </c>
      <c r="AT165" s="64">
        <f>AJ165*Z165</f>
        <v/>
      </c>
      <c r="AU165" s="64">
        <f>AK165*AA165</f>
        <v/>
      </c>
      <c r="AV165" s="64">
        <f>AL165*AB165</f>
        <v/>
      </c>
      <c r="AW165" s="64">
        <f>AM165*AC165</f>
        <v/>
      </c>
      <c r="AX165" s="64">
        <f>AN165*AD165</f>
        <v/>
      </c>
      <c r="AY165" s="64">
        <f>AO165*AE165</f>
        <v/>
      </c>
      <c r="AZ165" s="64">
        <f>INDEX(Projects[Automation Equipment],164)&amp;""</f>
        <v/>
      </c>
      <c r="BA165" s="64">
        <f>IF(OR(A165="",'Smart Search'!H13=0),"",MAX(0,BE165*BF165*MAX(0,1-BG165)))</f>
        <v/>
      </c>
      <c r="BB165" s="64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4">
        <f>IF('Smart Search'!G13=1,IFERROR(1/'Smart Search'!H13,0),0)</f>
        <v/>
      </c>
      <c r="BD165" s="64">
        <f>BB165*BC165</f>
        <v/>
      </c>
      <c r="BE165" s="64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IF(A165="","",N(INDEX(Projects[Act Mech Inst],164)))</f>
        <v/>
      </c>
      <c r="BK165" s="5">
        <f>IF(A165="","",N(INDEX(Projects[Act Elec Inst],164)))</f>
        <v/>
      </c>
      <c r="BL165" s="5">
        <f>IF(A165="","",N(INDEX(Projects[Act Project Management],164)))</f>
        <v/>
      </c>
      <c r="BM165" s="5">
        <f>IF(A165="","",N(INDEX(Projects[Act Systems Eng],164)))</f>
        <v/>
      </c>
      <c r="BN165" s="5">
        <f>IF(A165="","",N(INDEX(Projects[Act Mechanical Eng],164)))</f>
        <v/>
      </c>
      <c r="BO165" s="5">
        <f>IF(A165="","",N(INDEX(Projects[Act Structural Engineering],164)))</f>
        <v/>
      </c>
      <c r="BP165" s="5">
        <f>IF(A165="","",N(INDEX(Projects[Act Site Sup],164)))</f>
        <v/>
      </c>
      <c r="BQ165" s="5">
        <f>IF(A165="","",N(INDEX(Projects[Act Controls Commissioning],164)))</f>
        <v/>
      </c>
      <c r="BR165" s="5">
        <f>IF(A165="","",N(INDEX(Projects[Act Systems Commissioning],164)))</f>
        <v/>
      </c>
      <c r="BS165" s="5">
        <f>IF(A165="","",N(INDEX(Projects[Act Service Commissioning],164)))</f>
        <v/>
      </c>
      <c r="BT165" s="5">
        <f>IF(A165="","",N(INDEX(Projects[Act Controls Eng],164)))</f>
        <v/>
      </c>
      <c r="BU165" s="5">
        <f>IF(A165="","",N(INDEX(Projects[Act Controls Purchase],164)))</f>
        <v/>
      </c>
      <c r="BV165" s="5">
        <f>IF(A165="","",N(INDEX(Projects[Act Software Eng],164)))</f>
        <v/>
      </c>
      <c r="BW165" s="5">
        <f>IF(A165="","",N(INDEX(Projects[Act 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INDEX(Projects[Sold Value (USD M)],164)</f>
        <v/>
      </c>
      <c r="CE165" s="5" t="n"/>
      <c r="CF165" s="5">
        <f>IF(A165="","",N(INDEX(Projects[Est Mech Inst],164)))</f>
        <v/>
      </c>
      <c r="CG165" s="5">
        <f>IF(A165="","",N(INDEX(Projects[Est Elec Inst],164)))</f>
        <v/>
      </c>
      <c r="CH165" s="5">
        <f>IF(A165="","",N(INDEX(Projects[Est Project Management],164)))</f>
        <v/>
      </c>
      <c r="CI165" s="5">
        <f>IF(A165="","",N(INDEX(Projects[Est Systems Eng],164)))</f>
        <v/>
      </c>
      <c r="CJ165" s="5">
        <f>IF(A165="","",N(INDEX(Projects[Est Mechanical Eng],164)))</f>
        <v/>
      </c>
      <c r="CK165" s="5">
        <f>IF(A165="","",N(INDEX(Projects[Est Structural Engineering],164)))</f>
        <v/>
      </c>
      <c r="CL165" s="5">
        <f>IF(A165="","",N(INDEX(Projects[Est Site Sup],164)))</f>
        <v/>
      </c>
      <c r="CM165" s="5">
        <f>IF(A165="","",N(INDEX(Projects[Est Controls Commissioning],164)))</f>
        <v/>
      </c>
      <c r="CN165" s="5">
        <f>IF(A165="","",N(INDEX(Projects[Est Systems Commissioning],164)))</f>
        <v/>
      </c>
      <c r="CO165" s="5">
        <f>IF(A165="","",N(INDEX(Projects[Est Service Commissioning],164)))</f>
        <v/>
      </c>
      <c r="CP165" s="5">
        <f>IF(A165="","",N(INDEX(Projects[Est Controls Eng],164)))</f>
        <v/>
      </c>
      <c r="CQ165" s="5">
        <f>IF(A165="","",N(INDEX(Projects[Est Controls Purchase],164)))</f>
        <v/>
      </c>
      <c r="CR165" s="5">
        <f>IF(A165="","",N(INDEX(Projects[Est Software Eng],164)))</f>
        <v/>
      </c>
      <c r="CS165" s="5">
        <f>IF(A165="","",N(INDEX(Projects[Est Misc],164)))</f>
        <v/>
      </c>
      <c r="CT165" s="5">
        <f>IF(A165="","",SUM(CF165:CS165))</f>
        <v/>
      </c>
      <c r="CU165" s="5">
        <f>INDEX(Projects[Est Cost (M)],164)</f>
        <v/>
      </c>
      <c r="CV165" s="5">
        <f>INDEX(Projects[Act Cost (M)],164)</f>
        <v/>
      </c>
      <c r="CW165" s="5">
        <f>INDEX(Projects[Plan Mech Eng (wks)],164)</f>
        <v/>
      </c>
      <c r="CX165" s="5">
        <f>INDEX(Projects[Plan Controls Eng (wks)],164)</f>
        <v/>
      </c>
      <c r="CY165" s="5">
        <f>INDEX(Projects[Plan Systems Eng (wks)],164)</f>
        <v/>
      </c>
      <c r="CZ165" s="5">
        <f>INDEX(Projects[Plan Software Eng (wks)],164)</f>
        <v/>
      </c>
      <c r="DA165" s="5">
        <f>INDEX(Projects[Plan M&amp;E Installation (wks)],164)</f>
        <v/>
      </c>
      <c r="DB165" s="5">
        <f>INDEX(Projects[Plan Commissioning (wks)],164)</f>
        <v/>
      </c>
      <c r="DC165" s="5">
        <f>INDEX(Projects[Plan Total (wks)],164)</f>
        <v/>
      </c>
      <c r="DD165" s="5">
        <f>INDEX(Projects[Act Mech Eng (wks)],164)</f>
        <v/>
      </c>
      <c r="DE165" s="5">
        <f>INDEX(Projects[Act Controls Eng (wks)],164)</f>
        <v/>
      </c>
      <c r="DF165" s="5">
        <f>INDEX(Projects[Act Systems Eng (wks)],164)</f>
        <v/>
      </c>
      <c r="DG165" s="5">
        <f>INDEX(Projects[Act Software Eng (wks)],164)</f>
        <v/>
      </c>
      <c r="DH165" s="5">
        <f>INDEX(Projects[Act M&amp;E Installation (wks)],164)</f>
        <v/>
      </c>
      <c r="DI165" s="5">
        <f>INDEX(Projects[Act Commissioning (wks)],164)</f>
        <v/>
      </c>
      <c r="DJ165" s="5">
        <f>INDEX(Projects[Act Total (wks)],164)</f>
        <v/>
      </c>
    </row>
    <row r="166" ht="15" customHeight="1" s="82">
      <c r="A166" s="64">
        <f>INDEX(Projects[Project ID *],165)&amp;""</f>
        <v/>
      </c>
      <c r="B166" s="64">
        <f>INDEX(Projects[Project Name *],165)&amp;""</f>
        <v/>
      </c>
      <c r="C166" s="64">
        <f>INDEX(Projects[MS Shuttles],165)</f>
        <v/>
      </c>
      <c r="D166" s="64">
        <f>INDEX(Projects[MS Tote Locations],165)</f>
        <v/>
      </c>
      <c r="E166" s="64">
        <f>INDEX(Projects[AS Robots],165)</f>
        <v/>
      </c>
      <c r="F166" s="64">
        <f>INDEX(Projects[AS Tote Locations],165)</f>
        <v/>
      </c>
      <c r="G166" s="64">
        <f>INDEX(Projects[PS Shuttles],165)</f>
        <v/>
      </c>
      <c r="H166" s="64">
        <f>INDEX(Projects[PS Pallet Locations],165)</f>
        <v/>
      </c>
      <c r="I166" s="64">
        <f>INDEX(Projects[SRM Cranes],165)</f>
        <v/>
      </c>
      <c r="J166" s="64">
        <f>INDEX(Projects[SRM Pallet Locations],165)</f>
        <v/>
      </c>
      <c r="K166" s="64">
        <f>INDEX(Projects[Case Conv (m)],165)</f>
        <v/>
      </c>
      <c r="L166" s="64">
        <f>INDEX(Projects[Pallet Conv (m)],165)</f>
        <v/>
      </c>
      <c r="M166" s="64">
        <f>IF(N(DJ166)&gt;0,DD166,CW166)</f>
        <v/>
      </c>
      <c r="N166" s="64">
        <f>IF(N(DJ166)&gt;0,DE166,CX166)</f>
        <v/>
      </c>
      <c r="O166" s="64">
        <f>IF(N(DJ166)&gt;0,DF166,CY166)</f>
        <v/>
      </c>
      <c r="P166" s="64">
        <f>IF(N(DJ166)&gt;0,DG166,CZ166)</f>
        <v/>
      </c>
      <c r="Q166" s="64">
        <f>IF(N(DJ166)&gt;0,DH166,DA166)</f>
        <v/>
      </c>
      <c r="R166" s="64">
        <f>IF(N(DJ166)&gt;0,DI166,DB166)</f>
        <v/>
      </c>
      <c r="S166" s="64">
        <f>IF(N(DJ166)&gt;0,DJ166,DC166)</f>
        <v/>
      </c>
      <c r="T166" s="64">
        <f>INDEX(Projects[Currency],165)&amp;""</f>
        <v/>
      </c>
      <c r="U166" s="65">
        <f>INDEX(Projects[Sold Value (M)],165)</f>
        <v/>
      </c>
      <c r="V166" s="64">
        <f>IF('Smart Search'!B13=1,IFERROR(1/'Smart Search'!H13,0),0)</f>
        <v/>
      </c>
      <c r="W166" s="64">
        <f>IF('Smart Search'!B13=1,IFERROR(1/'Smart Search'!H13,0),0)</f>
        <v/>
      </c>
      <c r="X166" s="64">
        <f>IF('Smart Search'!C13=1,IFERROR(1/'Smart Search'!H13,0),0)</f>
        <v/>
      </c>
      <c r="Y166" s="64">
        <f>IF('Smart Search'!C13=1,IFERROR(1/'Smart Search'!H13,0),0)</f>
        <v/>
      </c>
      <c r="Z166" s="64">
        <f>IF('Smart Search'!D13=1,IFERROR(1/'Smart Search'!H13,0),0)</f>
        <v/>
      </c>
      <c r="AA166" s="64">
        <f>IF('Smart Search'!D13=1,IFERROR(1/'Smart Search'!H13,0),0)</f>
        <v/>
      </c>
      <c r="AB166" s="64">
        <f>IF('Smart Search'!E13=1,IFERROR(1/'Smart Search'!H13,0),0)</f>
        <v/>
      </c>
      <c r="AC166" s="64">
        <f>IF('Smart Search'!E13=1,IFERROR(1/'Smart Search'!H13,0),0)</f>
        <v/>
      </c>
      <c r="AD166" s="64">
        <f>IF('Smart Search'!F13=1,IFERROR(1/'Smart Search'!H13,0),0)</f>
        <v/>
      </c>
      <c r="AE166" s="64">
        <f>IF('Smart Search'!F13=1,IFERROR(1/'Smart Search'!H13,0),0)</f>
        <v/>
      </c>
      <c r="AF166" s="64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4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4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4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4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4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4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4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4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4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4">
        <f>AF166*V166</f>
        <v/>
      </c>
      <c r="AQ166" s="64">
        <f>AG166*W166</f>
        <v/>
      </c>
      <c r="AR166" s="64">
        <f>AH166*X166</f>
        <v/>
      </c>
      <c r="AS166" s="64">
        <f>AI166*Y166</f>
        <v/>
      </c>
      <c r="AT166" s="64">
        <f>AJ166*Z166</f>
        <v/>
      </c>
      <c r="AU166" s="64">
        <f>AK166*AA166</f>
        <v/>
      </c>
      <c r="AV166" s="64">
        <f>AL166*AB166</f>
        <v/>
      </c>
      <c r="AW166" s="64">
        <f>AM166*AC166</f>
        <v/>
      </c>
      <c r="AX166" s="64">
        <f>AN166*AD166</f>
        <v/>
      </c>
      <c r="AY166" s="64">
        <f>AO166*AE166</f>
        <v/>
      </c>
      <c r="AZ166" s="64">
        <f>INDEX(Projects[Automation Equipment],165)&amp;""</f>
        <v/>
      </c>
      <c r="BA166" s="64">
        <f>IF(OR(A166="",'Smart Search'!H13=0),"",MAX(0,BE166*BF166*MAX(0,1-BG166)))</f>
        <v/>
      </c>
      <c r="BB166" s="64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4">
        <f>IF('Smart Search'!G13=1,IFERROR(1/'Smart Search'!H13,0),0)</f>
        <v/>
      </c>
      <c r="BD166" s="64">
        <f>BB166*BC166</f>
        <v/>
      </c>
      <c r="BE166" s="64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IF(A166="","",N(INDEX(Projects[Act Mech Inst],165)))</f>
        <v/>
      </c>
      <c r="BK166" s="5">
        <f>IF(A166="","",N(INDEX(Projects[Act Elec Inst],165)))</f>
        <v/>
      </c>
      <c r="BL166" s="5">
        <f>IF(A166="","",N(INDEX(Projects[Act Project Management],165)))</f>
        <v/>
      </c>
      <c r="BM166" s="5">
        <f>IF(A166="","",N(INDEX(Projects[Act Systems Eng],165)))</f>
        <v/>
      </c>
      <c r="BN166" s="5">
        <f>IF(A166="","",N(INDEX(Projects[Act Mechanical Eng],165)))</f>
        <v/>
      </c>
      <c r="BO166" s="5">
        <f>IF(A166="","",N(INDEX(Projects[Act Structural Engineering],165)))</f>
        <v/>
      </c>
      <c r="BP166" s="5">
        <f>IF(A166="","",N(INDEX(Projects[Act Site Sup],165)))</f>
        <v/>
      </c>
      <c r="BQ166" s="5">
        <f>IF(A166="","",N(INDEX(Projects[Act Controls Commissioning],165)))</f>
        <v/>
      </c>
      <c r="BR166" s="5">
        <f>IF(A166="","",N(INDEX(Projects[Act Systems Commissioning],165)))</f>
        <v/>
      </c>
      <c r="BS166" s="5">
        <f>IF(A166="","",N(INDEX(Projects[Act Service Commissioning],165)))</f>
        <v/>
      </c>
      <c r="BT166" s="5">
        <f>IF(A166="","",N(INDEX(Projects[Act Controls Eng],165)))</f>
        <v/>
      </c>
      <c r="BU166" s="5">
        <f>IF(A166="","",N(INDEX(Projects[Act Controls Purchase],165)))</f>
        <v/>
      </c>
      <c r="BV166" s="5">
        <f>IF(A166="","",N(INDEX(Projects[Act Software Eng],165)))</f>
        <v/>
      </c>
      <c r="BW166" s="5">
        <f>IF(A166="","",N(INDEX(Projects[Act 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INDEX(Projects[Sold Value (USD M)],165)</f>
        <v/>
      </c>
      <c r="CE166" s="5" t="n"/>
      <c r="CF166" s="5">
        <f>IF(A166="","",N(INDEX(Projects[Est Mech Inst],165)))</f>
        <v/>
      </c>
      <c r="CG166" s="5">
        <f>IF(A166="","",N(INDEX(Projects[Est Elec Inst],165)))</f>
        <v/>
      </c>
      <c r="CH166" s="5">
        <f>IF(A166="","",N(INDEX(Projects[Est Project Management],165)))</f>
        <v/>
      </c>
      <c r="CI166" s="5">
        <f>IF(A166="","",N(INDEX(Projects[Est Systems Eng],165)))</f>
        <v/>
      </c>
      <c r="CJ166" s="5">
        <f>IF(A166="","",N(INDEX(Projects[Est Mechanical Eng],165)))</f>
        <v/>
      </c>
      <c r="CK166" s="5">
        <f>IF(A166="","",N(INDEX(Projects[Est Structural Engineering],165)))</f>
        <v/>
      </c>
      <c r="CL166" s="5">
        <f>IF(A166="","",N(INDEX(Projects[Est Site Sup],165)))</f>
        <v/>
      </c>
      <c r="CM166" s="5">
        <f>IF(A166="","",N(INDEX(Projects[Est Controls Commissioning],165)))</f>
        <v/>
      </c>
      <c r="CN166" s="5">
        <f>IF(A166="","",N(INDEX(Projects[Est Systems Commissioning],165)))</f>
        <v/>
      </c>
      <c r="CO166" s="5">
        <f>IF(A166="","",N(INDEX(Projects[Est Service Commissioning],165)))</f>
        <v/>
      </c>
      <c r="CP166" s="5">
        <f>IF(A166="","",N(INDEX(Projects[Est Controls Eng],165)))</f>
        <v/>
      </c>
      <c r="CQ166" s="5">
        <f>IF(A166="","",N(INDEX(Projects[Est Controls Purchase],165)))</f>
        <v/>
      </c>
      <c r="CR166" s="5">
        <f>IF(A166="","",N(INDEX(Projects[Est Software Eng],165)))</f>
        <v/>
      </c>
      <c r="CS166" s="5">
        <f>IF(A166="","",N(INDEX(Projects[Est Misc],165)))</f>
        <v/>
      </c>
      <c r="CT166" s="5">
        <f>IF(A166="","",SUM(CF166:CS166))</f>
        <v/>
      </c>
      <c r="CU166" s="5">
        <f>INDEX(Projects[Est Cost (M)],165)</f>
        <v/>
      </c>
      <c r="CV166" s="5">
        <f>INDEX(Projects[Act Cost (M)],165)</f>
        <v/>
      </c>
      <c r="CW166" s="5">
        <f>INDEX(Projects[Plan Mech Eng (wks)],165)</f>
        <v/>
      </c>
      <c r="CX166" s="5">
        <f>INDEX(Projects[Plan Controls Eng (wks)],165)</f>
        <v/>
      </c>
      <c r="CY166" s="5">
        <f>INDEX(Projects[Plan Systems Eng (wks)],165)</f>
        <v/>
      </c>
      <c r="CZ166" s="5">
        <f>INDEX(Projects[Plan Software Eng (wks)],165)</f>
        <v/>
      </c>
      <c r="DA166" s="5">
        <f>INDEX(Projects[Plan M&amp;E Installation (wks)],165)</f>
        <v/>
      </c>
      <c r="DB166" s="5">
        <f>INDEX(Projects[Plan Commissioning (wks)],165)</f>
        <v/>
      </c>
      <c r="DC166" s="5">
        <f>INDEX(Projects[Plan Total (wks)],165)</f>
        <v/>
      </c>
      <c r="DD166" s="5">
        <f>INDEX(Projects[Act Mech Eng (wks)],165)</f>
        <v/>
      </c>
      <c r="DE166" s="5">
        <f>INDEX(Projects[Act Controls Eng (wks)],165)</f>
        <v/>
      </c>
      <c r="DF166" s="5">
        <f>INDEX(Projects[Act Systems Eng (wks)],165)</f>
        <v/>
      </c>
      <c r="DG166" s="5">
        <f>INDEX(Projects[Act Software Eng (wks)],165)</f>
        <v/>
      </c>
      <c r="DH166" s="5">
        <f>INDEX(Projects[Act M&amp;E Installation (wks)],165)</f>
        <v/>
      </c>
      <c r="DI166" s="5">
        <f>INDEX(Projects[Act Commissioning (wks)],165)</f>
        <v/>
      </c>
      <c r="DJ166" s="5">
        <f>INDEX(Projects[Act Total (wks)],165)</f>
        <v/>
      </c>
    </row>
    <row r="167" ht="15" customHeight="1" s="82">
      <c r="A167" s="64">
        <f>INDEX(Projects[Project ID *],166)&amp;""</f>
        <v/>
      </c>
      <c r="B167" s="64">
        <f>INDEX(Projects[Project Name *],166)&amp;""</f>
        <v/>
      </c>
      <c r="C167" s="64">
        <f>INDEX(Projects[MS Shuttles],166)</f>
        <v/>
      </c>
      <c r="D167" s="64">
        <f>INDEX(Projects[MS Tote Locations],166)</f>
        <v/>
      </c>
      <c r="E167" s="64">
        <f>INDEX(Projects[AS Robots],166)</f>
        <v/>
      </c>
      <c r="F167" s="64">
        <f>INDEX(Projects[AS Tote Locations],166)</f>
        <v/>
      </c>
      <c r="G167" s="64">
        <f>INDEX(Projects[PS Shuttles],166)</f>
        <v/>
      </c>
      <c r="H167" s="64">
        <f>INDEX(Projects[PS Pallet Locations],166)</f>
        <v/>
      </c>
      <c r="I167" s="64">
        <f>INDEX(Projects[SRM Cranes],166)</f>
        <v/>
      </c>
      <c r="J167" s="64">
        <f>INDEX(Projects[SRM Pallet Locations],166)</f>
        <v/>
      </c>
      <c r="K167" s="64">
        <f>INDEX(Projects[Case Conv (m)],166)</f>
        <v/>
      </c>
      <c r="L167" s="64">
        <f>INDEX(Projects[Pallet Conv (m)],166)</f>
        <v/>
      </c>
      <c r="M167" s="64">
        <f>IF(N(DJ167)&gt;0,DD167,CW167)</f>
        <v/>
      </c>
      <c r="N167" s="64">
        <f>IF(N(DJ167)&gt;0,DE167,CX167)</f>
        <v/>
      </c>
      <c r="O167" s="64">
        <f>IF(N(DJ167)&gt;0,DF167,CY167)</f>
        <v/>
      </c>
      <c r="P167" s="64">
        <f>IF(N(DJ167)&gt;0,DG167,CZ167)</f>
        <v/>
      </c>
      <c r="Q167" s="64">
        <f>IF(N(DJ167)&gt;0,DH167,DA167)</f>
        <v/>
      </c>
      <c r="R167" s="64">
        <f>IF(N(DJ167)&gt;0,DI167,DB167)</f>
        <v/>
      </c>
      <c r="S167" s="64">
        <f>IF(N(DJ167)&gt;0,DJ167,DC167)</f>
        <v/>
      </c>
      <c r="T167" s="64">
        <f>INDEX(Projects[Currency],166)&amp;""</f>
        <v/>
      </c>
      <c r="U167" s="65">
        <f>INDEX(Projects[Sold Value (M)],166)</f>
        <v/>
      </c>
      <c r="V167" s="64">
        <f>IF('Smart Search'!B13=1,IFERROR(1/'Smart Search'!H13,0),0)</f>
        <v/>
      </c>
      <c r="W167" s="64">
        <f>IF('Smart Search'!B13=1,IFERROR(1/'Smart Search'!H13,0),0)</f>
        <v/>
      </c>
      <c r="X167" s="64">
        <f>IF('Smart Search'!C13=1,IFERROR(1/'Smart Search'!H13,0),0)</f>
        <v/>
      </c>
      <c r="Y167" s="64">
        <f>IF('Smart Search'!C13=1,IFERROR(1/'Smart Search'!H13,0),0)</f>
        <v/>
      </c>
      <c r="Z167" s="64">
        <f>IF('Smart Search'!D13=1,IFERROR(1/'Smart Search'!H13,0),0)</f>
        <v/>
      </c>
      <c r="AA167" s="64">
        <f>IF('Smart Search'!D13=1,IFERROR(1/'Smart Search'!H13,0),0)</f>
        <v/>
      </c>
      <c r="AB167" s="64">
        <f>IF('Smart Search'!E13=1,IFERROR(1/'Smart Search'!H13,0),0)</f>
        <v/>
      </c>
      <c r="AC167" s="64">
        <f>IF('Smart Search'!E13=1,IFERROR(1/'Smart Search'!H13,0),0)</f>
        <v/>
      </c>
      <c r="AD167" s="64">
        <f>IF('Smart Search'!F13=1,IFERROR(1/'Smart Search'!H13,0),0)</f>
        <v/>
      </c>
      <c r="AE167" s="64">
        <f>IF('Smart Search'!F13=1,IFERROR(1/'Smart Search'!H13,0),0)</f>
        <v/>
      </c>
      <c r="AF167" s="64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4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4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4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4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4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4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4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4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4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4">
        <f>AF167*V167</f>
        <v/>
      </c>
      <c r="AQ167" s="64">
        <f>AG167*W167</f>
        <v/>
      </c>
      <c r="AR167" s="64">
        <f>AH167*X167</f>
        <v/>
      </c>
      <c r="AS167" s="64">
        <f>AI167*Y167</f>
        <v/>
      </c>
      <c r="AT167" s="64">
        <f>AJ167*Z167</f>
        <v/>
      </c>
      <c r="AU167" s="64">
        <f>AK167*AA167</f>
        <v/>
      </c>
      <c r="AV167" s="64">
        <f>AL167*AB167</f>
        <v/>
      </c>
      <c r="AW167" s="64">
        <f>AM167*AC167</f>
        <v/>
      </c>
      <c r="AX167" s="64">
        <f>AN167*AD167</f>
        <v/>
      </c>
      <c r="AY167" s="64">
        <f>AO167*AE167</f>
        <v/>
      </c>
      <c r="AZ167" s="64">
        <f>INDEX(Projects[Automation Equipment],166)&amp;""</f>
        <v/>
      </c>
      <c r="BA167" s="64">
        <f>IF(OR(A167="",'Smart Search'!H13=0),"",MAX(0,BE167*BF167*MAX(0,1-BG167)))</f>
        <v/>
      </c>
      <c r="BB167" s="64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4">
        <f>IF('Smart Search'!G13=1,IFERROR(1/'Smart Search'!H13,0),0)</f>
        <v/>
      </c>
      <c r="BD167" s="64">
        <f>BB167*BC167</f>
        <v/>
      </c>
      <c r="BE167" s="64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IF(A167="","",N(INDEX(Projects[Act Mech Inst],166)))</f>
        <v/>
      </c>
      <c r="BK167" s="5">
        <f>IF(A167="","",N(INDEX(Projects[Act Elec Inst],166)))</f>
        <v/>
      </c>
      <c r="BL167" s="5">
        <f>IF(A167="","",N(INDEX(Projects[Act Project Management],166)))</f>
        <v/>
      </c>
      <c r="BM167" s="5">
        <f>IF(A167="","",N(INDEX(Projects[Act Systems Eng],166)))</f>
        <v/>
      </c>
      <c r="BN167" s="5">
        <f>IF(A167="","",N(INDEX(Projects[Act Mechanical Eng],166)))</f>
        <v/>
      </c>
      <c r="BO167" s="5">
        <f>IF(A167="","",N(INDEX(Projects[Act Structural Engineering],166)))</f>
        <v/>
      </c>
      <c r="BP167" s="5">
        <f>IF(A167="","",N(INDEX(Projects[Act Site Sup],166)))</f>
        <v/>
      </c>
      <c r="BQ167" s="5">
        <f>IF(A167="","",N(INDEX(Projects[Act Controls Commissioning],166)))</f>
        <v/>
      </c>
      <c r="BR167" s="5">
        <f>IF(A167="","",N(INDEX(Projects[Act Systems Commissioning],166)))</f>
        <v/>
      </c>
      <c r="BS167" s="5">
        <f>IF(A167="","",N(INDEX(Projects[Act Service Commissioning],166)))</f>
        <v/>
      </c>
      <c r="BT167" s="5">
        <f>IF(A167="","",N(INDEX(Projects[Act Controls Eng],166)))</f>
        <v/>
      </c>
      <c r="BU167" s="5">
        <f>IF(A167="","",N(INDEX(Projects[Act Controls Purchase],166)))</f>
        <v/>
      </c>
      <c r="BV167" s="5">
        <f>IF(A167="","",N(INDEX(Projects[Act Software Eng],166)))</f>
        <v/>
      </c>
      <c r="BW167" s="5">
        <f>IF(A167="","",N(INDEX(Projects[Act 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INDEX(Projects[Sold Value (USD M)],166)</f>
        <v/>
      </c>
      <c r="CE167" s="5" t="n"/>
      <c r="CF167" s="5">
        <f>IF(A167="","",N(INDEX(Projects[Est Mech Inst],166)))</f>
        <v/>
      </c>
      <c r="CG167" s="5">
        <f>IF(A167="","",N(INDEX(Projects[Est Elec Inst],166)))</f>
        <v/>
      </c>
      <c r="CH167" s="5">
        <f>IF(A167="","",N(INDEX(Projects[Est Project Management],166)))</f>
        <v/>
      </c>
      <c r="CI167" s="5">
        <f>IF(A167="","",N(INDEX(Projects[Est Systems Eng],166)))</f>
        <v/>
      </c>
      <c r="CJ167" s="5">
        <f>IF(A167="","",N(INDEX(Projects[Est Mechanical Eng],166)))</f>
        <v/>
      </c>
      <c r="CK167" s="5">
        <f>IF(A167="","",N(INDEX(Projects[Est Structural Engineering],166)))</f>
        <v/>
      </c>
      <c r="CL167" s="5">
        <f>IF(A167="","",N(INDEX(Projects[Est Site Sup],166)))</f>
        <v/>
      </c>
      <c r="CM167" s="5">
        <f>IF(A167="","",N(INDEX(Projects[Est Controls Commissioning],166)))</f>
        <v/>
      </c>
      <c r="CN167" s="5">
        <f>IF(A167="","",N(INDEX(Projects[Est Systems Commissioning],166)))</f>
        <v/>
      </c>
      <c r="CO167" s="5">
        <f>IF(A167="","",N(INDEX(Projects[Est Service Commissioning],166)))</f>
        <v/>
      </c>
      <c r="CP167" s="5">
        <f>IF(A167="","",N(INDEX(Projects[Est Controls Eng],166)))</f>
        <v/>
      </c>
      <c r="CQ167" s="5">
        <f>IF(A167="","",N(INDEX(Projects[Est Controls Purchase],166)))</f>
        <v/>
      </c>
      <c r="CR167" s="5">
        <f>IF(A167="","",N(INDEX(Projects[Est Software Eng],166)))</f>
        <v/>
      </c>
      <c r="CS167" s="5">
        <f>IF(A167="","",N(INDEX(Projects[Est Misc],166)))</f>
        <v/>
      </c>
      <c r="CT167" s="5">
        <f>IF(A167="","",SUM(CF167:CS167))</f>
        <v/>
      </c>
      <c r="CU167" s="5">
        <f>INDEX(Projects[Est Cost (M)],166)</f>
        <v/>
      </c>
      <c r="CV167" s="5">
        <f>INDEX(Projects[Act Cost (M)],166)</f>
        <v/>
      </c>
      <c r="CW167" s="5">
        <f>INDEX(Projects[Plan Mech Eng (wks)],166)</f>
        <v/>
      </c>
      <c r="CX167" s="5">
        <f>INDEX(Projects[Plan Controls Eng (wks)],166)</f>
        <v/>
      </c>
      <c r="CY167" s="5">
        <f>INDEX(Projects[Plan Systems Eng (wks)],166)</f>
        <v/>
      </c>
      <c r="CZ167" s="5">
        <f>INDEX(Projects[Plan Software Eng (wks)],166)</f>
        <v/>
      </c>
      <c r="DA167" s="5">
        <f>INDEX(Projects[Plan M&amp;E Installation (wks)],166)</f>
        <v/>
      </c>
      <c r="DB167" s="5">
        <f>INDEX(Projects[Plan Commissioning (wks)],166)</f>
        <v/>
      </c>
      <c r="DC167" s="5">
        <f>INDEX(Projects[Plan Total (wks)],166)</f>
        <v/>
      </c>
      <c r="DD167" s="5">
        <f>INDEX(Projects[Act Mech Eng (wks)],166)</f>
        <v/>
      </c>
      <c r="DE167" s="5">
        <f>INDEX(Projects[Act Controls Eng (wks)],166)</f>
        <v/>
      </c>
      <c r="DF167" s="5">
        <f>INDEX(Projects[Act Systems Eng (wks)],166)</f>
        <v/>
      </c>
      <c r="DG167" s="5">
        <f>INDEX(Projects[Act Software Eng (wks)],166)</f>
        <v/>
      </c>
      <c r="DH167" s="5">
        <f>INDEX(Projects[Act M&amp;E Installation (wks)],166)</f>
        <v/>
      </c>
      <c r="DI167" s="5">
        <f>INDEX(Projects[Act Commissioning (wks)],166)</f>
        <v/>
      </c>
      <c r="DJ167" s="5">
        <f>INDEX(Projects[Act Total (wks)],166)</f>
        <v/>
      </c>
    </row>
    <row r="168" ht="15" customHeight="1" s="82">
      <c r="A168" s="64">
        <f>INDEX(Projects[Project ID *],167)&amp;""</f>
        <v/>
      </c>
      <c r="B168" s="64">
        <f>INDEX(Projects[Project Name *],167)&amp;""</f>
        <v/>
      </c>
      <c r="C168" s="64">
        <f>INDEX(Projects[MS Shuttles],167)</f>
        <v/>
      </c>
      <c r="D168" s="64">
        <f>INDEX(Projects[MS Tote Locations],167)</f>
        <v/>
      </c>
      <c r="E168" s="64">
        <f>INDEX(Projects[AS Robots],167)</f>
        <v/>
      </c>
      <c r="F168" s="64">
        <f>INDEX(Projects[AS Tote Locations],167)</f>
        <v/>
      </c>
      <c r="G168" s="64">
        <f>INDEX(Projects[PS Shuttles],167)</f>
        <v/>
      </c>
      <c r="H168" s="64">
        <f>INDEX(Projects[PS Pallet Locations],167)</f>
        <v/>
      </c>
      <c r="I168" s="64">
        <f>INDEX(Projects[SRM Cranes],167)</f>
        <v/>
      </c>
      <c r="J168" s="64">
        <f>INDEX(Projects[SRM Pallet Locations],167)</f>
        <v/>
      </c>
      <c r="K168" s="64">
        <f>INDEX(Projects[Case Conv (m)],167)</f>
        <v/>
      </c>
      <c r="L168" s="64">
        <f>INDEX(Projects[Pallet Conv (m)],167)</f>
        <v/>
      </c>
      <c r="M168" s="64">
        <f>IF(N(DJ168)&gt;0,DD168,CW168)</f>
        <v/>
      </c>
      <c r="N168" s="64">
        <f>IF(N(DJ168)&gt;0,DE168,CX168)</f>
        <v/>
      </c>
      <c r="O168" s="64">
        <f>IF(N(DJ168)&gt;0,DF168,CY168)</f>
        <v/>
      </c>
      <c r="P168" s="64">
        <f>IF(N(DJ168)&gt;0,DG168,CZ168)</f>
        <v/>
      </c>
      <c r="Q168" s="64">
        <f>IF(N(DJ168)&gt;0,DH168,DA168)</f>
        <v/>
      </c>
      <c r="R168" s="64">
        <f>IF(N(DJ168)&gt;0,DI168,DB168)</f>
        <v/>
      </c>
      <c r="S168" s="64">
        <f>IF(N(DJ168)&gt;0,DJ168,DC168)</f>
        <v/>
      </c>
      <c r="T168" s="64">
        <f>INDEX(Projects[Currency],167)&amp;""</f>
        <v/>
      </c>
      <c r="U168" s="65">
        <f>INDEX(Projects[Sold Value (M)],167)</f>
        <v/>
      </c>
      <c r="V168" s="64">
        <f>IF('Smart Search'!B13=1,IFERROR(1/'Smart Search'!H13,0),0)</f>
        <v/>
      </c>
      <c r="W168" s="64">
        <f>IF('Smart Search'!B13=1,IFERROR(1/'Smart Search'!H13,0),0)</f>
        <v/>
      </c>
      <c r="X168" s="64">
        <f>IF('Smart Search'!C13=1,IFERROR(1/'Smart Search'!H13,0),0)</f>
        <v/>
      </c>
      <c r="Y168" s="64">
        <f>IF('Smart Search'!C13=1,IFERROR(1/'Smart Search'!H13,0),0)</f>
        <v/>
      </c>
      <c r="Z168" s="64">
        <f>IF('Smart Search'!D13=1,IFERROR(1/'Smart Search'!H13,0),0)</f>
        <v/>
      </c>
      <c r="AA168" s="64">
        <f>IF('Smart Search'!D13=1,IFERROR(1/'Smart Search'!H13,0),0)</f>
        <v/>
      </c>
      <c r="AB168" s="64">
        <f>IF('Smart Search'!E13=1,IFERROR(1/'Smart Search'!H13,0),0)</f>
        <v/>
      </c>
      <c r="AC168" s="64">
        <f>IF('Smart Search'!E13=1,IFERROR(1/'Smart Search'!H13,0),0)</f>
        <v/>
      </c>
      <c r="AD168" s="64">
        <f>IF('Smart Search'!F13=1,IFERROR(1/'Smart Search'!H13,0),0)</f>
        <v/>
      </c>
      <c r="AE168" s="64">
        <f>IF('Smart Search'!F13=1,IFERROR(1/'Smart Search'!H13,0),0)</f>
        <v/>
      </c>
      <c r="AF168" s="64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4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4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4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4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4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4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4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4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4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4">
        <f>AF168*V168</f>
        <v/>
      </c>
      <c r="AQ168" s="64">
        <f>AG168*W168</f>
        <v/>
      </c>
      <c r="AR168" s="64">
        <f>AH168*X168</f>
        <v/>
      </c>
      <c r="AS168" s="64">
        <f>AI168*Y168</f>
        <v/>
      </c>
      <c r="AT168" s="64">
        <f>AJ168*Z168</f>
        <v/>
      </c>
      <c r="AU168" s="64">
        <f>AK168*AA168</f>
        <v/>
      </c>
      <c r="AV168" s="64">
        <f>AL168*AB168</f>
        <v/>
      </c>
      <c r="AW168" s="64">
        <f>AM168*AC168</f>
        <v/>
      </c>
      <c r="AX168" s="64">
        <f>AN168*AD168</f>
        <v/>
      </c>
      <c r="AY168" s="64">
        <f>AO168*AE168</f>
        <v/>
      </c>
      <c r="AZ168" s="64">
        <f>INDEX(Projects[Automation Equipment],167)&amp;""</f>
        <v/>
      </c>
      <c r="BA168" s="64">
        <f>IF(OR(A168="",'Smart Search'!H13=0),"",MAX(0,BE168*BF168*MAX(0,1-BG168)))</f>
        <v/>
      </c>
      <c r="BB168" s="64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4">
        <f>IF('Smart Search'!G13=1,IFERROR(1/'Smart Search'!H13,0),0)</f>
        <v/>
      </c>
      <c r="BD168" s="64">
        <f>BB168*BC168</f>
        <v/>
      </c>
      <c r="BE168" s="64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IF(A168="","",N(INDEX(Projects[Act Mech Inst],167)))</f>
        <v/>
      </c>
      <c r="BK168" s="5">
        <f>IF(A168="","",N(INDEX(Projects[Act Elec Inst],167)))</f>
        <v/>
      </c>
      <c r="BL168" s="5">
        <f>IF(A168="","",N(INDEX(Projects[Act Project Management],167)))</f>
        <v/>
      </c>
      <c r="BM168" s="5">
        <f>IF(A168="","",N(INDEX(Projects[Act Systems Eng],167)))</f>
        <v/>
      </c>
      <c r="BN168" s="5">
        <f>IF(A168="","",N(INDEX(Projects[Act Mechanical Eng],167)))</f>
        <v/>
      </c>
      <c r="BO168" s="5">
        <f>IF(A168="","",N(INDEX(Projects[Act Structural Engineering],167)))</f>
        <v/>
      </c>
      <c r="BP168" s="5">
        <f>IF(A168="","",N(INDEX(Projects[Act Site Sup],167)))</f>
        <v/>
      </c>
      <c r="BQ168" s="5">
        <f>IF(A168="","",N(INDEX(Projects[Act Controls Commissioning],167)))</f>
        <v/>
      </c>
      <c r="BR168" s="5">
        <f>IF(A168="","",N(INDEX(Projects[Act Systems Commissioning],167)))</f>
        <v/>
      </c>
      <c r="BS168" s="5">
        <f>IF(A168="","",N(INDEX(Projects[Act Service Commissioning],167)))</f>
        <v/>
      </c>
      <c r="BT168" s="5">
        <f>IF(A168="","",N(INDEX(Projects[Act Controls Eng],167)))</f>
        <v/>
      </c>
      <c r="BU168" s="5">
        <f>IF(A168="","",N(INDEX(Projects[Act Controls Purchase],167)))</f>
        <v/>
      </c>
      <c r="BV168" s="5">
        <f>IF(A168="","",N(INDEX(Projects[Act Software Eng],167)))</f>
        <v/>
      </c>
      <c r="BW168" s="5">
        <f>IF(A168="","",N(INDEX(Projects[Act 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INDEX(Projects[Sold Value (USD M)],167)</f>
        <v/>
      </c>
      <c r="CE168" s="5" t="n"/>
      <c r="CF168" s="5">
        <f>IF(A168="","",N(INDEX(Projects[Est Mech Inst],167)))</f>
        <v/>
      </c>
      <c r="CG168" s="5">
        <f>IF(A168="","",N(INDEX(Projects[Est Elec Inst],167)))</f>
        <v/>
      </c>
      <c r="CH168" s="5">
        <f>IF(A168="","",N(INDEX(Projects[Est Project Management],167)))</f>
        <v/>
      </c>
      <c r="CI168" s="5">
        <f>IF(A168="","",N(INDEX(Projects[Est Systems Eng],167)))</f>
        <v/>
      </c>
      <c r="CJ168" s="5">
        <f>IF(A168="","",N(INDEX(Projects[Est Mechanical Eng],167)))</f>
        <v/>
      </c>
      <c r="CK168" s="5">
        <f>IF(A168="","",N(INDEX(Projects[Est Structural Engineering],167)))</f>
        <v/>
      </c>
      <c r="CL168" s="5">
        <f>IF(A168="","",N(INDEX(Projects[Est Site Sup],167)))</f>
        <v/>
      </c>
      <c r="CM168" s="5">
        <f>IF(A168="","",N(INDEX(Projects[Est Controls Commissioning],167)))</f>
        <v/>
      </c>
      <c r="CN168" s="5">
        <f>IF(A168="","",N(INDEX(Projects[Est Systems Commissioning],167)))</f>
        <v/>
      </c>
      <c r="CO168" s="5">
        <f>IF(A168="","",N(INDEX(Projects[Est Service Commissioning],167)))</f>
        <v/>
      </c>
      <c r="CP168" s="5">
        <f>IF(A168="","",N(INDEX(Projects[Est Controls Eng],167)))</f>
        <v/>
      </c>
      <c r="CQ168" s="5">
        <f>IF(A168="","",N(INDEX(Projects[Est Controls Purchase],167)))</f>
        <v/>
      </c>
      <c r="CR168" s="5">
        <f>IF(A168="","",N(INDEX(Projects[Est Software Eng],167)))</f>
        <v/>
      </c>
      <c r="CS168" s="5">
        <f>IF(A168="","",N(INDEX(Projects[Est Misc],167)))</f>
        <v/>
      </c>
      <c r="CT168" s="5">
        <f>IF(A168="","",SUM(CF168:CS168))</f>
        <v/>
      </c>
      <c r="CU168" s="5">
        <f>INDEX(Projects[Est Cost (M)],167)</f>
        <v/>
      </c>
      <c r="CV168" s="5">
        <f>INDEX(Projects[Act Cost (M)],167)</f>
        <v/>
      </c>
      <c r="CW168" s="5">
        <f>INDEX(Projects[Plan Mech Eng (wks)],167)</f>
        <v/>
      </c>
      <c r="CX168" s="5">
        <f>INDEX(Projects[Plan Controls Eng (wks)],167)</f>
        <v/>
      </c>
      <c r="CY168" s="5">
        <f>INDEX(Projects[Plan Systems Eng (wks)],167)</f>
        <v/>
      </c>
      <c r="CZ168" s="5">
        <f>INDEX(Projects[Plan Software Eng (wks)],167)</f>
        <v/>
      </c>
      <c r="DA168" s="5">
        <f>INDEX(Projects[Plan M&amp;E Installation (wks)],167)</f>
        <v/>
      </c>
      <c r="DB168" s="5">
        <f>INDEX(Projects[Plan Commissioning (wks)],167)</f>
        <v/>
      </c>
      <c r="DC168" s="5">
        <f>INDEX(Projects[Plan Total (wks)],167)</f>
        <v/>
      </c>
      <c r="DD168" s="5">
        <f>INDEX(Projects[Act Mech Eng (wks)],167)</f>
        <v/>
      </c>
      <c r="DE168" s="5">
        <f>INDEX(Projects[Act Controls Eng (wks)],167)</f>
        <v/>
      </c>
      <c r="DF168" s="5">
        <f>INDEX(Projects[Act Systems Eng (wks)],167)</f>
        <v/>
      </c>
      <c r="DG168" s="5">
        <f>INDEX(Projects[Act Software Eng (wks)],167)</f>
        <v/>
      </c>
      <c r="DH168" s="5">
        <f>INDEX(Projects[Act M&amp;E Installation (wks)],167)</f>
        <v/>
      </c>
      <c r="DI168" s="5">
        <f>INDEX(Projects[Act Commissioning (wks)],167)</f>
        <v/>
      </c>
      <c r="DJ168" s="5">
        <f>INDEX(Projects[Act Total (wks)],167)</f>
        <v/>
      </c>
    </row>
    <row r="169" ht="15" customHeight="1" s="82">
      <c r="A169" s="64">
        <f>INDEX(Projects[Project ID *],168)&amp;""</f>
        <v/>
      </c>
      <c r="B169" s="64">
        <f>INDEX(Projects[Project Name *],168)&amp;""</f>
        <v/>
      </c>
      <c r="C169" s="64">
        <f>INDEX(Projects[MS Shuttles],168)</f>
        <v/>
      </c>
      <c r="D169" s="64">
        <f>INDEX(Projects[MS Tote Locations],168)</f>
        <v/>
      </c>
      <c r="E169" s="64">
        <f>INDEX(Projects[AS Robots],168)</f>
        <v/>
      </c>
      <c r="F169" s="64">
        <f>INDEX(Projects[AS Tote Locations],168)</f>
        <v/>
      </c>
      <c r="G169" s="64">
        <f>INDEX(Projects[PS Shuttles],168)</f>
        <v/>
      </c>
      <c r="H169" s="64">
        <f>INDEX(Projects[PS Pallet Locations],168)</f>
        <v/>
      </c>
      <c r="I169" s="64">
        <f>INDEX(Projects[SRM Cranes],168)</f>
        <v/>
      </c>
      <c r="J169" s="64">
        <f>INDEX(Projects[SRM Pallet Locations],168)</f>
        <v/>
      </c>
      <c r="K169" s="64">
        <f>INDEX(Projects[Case Conv (m)],168)</f>
        <v/>
      </c>
      <c r="L169" s="64">
        <f>INDEX(Projects[Pallet Conv (m)],168)</f>
        <v/>
      </c>
      <c r="M169" s="64">
        <f>IF(N(DJ169)&gt;0,DD169,CW169)</f>
        <v/>
      </c>
      <c r="N169" s="64">
        <f>IF(N(DJ169)&gt;0,DE169,CX169)</f>
        <v/>
      </c>
      <c r="O169" s="64">
        <f>IF(N(DJ169)&gt;0,DF169,CY169)</f>
        <v/>
      </c>
      <c r="P169" s="64">
        <f>IF(N(DJ169)&gt;0,DG169,CZ169)</f>
        <v/>
      </c>
      <c r="Q169" s="64">
        <f>IF(N(DJ169)&gt;0,DH169,DA169)</f>
        <v/>
      </c>
      <c r="R169" s="64">
        <f>IF(N(DJ169)&gt;0,DI169,DB169)</f>
        <v/>
      </c>
      <c r="S169" s="64">
        <f>IF(N(DJ169)&gt;0,DJ169,DC169)</f>
        <v/>
      </c>
      <c r="T169" s="64">
        <f>INDEX(Projects[Currency],168)&amp;""</f>
        <v/>
      </c>
      <c r="U169" s="65">
        <f>INDEX(Projects[Sold Value (M)],168)</f>
        <v/>
      </c>
      <c r="V169" s="64">
        <f>IF('Smart Search'!B13=1,IFERROR(1/'Smart Search'!H13,0),0)</f>
        <v/>
      </c>
      <c r="W169" s="64">
        <f>IF('Smart Search'!B13=1,IFERROR(1/'Smart Search'!H13,0),0)</f>
        <v/>
      </c>
      <c r="X169" s="64">
        <f>IF('Smart Search'!C13=1,IFERROR(1/'Smart Search'!H13,0),0)</f>
        <v/>
      </c>
      <c r="Y169" s="64">
        <f>IF('Smart Search'!C13=1,IFERROR(1/'Smart Search'!H13,0),0)</f>
        <v/>
      </c>
      <c r="Z169" s="64">
        <f>IF('Smart Search'!D13=1,IFERROR(1/'Smart Search'!H13,0),0)</f>
        <v/>
      </c>
      <c r="AA169" s="64">
        <f>IF('Smart Search'!D13=1,IFERROR(1/'Smart Search'!H13,0),0)</f>
        <v/>
      </c>
      <c r="AB169" s="64">
        <f>IF('Smart Search'!E13=1,IFERROR(1/'Smart Search'!H13,0),0)</f>
        <v/>
      </c>
      <c r="AC169" s="64">
        <f>IF('Smart Search'!E13=1,IFERROR(1/'Smart Search'!H13,0),0)</f>
        <v/>
      </c>
      <c r="AD169" s="64">
        <f>IF('Smart Search'!F13=1,IFERROR(1/'Smart Search'!H13,0),0)</f>
        <v/>
      </c>
      <c r="AE169" s="64">
        <f>IF('Smart Search'!F13=1,IFERROR(1/'Smart Search'!H13,0),0)</f>
        <v/>
      </c>
      <c r="AF169" s="64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4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4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4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4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4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4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4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4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4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4">
        <f>AF169*V169</f>
        <v/>
      </c>
      <c r="AQ169" s="64">
        <f>AG169*W169</f>
        <v/>
      </c>
      <c r="AR169" s="64">
        <f>AH169*X169</f>
        <v/>
      </c>
      <c r="AS169" s="64">
        <f>AI169*Y169</f>
        <v/>
      </c>
      <c r="AT169" s="64">
        <f>AJ169*Z169</f>
        <v/>
      </c>
      <c r="AU169" s="64">
        <f>AK169*AA169</f>
        <v/>
      </c>
      <c r="AV169" s="64">
        <f>AL169*AB169</f>
        <v/>
      </c>
      <c r="AW169" s="64">
        <f>AM169*AC169</f>
        <v/>
      </c>
      <c r="AX169" s="64">
        <f>AN169*AD169</f>
        <v/>
      </c>
      <c r="AY169" s="64">
        <f>AO169*AE169</f>
        <v/>
      </c>
      <c r="AZ169" s="64">
        <f>INDEX(Projects[Automation Equipment],168)&amp;""</f>
        <v/>
      </c>
      <c r="BA169" s="64">
        <f>IF(OR(A169="",'Smart Search'!H13=0),"",MAX(0,BE169*BF169*MAX(0,1-BG169)))</f>
        <v/>
      </c>
      <c r="BB169" s="64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4">
        <f>IF('Smart Search'!G13=1,IFERROR(1/'Smart Search'!H13,0),0)</f>
        <v/>
      </c>
      <c r="BD169" s="64">
        <f>BB169*BC169</f>
        <v/>
      </c>
      <c r="BE169" s="64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IF(A169="","",N(INDEX(Projects[Act Mech Inst],168)))</f>
        <v/>
      </c>
      <c r="BK169" s="5">
        <f>IF(A169="","",N(INDEX(Projects[Act Elec Inst],168)))</f>
        <v/>
      </c>
      <c r="BL169" s="5">
        <f>IF(A169="","",N(INDEX(Projects[Act Project Management],168)))</f>
        <v/>
      </c>
      <c r="BM169" s="5">
        <f>IF(A169="","",N(INDEX(Projects[Act Systems Eng],168)))</f>
        <v/>
      </c>
      <c r="BN169" s="5">
        <f>IF(A169="","",N(INDEX(Projects[Act Mechanical Eng],168)))</f>
        <v/>
      </c>
      <c r="BO169" s="5">
        <f>IF(A169="","",N(INDEX(Projects[Act Structural Engineering],168)))</f>
        <v/>
      </c>
      <c r="BP169" s="5">
        <f>IF(A169="","",N(INDEX(Projects[Act Site Sup],168)))</f>
        <v/>
      </c>
      <c r="BQ169" s="5">
        <f>IF(A169="","",N(INDEX(Projects[Act Controls Commissioning],168)))</f>
        <v/>
      </c>
      <c r="BR169" s="5">
        <f>IF(A169="","",N(INDEX(Projects[Act Systems Commissioning],168)))</f>
        <v/>
      </c>
      <c r="BS169" s="5">
        <f>IF(A169="","",N(INDEX(Projects[Act Service Commissioning],168)))</f>
        <v/>
      </c>
      <c r="BT169" s="5">
        <f>IF(A169="","",N(INDEX(Projects[Act Controls Eng],168)))</f>
        <v/>
      </c>
      <c r="BU169" s="5">
        <f>IF(A169="","",N(INDEX(Projects[Act Controls Purchase],168)))</f>
        <v/>
      </c>
      <c r="BV169" s="5">
        <f>IF(A169="","",N(INDEX(Projects[Act Software Eng],168)))</f>
        <v/>
      </c>
      <c r="BW169" s="5">
        <f>IF(A169="","",N(INDEX(Projects[Act 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INDEX(Projects[Sold Value (USD M)],168)</f>
        <v/>
      </c>
      <c r="CE169" s="5" t="n"/>
      <c r="CF169" s="5">
        <f>IF(A169="","",N(INDEX(Projects[Est Mech Inst],168)))</f>
        <v/>
      </c>
      <c r="CG169" s="5">
        <f>IF(A169="","",N(INDEX(Projects[Est Elec Inst],168)))</f>
        <v/>
      </c>
      <c r="CH169" s="5">
        <f>IF(A169="","",N(INDEX(Projects[Est Project Management],168)))</f>
        <v/>
      </c>
      <c r="CI169" s="5">
        <f>IF(A169="","",N(INDEX(Projects[Est Systems Eng],168)))</f>
        <v/>
      </c>
      <c r="CJ169" s="5">
        <f>IF(A169="","",N(INDEX(Projects[Est Mechanical Eng],168)))</f>
        <v/>
      </c>
      <c r="CK169" s="5">
        <f>IF(A169="","",N(INDEX(Projects[Est Structural Engineering],168)))</f>
        <v/>
      </c>
      <c r="CL169" s="5">
        <f>IF(A169="","",N(INDEX(Projects[Est Site Sup],168)))</f>
        <v/>
      </c>
      <c r="CM169" s="5">
        <f>IF(A169="","",N(INDEX(Projects[Est Controls Commissioning],168)))</f>
        <v/>
      </c>
      <c r="CN169" s="5">
        <f>IF(A169="","",N(INDEX(Projects[Est Systems Commissioning],168)))</f>
        <v/>
      </c>
      <c r="CO169" s="5">
        <f>IF(A169="","",N(INDEX(Projects[Est Service Commissioning],168)))</f>
        <v/>
      </c>
      <c r="CP169" s="5">
        <f>IF(A169="","",N(INDEX(Projects[Est Controls Eng],168)))</f>
        <v/>
      </c>
      <c r="CQ169" s="5">
        <f>IF(A169="","",N(INDEX(Projects[Est Controls Purchase],168)))</f>
        <v/>
      </c>
      <c r="CR169" s="5">
        <f>IF(A169="","",N(INDEX(Projects[Est Software Eng],168)))</f>
        <v/>
      </c>
      <c r="CS169" s="5">
        <f>IF(A169="","",N(INDEX(Projects[Est Misc],168)))</f>
        <v/>
      </c>
      <c r="CT169" s="5">
        <f>IF(A169="","",SUM(CF169:CS169))</f>
        <v/>
      </c>
      <c r="CU169" s="5">
        <f>INDEX(Projects[Est Cost (M)],168)</f>
        <v/>
      </c>
      <c r="CV169" s="5">
        <f>INDEX(Projects[Act Cost (M)],168)</f>
        <v/>
      </c>
      <c r="CW169" s="5">
        <f>INDEX(Projects[Plan Mech Eng (wks)],168)</f>
        <v/>
      </c>
      <c r="CX169" s="5">
        <f>INDEX(Projects[Plan Controls Eng (wks)],168)</f>
        <v/>
      </c>
      <c r="CY169" s="5">
        <f>INDEX(Projects[Plan Systems Eng (wks)],168)</f>
        <v/>
      </c>
      <c r="CZ169" s="5">
        <f>INDEX(Projects[Plan Software Eng (wks)],168)</f>
        <v/>
      </c>
      <c r="DA169" s="5">
        <f>INDEX(Projects[Plan M&amp;E Installation (wks)],168)</f>
        <v/>
      </c>
      <c r="DB169" s="5">
        <f>INDEX(Projects[Plan Commissioning (wks)],168)</f>
        <v/>
      </c>
      <c r="DC169" s="5">
        <f>INDEX(Projects[Plan Total (wks)],168)</f>
        <v/>
      </c>
      <c r="DD169" s="5">
        <f>INDEX(Projects[Act Mech Eng (wks)],168)</f>
        <v/>
      </c>
      <c r="DE169" s="5">
        <f>INDEX(Projects[Act Controls Eng (wks)],168)</f>
        <v/>
      </c>
      <c r="DF169" s="5">
        <f>INDEX(Projects[Act Systems Eng (wks)],168)</f>
        <v/>
      </c>
      <c r="DG169" s="5">
        <f>INDEX(Projects[Act Software Eng (wks)],168)</f>
        <v/>
      </c>
      <c r="DH169" s="5">
        <f>INDEX(Projects[Act M&amp;E Installation (wks)],168)</f>
        <v/>
      </c>
      <c r="DI169" s="5">
        <f>INDEX(Projects[Act Commissioning (wks)],168)</f>
        <v/>
      </c>
      <c r="DJ169" s="5">
        <f>INDEX(Projects[Act Total (wks)],168)</f>
        <v/>
      </c>
    </row>
    <row r="170" ht="15" customHeight="1" s="82">
      <c r="A170" s="64">
        <f>INDEX(Projects[Project ID *],169)&amp;""</f>
        <v/>
      </c>
      <c r="B170" s="64">
        <f>INDEX(Projects[Project Name *],169)&amp;""</f>
        <v/>
      </c>
      <c r="C170" s="64">
        <f>INDEX(Projects[MS Shuttles],169)</f>
        <v/>
      </c>
      <c r="D170" s="64">
        <f>INDEX(Projects[MS Tote Locations],169)</f>
        <v/>
      </c>
      <c r="E170" s="64">
        <f>INDEX(Projects[AS Robots],169)</f>
        <v/>
      </c>
      <c r="F170" s="64">
        <f>INDEX(Projects[AS Tote Locations],169)</f>
        <v/>
      </c>
      <c r="G170" s="64">
        <f>INDEX(Projects[PS Shuttles],169)</f>
        <v/>
      </c>
      <c r="H170" s="64">
        <f>INDEX(Projects[PS Pallet Locations],169)</f>
        <v/>
      </c>
      <c r="I170" s="64">
        <f>INDEX(Projects[SRM Cranes],169)</f>
        <v/>
      </c>
      <c r="J170" s="64">
        <f>INDEX(Projects[SRM Pallet Locations],169)</f>
        <v/>
      </c>
      <c r="K170" s="64">
        <f>INDEX(Projects[Case Conv (m)],169)</f>
        <v/>
      </c>
      <c r="L170" s="64">
        <f>INDEX(Projects[Pallet Conv (m)],169)</f>
        <v/>
      </c>
      <c r="M170" s="64">
        <f>IF(N(DJ170)&gt;0,DD170,CW170)</f>
        <v/>
      </c>
      <c r="N170" s="64">
        <f>IF(N(DJ170)&gt;0,DE170,CX170)</f>
        <v/>
      </c>
      <c r="O170" s="64">
        <f>IF(N(DJ170)&gt;0,DF170,CY170)</f>
        <v/>
      </c>
      <c r="P170" s="64">
        <f>IF(N(DJ170)&gt;0,DG170,CZ170)</f>
        <v/>
      </c>
      <c r="Q170" s="64">
        <f>IF(N(DJ170)&gt;0,DH170,DA170)</f>
        <v/>
      </c>
      <c r="R170" s="64">
        <f>IF(N(DJ170)&gt;0,DI170,DB170)</f>
        <v/>
      </c>
      <c r="S170" s="64">
        <f>IF(N(DJ170)&gt;0,DJ170,DC170)</f>
        <v/>
      </c>
      <c r="T170" s="64">
        <f>INDEX(Projects[Currency],169)&amp;""</f>
        <v/>
      </c>
      <c r="U170" s="65">
        <f>INDEX(Projects[Sold Value (M)],169)</f>
        <v/>
      </c>
      <c r="V170" s="64">
        <f>IF('Smart Search'!B13=1,IFERROR(1/'Smart Search'!H13,0),0)</f>
        <v/>
      </c>
      <c r="W170" s="64">
        <f>IF('Smart Search'!B13=1,IFERROR(1/'Smart Search'!H13,0),0)</f>
        <v/>
      </c>
      <c r="X170" s="64">
        <f>IF('Smart Search'!C13=1,IFERROR(1/'Smart Search'!H13,0),0)</f>
        <v/>
      </c>
      <c r="Y170" s="64">
        <f>IF('Smart Search'!C13=1,IFERROR(1/'Smart Search'!H13,0),0)</f>
        <v/>
      </c>
      <c r="Z170" s="64">
        <f>IF('Smart Search'!D13=1,IFERROR(1/'Smart Search'!H13,0),0)</f>
        <v/>
      </c>
      <c r="AA170" s="64">
        <f>IF('Smart Search'!D13=1,IFERROR(1/'Smart Search'!H13,0),0)</f>
        <v/>
      </c>
      <c r="AB170" s="64">
        <f>IF('Smart Search'!E13=1,IFERROR(1/'Smart Search'!H13,0),0)</f>
        <v/>
      </c>
      <c r="AC170" s="64">
        <f>IF('Smart Search'!E13=1,IFERROR(1/'Smart Search'!H13,0),0)</f>
        <v/>
      </c>
      <c r="AD170" s="64">
        <f>IF('Smart Search'!F13=1,IFERROR(1/'Smart Search'!H13,0),0)</f>
        <v/>
      </c>
      <c r="AE170" s="64">
        <f>IF('Smart Search'!F13=1,IFERROR(1/'Smart Search'!H13,0),0)</f>
        <v/>
      </c>
      <c r="AF170" s="64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4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4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4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4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4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4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4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4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4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4">
        <f>AF170*V170</f>
        <v/>
      </c>
      <c r="AQ170" s="64">
        <f>AG170*W170</f>
        <v/>
      </c>
      <c r="AR170" s="64">
        <f>AH170*X170</f>
        <v/>
      </c>
      <c r="AS170" s="64">
        <f>AI170*Y170</f>
        <v/>
      </c>
      <c r="AT170" s="64">
        <f>AJ170*Z170</f>
        <v/>
      </c>
      <c r="AU170" s="64">
        <f>AK170*AA170</f>
        <v/>
      </c>
      <c r="AV170" s="64">
        <f>AL170*AB170</f>
        <v/>
      </c>
      <c r="AW170" s="64">
        <f>AM170*AC170</f>
        <v/>
      </c>
      <c r="AX170" s="64">
        <f>AN170*AD170</f>
        <v/>
      </c>
      <c r="AY170" s="64">
        <f>AO170*AE170</f>
        <v/>
      </c>
      <c r="AZ170" s="64">
        <f>INDEX(Projects[Automation Equipment],169)&amp;""</f>
        <v/>
      </c>
      <c r="BA170" s="64">
        <f>IF(OR(A170="",'Smart Search'!H13=0),"",MAX(0,BE170*BF170*MAX(0,1-BG170)))</f>
        <v/>
      </c>
      <c r="BB170" s="64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4">
        <f>IF('Smart Search'!G13=1,IFERROR(1/'Smart Search'!H13,0),0)</f>
        <v/>
      </c>
      <c r="BD170" s="64">
        <f>BB170*BC170</f>
        <v/>
      </c>
      <c r="BE170" s="64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IF(A170="","",N(INDEX(Projects[Act Mech Inst],169)))</f>
        <v/>
      </c>
      <c r="BK170" s="5">
        <f>IF(A170="","",N(INDEX(Projects[Act Elec Inst],169)))</f>
        <v/>
      </c>
      <c r="BL170" s="5">
        <f>IF(A170="","",N(INDEX(Projects[Act Project Management],169)))</f>
        <v/>
      </c>
      <c r="BM170" s="5">
        <f>IF(A170="","",N(INDEX(Projects[Act Systems Eng],169)))</f>
        <v/>
      </c>
      <c r="BN170" s="5">
        <f>IF(A170="","",N(INDEX(Projects[Act Mechanical Eng],169)))</f>
        <v/>
      </c>
      <c r="BO170" s="5">
        <f>IF(A170="","",N(INDEX(Projects[Act Structural Engineering],169)))</f>
        <v/>
      </c>
      <c r="BP170" s="5">
        <f>IF(A170="","",N(INDEX(Projects[Act Site Sup],169)))</f>
        <v/>
      </c>
      <c r="BQ170" s="5">
        <f>IF(A170="","",N(INDEX(Projects[Act Controls Commissioning],169)))</f>
        <v/>
      </c>
      <c r="BR170" s="5">
        <f>IF(A170="","",N(INDEX(Projects[Act Systems Commissioning],169)))</f>
        <v/>
      </c>
      <c r="BS170" s="5">
        <f>IF(A170="","",N(INDEX(Projects[Act Service Commissioning],169)))</f>
        <v/>
      </c>
      <c r="BT170" s="5">
        <f>IF(A170="","",N(INDEX(Projects[Act Controls Eng],169)))</f>
        <v/>
      </c>
      <c r="BU170" s="5">
        <f>IF(A170="","",N(INDEX(Projects[Act Controls Purchase],169)))</f>
        <v/>
      </c>
      <c r="BV170" s="5">
        <f>IF(A170="","",N(INDEX(Projects[Act Software Eng],169)))</f>
        <v/>
      </c>
      <c r="BW170" s="5">
        <f>IF(A170="","",N(INDEX(Projects[Act 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INDEX(Projects[Sold Value (USD M)],169)</f>
        <v/>
      </c>
      <c r="CE170" s="5" t="n"/>
      <c r="CF170" s="5">
        <f>IF(A170="","",N(INDEX(Projects[Est Mech Inst],169)))</f>
        <v/>
      </c>
      <c r="CG170" s="5">
        <f>IF(A170="","",N(INDEX(Projects[Est Elec Inst],169)))</f>
        <v/>
      </c>
      <c r="CH170" s="5">
        <f>IF(A170="","",N(INDEX(Projects[Est Project Management],169)))</f>
        <v/>
      </c>
      <c r="CI170" s="5">
        <f>IF(A170="","",N(INDEX(Projects[Est Systems Eng],169)))</f>
        <v/>
      </c>
      <c r="CJ170" s="5">
        <f>IF(A170="","",N(INDEX(Projects[Est Mechanical Eng],169)))</f>
        <v/>
      </c>
      <c r="CK170" s="5">
        <f>IF(A170="","",N(INDEX(Projects[Est Structural Engineering],169)))</f>
        <v/>
      </c>
      <c r="CL170" s="5">
        <f>IF(A170="","",N(INDEX(Projects[Est Site Sup],169)))</f>
        <v/>
      </c>
      <c r="CM170" s="5">
        <f>IF(A170="","",N(INDEX(Projects[Est Controls Commissioning],169)))</f>
        <v/>
      </c>
      <c r="CN170" s="5">
        <f>IF(A170="","",N(INDEX(Projects[Est Systems Commissioning],169)))</f>
        <v/>
      </c>
      <c r="CO170" s="5">
        <f>IF(A170="","",N(INDEX(Projects[Est Service Commissioning],169)))</f>
        <v/>
      </c>
      <c r="CP170" s="5">
        <f>IF(A170="","",N(INDEX(Projects[Est Controls Eng],169)))</f>
        <v/>
      </c>
      <c r="CQ170" s="5">
        <f>IF(A170="","",N(INDEX(Projects[Est Controls Purchase],169)))</f>
        <v/>
      </c>
      <c r="CR170" s="5">
        <f>IF(A170="","",N(INDEX(Projects[Est Software Eng],169)))</f>
        <v/>
      </c>
      <c r="CS170" s="5">
        <f>IF(A170="","",N(INDEX(Projects[Est Misc],169)))</f>
        <v/>
      </c>
      <c r="CT170" s="5">
        <f>IF(A170="","",SUM(CF170:CS170))</f>
        <v/>
      </c>
      <c r="CU170" s="5">
        <f>INDEX(Projects[Est Cost (M)],169)</f>
        <v/>
      </c>
      <c r="CV170" s="5">
        <f>INDEX(Projects[Act Cost (M)],169)</f>
        <v/>
      </c>
      <c r="CW170" s="5">
        <f>INDEX(Projects[Plan Mech Eng (wks)],169)</f>
        <v/>
      </c>
      <c r="CX170" s="5">
        <f>INDEX(Projects[Plan Controls Eng (wks)],169)</f>
        <v/>
      </c>
      <c r="CY170" s="5">
        <f>INDEX(Projects[Plan Systems Eng (wks)],169)</f>
        <v/>
      </c>
      <c r="CZ170" s="5">
        <f>INDEX(Projects[Plan Software Eng (wks)],169)</f>
        <v/>
      </c>
      <c r="DA170" s="5">
        <f>INDEX(Projects[Plan M&amp;E Installation (wks)],169)</f>
        <v/>
      </c>
      <c r="DB170" s="5">
        <f>INDEX(Projects[Plan Commissioning (wks)],169)</f>
        <v/>
      </c>
      <c r="DC170" s="5">
        <f>INDEX(Projects[Plan Total (wks)],169)</f>
        <v/>
      </c>
      <c r="DD170" s="5">
        <f>INDEX(Projects[Act Mech Eng (wks)],169)</f>
        <v/>
      </c>
      <c r="DE170" s="5">
        <f>INDEX(Projects[Act Controls Eng (wks)],169)</f>
        <v/>
      </c>
      <c r="DF170" s="5">
        <f>INDEX(Projects[Act Systems Eng (wks)],169)</f>
        <v/>
      </c>
      <c r="DG170" s="5">
        <f>INDEX(Projects[Act Software Eng (wks)],169)</f>
        <v/>
      </c>
      <c r="DH170" s="5">
        <f>INDEX(Projects[Act M&amp;E Installation (wks)],169)</f>
        <v/>
      </c>
      <c r="DI170" s="5">
        <f>INDEX(Projects[Act Commissioning (wks)],169)</f>
        <v/>
      </c>
      <c r="DJ170" s="5">
        <f>INDEX(Projects[Act Total (wks)],169)</f>
        <v/>
      </c>
    </row>
    <row r="171" ht="15" customHeight="1" s="82">
      <c r="A171" s="64">
        <f>INDEX(Projects[Project ID *],170)&amp;""</f>
        <v/>
      </c>
      <c r="B171" s="64">
        <f>INDEX(Projects[Project Name *],170)&amp;""</f>
        <v/>
      </c>
      <c r="C171" s="64">
        <f>INDEX(Projects[MS Shuttles],170)</f>
        <v/>
      </c>
      <c r="D171" s="64">
        <f>INDEX(Projects[MS Tote Locations],170)</f>
        <v/>
      </c>
      <c r="E171" s="64">
        <f>INDEX(Projects[AS Robots],170)</f>
        <v/>
      </c>
      <c r="F171" s="64">
        <f>INDEX(Projects[AS Tote Locations],170)</f>
        <v/>
      </c>
      <c r="G171" s="64">
        <f>INDEX(Projects[PS Shuttles],170)</f>
        <v/>
      </c>
      <c r="H171" s="64">
        <f>INDEX(Projects[PS Pallet Locations],170)</f>
        <v/>
      </c>
      <c r="I171" s="64">
        <f>INDEX(Projects[SRM Cranes],170)</f>
        <v/>
      </c>
      <c r="J171" s="64">
        <f>INDEX(Projects[SRM Pallet Locations],170)</f>
        <v/>
      </c>
      <c r="K171" s="64">
        <f>INDEX(Projects[Case Conv (m)],170)</f>
        <v/>
      </c>
      <c r="L171" s="64">
        <f>INDEX(Projects[Pallet Conv (m)],170)</f>
        <v/>
      </c>
      <c r="M171" s="64">
        <f>IF(N(DJ171)&gt;0,DD171,CW171)</f>
        <v/>
      </c>
      <c r="N171" s="64">
        <f>IF(N(DJ171)&gt;0,DE171,CX171)</f>
        <v/>
      </c>
      <c r="O171" s="64">
        <f>IF(N(DJ171)&gt;0,DF171,CY171)</f>
        <v/>
      </c>
      <c r="P171" s="64">
        <f>IF(N(DJ171)&gt;0,DG171,CZ171)</f>
        <v/>
      </c>
      <c r="Q171" s="64">
        <f>IF(N(DJ171)&gt;0,DH171,DA171)</f>
        <v/>
      </c>
      <c r="R171" s="64">
        <f>IF(N(DJ171)&gt;0,DI171,DB171)</f>
        <v/>
      </c>
      <c r="S171" s="64">
        <f>IF(N(DJ171)&gt;0,DJ171,DC171)</f>
        <v/>
      </c>
      <c r="T171" s="64">
        <f>INDEX(Projects[Currency],170)&amp;""</f>
        <v/>
      </c>
      <c r="U171" s="65">
        <f>INDEX(Projects[Sold Value (M)],170)</f>
        <v/>
      </c>
      <c r="V171" s="64">
        <f>IF('Smart Search'!B13=1,IFERROR(1/'Smart Search'!H13,0),0)</f>
        <v/>
      </c>
      <c r="W171" s="64">
        <f>IF('Smart Search'!B13=1,IFERROR(1/'Smart Search'!H13,0),0)</f>
        <v/>
      </c>
      <c r="X171" s="64">
        <f>IF('Smart Search'!C13=1,IFERROR(1/'Smart Search'!H13,0),0)</f>
        <v/>
      </c>
      <c r="Y171" s="64">
        <f>IF('Smart Search'!C13=1,IFERROR(1/'Smart Search'!H13,0),0)</f>
        <v/>
      </c>
      <c r="Z171" s="64">
        <f>IF('Smart Search'!D13=1,IFERROR(1/'Smart Search'!H13,0),0)</f>
        <v/>
      </c>
      <c r="AA171" s="64">
        <f>IF('Smart Search'!D13=1,IFERROR(1/'Smart Search'!H13,0),0)</f>
        <v/>
      </c>
      <c r="AB171" s="64">
        <f>IF('Smart Search'!E13=1,IFERROR(1/'Smart Search'!H13,0),0)</f>
        <v/>
      </c>
      <c r="AC171" s="64">
        <f>IF('Smart Search'!E13=1,IFERROR(1/'Smart Search'!H13,0),0)</f>
        <v/>
      </c>
      <c r="AD171" s="64">
        <f>IF('Smart Search'!F13=1,IFERROR(1/'Smart Search'!H13,0),0)</f>
        <v/>
      </c>
      <c r="AE171" s="64">
        <f>IF('Smart Search'!F13=1,IFERROR(1/'Smart Search'!H13,0),0)</f>
        <v/>
      </c>
      <c r="AF171" s="64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4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4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4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4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4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4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4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4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4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4">
        <f>AF171*V171</f>
        <v/>
      </c>
      <c r="AQ171" s="64">
        <f>AG171*W171</f>
        <v/>
      </c>
      <c r="AR171" s="64">
        <f>AH171*X171</f>
        <v/>
      </c>
      <c r="AS171" s="64">
        <f>AI171*Y171</f>
        <v/>
      </c>
      <c r="AT171" s="64">
        <f>AJ171*Z171</f>
        <v/>
      </c>
      <c r="AU171" s="64">
        <f>AK171*AA171</f>
        <v/>
      </c>
      <c r="AV171" s="64">
        <f>AL171*AB171</f>
        <v/>
      </c>
      <c r="AW171" s="64">
        <f>AM171*AC171</f>
        <v/>
      </c>
      <c r="AX171" s="64">
        <f>AN171*AD171</f>
        <v/>
      </c>
      <c r="AY171" s="64">
        <f>AO171*AE171</f>
        <v/>
      </c>
      <c r="AZ171" s="64">
        <f>INDEX(Projects[Automation Equipment],170)&amp;""</f>
        <v/>
      </c>
      <c r="BA171" s="64">
        <f>IF(OR(A171="",'Smart Search'!H13=0),"",MAX(0,BE171*BF171*MAX(0,1-BG171)))</f>
        <v/>
      </c>
      <c r="BB171" s="64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4">
        <f>IF('Smart Search'!G13=1,IFERROR(1/'Smart Search'!H13,0),0)</f>
        <v/>
      </c>
      <c r="BD171" s="64">
        <f>BB171*BC171</f>
        <v/>
      </c>
      <c r="BE171" s="64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IF(A171="","",N(INDEX(Projects[Act Mech Inst],170)))</f>
        <v/>
      </c>
      <c r="BK171" s="5">
        <f>IF(A171="","",N(INDEX(Projects[Act Elec Inst],170)))</f>
        <v/>
      </c>
      <c r="BL171" s="5">
        <f>IF(A171="","",N(INDEX(Projects[Act Project Management],170)))</f>
        <v/>
      </c>
      <c r="BM171" s="5">
        <f>IF(A171="","",N(INDEX(Projects[Act Systems Eng],170)))</f>
        <v/>
      </c>
      <c r="BN171" s="5">
        <f>IF(A171="","",N(INDEX(Projects[Act Mechanical Eng],170)))</f>
        <v/>
      </c>
      <c r="BO171" s="5">
        <f>IF(A171="","",N(INDEX(Projects[Act Structural Engineering],170)))</f>
        <v/>
      </c>
      <c r="BP171" s="5">
        <f>IF(A171="","",N(INDEX(Projects[Act Site Sup],170)))</f>
        <v/>
      </c>
      <c r="BQ171" s="5">
        <f>IF(A171="","",N(INDEX(Projects[Act Controls Commissioning],170)))</f>
        <v/>
      </c>
      <c r="BR171" s="5">
        <f>IF(A171="","",N(INDEX(Projects[Act Systems Commissioning],170)))</f>
        <v/>
      </c>
      <c r="BS171" s="5">
        <f>IF(A171="","",N(INDEX(Projects[Act Service Commissioning],170)))</f>
        <v/>
      </c>
      <c r="BT171" s="5">
        <f>IF(A171="","",N(INDEX(Projects[Act Controls Eng],170)))</f>
        <v/>
      </c>
      <c r="BU171" s="5">
        <f>IF(A171="","",N(INDEX(Projects[Act Controls Purchase],170)))</f>
        <v/>
      </c>
      <c r="BV171" s="5">
        <f>IF(A171="","",N(INDEX(Projects[Act Software Eng],170)))</f>
        <v/>
      </c>
      <c r="BW171" s="5">
        <f>IF(A171="","",N(INDEX(Projects[Act 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INDEX(Projects[Sold Value (USD M)],170)</f>
        <v/>
      </c>
      <c r="CE171" s="5" t="n"/>
      <c r="CF171" s="5">
        <f>IF(A171="","",N(INDEX(Projects[Est Mech Inst],170)))</f>
        <v/>
      </c>
      <c r="CG171" s="5">
        <f>IF(A171="","",N(INDEX(Projects[Est Elec Inst],170)))</f>
        <v/>
      </c>
      <c r="CH171" s="5">
        <f>IF(A171="","",N(INDEX(Projects[Est Project Management],170)))</f>
        <v/>
      </c>
      <c r="CI171" s="5">
        <f>IF(A171="","",N(INDEX(Projects[Est Systems Eng],170)))</f>
        <v/>
      </c>
      <c r="CJ171" s="5">
        <f>IF(A171="","",N(INDEX(Projects[Est Mechanical Eng],170)))</f>
        <v/>
      </c>
      <c r="CK171" s="5">
        <f>IF(A171="","",N(INDEX(Projects[Est Structural Engineering],170)))</f>
        <v/>
      </c>
      <c r="CL171" s="5">
        <f>IF(A171="","",N(INDEX(Projects[Est Site Sup],170)))</f>
        <v/>
      </c>
      <c r="CM171" s="5">
        <f>IF(A171="","",N(INDEX(Projects[Est Controls Commissioning],170)))</f>
        <v/>
      </c>
      <c r="CN171" s="5">
        <f>IF(A171="","",N(INDEX(Projects[Est Systems Commissioning],170)))</f>
        <v/>
      </c>
      <c r="CO171" s="5">
        <f>IF(A171="","",N(INDEX(Projects[Est Service Commissioning],170)))</f>
        <v/>
      </c>
      <c r="CP171" s="5">
        <f>IF(A171="","",N(INDEX(Projects[Est Controls Eng],170)))</f>
        <v/>
      </c>
      <c r="CQ171" s="5">
        <f>IF(A171="","",N(INDEX(Projects[Est Controls Purchase],170)))</f>
        <v/>
      </c>
      <c r="CR171" s="5">
        <f>IF(A171="","",N(INDEX(Projects[Est Software Eng],170)))</f>
        <v/>
      </c>
      <c r="CS171" s="5">
        <f>IF(A171="","",N(INDEX(Projects[Est Misc],170)))</f>
        <v/>
      </c>
      <c r="CT171" s="5">
        <f>IF(A171="","",SUM(CF171:CS171))</f>
        <v/>
      </c>
      <c r="CU171" s="5">
        <f>INDEX(Projects[Est Cost (M)],170)</f>
        <v/>
      </c>
      <c r="CV171" s="5">
        <f>INDEX(Projects[Act Cost (M)],170)</f>
        <v/>
      </c>
      <c r="CW171" s="5">
        <f>INDEX(Projects[Plan Mech Eng (wks)],170)</f>
        <v/>
      </c>
      <c r="CX171" s="5">
        <f>INDEX(Projects[Plan Controls Eng (wks)],170)</f>
        <v/>
      </c>
      <c r="CY171" s="5">
        <f>INDEX(Projects[Plan Systems Eng (wks)],170)</f>
        <v/>
      </c>
      <c r="CZ171" s="5">
        <f>INDEX(Projects[Plan Software Eng (wks)],170)</f>
        <v/>
      </c>
      <c r="DA171" s="5">
        <f>INDEX(Projects[Plan M&amp;E Installation (wks)],170)</f>
        <v/>
      </c>
      <c r="DB171" s="5">
        <f>INDEX(Projects[Plan Commissioning (wks)],170)</f>
        <v/>
      </c>
      <c r="DC171" s="5">
        <f>INDEX(Projects[Plan Total (wks)],170)</f>
        <v/>
      </c>
      <c r="DD171" s="5">
        <f>INDEX(Projects[Act Mech Eng (wks)],170)</f>
        <v/>
      </c>
      <c r="DE171" s="5">
        <f>INDEX(Projects[Act Controls Eng (wks)],170)</f>
        <v/>
      </c>
      <c r="DF171" s="5">
        <f>INDEX(Projects[Act Systems Eng (wks)],170)</f>
        <v/>
      </c>
      <c r="DG171" s="5">
        <f>INDEX(Projects[Act Software Eng (wks)],170)</f>
        <v/>
      </c>
      <c r="DH171" s="5">
        <f>INDEX(Projects[Act M&amp;E Installation (wks)],170)</f>
        <v/>
      </c>
      <c r="DI171" s="5">
        <f>INDEX(Projects[Act Commissioning (wks)],170)</f>
        <v/>
      </c>
      <c r="DJ171" s="5">
        <f>INDEX(Projects[Act Total (wks)],170)</f>
        <v/>
      </c>
    </row>
    <row r="172" ht="15" customHeight="1" s="82">
      <c r="A172" s="64">
        <f>INDEX(Projects[Project ID *],171)&amp;""</f>
        <v/>
      </c>
      <c r="B172" s="64">
        <f>INDEX(Projects[Project Name *],171)&amp;""</f>
        <v/>
      </c>
      <c r="C172" s="64">
        <f>INDEX(Projects[MS Shuttles],171)</f>
        <v/>
      </c>
      <c r="D172" s="64">
        <f>INDEX(Projects[MS Tote Locations],171)</f>
        <v/>
      </c>
      <c r="E172" s="64">
        <f>INDEX(Projects[AS Robots],171)</f>
        <v/>
      </c>
      <c r="F172" s="64">
        <f>INDEX(Projects[AS Tote Locations],171)</f>
        <v/>
      </c>
      <c r="G172" s="64">
        <f>INDEX(Projects[PS Shuttles],171)</f>
        <v/>
      </c>
      <c r="H172" s="64">
        <f>INDEX(Projects[PS Pallet Locations],171)</f>
        <v/>
      </c>
      <c r="I172" s="64">
        <f>INDEX(Projects[SRM Cranes],171)</f>
        <v/>
      </c>
      <c r="J172" s="64">
        <f>INDEX(Projects[SRM Pallet Locations],171)</f>
        <v/>
      </c>
      <c r="K172" s="64">
        <f>INDEX(Projects[Case Conv (m)],171)</f>
        <v/>
      </c>
      <c r="L172" s="64">
        <f>INDEX(Projects[Pallet Conv (m)],171)</f>
        <v/>
      </c>
      <c r="M172" s="64">
        <f>IF(N(DJ172)&gt;0,DD172,CW172)</f>
        <v/>
      </c>
      <c r="N172" s="64">
        <f>IF(N(DJ172)&gt;0,DE172,CX172)</f>
        <v/>
      </c>
      <c r="O172" s="64">
        <f>IF(N(DJ172)&gt;0,DF172,CY172)</f>
        <v/>
      </c>
      <c r="P172" s="64">
        <f>IF(N(DJ172)&gt;0,DG172,CZ172)</f>
        <v/>
      </c>
      <c r="Q172" s="64">
        <f>IF(N(DJ172)&gt;0,DH172,DA172)</f>
        <v/>
      </c>
      <c r="R172" s="64">
        <f>IF(N(DJ172)&gt;0,DI172,DB172)</f>
        <v/>
      </c>
      <c r="S172" s="64">
        <f>IF(N(DJ172)&gt;0,DJ172,DC172)</f>
        <v/>
      </c>
      <c r="T172" s="64">
        <f>INDEX(Projects[Currency],171)&amp;""</f>
        <v/>
      </c>
      <c r="U172" s="65">
        <f>INDEX(Projects[Sold Value (M)],171)</f>
        <v/>
      </c>
      <c r="V172" s="64">
        <f>IF('Smart Search'!B13=1,IFERROR(1/'Smart Search'!H13,0),0)</f>
        <v/>
      </c>
      <c r="W172" s="64">
        <f>IF('Smart Search'!B13=1,IFERROR(1/'Smart Search'!H13,0),0)</f>
        <v/>
      </c>
      <c r="X172" s="64">
        <f>IF('Smart Search'!C13=1,IFERROR(1/'Smart Search'!H13,0),0)</f>
        <v/>
      </c>
      <c r="Y172" s="64">
        <f>IF('Smart Search'!C13=1,IFERROR(1/'Smart Search'!H13,0),0)</f>
        <v/>
      </c>
      <c r="Z172" s="64">
        <f>IF('Smart Search'!D13=1,IFERROR(1/'Smart Search'!H13,0),0)</f>
        <v/>
      </c>
      <c r="AA172" s="64">
        <f>IF('Smart Search'!D13=1,IFERROR(1/'Smart Search'!H13,0),0)</f>
        <v/>
      </c>
      <c r="AB172" s="64">
        <f>IF('Smart Search'!E13=1,IFERROR(1/'Smart Search'!H13,0),0)</f>
        <v/>
      </c>
      <c r="AC172" s="64">
        <f>IF('Smart Search'!E13=1,IFERROR(1/'Smart Search'!H13,0),0)</f>
        <v/>
      </c>
      <c r="AD172" s="64">
        <f>IF('Smart Search'!F13=1,IFERROR(1/'Smart Search'!H13,0),0)</f>
        <v/>
      </c>
      <c r="AE172" s="64">
        <f>IF('Smart Search'!F13=1,IFERROR(1/'Smart Search'!H13,0),0)</f>
        <v/>
      </c>
      <c r="AF172" s="64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4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4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4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4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4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4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4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4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4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4">
        <f>AF172*V172</f>
        <v/>
      </c>
      <c r="AQ172" s="64">
        <f>AG172*W172</f>
        <v/>
      </c>
      <c r="AR172" s="64">
        <f>AH172*X172</f>
        <v/>
      </c>
      <c r="AS172" s="64">
        <f>AI172*Y172</f>
        <v/>
      </c>
      <c r="AT172" s="64">
        <f>AJ172*Z172</f>
        <v/>
      </c>
      <c r="AU172" s="64">
        <f>AK172*AA172</f>
        <v/>
      </c>
      <c r="AV172" s="64">
        <f>AL172*AB172</f>
        <v/>
      </c>
      <c r="AW172" s="64">
        <f>AM172*AC172</f>
        <v/>
      </c>
      <c r="AX172" s="64">
        <f>AN172*AD172</f>
        <v/>
      </c>
      <c r="AY172" s="64">
        <f>AO172*AE172</f>
        <v/>
      </c>
      <c r="AZ172" s="64">
        <f>INDEX(Projects[Automation Equipment],171)&amp;""</f>
        <v/>
      </c>
      <c r="BA172" s="64">
        <f>IF(OR(A172="",'Smart Search'!H13=0),"",MAX(0,BE172*BF172*MAX(0,1-BG172)))</f>
        <v/>
      </c>
      <c r="BB172" s="64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4">
        <f>IF('Smart Search'!G13=1,IFERROR(1/'Smart Search'!H13,0),0)</f>
        <v/>
      </c>
      <c r="BD172" s="64">
        <f>BB172*BC172</f>
        <v/>
      </c>
      <c r="BE172" s="64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IF(A172="","",N(INDEX(Projects[Act Mech Inst],171)))</f>
        <v/>
      </c>
      <c r="BK172" s="5">
        <f>IF(A172="","",N(INDEX(Projects[Act Elec Inst],171)))</f>
        <v/>
      </c>
      <c r="BL172" s="5">
        <f>IF(A172="","",N(INDEX(Projects[Act Project Management],171)))</f>
        <v/>
      </c>
      <c r="BM172" s="5">
        <f>IF(A172="","",N(INDEX(Projects[Act Systems Eng],171)))</f>
        <v/>
      </c>
      <c r="BN172" s="5">
        <f>IF(A172="","",N(INDEX(Projects[Act Mechanical Eng],171)))</f>
        <v/>
      </c>
      <c r="BO172" s="5">
        <f>IF(A172="","",N(INDEX(Projects[Act Structural Engineering],171)))</f>
        <v/>
      </c>
      <c r="BP172" s="5">
        <f>IF(A172="","",N(INDEX(Projects[Act Site Sup],171)))</f>
        <v/>
      </c>
      <c r="BQ172" s="5">
        <f>IF(A172="","",N(INDEX(Projects[Act Controls Commissioning],171)))</f>
        <v/>
      </c>
      <c r="BR172" s="5">
        <f>IF(A172="","",N(INDEX(Projects[Act Systems Commissioning],171)))</f>
        <v/>
      </c>
      <c r="BS172" s="5">
        <f>IF(A172="","",N(INDEX(Projects[Act Service Commissioning],171)))</f>
        <v/>
      </c>
      <c r="BT172" s="5">
        <f>IF(A172="","",N(INDEX(Projects[Act Controls Eng],171)))</f>
        <v/>
      </c>
      <c r="BU172" s="5">
        <f>IF(A172="","",N(INDEX(Projects[Act Controls Purchase],171)))</f>
        <v/>
      </c>
      <c r="BV172" s="5">
        <f>IF(A172="","",N(INDEX(Projects[Act Software Eng],171)))</f>
        <v/>
      </c>
      <c r="BW172" s="5">
        <f>IF(A172="","",N(INDEX(Projects[Act 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INDEX(Projects[Sold Value (USD M)],171)</f>
        <v/>
      </c>
      <c r="CE172" s="5" t="n"/>
      <c r="CF172" s="5">
        <f>IF(A172="","",N(INDEX(Projects[Est Mech Inst],171)))</f>
        <v/>
      </c>
      <c r="CG172" s="5">
        <f>IF(A172="","",N(INDEX(Projects[Est Elec Inst],171)))</f>
        <v/>
      </c>
      <c r="CH172" s="5">
        <f>IF(A172="","",N(INDEX(Projects[Est Project Management],171)))</f>
        <v/>
      </c>
      <c r="CI172" s="5">
        <f>IF(A172="","",N(INDEX(Projects[Est Systems Eng],171)))</f>
        <v/>
      </c>
      <c r="CJ172" s="5">
        <f>IF(A172="","",N(INDEX(Projects[Est Mechanical Eng],171)))</f>
        <v/>
      </c>
      <c r="CK172" s="5">
        <f>IF(A172="","",N(INDEX(Projects[Est Structural Engineering],171)))</f>
        <v/>
      </c>
      <c r="CL172" s="5">
        <f>IF(A172="","",N(INDEX(Projects[Est Site Sup],171)))</f>
        <v/>
      </c>
      <c r="CM172" s="5">
        <f>IF(A172="","",N(INDEX(Projects[Est Controls Commissioning],171)))</f>
        <v/>
      </c>
      <c r="CN172" s="5">
        <f>IF(A172="","",N(INDEX(Projects[Est Systems Commissioning],171)))</f>
        <v/>
      </c>
      <c r="CO172" s="5">
        <f>IF(A172="","",N(INDEX(Projects[Est Service Commissioning],171)))</f>
        <v/>
      </c>
      <c r="CP172" s="5">
        <f>IF(A172="","",N(INDEX(Projects[Est Controls Eng],171)))</f>
        <v/>
      </c>
      <c r="CQ172" s="5">
        <f>IF(A172="","",N(INDEX(Projects[Est Controls Purchase],171)))</f>
        <v/>
      </c>
      <c r="CR172" s="5">
        <f>IF(A172="","",N(INDEX(Projects[Est Software Eng],171)))</f>
        <v/>
      </c>
      <c r="CS172" s="5">
        <f>IF(A172="","",N(INDEX(Projects[Est Misc],171)))</f>
        <v/>
      </c>
      <c r="CT172" s="5">
        <f>IF(A172="","",SUM(CF172:CS172))</f>
        <v/>
      </c>
      <c r="CU172" s="5">
        <f>INDEX(Projects[Est Cost (M)],171)</f>
        <v/>
      </c>
      <c r="CV172" s="5">
        <f>INDEX(Projects[Act Cost (M)],171)</f>
        <v/>
      </c>
      <c r="CW172" s="5">
        <f>INDEX(Projects[Plan Mech Eng (wks)],171)</f>
        <v/>
      </c>
      <c r="CX172" s="5">
        <f>INDEX(Projects[Plan Controls Eng (wks)],171)</f>
        <v/>
      </c>
      <c r="CY172" s="5">
        <f>INDEX(Projects[Plan Systems Eng (wks)],171)</f>
        <v/>
      </c>
      <c r="CZ172" s="5">
        <f>INDEX(Projects[Plan Software Eng (wks)],171)</f>
        <v/>
      </c>
      <c r="DA172" s="5">
        <f>INDEX(Projects[Plan M&amp;E Installation (wks)],171)</f>
        <v/>
      </c>
      <c r="DB172" s="5">
        <f>INDEX(Projects[Plan Commissioning (wks)],171)</f>
        <v/>
      </c>
      <c r="DC172" s="5">
        <f>INDEX(Projects[Plan Total (wks)],171)</f>
        <v/>
      </c>
      <c r="DD172" s="5">
        <f>INDEX(Projects[Act Mech Eng (wks)],171)</f>
        <v/>
      </c>
      <c r="DE172" s="5">
        <f>INDEX(Projects[Act Controls Eng (wks)],171)</f>
        <v/>
      </c>
      <c r="DF172" s="5">
        <f>INDEX(Projects[Act Systems Eng (wks)],171)</f>
        <v/>
      </c>
      <c r="DG172" s="5">
        <f>INDEX(Projects[Act Software Eng (wks)],171)</f>
        <v/>
      </c>
      <c r="DH172" s="5">
        <f>INDEX(Projects[Act M&amp;E Installation (wks)],171)</f>
        <v/>
      </c>
      <c r="DI172" s="5">
        <f>INDEX(Projects[Act Commissioning (wks)],171)</f>
        <v/>
      </c>
      <c r="DJ172" s="5">
        <f>INDEX(Projects[Act Total (wks)],171)</f>
        <v/>
      </c>
    </row>
    <row r="173" ht="15" customHeight="1" s="82">
      <c r="A173" s="64">
        <f>INDEX(Projects[Project ID *],172)&amp;""</f>
        <v/>
      </c>
      <c r="B173" s="64">
        <f>INDEX(Projects[Project Name *],172)&amp;""</f>
        <v/>
      </c>
      <c r="C173" s="64">
        <f>INDEX(Projects[MS Shuttles],172)</f>
        <v/>
      </c>
      <c r="D173" s="64">
        <f>INDEX(Projects[MS Tote Locations],172)</f>
        <v/>
      </c>
      <c r="E173" s="64">
        <f>INDEX(Projects[AS Robots],172)</f>
        <v/>
      </c>
      <c r="F173" s="64">
        <f>INDEX(Projects[AS Tote Locations],172)</f>
        <v/>
      </c>
      <c r="G173" s="64">
        <f>INDEX(Projects[PS Shuttles],172)</f>
        <v/>
      </c>
      <c r="H173" s="64">
        <f>INDEX(Projects[PS Pallet Locations],172)</f>
        <v/>
      </c>
      <c r="I173" s="64">
        <f>INDEX(Projects[SRM Cranes],172)</f>
        <v/>
      </c>
      <c r="J173" s="64">
        <f>INDEX(Projects[SRM Pallet Locations],172)</f>
        <v/>
      </c>
      <c r="K173" s="64">
        <f>INDEX(Projects[Case Conv (m)],172)</f>
        <v/>
      </c>
      <c r="L173" s="64">
        <f>INDEX(Projects[Pallet Conv (m)],172)</f>
        <v/>
      </c>
      <c r="M173" s="64">
        <f>IF(N(DJ173)&gt;0,DD173,CW173)</f>
        <v/>
      </c>
      <c r="N173" s="64">
        <f>IF(N(DJ173)&gt;0,DE173,CX173)</f>
        <v/>
      </c>
      <c r="O173" s="64">
        <f>IF(N(DJ173)&gt;0,DF173,CY173)</f>
        <v/>
      </c>
      <c r="P173" s="64">
        <f>IF(N(DJ173)&gt;0,DG173,CZ173)</f>
        <v/>
      </c>
      <c r="Q173" s="64">
        <f>IF(N(DJ173)&gt;0,DH173,DA173)</f>
        <v/>
      </c>
      <c r="R173" s="64">
        <f>IF(N(DJ173)&gt;0,DI173,DB173)</f>
        <v/>
      </c>
      <c r="S173" s="64">
        <f>IF(N(DJ173)&gt;0,DJ173,DC173)</f>
        <v/>
      </c>
      <c r="T173" s="64">
        <f>INDEX(Projects[Currency],172)&amp;""</f>
        <v/>
      </c>
      <c r="U173" s="65">
        <f>INDEX(Projects[Sold Value (M)],172)</f>
        <v/>
      </c>
      <c r="V173" s="64">
        <f>IF('Smart Search'!B13=1,IFERROR(1/'Smart Search'!H13,0),0)</f>
        <v/>
      </c>
      <c r="W173" s="64">
        <f>IF('Smart Search'!B13=1,IFERROR(1/'Smart Search'!H13,0),0)</f>
        <v/>
      </c>
      <c r="X173" s="64">
        <f>IF('Smart Search'!C13=1,IFERROR(1/'Smart Search'!H13,0),0)</f>
        <v/>
      </c>
      <c r="Y173" s="64">
        <f>IF('Smart Search'!C13=1,IFERROR(1/'Smart Search'!H13,0),0)</f>
        <v/>
      </c>
      <c r="Z173" s="64">
        <f>IF('Smart Search'!D13=1,IFERROR(1/'Smart Search'!H13,0),0)</f>
        <v/>
      </c>
      <c r="AA173" s="64">
        <f>IF('Smart Search'!D13=1,IFERROR(1/'Smart Search'!H13,0),0)</f>
        <v/>
      </c>
      <c r="AB173" s="64">
        <f>IF('Smart Search'!E13=1,IFERROR(1/'Smart Search'!H13,0),0)</f>
        <v/>
      </c>
      <c r="AC173" s="64">
        <f>IF('Smart Search'!E13=1,IFERROR(1/'Smart Search'!H13,0),0)</f>
        <v/>
      </c>
      <c r="AD173" s="64">
        <f>IF('Smart Search'!F13=1,IFERROR(1/'Smart Search'!H13,0),0)</f>
        <v/>
      </c>
      <c r="AE173" s="64">
        <f>IF('Smart Search'!F13=1,IFERROR(1/'Smart Search'!H13,0),0)</f>
        <v/>
      </c>
      <c r="AF173" s="64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4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4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4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4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4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4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4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4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4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4">
        <f>AF173*V173</f>
        <v/>
      </c>
      <c r="AQ173" s="64">
        <f>AG173*W173</f>
        <v/>
      </c>
      <c r="AR173" s="64">
        <f>AH173*X173</f>
        <v/>
      </c>
      <c r="AS173" s="64">
        <f>AI173*Y173</f>
        <v/>
      </c>
      <c r="AT173" s="64">
        <f>AJ173*Z173</f>
        <v/>
      </c>
      <c r="AU173" s="64">
        <f>AK173*AA173</f>
        <v/>
      </c>
      <c r="AV173" s="64">
        <f>AL173*AB173</f>
        <v/>
      </c>
      <c r="AW173" s="64">
        <f>AM173*AC173</f>
        <v/>
      </c>
      <c r="AX173" s="64">
        <f>AN173*AD173</f>
        <v/>
      </c>
      <c r="AY173" s="64">
        <f>AO173*AE173</f>
        <v/>
      </c>
      <c r="AZ173" s="64">
        <f>INDEX(Projects[Automation Equipment],172)&amp;""</f>
        <v/>
      </c>
      <c r="BA173" s="64">
        <f>IF(OR(A173="",'Smart Search'!H13=0),"",MAX(0,BE173*BF173*MAX(0,1-BG173)))</f>
        <v/>
      </c>
      <c r="BB173" s="64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4">
        <f>IF('Smart Search'!G13=1,IFERROR(1/'Smart Search'!H13,0),0)</f>
        <v/>
      </c>
      <c r="BD173" s="64">
        <f>BB173*BC173</f>
        <v/>
      </c>
      <c r="BE173" s="64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IF(A173="","",N(INDEX(Projects[Act Mech Inst],172)))</f>
        <v/>
      </c>
      <c r="BK173" s="5">
        <f>IF(A173="","",N(INDEX(Projects[Act Elec Inst],172)))</f>
        <v/>
      </c>
      <c r="BL173" s="5">
        <f>IF(A173="","",N(INDEX(Projects[Act Project Management],172)))</f>
        <v/>
      </c>
      <c r="BM173" s="5">
        <f>IF(A173="","",N(INDEX(Projects[Act Systems Eng],172)))</f>
        <v/>
      </c>
      <c r="BN173" s="5">
        <f>IF(A173="","",N(INDEX(Projects[Act Mechanical Eng],172)))</f>
        <v/>
      </c>
      <c r="BO173" s="5">
        <f>IF(A173="","",N(INDEX(Projects[Act Structural Engineering],172)))</f>
        <v/>
      </c>
      <c r="BP173" s="5">
        <f>IF(A173="","",N(INDEX(Projects[Act Site Sup],172)))</f>
        <v/>
      </c>
      <c r="BQ173" s="5">
        <f>IF(A173="","",N(INDEX(Projects[Act Controls Commissioning],172)))</f>
        <v/>
      </c>
      <c r="BR173" s="5">
        <f>IF(A173="","",N(INDEX(Projects[Act Systems Commissioning],172)))</f>
        <v/>
      </c>
      <c r="BS173" s="5">
        <f>IF(A173="","",N(INDEX(Projects[Act Service Commissioning],172)))</f>
        <v/>
      </c>
      <c r="BT173" s="5">
        <f>IF(A173="","",N(INDEX(Projects[Act Controls Eng],172)))</f>
        <v/>
      </c>
      <c r="BU173" s="5">
        <f>IF(A173="","",N(INDEX(Projects[Act Controls Purchase],172)))</f>
        <v/>
      </c>
      <c r="BV173" s="5">
        <f>IF(A173="","",N(INDEX(Projects[Act Software Eng],172)))</f>
        <v/>
      </c>
      <c r="BW173" s="5">
        <f>IF(A173="","",N(INDEX(Projects[Act 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INDEX(Projects[Sold Value (USD M)],172)</f>
        <v/>
      </c>
      <c r="CE173" s="5" t="n"/>
      <c r="CF173" s="5">
        <f>IF(A173="","",N(INDEX(Projects[Est Mech Inst],172)))</f>
        <v/>
      </c>
      <c r="CG173" s="5">
        <f>IF(A173="","",N(INDEX(Projects[Est Elec Inst],172)))</f>
        <v/>
      </c>
      <c r="CH173" s="5">
        <f>IF(A173="","",N(INDEX(Projects[Est Project Management],172)))</f>
        <v/>
      </c>
      <c r="CI173" s="5">
        <f>IF(A173="","",N(INDEX(Projects[Est Systems Eng],172)))</f>
        <v/>
      </c>
      <c r="CJ173" s="5">
        <f>IF(A173="","",N(INDEX(Projects[Est Mechanical Eng],172)))</f>
        <v/>
      </c>
      <c r="CK173" s="5">
        <f>IF(A173="","",N(INDEX(Projects[Est Structural Engineering],172)))</f>
        <v/>
      </c>
      <c r="CL173" s="5">
        <f>IF(A173="","",N(INDEX(Projects[Est Site Sup],172)))</f>
        <v/>
      </c>
      <c r="CM173" s="5">
        <f>IF(A173="","",N(INDEX(Projects[Est Controls Commissioning],172)))</f>
        <v/>
      </c>
      <c r="CN173" s="5">
        <f>IF(A173="","",N(INDEX(Projects[Est Systems Commissioning],172)))</f>
        <v/>
      </c>
      <c r="CO173" s="5">
        <f>IF(A173="","",N(INDEX(Projects[Est Service Commissioning],172)))</f>
        <v/>
      </c>
      <c r="CP173" s="5">
        <f>IF(A173="","",N(INDEX(Projects[Est Controls Eng],172)))</f>
        <v/>
      </c>
      <c r="CQ173" s="5">
        <f>IF(A173="","",N(INDEX(Projects[Est Controls Purchase],172)))</f>
        <v/>
      </c>
      <c r="CR173" s="5">
        <f>IF(A173="","",N(INDEX(Projects[Est Software Eng],172)))</f>
        <v/>
      </c>
      <c r="CS173" s="5">
        <f>IF(A173="","",N(INDEX(Projects[Est Misc],172)))</f>
        <v/>
      </c>
      <c r="CT173" s="5">
        <f>IF(A173="","",SUM(CF173:CS173))</f>
        <v/>
      </c>
      <c r="CU173" s="5">
        <f>INDEX(Projects[Est Cost (M)],172)</f>
        <v/>
      </c>
      <c r="CV173" s="5">
        <f>INDEX(Projects[Act Cost (M)],172)</f>
        <v/>
      </c>
      <c r="CW173" s="5">
        <f>INDEX(Projects[Plan Mech Eng (wks)],172)</f>
        <v/>
      </c>
      <c r="CX173" s="5">
        <f>INDEX(Projects[Plan Controls Eng (wks)],172)</f>
        <v/>
      </c>
      <c r="CY173" s="5">
        <f>INDEX(Projects[Plan Systems Eng (wks)],172)</f>
        <v/>
      </c>
      <c r="CZ173" s="5">
        <f>INDEX(Projects[Plan Software Eng (wks)],172)</f>
        <v/>
      </c>
      <c r="DA173" s="5">
        <f>INDEX(Projects[Plan M&amp;E Installation (wks)],172)</f>
        <v/>
      </c>
      <c r="DB173" s="5">
        <f>INDEX(Projects[Plan Commissioning (wks)],172)</f>
        <v/>
      </c>
      <c r="DC173" s="5">
        <f>INDEX(Projects[Plan Total (wks)],172)</f>
        <v/>
      </c>
      <c r="DD173" s="5">
        <f>INDEX(Projects[Act Mech Eng (wks)],172)</f>
        <v/>
      </c>
      <c r="DE173" s="5">
        <f>INDEX(Projects[Act Controls Eng (wks)],172)</f>
        <v/>
      </c>
      <c r="DF173" s="5">
        <f>INDEX(Projects[Act Systems Eng (wks)],172)</f>
        <v/>
      </c>
      <c r="DG173" s="5">
        <f>INDEX(Projects[Act Software Eng (wks)],172)</f>
        <v/>
      </c>
      <c r="DH173" s="5">
        <f>INDEX(Projects[Act M&amp;E Installation (wks)],172)</f>
        <v/>
      </c>
      <c r="DI173" s="5">
        <f>INDEX(Projects[Act Commissioning (wks)],172)</f>
        <v/>
      </c>
      <c r="DJ173" s="5">
        <f>INDEX(Projects[Act Total (wks)],172)</f>
        <v/>
      </c>
    </row>
    <row r="174" ht="15" customHeight="1" s="82">
      <c r="A174" s="64">
        <f>INDEX(Projects[Project ID *],173)&amp;""</f>
        <v/>
      </c>
      <c r="B174" s="64">
        <f>INDEX(Projects[Project Name *],173)&amp;""</f>
        <v/>
      </c>
      <c r="C174" s="64">
        <f>INDEX(Projects[MS Shuttles],173)</f>
        <v/>
      </c>
      <c r="D174" s="64">
        <f>INDEX(Projects[MS Tote Locations],173)</f>
        <v/>
      </c>
      <c r="E174" s="64">
        <f>INDEX(Projects[AS Robots],173)</f>
        <v/>
      </c>
      <c r="F174" s="64">
        <f>INDEX(Projects[AS Tote Locations],173)</f>
        <v/>
      </c>
      <c r="G174" s="64">
        <f>INDEX(Projects[PS Shuttles],173)</f>
        <v/>
      </c>
      <c r="H174" s="64">
        <f>INDEX(Projects[PS Pallet Locations],173)</f>
        <v/>
      </c>
      <c r="I174" s="64">
        <f>INDEX(Projects[SRM Cranes],173)</f>
        <v/>
      </c>
      <c r="J174" s="64">
        <f>INDEX(Projects[SRM Pallet Locations],173)</f>
        <v/>
      </c>
      <c r="K174" s="64">
        <f>INDEX(Projects[Case Conv (m)],173)</f>
        <v/>
      </c>
      <c r="L174" s="64">
        <f>INDEX(Projects[Pallet Conv (m)],173)</f>
        <v/>
      </c>
      <c r="M174" s="64">
        <f>IF(N(DJ174)&gt;0,DD174,CW174)</f>
        <v/>
      </c>
      <c r="N174" s="64">
        <f>IF(N(DJ174)&gt;0,DE174,CX174)</f>
        <v/>
      </c>
      <c r="O174" s="64">
        <f>IF(N(DJ174)&gt;0,DF174,CY174)</f>
        <v/>
      </c>
      <c r="P174" s="64">
        <f>IF(N(DJ174)&gt;0,DG174,CZ174)</f>
        <v/>
      </c>
      <c r="Q174" s="64">
        <f>IF(N(DJ174)&gt;0,DH174,DA174)</f>
        <v/>
      </c>
      <c r="R174" s="64">
        <f>IF(N(DJ174)&gt;0,DI174,DB174)</f>
        <v/>
      </c>
      <c r="S174" s="64">
        <f>IF(N(DJ174)&gt;0,DJ174,DC174)</f>
        <v/>
      </c>
      <c r="T174" s="64">
        <f>INDEX(Projects[Currency],173)&amp;""</f>
        <v/>
      </c>
      <c r="U174" s="65">
        <f>INDEX(Projects[Sold Value (M)],173)</f>
        <v/>
      </c>
      <c r="V174" s="64">
        <f>IF('Smart Search'!B13=1,IFERROR(1/'Smart Search'!H13,0),0)</f>
        <v/>
      </c>
      <c r="W174" s="64">
        <f>IF('Smart Search'!B13=1,IFERROR(1/'Smart Search'!H13,0),0)</f>
        <v/>
      </c>
      <c r="X174" s="64">
        <f>IF('Smart Search'!C13=1,IFERROR(1/'Smart Search'!H13,0),0)</f>
        <v/>
      </c>
      <c r="Y174" s="64">
        <f>IF('Smart Search'!C13=1,IFERROR(1/'Smart Search'!H13,0),0)</f>
        <v/>
      </c>
      <c r="Z174" s="64">
        <f>IF('Smart Search'!D13=1,IFERROR(1/'Smart Search'!H13,0),0)</f>
        <v/>
      </c>
      <c r="AA174" s="64">
        <f>IF('Smart Search'!D13=1,IFERROR(1/'Smart Search'!H13,0),0)</f>
        <v/>
      </c>
      <c r="AB174" s="64">
        <f>IF('Smart Search'!E13=1,IFERROR(1/'Smart Search'!H13,0),0)</f>
        <v/>
      </c>
      <c r="AC174" s="64">
        <f>IF('Smart Search'!E13=1,IFERROR(1/'Smart Search'!H13,0),0)</f>
        <v/>
      </c>
      <c r="AD174" s="64">
        <f>IF('Smart Search'!F13=1,IFERROR(1/'Smart Search'!H13,0),0)</f>
        <v/>
      </c>
      <c r="AE174" s="64">
        <f>IF('Smart Search'!F13=1,IFERROR(1/'Smart Search'!H13,0),0)</f>
        <v/>
      </c>
      <c r="AF174" s="64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4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4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4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4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4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4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4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4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4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4">
        <f>AF174*V174</f>
        <v/>
      </c>
      <c r="AQ174" s="64">
        <f>AG174*W174</f>
        <v/>
      </c>
      <c r="AR174" s="64">
        <f>AH174*X174</f>
        <v/>
      </c>
      <c r="AS174" s="64">
        <f>AI174*Y174</f>
        <v/>
      </c>
      <c r="AT174" s="64">
        <f>AJ174*Z174</f>
        <v/>
      </c>
      <c r="AU174" s="64">
        <f>AK174*AA174</f>
        <v/>
      </c>
      <c r="AV174" s="64">
        <f>AL174*AB174</f>
        <v/>
      </c>
      <c r="AW174" s="64">
        <f>AM174*AC174</f>
        <v/>
      </c>
      <c r="AX174" s="64">
        <f>AN174*AD174</f>
        <v/>
      </c>
      <c r="AY174" s="64">
        <f>AO174*AE174</f>
        <v/>
      </c>
      <c r="AZ174" s="64">
        <f>INDEX(Projects[Automation Equipment],173)&amp;""</f>
        <v/>
      </c>
      <c r="BA174" s="64">
        <f>IF(OR(A174="",'Smart Search'!H13=0),"",MAX(0,BE174*BF174*MAX(0,1-BG174)))</f>
        <v/>
      </c>
      <c r="BB174" s="64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4">
        <f>IF('Smart Search'!G13=1,IFERROR(1/'Smart Search'!H13,0),0)</f>
        <v/>
      </c>
      <c r="BD174" s="64">
        <f>BB174*BC174</f>
        <v/>
      </c>
      <c r="BE174" s="64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IF(A174="","",N(INDEX(Projects[Act Mech Inst],173)))</f>
        <v/>
      </c>
      <c r="BK174" s="5">
        <f>IF(A174="","",N(INDEX(Projects[Act Elec Inst],173)))</f>
        <v/>
      </c>
      <c r="BL174" s="5">
        <f>IF(A174="","",N(INDEX(Projects[Act Project Management],173)))</f>
        <v/>
      </c>
      <c r="BM174" s="5">
        <f>IF(A174="","",N(INDEX(Projects[Act Systems Eng],173)))</f>
        <v/>
      </c>
      <c r="BN174" s="5">
        <f>IF(A174="","",N(INDEX(Projects[Act Mechanical Eng],173)))</f>
        <v/>
      </c>
      <c r="BO174" s="5">
        <f>IF(A174="","",N(INDEX(Projects[Act Structural Engineering],173)))</f>
        <v/>
      </c>
      <c r="BP174" s="5">
        <f>IF(A174="","",N(INDEX(Projects[Act Site Sup],173)))</f>
        <v/>
      </c>
      <c r="BQ174" s="5">
        <f>IF(A174="","",N(INDEX(Projects[Act Controls Commissioning],173)))</f>
        <v/>
      </c>
      <c r="BR174" s="5">
        <f>IF(A174="","",N(INDEX(Projects[Act Systems Commissioning],173)))</f>
        <v/>
      </c>
      <c r="BS174" s="5">
        <f>IF(A174="","",N(INDEX(Projects[Act Service Commissioning],173)))</f>
        <v/>
      </c>
      <c r="BT174" s="5">
        <f>IF(A174="","",N(INDEX(Projects[Act Controls Eng],173)))</f>
        <v/>
      </c>
      <c r="BU174" s="5">
        <f>IF(A174="","",N(INDEX(Projects[Act Controls Purchase],173)))</f>
        <v/>
      </c>
      <c r="BV174" s="5">
        <f>IF(A174="","",N(INDEX(Projects[Act Software Eng],173)))</f>
        <v/>
      </c>
      <c r="BW174" s="5">
        <f>IF(A174="","",N(INDEX(Projects[Act 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INDEX(Projects[Sold Value (USD M)],173)</f>
        <v/>
      </c>
      <c r="CE174" s="5" t="n"/>
      <c r="CF174" s="5">
        <f>IF(A174="","",N(INDEX(Projects[Est Mech Inst],173)))</f>
        <v/>
      </c>
      <c r="CG174" s="5">
        <f>IF(A174="","",N(INDEX(Projects[Est Elec Inst],173)))</f>
        <v/>
      </c>
      <c r="CH174" s="5">
        <f>IF(A174="","",N(INDEX(Projects[Est Project Management],173)))</f>
        <v/>
      </c>
      <c r="CI174" s="5">
        <f>IF(A174="","",N(INDEX(Projects[Est Systems Eng],173)))</f>
        <v/>
      </c>
      <c r="CJ174" s="5">
        <f>IF(A174="","",N(INDEX(Projects[Est Mechanical Eng],173)))</f>
        <v/>
      </c>
      <c r="CK174" s="5">
        <f>IF(A174="","",N(INDEX(Projects[Est Structural Engineering],173)))</f>
        <v/>
      </c>
      <c r="CL174" s="5">
        <f>IF(A174="","",N(INDEX(Projects[Est Site Sup],173)))</f>
        <v/>
      </c>
      <c r="CM174" s="5">
        <f>IF(A174="","",N(INDEX(Projects[Est Controls Commissioning],173)))</f>
        <v/>
      </c>
      <c r="CN174" s="5">
        <f>IF(A174="","",N(INDEX(Projects[Est Systems Commissioning],173)))</f>
        <v/>
      </c>
      <c r="CO174" s="5">
        <f>IF(A174="","",N(INDEX(Projects[Est Service Commissioning],173)))</f>
        <v/>
      </c>
      <c r="CP174" s="5">
        <f>IF(A174="","",N(INDEX(Projects[Est Controls Eng],173)))</f>
        <v/>
      </c>
      <c r="CQ174" s="5">
        <f>IF(A174="","",N(INDEX(Projects[Est Controls Purchase],173)))</f>
        <v/>
      </c>
      <c r="CR174" s="5">
        <f>IF(A174="","",N(INDEX(Projects[Est Software Eng],173)))</f>
        <v/>
      </c>
      <c r="CS174" s="5">
        <f>IF(A174="","",N(INDEX(Projects[Est Misc],173)))</f>
        <v/>
      </c>
      <c r="CT174" s="5">
        <f>IF(A174="","",SUM(CF174:CS174))</f>
        <v/>
      </c>
      <c r="CU174" s="5">
        <f>INDEX(Projects[Est Cost (M)],173)</f>
        <v/>
      </c>
      <c r="CV174" s="5">
        <f>INDEX(Projects[Act Cost (M)],173)</f>
        <v/>
      </c>
      <c r="CW174" s="5">
        <f>INDEX(Projects[Plan Mech Eng (wks)],173)</f>
        <v/>
      </c>
      <c r="CX174" s="5">
        <f>INDEX(Projects[Plan Controls Eng (wks)],173)</f>
        <v/>
      </c>
      <c r="CY174" s="5">
        <f>INDEX(Projects[Plan Systems Eng (wks)],173)</f>
        <v/>
      </c>
      <c r="CZ174" s="5">
        <f>INDEX(Projects[Plan Software Eng (wks)],173)</f>
        <v/>
      </c>
      <c r="DA174" s="5">
        <f>INDEX(Projects[Plan M&amp;E Installation (wks)],173)</f>
        <v/>
      </c>
      <c r="DB174" s="5">
        <f>INDEX(Projects[Plan Commissioning (wks)],173)</f>
        <v/>
      </c>
      <c r="DC174" s="5">
        <f>INDEX(Projects[Plan Total (wks)],173)</f>
        <v/>
      </c>
      <c r="DD174" s="5">
        <f>INDEX(Projects[Act Mech Eng (wks)],173)</f>
        <v/>
      </c>
      <c r="DE174" s="5">
        <f>INDEX(Projects[Act Controls Eng (wks)],173)</f>
        <v/>
      </c>
      <c r="DF174" s="5">
        <f>INDEX(Projects[Act Systems Eng (wks)],173)</f>
        <v/>
      </c>
      <c r="DG174" s="5">
        <f>INDEX(Projects[Act Software Eng (wks)],173)</f>
        <v/>
      </c>
      <c r="DH174" s="5">
        <f>INDEX(Projects[Act M&amp;E Installation (wks)],173)</f>
        <v/>
      </c>
      <c r="DI174" s="5">
        <f>INDEX(Projects[Act Commissioning (wks)],173)</f>
        <v/>
      </c>
      <c r="DJ174" s="5">
        <f>INDEX(Projects[Act Total (wks)],173)</f>
        <v/>
      </c>
    </row>
    <row r="175" ht="15" customHeight="1" s="82">
      <c r="A175" s="64">
        <f>INDEX(Projects[Project ID *],174)&amp;""</f>
        <v/>
      </c>
      <c r="B175" s="64">
        <f>INDEX(Projects[Project Name *],174)&amp;""</f>
        <v/>
      </c>
      <c r="C175" s="64">
        <f>INDEX(Projects[MS Shuttles],174)</f>
        <v/>
      </c>
      <c r="D175" s="64">
        <f>INDEX(Projects[MS Tote Locations],174)</f>
        <v/>
      </c>
      <c r="E175" s="64">
        <f>INDEX(Projects[AS Robots],174)</f>
        <v/>
      </c>
      <c r="F175" s="64">
        <f>INDEX(Projects[AS Tote Locations],174)</f>
        <v/>
      </c>
      <c r="G175" s="64">
        <f>INDEX(Projects[PS Shuttles],174)</f>
        <v/>
      </c>
      <c r="H175" s="64">
        <f>INDEX(Projects[PS Pallet Locations],174)</f>
        <v/>
      </c>
      <c r="I175" s="64">
        <f>INDEX(Projects[SRM Cranes],174)</f>
        <v/>
      </c>
      <c r="J175" s="64">
        <f>INDEX(Projects[SRM Pallet Locations],174)</f>
        <v/>
      </c>
      <c r="K175" s="64">
        <f>INDEX(Projects[Case Conv (m)],174)</f>
        <v/>
      </c>
      <c r="L175" s="64">
        <f>INDEX(Projects[Pallet Conv (m)],174)</f>
        <v/>
      </c>
      <c r="M175" s="64">
        <f>IF(N(DJ175)&gt;0,DD175,CW175)</f>
        <v/>
      </c>
      <c r="N175" s="64">
        <f>IF(N(DJ175)&gt;0,DE175,CX175)</f>
        <v/>
      </c>
      <c r="O175" s="64">
        <f>IF(N(DJ175)&gt;0,DF175,CY175)</f>
        <v/>
      </c>
      <c r="P175" s="64">
        <f>IF(N(DJ175)&gt;0,DG175,CZ175)</f>
        <v/>
      </c>
      <c r="Q175" s="64">
        <f>IF(N(DJ175)&gt;0,DH175,DA175)</f>
        <v/>
      </c>
      <c r="R175" s="64">
        <f>IF(N(DJ175)&gt;0,DI175,DB175)</f>
        <v/>
      </c>
      <c r="S175" s="64">
        <f>IF(N(DJ175)&gt;0,DJ175,DC175)</f>
        <v/>
      </c>
      <c r="T175" s="64">
        <f>INDEX(Projects[Currency],174)&amp;""</f>
        <v/>
      </c>
      <c r="U175" s="65">
        <f>INDEX(Projects[Sold Value (M)],174)</f>
        <v/>
      </c>
      <c r="V175" s="64">
        <f>IF('Smart Search'!B13=1,IFERROR(1/'Smart Search'!H13,0),0)</f>
        <v/>
      </c>
      <c r="W175" s="64">
        <f>IF('Smart Search'!B13=1,IFERROR(1/'Smart Search'!H13,0),0)</f>
        <v/>
      </c>
      <c r="X175" s="64">
        <f>IF('Smart Search'!C13=1,IFERROR(1/'Smart Search'!H13,0),0)</f>
        <v/>
      </c>
      <c r="Y175" s="64">
        <f>IF('Smart Search'!C13=1,IFERROR(1/'Smart Search'!H13,0),0)</f>
        <v/>
      </c>
      <c r="Z175" s="64">
        <f>IF('Smart Search'!D13=1,IFERROR(1/'Smart Search'!H13,0),0)</f>
        <v/>
      </c>
      <c r="AA175" s="64">
        <f>IF('Smart Search'!D13=1,IFERROR(1/'Smart Search'!H13,0),0)</f>
        <v/>
      </c>
      <c r="AB175" s="64">
        <f>IF('Smart Search'!E13=1,IFERROR(1/'Smart Search'!H13,0),0)</f>
        <v/>
      </c>
      <c r="AC175" s="64">
        <f>IF('Smart Search'!E13=1,IFERROR(1/'Smart Search'!H13,0),0)</f>
        <v/>
      </c>
      <c r="AD175" s="64">
        <f>IF('Smart Search'!F13=1,IFERROR(1/'Smart Search'!H13,0),0)</f>
        <v/>
      </c>
      <c r="AE175" s="64">
        <f>IF('Smart Search'!F13=1,IFERROR(1/'Smart Search'!H13,0),0)</f>
        <v/>
      </c>
      <c r="AF175" s="64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4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4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4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4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4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4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4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4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4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4">
        <f>AF175*V175</f>
        <v/>
      </c>
      <c r="AQ175" s="64">
        <f>AG175*W175</f>
        <v/>
      </c>
      <c r="AR175" s="64">
        <f>AH175*X175</f>
        <v/>
      </c>
      <c r="AS175" s="64">
        <f>AI175*Y175</f>
        <v/>
      </c>
      <c r="AT175" s="64">
        <f>AJ175*Z175</f>
        <v/>
      </c>
      <c r="AU175" s="64">
        <f>AK175*AA175</f>
        <v/>
      </c>
      <c r="AV175" s="64">
        <f>AL175*AB175</f>
        <v/>
      </c>
      <c r="AW175" s="64">
        <f>AM175*AC175</f>
        <v/>
      </c>
      <c r="AX175" s="64">
        <f>AN175*AD175</f>
        <v/>
      </c>
      <c r="AY175" s="64">
        <f>AO175*AE175</f>
        <v/>
      </c>
      <c r="AZ175" s="64">
        <f>INDEX(Projects[Automation Equipment],174)&amp;""</f>
        <v/>
      </c>
      <c r="BA175" s="64">
        <f>IF(OR(A175="",'Smart Search'!H13=0),"",MAX(0,BE175*BF175*MAX(0,1-BG175)))</f>
        <v/>
      </c>
      <c r="BB175" s="64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4">
        <f>IF('Smart Search'!G13=1,IFERROR(1/'Smart Search'!H13,0),0)</f>
        <v/>
      </c>
      <c r="BD175" s="64">
        <f>BB175*BC175</f>
        <v/>
      </c>
      <c r="BE175" s="64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IF(A175="","",N(INDEX(Projects[Act Mech Inst],174)))</f>
        <v/>
      </c>
      <c r="BK175" s="5">
        <f>IF(A175="","",N(INDEX(Projects[Act Elec Inst],174)))</f>
        <v/>
      </c>
      <c r="BL175" s="5">
        <f>IF(A175="","",N(INDEX(Projects[Act Project Management],174)))</f>
        <v/>
      </c>
      <c r="BM175" s="5">
        <f>IF(A175="","",N(INDEX(Projects[Act Systems Eng],174)))</f>
        <v/>
      </c>
      <c r="BN175" s="5">
        <f>IF(A175="","",N(INDEX(Projects[Act Mechanical Eng],174)))</f>
        <v/>
      </c>
      <c r="BO175" s="5">
        <f>IF(A175="","",N(INDEX(Projects[Act Structural Engineering],174)))</f>
        <v/>
      </c>
      <c r="BP175" s="5">
        <f>IF(A175="","",N(INDEX(Projects[Act Site Sup],174)))</f>
        <v/>
      </c>
      <c r="BQ175" s="5">
        <f>IF(A175="","",N(INDEX(Projects[Act Controls Commissioning],174)))</f>
        <v/>
      </c>
      <c r="BR175" s="5">
        <f>IF(A175="","",N(INDEX(Projects[Act Systems Commissioning],174)))</f>
        <v/>
      </c>
      <c r="BS175" s="5">
        <f>IF(A175="","",N(INDEX(Projects[Act Service Commissioning],174)))</f>
        <v/>
      </c>
      <c r="BT175" s="5">
        <f>IF(A175="","",N(INDEX(Projects[Act Controls Eng],174)))</f>
        <v/>
      </c>
      <c r="BU175" s="5">
        <f>IF(A175="","",N(INDEX(Projects[Act Controls Purchase],174)))</f>
        <v/>
      </c>
      <c r="BV175" s="5">
        <f>IF(A175="","",N(INDEX(Projects[Act Software Eng],174)))</f>
        <v/>
      </c>
      <c r="BW175" s="5">
        <f>IF(A175="","",N(INDEX(Projects[Act 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INDEX(Projects[Sold Value (USD M)],174)</f>
        <v/>
      </c>
      <c r="CE175" s="5" t="n"/>
      <c r="CF175" s="5">
        <f>IF(A175="","",N(INDEX(Projects[Est Mech Inst],174)))</f>
        <v/>
      </c>
      <c r="CG175" s="5">
        <f>IF(A175="","",N(INDEX(Projects[Est Elec Inst],174)))</f>
        <v/>
      </c>
      <c r="CH175" s="5">
        <f>IF(A175="","",N(INDEX(Projects[Est Project Management],174)))</f>
        <v/>
      </c>
      <c r="CI175" s="5">
        <f>IF(A175="","",N(INDEX(Projects[Est Systems Eng],174)))</f>
        <v/>
      </c>
      <c r="CJ175" s="5">
        <f>IF(A175="","",N(INDEX(Projects[Est Mechanical Eng],174)))</f>
        <v/>
      </c>
      <c r="CK175" s="5">
        <f>IF(A175="","",N(INDEX(Projects[Est Structural Engineering],174)))</f>
        <v/>
      </c>
      <c r="CL175" s="5">
        <f>IF(A175="","",N(INDEX(Projects[Est Site Sup],174)))</f>
        <v/>
      </c>
      <c r="CM175" s="5">
        <f>IF(A175="","",N(INDEX(Projects[Est Controls Commissioning],174)))</f>
        <v/>
      </c>
      <c r="CN175" s="5">
        <f>IF(A175="","",N(INDEX(Projects[Est Systems Commissioning],174)))</f>
        <v/>
      </c>
      <c r="CO175" s="5">
        <f>IF(A175="","",N(INDEX(Projects[Est Service Commissioning],174)))</f>
        <v/>
      </c>
      <c r="CP175" s="5">
        <f>IF(A175="","",N(INDEX(Projects[Est Controls Eng],174)))</f>
        <v/>
      </c>
      <c r="CQ175" s="5">
        <f>IF(A175="","",N(INDEX(Projects[Est Controls Purchase],174)))</f>
        <v/>
      </c>
      <c r="CR175" s="5">
        <f>IF(A175="","",N(INDEX(Projects[Est Software Eng],174)))</f>
        <v/>
      </c>
      <c r="CS175" s="5">
        <f>IF(A175="","",N(INDEX(Projects[Est Misc],174)))</f>
        <v/>
      </c>
      <c r="CT175" s="5">
        <f>IF(A175="","",SUM(CF175:CS175))</f>
        <v/>
      </c>
      <c r="CU175" s="5">
        <f>INDEX(Projects[Est Cost (M)],174)</f>
        <v/>
      </c>
      <c r="CV175" s="5">
        <f>INDEX(Projects[Act Cost (M)],174)</f>
        <v/>
      </c>
      <c r="CW175" s="5">
        <f>INDEX(Projects[Plan Mech Eng (wks)],174)</f>
        <v/>
      </c>
      <c r="CX175" s="5">
        <f>INDEX(Projects[Plan Controls Eng (wks)],174)</f>
        <v/>
      </c>
      <c r="CY175" s="5">
        <f>INDEX(Projects[Plan Systems Eng (wks)],174)</f>
        <v/>
      </c>
      <c r="CZ175" s="5">
        <f>INDEX(Projects[Plan Software Eng (wks)],174)</f>
        <v/>
      </c>
      <c r="DA175" s="5">
        <f>INDEX(Projects[Plan M&amp;E Installation (wks)],174)</f>
        <v/>
      </c>
      <c r="DB175" s="5">
        <f>INDEX(Projects[Plan Commissioning (wks)],174)</f>
        <v/>
      </c>
      <c r="DC175" s="5">
        <f>INDEX(Projects[Plan Total (wks)],174)</f>
        <v/>
      </c>
      <c r="DD175" s="5">
        <f>INDEX(Projects[Act Mech Eng (wks)],174)</f>
        <v/>
      </c>
      <c r="DE175" s="5">
        <f>INDEX(Projects[Act Controls Eng (wks)],174)</f>
        <v/>
      </c>
      <c r="DF175" s="5">
        <f>INDEX(Projects[Act Systems Eng (wks)],174)</f>
        <v/>
      </c>
      <c r="DG175" s="5">
        <f>INDEX(Projects[Act Software Eng (wks)],174)</f>
        <v/>
      </c>
      <c r="DH175" s="5">
        <f>INDEX(Projects[Act M&amp;E Installation (wks)],174)</f>
        <v/>
      </c>
      <c r="DI175" s="5">
        <f>INDEX(Projects[Act Commissioning (wks)],174)</f>
        <v/>
      </c>
      <c r="DJ175" s="5">
        <f>INDEX(Projects[Act Total (wks)],174)</f>
        <v/>
      </c>
    </row>
    <row r="176" ht="15" customHeight="1" s="82">
      <c r="A176" s="64">
        <f>INDEX(Projects[Project ID *],175)&amp;""</f>
        <v/>
      </c>
      <c r="B176" s="64">
        <f>INDEX(Projects[Project Name *],175)&amp;""</f>
        <v/>
      </c>
      <c r="C176" s="64">
        <f>INDEX(Projects[MS Shuttles],175)</f>
        <v/>
      </c>
      <c r="D176" s="64">
        <f>INDEX(Projects[MS Tote Locations],175)</f>
        <v/>
      </c>
      <c r="E176" s="64">
        <f>INDEX(Projects[AS Robots],175)</f>
        <v/>
      </c>
      <c r="F176" s="64">
        <f>INDEX(Projects[AS Tote Locations],175)</f>
        <v/>
      </c>
      <c r="G176" s="64">
        <f>INDEX(Projects[PS Shuttles],175)</f>
        <v/>
      </c>
      <c r="H176" s="64">
        <f>INDEX(Projects[PS Pallet Locations],175)</f>
        <v/>
      </c>
      <c r="I176" s="64">
        <f>INDEX(Projects[SRM Cranes],175)</f>
        <v/>
      </c>
      <c r="J176" s="64">
        <f>INDEX(Projects[SRM Pallet Locations],175)</f>
        <v/>
      </c>
      <c r="K176" s="64">
        <f>INDEX(Projects[Case Conv (m)],175)</f>
        <v/>
      </c>
      <c r="L176" s="64">
        <f>INDEX(Projects[Pallet Conv (m)],175)</f>
        <v/>
      </c>
      <c r="M176" s="64">
        <f>IF(N(DJ176)&gt;0,DD176,CW176)</f>
        <v/>
      </c>
      <c r="N176" s="64">
        <f>IF(N(DJ176)&gt;0,DE176,CX176)</f>
        <v/>
      </c>
      <c r="O176" s="64">
        <f>IF(N(DJ176)&gt;0,DF176,CY176)</f>
        <v/>
      </c>
      <c r="P176" s="64">
        <f>IF(N(DJ176)&gt;0,DG176,CZ176)</f>
        <v/>
      </c>
      <c r="Q176" s="64">
        <f>IF(N(DJ176)&gt;0,DH176,DA176)</f>
        <v/>
      </c>
      <c r="R176" s="64">
        <f>IF(N(DJ176)&gt;0,DI176,DB176)</f>
        <v/>
      </c>
      <c r="S176" s="64">
        <f>IF(N(DJ176)&gt;0,DJ176,DC176)</f>
        <v/>
      </c>
      <c r="T176" s="64">
        <f>INDEX(Projects[Currency],175)&amp;""</f>
        <v/>
      </c>
      <c r="U176" s="65">
        <f>INDEX(Projects[Sold Value (M)],175)</f>
        <v/>
      </c>
      <c r="V176" s="64">
        <f>IF('Smart Search'!B13=1,IFERROR(1/'Smart Search'!H13,0),0)</f>
        <v/>
      </c>
      <c r="W176" s="64">
        <f>IF('Smart Search'!B13=1,IFERROR(1/'Smart Search'!H13,0),0)</f>
        <v/>
      </c>
      <c r="X176" s="64">
        <f>IF('Smart Search'!C13=1,IFERROR(1/'Smart Search'!H13,0),0)</f>
        <v/>
      </c>
      <c r="Y176" s="64">
        <f>IF('Smart Search'!C13=1,IFERROR(1/'Smart Search'!H13,0),0)</f>
        <v/>
      </c>
      <c r="Z176" s="64">
        <f>IF('Smart Search'!D13=1,IFERROR(1/'Smart Search'!H13,0),0)</f>
        <v/>
      </c>
      <c r="AA176" s="64">
        <f>IF('Smart Search'!D13=1,IFERROR(1/'Smart Search'!H13,0),0)</f>
        <v/>
      </c>
      <c r="AB176" s="64">
        <f>IF('Smart Search'!E13=1,IFERROR(1/'Smart Search'!H13,0),0)</f>
        <v/>
      </c>
      <c r="AC176" s="64">
        <f>IF('Smart Search'!E13=1,IFERROR(1/'Smart Search'!H13,0),0)</f>
        <v/>
      </c>
      <c r="AD176" s="64">
        <f>IF('Smart Search'!F13=1,IFERROR(1/'Smart Search'!H13,0),0)</f>
        <v/>
      </c>
      <c r="AE176" s="64">
        <f>IF('Smart Search'!F13=1,IFERROR(1/'Smart Search'!H13,0),0)</f>
        <v/>
      </c>
      <c r="AF176" s="64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4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4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4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4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4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4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4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4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4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4">
        <f>AF176*V176</f>
        <v/>
      </c>
      <c r="AQ176" s="64">
        <f>AG176*W176</f>
        <v/>
      </c>
      <c r="AR176" s="64">
        <f>AH176*X176</f>
        <v/>
      </c>
      <c r="AS176" s="64">
        <f>AI176*Y176</f>
        <v/>
      </c>
      <c r="AT176" s="64">
        <f>AJ176*Z176</f>
        <v/>
      </c>
      <c r="AU176" s="64">
        <f>AK176*AA176</f>
        <v/>
      </c>
      <c r="AV176" s="64">
        <f>AL176*AB176</f>
        <v/>
      </c>
      <c r="AW176" s="64">
        <f>AM176*AC176</f>
        <v/>
      </c>
      <c r="AX176" s="64">
        <f>AN176*AD176</f>
        <v/>
      </c>
      <c r="AY176" s="64">
        <f>AO176*AE176</f>
        <v/>
      </c>
      <c r="AZ176" s="64">
        <f>INDEX(Projects[Automation Equipment],175)&amp;""</f>
        <v/>
      </c>
      <c r="BA176" s="64">
        <f>IF(OR(A176="",'Smart Search'!H13=0),"",MAX(0,BE176*BF176*MAX(0,1-BG176)))</f>
        <v/>
      </c>
      <c r="BB176" s="64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4">
        <f>IF('Smart Search'!G13=1,IFERROR(1/'Smart Search'!H13,0),0)</f>
        <v/>
      </c>
      <c r="BD176" s="64">
        <f>BB176*BC176</f>
        <v/>
      </c>
      <c r="BE176" s="64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IF(A176="","",N(INDEX(Projects[Act Mech Inst],175)))</f>
        <v/>
      </c>
      <c r="BK176" s="5">
        <f>IF(A176="","",N(INDEX(Projects[Act Elec Inst],175)))</f>
        <v/>
      </c>
      <c r="BL176" s="5">
        <f>IF(A176="","",N(INDEX(Projects[Act Project Management],175)))</f>
        <v/>
      </c>
      <c r="BM176" s="5">
        <f>IF(A176="","",N(INDEX(Projects[Act Systems Eng],175)))</f>
        <v/>
      </c>
      <c r="BN176" s="5">
        <f>IF(A176="","",N(INDEX(Projects[Act Mechanical Eng],175)))</f>
        <v/>
      </c>
      <c r="BO176" s="5">
        <f>IF(A176="","",N(INDEX(Projects[Act Structural Engineering],175)))</f>
        <v/>
      </c>
      <c r="BP176" s="5">
        <f>IF(A176="","",N(INDEX(Projects[Act Site Sup],175)))</f>
        <v/>
      </c>
      <c r="BQ176" s="5">
        <f>IF(A176="","",N(INDEX(Projects[Act Controls Commissioning],175)))</f>
        <v/>
      </c>
      <c r="BR176" s="5">
        <f>IF(A176="","",N(INDEX(Projects[Act Systems Commissioning],175)))</f>
        <v/>
      </c>
      <c r="BS176" s="5">
        <f>IF(A176="","",N(INDEX(Projects[Act Service Commissioning],175)))</f>
        <v/>
      </c>
      <c r="BT176" s="5">
        <f>IF(A176="","",N(INDEX(Projects[Act Controls Eng],175)))</f>
        <v/>
      </c>
      <c r="BU176" s="5">
        <f>IF(A176="","",N(INDEX(Projects[Act Controls Purchase],175)))</f>
        <v/>
      </c>
      <c r="BV176" s="5">
        <f>IF(A176="","",N(INDEX(Projects[Act Software Eng],175)))</f>
        <v/>
      </c>
      <c r="BW176" s="5">
        <f>IF(A176="","",N(INDEX(Projects[Act 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INDEX(Projects[Sold Value (USD M)],175)</f>
        <v/>
      </c>
      <c r="CE176" s="5" t="n"/>
      <c r="CF176" s="5">
        <f>IF(A176="","",N(INDEX(Projects[Est Mech Inst],175)))</f>
        <v/>
      </c>
      <c r="CG176" s="5">
        <f>IF(A176="","",N(INDEX(Projects[Est Elec Inst],175)))</f>
        <v/>
      </c>
      <c r="CH176" s="5">
        <f>IF(A176="","",N(INDEX(Projects[Est Project Management],175)))</f>
        <v/>
      </c>
      <c r="CI176" s="5">
        <f>IF(A176="","",N(INDEX(Projects[Est Systems Eng],175)))</f>
        <v/>
      </c>
      <c r="CJ176" s="5">
        <f>IF(A176="","",N(INDEX(Projects[Est Mechanical Eng],175)))</f>
        <v/>
      </c>
      <c r="CK176" s="5">
        <f>IF(A176="","",N(INDEX(Projects[Est Structural Engineering],175)))</f>
        <v/>
      </c>
      <c r="CL176" s="5">
        <f>IF(A176="","",N(INDEX(Projects[Est Site Sup],175)))</f>
        <v/>
      </c>
      <c r="CM176" s="5">
        <f>IF(A176="","",N(INDEX(Projects[Est Controls Commissioning],175)))</f>
        <v/>
      </c>
      <c r="CN176" s="5">
        <f>IF(A176="","",N(INDEX(Projects[Est Systems Commissioning],175)))</f>
        <v/>
      </c>
      <c r="CO176" s="5">
        <f>IF(A176="","",N(INDEX(Projects[Est Service Commissioning],175)))</f>
        <v/>
      </c>
      <c r="CP176" s="5">
        <f>IF(A176="","",N(INDEX(Projects[Est Controls Eng],175)))</f>
        <v/>
      </c>
      <c r="CQ176" s="5">
        <f>IF(A176="","",N(INDEX(Projects[Est Controls Purchase],175)))</f>
        <v/>
      </c>
      <c r="CR176" s="5">
        <f>IF(A176="","",N(INDEX(Projects[Est Software Eng],175)))</f>
        <v/>
      </c>
      <c r="CS176" s="5">
        <f>IF(A176="","",N(INDEX(Projects[Est Misc],175)))</f>
        <v/>
      </c>
      <c r="CT176" s="5">
        <f>IF(A176="","",SUM(CF176:CS176))</f>
        <v/>
      </c>
      <c r="CU176" s="5">
        <f>INDEX(Projects[Est Cost (M)],175)</f>
        <v/>
      </c>
      <c r="CV176" s="5">
        <f>INDEX(Projects[Act Cost (M)],175)</f>
        <v/>
      </c>
      <c r="CW176" s="5">
        <f>INDEX(Projects[Plan Mech Eng (wks)],175)</f>
        <v/>
      </c>
      <c r="CX176" s="5">
        <f>INDEX(Projects[Plan Controls Eng (wks)],175)</f>
        <v/>
      </c>
      <c r="CY176" s="5">
        <f>INDEX(Projects[Plan Systems Eng (wks)],175)</f>
        <v/>
      </c>
      <c r="CZ176" s="5">
        <f>INDEX(Projects[Plan Software Eng (wks)],175)</f>
        <v/>
      </c>
      <c r="DA176" s="5">
        <f>INDEX(Projects[Plan M&amp;E Installation (wks)],175)</f>
        <v/>
      </c>
      <c r="DB176" s="5">
        <f>INDEX(Projects[Plan Commissioning (wks)],175)</f>
        <v/>
      </c>
      <c r="DC176" s="5">
        <f>INDEX(Projects[Plan Total (wks)],175)</f>
        <v/>
      </c>
      <c r="DD176" s="5">
        <f>INDEX(Projects[Act Mech Eng (wks)],175)</f>
        <v/>
      </c>
      <c r="DE176" s="5">
        <f>INDEX(Projects[Act Controls Eng (wks)],175)</f>
        <v/>
      </c>
      <c r="DF176" s="5">
        <f>INDEX(Projects[Act Systems Eng (wks)],175)</f>
        <v/>
      </c>
      <c r="DG176" s="5">
        <f>INDEX(Projects[Act Software Eng (wks)],175)</f>
        <v/>
      </c>
      <c r="DH176" s="5">
        <f>INDEX(Projects[Act M&amp;E Installation (wks)],175)</f>
        <v/>
      </c>
      <c r="DI176" s="5">
        <f>INDEX(Projects[Act Commissioning (wks)],175)</f>
        <v/>
      </c>
      <c r="DJ176" s="5">
        <f>INDEX(Projects[Act Total (wks)],175)</f>
        <v/>
      </c>
    </row>
    <row r="177" ht="15" customHeight="1" s="82">
      <c r="A177" s="64">
        <f>INDEX(Projects[Project ID *],176)&amp;""</f>
        <v/>
      </c>
      <c r="B177" s="64">
        <f>INDEX(Projects[Project Name *],176)&amp;""</f>
        <v/>
      </c>
      <c r="C177" s="64">
        <f>INDEX(Projects[MS Shuttles],176)</f>
        <v/>
      </c>
      <c r="D177" s="64">
        <f>INDEX(Projects[MS Tote Locations],176)</f>
        <v/>
      </c>
      <c r="E177" s="64">
        <f>INDEX(Projects[AS Robots],176)</f>
        <v/>
      </c>
      <c r="F177" s="64">
        <f>INDEX(Projects[AS Tote Locations],176)</f>
        <v/>
      </c>
      <c r="G177" s="64">
        <f>INDEX(Projects[PS Shuttles],176)</f>
        <v/>
      </c>
      <c r="H177" s="64">
        <f>INDEX(Projects[PS Pallet Locations],176)</f>
        <v/>
      </c>
      <c r="I177" s="64">
        <f>INDEX(Projects[SRM Cranes],176)</f>
        <v/>
      </c>
      <c r="J177" s="64">
        <f>INDEX(Projects[SRM Pallet Locations],176)</f>
        <v/>
      </c>
      <c r="K177" s="64">
        <f>INDEX(Projects[Case Conv (m)],176)</f>
        <v/>
      </c>
      <c r="L177" s="64">
        <f>INDEX(Projects[Pallet Conv (m)],176)</f>
        <v/>
      </c>
      <c r="M177" s="64">
        <f>IF(N(DJ177)&gt;0,DD177,CW177)</f>
        <v/>
      </c>
      <c r="N177" s="64">
        <f>IF(N(DJ177)&gt;0,DE177,CX177)</f>
        <v/>
      </c>
      <c r="O177" s="64">
        <f>IF(N(DJ177)&gt;0,DF177,CY177)</f>
        <v/>
      </c>
      <c r="P177" s="64">
        <f>IF(N(DJ177)&gt;0,DG177,CZ177)</f>
        <v/>
      </c>
      <c r="Q177" s="64">
        <f>IF(N(DJ177)&gt;0,DH177,DA177)</f>
        <v/>
      </c>
      <c r="R177" s="64">
        <f>IF(N(DJ177)&gt;0,DI177,DB177)</f>
        <v/>
      </c>
      <c r="S177" s="64">
        <f>IF(N(DJ177)&gt;0,DJ177,DC177)</f>
        <v/>
      </c>
      <c r="T177" s="64">
        <f>INDEX(Projects[Currency],176)&amp;""</f>
        <v/>
      </c>
      <c r="U177" s="65">
        <f>INDEX(Projects[Sold Value (M)],176)</f>
        <v/>
      </c>
      <c r="V177" s="64">
        <f>IF('Smart Search'!B13=1,IFERROR(1/'Smart Search'!H13,0),0)</f>
        <v/>
      </c>
      <c r="W177" s="64">
        <f>IF('Smart Search'!B13=1,IFERROR(1/'Smart Search'!H13,0),0)</f>
        <v/>
      </c>
      <c r="X177" s="64">
        <f>IF('Smart Search'!C13=1,IFERROR(1/'Smart Search'!H13,0),0)</f>
        <v/>
      </c>
      <c r="Y177" s="64">
        <f>IF('Smart Search'!C13=1,IFERROR(1/'Smart Search'!H13,0),0)</f>
        <v/>
      </c>
      <c r="Z177" s="64">
        <f>IF('Smart Search'!D13=1,IFERROR(1/'Smart Search'!H13,0),0)</f>
        <v/>
      </c>
      <c r="AA177" s="64">
        <f>IF('Smart Search'!D13=1,IFERROR(1/'Smart Search'!H13,0),0)</f>
        <v/>
      </c>
      <c r="AB177" s="64">
        <f>IF('Smart Search'!E13=1,IFERROR(1/'Smart Search'!H13,0),0)</f>
        <v/>
      </c>
      <c r="AC177" s="64">
        <f>IF('Smart Search'!E13=1,IFERROR(1/'Smart Search'!H13,0),0)</f>
        <v/>
      </c>
      <c r="AD177" s="64">
        <f>IF('Smart Search'!F13=1,IFERROR(1/'Smart Search'!H13,0),0)</f>
        <v/>
      </c>
      <c r="AE177" s="64">
        <f>IF('Smart Search'!F13=1,IFERROR(1/'Smart Search'!H13,0),0)</f>
        <v/>
      </c>
      <c r="AF177" s="64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4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4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4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4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4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4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4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4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4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4">
        <f>AF177*V177</f>
        <v/>
      </c>
      <c r="AQ177" s="64">
        <f>AG177*W177</f>
        <v/>
      </c>
      <c r="AR177" s="64">
        <f>AH177*X177</f>
        <v/>
      </c>
      <c r="AS177" s="64">
        <f>AI177*Y177</f>
        <v/>
      </c>
      <c r="AT177" s="64">
        <f>AJ177*Z177</f>
        <v/>
      </c>
      <c r="AU177" s="64">
        <f>AK177*AA177</f>
        <v/>
      </c>
      <c r="AV177" s="64">
        <f>AL177*AB177</f>
        <v/>
      </c>
      <c r="AW177" s="64">
        <f>AM177*AC177</f>
        <v/>
      </c>
      <c r="AX177" s="64">
        <f>AN177*AD177</f>
        <v/>
      </c>
      <c r="AY177" s="64">
        <f>AO177*AE177</f>
        <v/>
      </c>
      <c r="AZ177" s="64">
        <f>INDEX(Projects[Automation Equipment],176)&amp;""</f>
        <v/>
      </c>
      <c r="BA177" s="64">
        <f>IF(OR(A177="",'Smart Search'!H13=0),"",MAX(0,BE177*BF177*MAX(0,1-BG177)))</f>
        <v/>
      </c>
      <c r="BB177" s="64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4">
        <f>IF('Smart Search'!G13=1,IFERROR(1/'Smart Search'!H13,0),0)</f>
        <v/>
      </c>
      <c r="BD177" s="64">
        <f>BB177*BC177</f>
        <v/>
      </c>
      <c r="BE177" s="64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IF(A177="","",N(INDEX(Projects[Act Mech Inst],176)))</f>
        <v/>
      </c>
      <c r="BK177" s="5">
        <f>IF(A177="","",N(INDEX(Projects[Act Elec Inst],176)))</f>
        <v/>
      </c>
      <c r="BL177" s="5">
        <f>IF(A177="","",N(INDEX(Projects[Act Project Management],176)))</f>
        <v/>
      </c>
      <c r="BM177" s="5">
        <f>IF(A177="","",N(INDEX(Projects[Act Systems Eng],176)))</f>
        <v/>
      </c>
      <c r="BN177" s="5">
        <f>IF(A177="","",N(INDEX(Projects[Act Mechanical Eng],176)))</f>
        <v/>
      </c>
      <c r="BO177" s="5">
        <f>IF(A177="","",N(INDEX(Projects[Act Structural Engineering],176)))</f>
        <v/>
      </c>
      <c r="BP177" s="5">
        <f>IF(A177="","",N(INDEX(Projects[Act Site Sup],176)))</f>
        <v/>
      </c>
      <c r="BQ177" s="5">
        <f>IF(A177="","",N(INDEX(Projects[Act Controls Commissioning],176)))</f>
        <v/>
      </c>
      <c r="BR177" s="5">
        <f>IF(A177="","",N(INDEX(Projects[Act Systems Commissioning],176)))</f>
        <v/>
      </c>
      <c r="BS177" s="5">
        <f>IF(A177="","",N(INDEX(Projects[Act Service Commissioning],176)))</f>
        <v/>
      </c>
      <c r="BT177" s="5">
        <f>IF(A177="","",N(INDEX(Projects[Act Controls Eng],176)))</f>
        <v/>
      </c>
      <c r="BU177" s="5">
        <f>IF(A177="","",N(INDEX(Projects[Act Controls Purchase],176)))</f>
        <v/>
      </c>
      <c r="BV177" s="5">
        <f>IF(A177="","",N(INDEX(Projects[Act Software Eng],176)))</f>
        <v/>
      </c>
      <c r="BW177" s="5">
        <f>IF(A177="","",N(INDEX(Projects[Act 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INDEX(Projects[Sold Value (USD M)],176)</f>
        <v/>
      </c>
      <c r="CE177" s="5" t="n"/>
      <c r="CF177" s="5">
        <f>IF(A177="","",N(INDEX(Projects[Est Mech Inst],176)))</f>
        <v/>
      </c>
      <c r="CG177" s="5">
        <f>IF(A177="","",N(INDEX(Projects[Est Elec Inst],176)))</f>
        <v/>
      </c>
      <c r="CH177" s="5">
        <f>IF(A177="","",N(INDEX(Projects[Est Project Management],176)))</f>
        <v/>
      </c>
      <c r="CI177" s="5">
        <f>IF(A177="","",N(INDEX(Projects[Est Systems Eng],176)))</f>
        <v/>
      </c>
      <c r="CJ177" s="5">
        <f>IF(A177="","",N(INDEX(Projects[Est Mechanical Eng],176)))</f>
        <v/>
      </c>
      <c r="CK177" s="5">
        <f>IF(A177="","",N(INDEX(Projects[Est Structural Engineering],176)))</f>
        <v/>
      </c>
      <c r="CL177" s="5">
        <f>IF(A177="","",N(INDEX(Projects[Est Site Sup],176)))</f>
        <v/>
      </c>
      <c r="CM177" s="5">
        <f>IF(A177="","",N(INDEX(Projects[Est Controls Commissioning],176)))</f>
        <v/>
      </c>
      <c r="CN177" s="5">
        <f>IF(A177="","",N(INDEX(Projects[Est Systems Commissioning],176)))</f>
        <v/>
      </c>
      <c r="CO177" s="5">
        <f>IF(A177="","",N(INDEX(Projects[Est Service Commissioning],176)))</f>
        <v/>
      </c>
      <c r="CP177" s="5">
        <f>IF(A177="","",N(INDEX(Projects[Est Controls Eng],176)))</f>
        <v/>
      </c>
      <c r="CQ177" s="5">
        <f>IF(A177="","",N(INDEX(Projects[Est Controls Purchase],176)))</f>
        <v/>
      </c>
      <c r="CR177" s="5">
        <f>IF(A177="","",N(INDEX(Projects[Est Software Eng],176)))</f>
        <v/>
      </c>
      <c r="CS177" s="5">
        <f>IF(A177="","",N(INDEX(Projects[Est Misc],176)))</f>
        <v/>
      </c>
      <c r="CT177" s="5">
        <f>IF(A177="","",SUM(CF177:CS177))</f>
        <v/>
      </c>
      <c r="CU177" s="5">
        <f>INDEX(Projects[Est Cost (M)],176)</f>
        <v/>
      </c>
      <c r="CV177" s="5">
        <f>INDEX(Projects[Act Cost (M)],176)</f>
        <v/>
      </c>
      <c r="CW177" s="5">
        <f>INDEX(Projects[Plan Mech Eng (wks)],176)</f>
        <v/>
      </c>
      <c r="CX177" s="5">
        <f>INDEX(Projects[Plan Controls Eng (wks)],176)</f>
        <v/>
      </c>
      <c r="CY177" s="5">
        <f>INDEX(Projects[Plan Systems Eng (wks)],176)</f>
        <v/>
      </c>
      <c r="CZ177" s="5">
        <f>INDEX(Projects[Plan Software Eng (wks)],176)</f>
        <v/>
      </c>
      <c r="DA177" s="5">
        <f>INDEX(Projects[Plan M&amp;E Installation (wks)],176)</f>
        <v/>
      </c>
      <c r="DB177" s="5">
        <f>INDEX(Projects[Plan Commissioning (wks)],176)</f>
        <v/>
      </c>
      <c r="DC177" s="5">
        <f>INDEX(Projects[Plan Total (wks)],176)</f>
        <v/>
      </c>
      <c r="DD177" s="5">
        <f>INDEX(Projects[Act Mech Eng (wks)],176)</f>
        <v/>
      </c>
      <c r="DE177" s="5">
        <f>INDEX(Projects[Act Controls Eng (wks)],176)</f>
        <v/>
      </c>
      <c r="DF177" s="5">
        <f>INDEX(Projects[Act Systems Eng (wks)],176)</f>
        <v/>
      </c>
      <c r="DG177" s="5">
        <f>INDEX(Projects[Act Software Eng (wks)],176)</f>
        <v/>
      </c>
      <c r="DH177" s="5">
        <f>INDEX(Projects[Act M&amp;E Installation (wks)],176)</f>
        <v/>
      </c>
      <c r="DI177" s="5">
        <f>INDEX(Projects[Act Commissioning (wks)],176)</f>
        <v/>
      </c>
      <c r="DJ177" s="5">
        <f>INDEX(Projects[Act Total (wks)],176)</f>
        <v/>
      </c>
    </row>
    <row r="178" ht="15" customHeight="1" s="82">
      <c r="A178" s="64">
        <f>INDEX(Projects[Project ID *],177)&amp;""</f>
        <v/>
      </c>
      <c r="B178" s="64">
        <f>INDEX(Projects[Project Name *],177)&amp;""</f>
        <v/>
      </c>
      <c r="C178" s="64">
        <f>INDEX(Projects[MS Shuttles],177)</f>
        <v/>
      </c>
      <c r="D178" s="64">
        <f>INDEX(Projects[MS Tote Locations],177)</f>
        <v/>
      </c>
      <c r="E178" s="64">
        <f>INDEX(Projects[AS Robots],177)</f>
        <v/>
      </c>
      <c r="F178" s="64">
        <f>INDEX(Projects[AS Tote Locations],177)</f>
        <v/>
      </c>
      <c r="G178" s="64">
        <f>INDEX(Projects[PS Shuttles],177)</f>
        <v/>
      </c>
      <c r="H178" s="64">
        <f>INDEX(Projects[PS Pallet Locations],177)</f>
        <v/>
      </c>
      <c r="I178" s="64">
        <f>INDEX(Projects[SRM Cranes],177)</f>
        <v/>
      </c>
      <c r="J178" s="64">
        <f>INDEX(Projects[SRM Pallet Locations],177)</f>
        <v/>
      </c>
      <c r="K178" s="64">
        <f>INDEX(Projects[Case Conv (m)],177)</f>
        <v/>
      </c>
      <c r="L178" s="64">
        <f>INDEX(Projects[Pallet Conv (m)],177)</f>
        <v/>
      </c>
      <c r="M178" s="64">
        <f>IF(N(DJ178)&gt;0,DD178,CW178)</f>
        <v/>
      </c>
      <c r="N178" s="64">
        <f>IF(N(DJ178)&gt;0,DE178,CX178)</f>
        <v/>
      </c>
      <c r="O178" s="64">
        <f>IF(N(DJ178)&gt;0,DF178,CY178)</f>
        <v/>
      </c>
      <c r="P178" s="64">
        <f>IF(N(DJ178)&gt;0,DG178,CZ178)</f>
        <v/>
      </c>
      <c r="Q178" s="64">
        <f>IF(N(DJ178)&gt;0,DH178,DA178)</f>
        <v/>
      </c>
      <c r="R178" s="64">
        <f>IF(N(DJ178)&gt;0,DI178,DB178)</f>
        <v/>
      </c>
      <c r="S178" s="64">
        <f>IF(N(DJ178)&gt;0,DJ178,DC178)</f>
        <v/>
      </c>
      <c r="T178" s="64">
        <f>INDEX(Projects[Currency],177)&amp;""</f>
        <v/>
      </c>
      <c r="U178" s="65">
        <f>INDEX(Projects[Sold Value (M)],177)</f>
        <v/>
      </c>
      <c r="V178" s="64">
        <f>IF('Smart Search'!B13=1,IFERROR(1/'Smart Search'!H13,0),0)</f>
        <v/>
      </c>
      <c r="W178" s="64">
        <f>IF('Smart Search'!B13=1,IFERROR(1/'Smart Search'!H13,0),0)</f>
        <v/>
      </c>
      <c r="X178" s="64">
        <f>IF('Smart Search'!C13=1,IFERROR(1/'Smart Search'!H13,0),0)</f>
        <v/>
      </c>
      <c r="Y178" s="64">
        <f>IF('Smart Search'!C13=1,IFERROR(1/'Smart Search'!H13,0),0)</f>
        <v/>
      </c>
      <c r="Z178" s="64">
        <f>IF('Smart Search'!D13=1,IFERROR(1/'Smart Search'!H13,0),0)</f>
        <v/>
      </c>
      <c r="AA178" s="64">
        <f>IF('Smart Search'!D13=1,IFERROR(1/'Smart Search'!H13,0),0)</f>
        <v/>
      </c>
      <c r="AB178" s="64">
        <f>IF('Smart Search'!E13=1,IFERROR(1/'Smart Search'!H13,0),0)</f>
        <v/>
      </c>
      <c r="AC178" s="64">
        <f>IF('Smart Search'!E13=1,IFERROR(1/'Smart Search'!H13,0),0)</f>
        <v/>
      </c>
      <c r="AD178" s="64">
        <f>IF('Smart Search'!F13=1,IFERROR(1/'Smart Search'!H13,0),0)</f>
        <v/>
      </c>
      <c r="AE178" s="64">
        <f>IF('Smart Search'!F13=1,IFERROR(1/'Smart Search'!H13,0),0)</f>
        <v/>
      </c>
      <c r="AF178" s="64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4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4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4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4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4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4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4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4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4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4">
        <f>AF178*V178</f>
        <v/>
      </c>
      <c r="AQ178" s="64">
        <f>AG178*W178</f>
        <v/>
      </c>
      <c r="AR178" s="64">
        <f>AH178*X178</f>
        <v/>
      </c>
      <c r="AS178" s="64">
        <f>AI178*Y178</f>
        <v/>
      </c>
      <c r="AT178" s="64">
        <f>AJ178*Z178</f>
        <v/>
      </c>
      <c r="AU178" s="64">
        <f>AK178*AA178</f>
        <v/>
      </c>
      <c r="AV178" s="64">
        <f>AL178*AB178</f>
        <v/>
      </c>
      <c r="AW178" s="64">
        <f>AM178*AC178</f>
        <v/>
      </c>
      <c r="AX178" s="64">
        <f>AN178*AD178</f>
        <v/>
      </c>
      <c r="AY178" s="64">
        <f>AO178*AE178</f>
        <v/>
      </c>
      <c r="AZ178" s="64">
        <f>INDEX(Projects[Automation Equipment],177)&amp;""</f>
        <v/>
      </c>
      <c r="BA178" s="64">
        <f>IF(OR(A178="",'Smart Search'!H13=0),"",MAX(0,BE178*BF178*MAX(0,1-BG178)))</f>
        <v/>
      </c>
      <c r="BB178" s="64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4">
        <f>IF('Smart Search'!G13=1,IFERROR(1/'Smart Search'!H13,0),0)</f>
        <v/>
      </c>
      <c r="BD178" s="64">
        <f>BB178*BC178</f>
        <v/>
      </c>
      <c r="BE178" s="64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IF(A178="","",N(INDEX(Projects[Act Mech Inst],177)))</f>
        <v/>
      </c>
      <c r="BK178" s="5">
        <f>IF(A178="","",N(INDEX(Projects[Act Elec Inst],177)))</f>
        <v/>
      </c>
      <c r="BL178" s="5">
        <f>IF(A178="","",N(INDEX(Projects[Act Project Management],177)))</f>
        <v/>
      </c>
      <c r="BM178" s="5">
        <f>IF(A178="","",N(INDEX(Projects[Act Systems Eng],177)))</f>
        <v/>
      </c>
      <c r="BN178" s="5">
        <f>IF(A178="","",N(INDEX(Projects[Act Mechanical Eng],177)))</f>
        <v/>
      </c>
      <c r="BO178" s="5">
        <f>IF(A178="","",N(INDEX(Projects[Act Structural Engineering],177)))</f>
        <v/>
      </c>
      <c r="BP178" s="5">
        <f>IF(A178="","",N(INDEX(Projects[Act Site Sup],177)))</f>
        <v/>
      </c>
      <c r="BQ178" s="5">
        <f>IF(A178="","",N(INDEX(Projects[Act Controls Commissioning],177)))</f>
        <v/>
      </c>
      <c r="BR178" s="5">
        <f>IF(A178="","",N(INDEX(Projects[Act Systems Commissioning],177)))</f>
        <v/>
      </c>
      <c r="BS178" s="5">
        <f>IF(A178="","",N(INDEX(Projects[Act Service Commissioning],177)))</f>
        <v/>
      </c>
      <c r="BT178" s="5">
        <f>IF(A178="","",N(INDEX(Projects[Act Controls Eng],177)))</f>
        <v/>
      </c>
      <c r="BU178" s="5">
        <f>IF(A178="","",N(INDEX(Projects[Act Controls Purchase],177)))</f>
        <v/>
      </c>
      <c r="BV178" s="5">
        <f>IF(A178="","",N(INDEX(Projects[Act Software Eng],177)))</f>
        <v/>
      </c>
      <c r="BW178" s="5">
        <f>IF(A178="","",N(INDEX(Projects[Act 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INDEX(Projects[Sold Value (USD M)],177)</f>
        <v/>
      </c>
      <c r="CE178" s="5" t="n"/>
      <c r="CF178" s="5">
        <f>IF(A178="","",N(INDEX(Projects[Est Mech Inst],177)))</f>
        <v/>
      </c>
      <c r="CG178" s="5">
        <f>IF(A178="","",N(INDEX(Projects[Est Elec Inst],177)))</f>
        <v/>
      </c>
      <c r="CH178" s="5">
        <f>IF(A178="","",N(INDEX(Projects[Est Project Management],177)))</f>
        <v/>
      </c>
      <c r="CI178" s="5">
        <f>IF(A178="","",N(INDEX(Projects[Est Systems Eng],177)))</f>
        <v/>
      </c>
      <c r="CJ178" s="5">
        <f>IF(A178="","",N(INDEX(Projects[Est Mechanical Eng],177)))</f>
        <v/>
      </c>
      <c r="CK178" s="5">
        <f>IF(A178="","",N(INDEX(Projects[Est Structural Engineering],177)))</f>
        <v/>
      </c>
      <c r="CL178" s="5">
        <f>IF(A178="","",N(INDEX(Projects[Est Site Sup],177)))</f>
        <v/>
      </c>
      <c r="CM178" s="5">
        <f>IF(A178="","",N(INDEX(Projects[Est Controls Commissioning],177)))</f>
        <v/>
      </c>
      <c r="CN178" s="5">
        <f>IF(A178="","",N(INDEX(Projects[Est Systems Commissioning],177)))</f>
        <v/>
      </c>
      <c r="CO178" s="5">
        <f>IF(A178="","",N(INDEX(Projects[Est Service Commissioning],177)))</f>
        <v/>
      </c>
      <c r="CP178" s="5">
        <f>IF(A178="","",N(INDEX(Projects[Est Controls Eng],177)))</f>
        <v/>
      </c>
      <c r="CQ178" s="5">
        <f>IF(A178="","",N(INDEX(Projects[Est Controls Purchase],177)))</f>
        <v/>
      </c>
      <c r="CR178" s="5">
        <f>IF(A178="","",N(INDEX(Projects[Est Software Eng],177)))</f>
        <v/>
      </c>
      <c r="CS178" s="5">
        <f>IF(A178="","",N(INDEX(Projects[Est Misc],177)))</f>
        <v/>
      </c>
      <c r="CT178" s="5">
        <f>IF(A178="","",SUM(CF178:CS178))</f>
        <v/>
      </c>
      <c r="CU178" s="5">
        <f>INDEX(Projects[Est Cost (M)],177)</f>
        <v/>
      </c>
      <c r="CV178" s="5">
        <f>INDEX(Projects[Act Cost (M)],177)</f>
        <v/>
      </c>
      <c r="CW178" s="5">
        <f>INDEX(Projects[Plan Mech Eng (wks)],177)</f>
        <v/>
      </c>
      <c r="CX178" s="5">
        <f>INDEX(Projects[Plan Controls Eng (wks)],177)</f>
        <v/>
      </c>
      <c r="CY178" s="5">
        <f>INDEX(Projects[Plan Systems Eng (wks)],177)</f>
        <v/>
      </c>
      <c r="CZ178" s="5">
        <f>INDEX(Projects[Plan Software Eng (wks)],177)</f>
        <v/>
      </c>
      <c r="DA178" s="5">
        <f>INDEX(Projects[Plan M&amp;E Installation (wks)],177)</f>
        <v/>
      </c>
      <c r="DB178" s="5">
        <f>INDEX(Projects[Plan Commissioning (wks)],177)</f>
        <v/>
      </c>
      <c r="DC178" s="5">
        <f>INDEX(Projects[Plan Total (wks)],177)</f>
        <v/>
      </c>
      <c r="DD178" s="5">
        <f>INDEX(Projects[Act Mech Eng (wks)],177)</f>
        <v/>
      </c>
      <c r="DE178" s="5">
        <f>INDEX(Projects[Act Controls Eng (wks)],177)</f>
        <v/>
      </c>
      <c r="DF178" s="5">
        <f>INDEX(Projects[Act Systems Eng (wks)],177)</f>
        <v/>
      </c>
      <c r="DG178" s="5">
        <f>INDEX(Projects[Act Software Eng (wks)],177)</f>
        <v/>
      </c>
      <c r="DH178" s="5">
        <f>INDEX(Projects[Act M&amp;E Installation (wks)],177)</f>
        <v/>
      </c>
      <c r="DI178" s="5">
        <f>INDEX(Projects[Act Commissioning (wks)],177)</f>
        <v/>
      </c>
      <c r="DJ178" s="5">
        <f>INDEX(Projects[Act Total (wks)],177)</f>
        <v/>
      </c>
    </row>
    <row r="179" ht="15" customHeight="1" s="82">
      <c r="A179" s="64">
        <f>INDEX(Projects[Project ID *],178)&amp;""</f>
        <v/>
      </c>
      <c r="B179" s="64">
        <f>INDEX(Projects[Project Name *],178)&amp;""</f>
        <v/>
      </c>
      <c r="C179" s="64">
        <f>INDEX(Projects[MS Shuttles],178)</f>
        <v/>
      </c>
      <c r="D179" s="64">
        <f>INDEX(Projects[MS Tote Locations],178)</f>
        <v/>
      </c>
      <c r="E179" s="64">
        <f>INDEX(Projects[AS Robots],178)</f>
        <v/>
      </c>
      <c r="F179" s="64">
        <f>INDEX(Projects[AS Tote Locations],178)</f>
        <v/>
      </c>
      <c r="G179" s="64">
        <f>INDEX(Projects[PS Shuttles],178)</f>
        <v/>
      </c>
      <c r="H179" s="64">
        <f>INDEX(Projects[PS Pallet Locations],178)</f>
        <v/>
      </c>
      <c r="I179" s="64">
        <f>INDEX(Projects[SRM Cranes],178)</f>
        <v/>
      </c>
      <c r="J179" s="64">
        <f>INDEX(Projects[SRM Pallet Locations],178)</f>
        <v/>
      </c>
      <c r="K179" s="64">
        <f>INDEX(Projects[Case Conv (m)],178)</f>
        <v/>
      </c>
      <c r="L179" s="64">
        <f>INDEX(Projects[Pallet Conv (m)],178)</f>
        <v/>
      </c>
      <c r="M179" s="64">
        <f>IF(N(DJ179)&gt;0,DD179,CW179)</f>
        <v/>
      </c>
      <c r="N179" s="64">
        <f>IF(N(DJ179)&gt;0,DE179,CX179)</f>
        <v/>
      </c>
      <c r="O179" s="64">
        <f>IF(N(DJ179)&gt;0,DF179,CY179)</f>
        <v/>
      </c>
      <c r="P179" s="64">
        <f>IF(N(DJ179)&gt;0,DG179,CZ179)</f>
        <v/>
      </c>
      <c r="Q179" s="64">
        <f>IF(N(DJ179)&gt;0,DH179,DA179)</f>
        <v/>
      </c>
      <c r="R179" s="64">
        <f>IF(N(DJ179)&gt;0,DI179,DB179)</f>
        <v/>
      </c>
      <c r="S179" s="64">
        <f>IF(N(DJ179)&gt;0,DJ179,DC179)</f>
        <v/>
      </c>
      <c r="T179" s="64">
        <f>INDEX(Projects[Currency],178)&amp;""</f>
        <v/>
      </c>
      <c r="U179" s="65">
        <f>INDEX(Projects[Sold Value (M)],178)</f>
        <v/>
      </c>
      <c r="V179" s="64">
        <f>IF('Smart Search'!B13=1,IFERROR(1/'Smart Search'!H13,0),0)</f>
        <v/>
      </c>
      <c r="W179" s="64">
        <f>IF('Smart Search'!B13=1,IFERROR(1/'Smart Search'!H13,0),0)</f>
        <v/>
      </c>
      <c r="X179" s="64">
        <f>IF('Smart Search'!C13=1,IFERROR(1/'Smart Search'!H13,0),0)</f>
        <v/>
      </c>
      <c r="Y179" s="64">
        <f>IF('Smart Search'!C13=1,IFERROR(1/'Smart Search'!H13,0),0)</f>
        <v/>
      </c>
      <c r="Z179" s="64">
        <f>IF('Smart Search'!D13=1,IFERROR(1/'Smart Search'!H13,0),0)</f>
        <v/>
      </c>
      <c r="AA179" s="64">
        <f>IF('Smart Search'!D13=1,IFERROR(1/'Smart Search'!H13,0),0)</f>
        <v/>
      </c>
      <c r="AB179" s="64">
        <f>IF('Smart Search'!E13=1,IFERROR(1/'Smart Search'!H13,0),0)</f>
        <v/>
      </c>
      <c r="AC179" s="64">
        <f>IF('Smart Search'!E13=1,IFERROR(1/'Smart Search'!H13,0),0)</f>
        <v/>
      </c>
      <c r="AD179" s="64">
        <f>IF('Smart Search'!F13=1,IFERROR(1/'Smart Search'!H13,0),0)</f>
        <v/>
      </c>
      <c r="AE179" s="64">
        <f>IF('Smart Search'!F13=1,IFERROR(1/'Smart Search'!H13,0),0)</f>
        <v/>
      </c>
      <c r="AF179" s="64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4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4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4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4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4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4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4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4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4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4">
        <f>AF179*V179</f>
        <v/>
      </c>
      <c r="AQ179" s="64">
        <f>AG179*W179</f>
        <v/>
      </c>
      <c r="AR179" s="64">
        <f>AH179*X179</f>
        <v/>
      </c>
      <c r="AS179" s="64">
        <f>AI179*Y179</f>
        <v/>
      </c>
      <c r="AT179" s="64">
        <f>AJ179*Z179</f>
        <v/>
      </c>
      <c r="AU179" s="64">
        <f>AK179*AA179</f>
        <v/>
      </c>
      <c r="AV179" s="64">
        <f>AL179*AB179</f>
        <v/>
      </c>
      <c r="AW179" s="64">
        <f>AM179*AC179</f>
        <v/>
      </c>
      <c r="AX179" s="64">
        <f>AN179*AD179</f>
        <v/>
      </c>
      <c r="AY179" s="64">
        <f>AO179*AE179</f>
        <v/>
      </c>
      <c r="AZ179" s="64">
        <f>INDEX(Projects[Automation Equipment],178)&amp;""</f>
        <v/>
      </c>
      <c r="BA179" s="64">
        <f>IF(OR(A179="",'Smart Search'!H13=0),"",MAX(0,BE179*BF179*MAX(0,1-BG179)))</f>
        <v/>
      </c>
      <c r="BB179" s="64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4">
        <f>IF('Smart Search'!G13=1,IFERROR(1/'Smart Search'!H13,0),0)</f>
        <v/>
      </c>
      <c r="BD179" s="64">
        <f>BB179*BC179</f>
        <v/>
      </c>
      <c r="BE179" s="64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IF(A179="","",N(INDEX(Projects[Act Mech Inst],178)))</f>
        <v/>
      </c>
      <c r="BK179" s="5">
        <f>IF(A179="","",N(INDEX(Projects[Act Elec Inst],178)))</f>
        <v/>
      </c>
      <c r="BL179" s="5">
        <f>IF(A179="","",N(INDEX(Projects[Act Project Management],178)))</f>
        <v/>
      </c>
      <c r="BM179" s="5">
        <f>IF(A179="","",N(INDEX(Projects[Act Systems Eng],178)))</f>
        <v/>
      </c>
      <c r="BN179" s="5">
        <f>IF(A179="","",N(INDEX(Projects[Act Mechanical Eng],178)))</f>
        <v/>
      </c>
      <c r="BO179" s="5">
        <f>IF(A179="","",N(INDEX(Projects[Act Structural Engineering],178)))</f>
        <v/>
      </c>
      <c r="BP179" s="5">
        <f>IF(A179="","",N(INDEX(Projects[Act Site Sup],178)))</f>
        <v/>
      </c>
      <c r="BQ179" s="5">
        <f>IF(A179="","",N(INDEX(Projects[Act Controls Commissioning],178)))</f>
        <v/>
      </c>
      <c r="BR179" s="5">
        <f>IF(A179="","",N(INDEX(Projects[Act Systems Commissioning],178)))</f>
        <v/>
      </c>
      <c r="BS179" s="5">
        <f>IF(A179="","",N(INDEX(Projects[Act Service Commissioning],178)))</f>
        <v/>
      </c>
      <c r="BT179" s="5">
        <f>IF(A179="","",N(INDEX(Projects[Act Controls Eng],178)))</f>
        <v/>
      </c>
      <c r="BU179" s="5">
        <f>IF(A179="","",N(INDEX(Projects[Act Controls Purchase],178)))</f>
        <v/>
      </c>
      <c r="BV179" s="5">
        <f>IF(A179="","",N(INDEX(Projects[Act Software Eng],178)))</f>
        <v/>
      </c>
      <c r="BW179" s="5">
        <f>IF(A179="","",N(INDEX(Projects[Act 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INDEX(Projects[Sold Value (USD M)],178)</f>
        <v/>
      </c>
      <c r="CE179" s="5" t="n"/>
      <c r="CF179" s="5">
        <f>IF(A179="","",N(INDEX(Projects[Est Mech Inst],178)))</f>
        <v/>
      </c>
      <c r="CG179" s="5">
        <f>IF(A179="","",N(INDEX(Projects[Est Elec Inst],178)))</f>
        <v/>
      </c>
      <c r="CH179" s="5">
        <f>IF(A179="","",N(INDEX(Projects[Est Project Management],178)))</f>
        <v/>
      </c>
      <c r="CI179" s="5">
        <f>IF(A179="","",N(INDEX(Projects[Est Systems Eng],178)))</f>
        <v/>
      </c>
      <c r="CJ179" s="5">
        <f>IF(A179="","",N(INDEX(Projects[Est Mechanical Eng],178)))</f>
        <v/>
      </c>
      <c r="CK179" s="5">
        <f>IF(A179="","",N(INDEX(Projects[Est Structural Engineering],178)))</f>
        <v/>
      </c>
      <c r="CL179" s="5">
        <f>IF(A179="","",N(INDEX(Projects[Est Site Sup],178)))</f>
        <v/>
      </c>
      <c r="CM179" s="5">
        <f>IF(A179="","",N(INDEX(Projects[Est Controls Commissioning],178)))</f>
        <v/>
      </c>
      <c r="CN179" s="5">
        <f>IF(A179="","",N(INDEX(Projects[Est Systems Commissioning],178)))</f>
        <v/>
      </c>
      <c r="CO179" s="5">
        <f>IF(A179="","",N(INDEX(Projects[Est Service Commissioning],178)))</f>
        <v/>
      </c>
      <c r="CP179" s="5">
        <f>IF(A179="","",N(INDEX(Projects[Est Controls Eng],178)))</f>
        <v/>
      </c>
      <c r="CQ179" s="5">
        <f>IF(A179="","",N(INDEX(Projects[Est Controls Purchase],178)))</f>
        <v/>
      </c>
      <c r="CR179" s="5">
        <f>IF(A179="","",N(INDEX(Projects[Est Software Eng],178)))</f>
        <v/>
      </c>
      <c r="CS179" s="5">
        <f>IF(A179="","",N(INDEX(Projects[Est Misc],178)))</f>
        <v/>
      </c>
      <c r="CT179" s="5">
        <f>IF(A179="","",SUM(CF179:CS179))</f>
        <v/>
      </c>
      <c r="CU179" s="5">
        <f>INDEX(Projects[Est Cost (M)],178)</f>
        <v/>
      </c>
      <c r="CV179" s="5">
        <f>INDEX(Projects[Act Cost (M)],178)</f>
        <v/>
      </c>
      <c r="CW179" s="5">
        <f>INDEX(Projects[Plan Mech Eng (wks)],178)</f>
        <v/>
      </c>
      <c r="CX179" s="5">
        <f>INDEX(Projects[Plan Controls Eng (wks)],178)</f>
        <v/>
      </c>
      <c r="CY179" s="5">
        <f>INDEX(Projects[Plan Systems Eng (wks)],178)</f>
        <v/>
      </c>
      <c r="CZ179" s="5">
        <f>INDEX(Projects[Plan Software Eng (wks)],178)</f>
        <v/>
      </c>
      <c r="DA179" s="5">
        <f>INDEX(Projects[Plan M&amp;E Installation (wks)],178)</f>
        <v/>
      </c>
      <c r="DB179" s="5">
        <f>INDEX(Projects[Plan Commissioning (wks)],178)</f>
        <v/>
      </c>
      <c r="DC179" s="5">
        <f>INDEX(Projects[Plan Total (wks)],178)</f>
        <v/>
      </c>
      <c r="DD179" s="5">
        <f>INDEX(Projects[Act Mech Eng (wks)],178)</f>
        <v/>
      </c>
      <c r="DE179" s="5">
        <f>INDEX(Projects[Act Controls Eng (wks)],178)</f>
        <v/>
      </c>
      <c r="DF179" s="5">
        <f>INDEX(Projects[Act Systems Eng (wks)],178)</f>
        <v/>
      </c>
      <c r="DG179" s="5">
        <f>INDEX(Projects[Act Software Eng (wks)],178)</f>
        <v/>
      </c>
      <c r="DH179" s="5">
        <f>INDEX(Projects[Act M&amp;E Installation (wks)],178)</f>
        <v/>
      </c>
      <c r="DI179" s="5">
        <f>INDEX(Projects[Act Commissioning (wks)],178)</f>
        <v/>
      </c>
      <c r="DJ179" s="5">
        <f>INDEX(Projects[Act Total (wks)],178)</f>
        <v/>
      </c>
    </row>
    <row r="180" ht="15" customHeight="1" s="82">
      <c r="A180" s="64">
        <f>INDEX(Projects[Project ID *],179)&amp;""</f>
        <v/>
      </c>
      <c r="B180" s="64">
        <f>INDEX(Projects[Project Name *],179)&amp;""</f>
        <v/>
      </c>
      <c r="C180" s="64">
        <f>INDEX(Projects[MS Shuttles],179)</f>
        <v/>
      </c>
      <c r="D180" s="64">
        <f>INDEX(Projects[MS Tote Locations],179)</f>
        <v/>
      </c>
      <c r="E180" s="64">
        <f>INDEX(Projects[AS Robots],179)</f>
        <v/>
      </c>
      <c r="F180" s="64">
        <f>INDEX(Projects[AS Tote Locations],179)</f>
        <v/>
      </c>
      <c r="G180" s="64">
        <f>INDEX(Projects[PS Shuttles],179)</f>
        <v/>
      </c>
      <c r="H180" s="64">
        <f>INDEX(Projects[PS Pallet Locations],179)</f>
        <v/>
      </c>
      <c r="I180" s="64">
        <f>INDEX(Projects[SRM Cranes],179)</f>
        <v/>
      </c>
      <c r="J180" s="64">
        <f>INDEX(Projects[SRM Pallet Locations],179)</f>
        <v/>
      </c>
      <c r="K180" s="64">
        <f>INDEX(Projects[Case Conv (m)],179)</f>
        <v/>
      </c>
      <c r="L180" s="64">
        <f>INDEX(Projects[Pallet Conv (m)],179)</f>
        <v/>
      </c>
      <c r="M180" s="64">
        <f>IF(N(DJ180)&gt;0,DD180,CW180)</f>
        <v/>
      </c>
      <c r="N180" s="64">
        <f>IF(N(DJ180)&gt;0,DE180,CX180)</f>
        <v/>
      </c>
      <c r="O180" s="64">
        <f>IF(N(DJ180)&gt;0,DF180,CY180)</f>
        <v/>
      </c>
      <c r="P180" s="64">
        <f>IF(N(DJ180)&gt;0,DG180,CZ180)</f>
        <v/>
      </c>
      <c r="Q180" s="64">
        <f>IF(N(DJ180)&gt;0,DH180,DA180)</f>
        <v/>
      </c>
      <c r="R180" s="64">
        <f>IF(N(DJ180)&gt;0,DI180,DB180)</f>
        <v/>
      </c>
      <c r="S180" s="64">
        <f>IF(N(DJ180)&gt;0,DJ180,DC180)</f>
        <v/>
      </c>
      <c r="T180" s="64">
        <f>INDEX(Projects[Currency],179)&amp;""</f>
        <v/>
      </c>
      <c r="U180" s="65">
        <f>INDEX(Projects[Sold Value (M)],179)</f>
        <v/>
      </c>
      <c r="V180" s="64">
        <f>IF('Smart Search'!B13=1,IFERROR(1/'Smart Search'!H13,0),0)</f>
        <v/>
      </c>
      <c r="W180" s="64">
        <f>IF('Smart Search'!B13=1,IFERROR(1/'Smart Search'!H13,0),0)</f>
        <v/>
      </c>
      <c r="X180" s="64">
        <f>IF('Smart Search'!C13=1,IFERROR(1/'Smart Search'!H13,0),0)</f>
        <v/>
      </c>
      <c r="Y180" s="64">
        <f>IF('Smart Search'!C13=1,IFERROR(1/'Smart Search'!H13,0),0)</f>
        <v/>
      </c>
      <c r="Z180" s="64">
        <f>IF('Smart Search'!D13=1,IFERROR(1/'Smart Search'!H13,0),0)</f>
        <v/>
      </c>
      <c r="AA180" s="64">
        <f>IF('Smart Search'!D13=1,IFERROR(1/'Smart Search'!H13,0),0)</f>
        <v/>
      </c>
      <c r="AB180" s="64">
        <f>IF('Smart Search'!E13=1,IFERROR(1/'Smart Search'!H13,0),0)</f>
        <v/>
      </c>
      <c r="AC180" s="64">
        <f>IF('Smart Search'!E13=1,IFERROR(1/'Smart Search'!H13,0),0)</f>
        <v/>
      </c>
      <c r="AD180" s="64">
        <f>IF('Smart Search'!F13=1,IFERROR(1/'Smart Search'!H13,0),0)</f>
        <v/>
      </c>
      <c r="AE180" s="64">
        <f>IF('Smart Search'!F13=1,IFERROR(1/'Smart Search'!H13,0),0)</f>
        <v/>
      </c>
      <c r="AF180" s="64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4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4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4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4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4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4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4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4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4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4">
        <f>AF180*V180</f>
        <v/>
      </c>
      <c r="AQ180" s="64">
        <f>AG180*W180</f>
        <v/>
      </c>
      <c r="AR180" s="64">
        <f>AH180*X180</f>
        <v/>
      </c>
      <c r="AS180" s="64">
        <f>AI180*Y180</f>
        <v/>
      </c>
      <c r="AT180" s="64">
        <f>AJ180*Z180</f>
        <v/>
      </c>
      <c r="AU180" s="64">
        <f>AK180*AA180</f>
        <v/>
      </c>
      <c r="AV180" s="64">
        <f>AL180*AB180</f>
        <v/>
      </c>
      <c r="AW180" s="64">
        <f>AM180*AC180</f>
        <v/>
      </c>
      <c r="AX180" s="64">
        <f>AN180*AD180</f>
        <v/>
      </c>
      <c r="AY180" s="64">
        <f>AO180*AE180</f>
        <v/>
      </c>
      <c r="AZ180" s="64">
        <f>INDEX(Projects[Automation Equipment],179)&amp;""</f>
        <v/>
      </c>
      <c r="BA180" s="64">
        <f>IF(OR(A180="",'Smart Search'!H13=0),"",MAX(0,BE180*BF180*MAX(0,1-BG180)))</f>
        <v/>
      </c>
      <c r="BB180" s="64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4">
        <f>IF('Smart Search'!G13=1,IFERROR(1/'Smart Search'!H13,0),0)</f>
        <v/>
      </c>
      <c r="BD180" s="64">
        <f>BB180*BC180</f>
        <v/>
      </c>
      <c r="BE180" s="64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IF(A180="","",N(INDEX(Projects[Act Mech Inst],179)))</f>
        <v/>
      </c>
      <c r="BK180" s="5">
        <f>IF(A180="","",N(INDEX(Projects[Act Elec Inst],179)))</f>
        <v/>
      </c>
      <c r="BL180" s="5">
        <f>IF(A180="","",N(INDEX(Projects[Act Project Management],179)))</f>
        <v/>
      </c>
      <c r="BM180" s="5">
        <f>IF(A180="","",N(INDEX(Projects[Act Systems Eng],179)))</f>
        <v/>
      </c>
      <c r="BN180" s="5">
        <f>IF(A180="","",N(INDEX(Projects[Act Mechanical Eng],179)))</f>
        <v/>
      </c>
      <c r="BO180" s="5">
        <f>IF(A180="","",N(INDEX(Projects[Act Structural Engineering],179)))</f>
        <v/>
      </c>
      <c r="BP180" s="5">
        <f>IF(A180="","",N(INDEX(Projects[Act Site Sup],179)))</f>
        <v/>
      </c>
      <c r="BQ180" s="5">
        <f>IF(A180="","",N(INDEX(Projects[Act Controls Commissioning],179)))</f>
        <v/>
      </c>
      <c r="BR180" s="5">
        <f>IF(A180="","",N(INDEX(Projects[Act Systems Commissioning],179)))</f>
        <v/>
      </c>
      <c r="BS180" s="5">
        <f>IF(A180="","",N(INDEX(Projects[Act Service Commissioning],179)))</f>
        <v/>
      </c>
      <c r="BT180" s="5">
        <f>IF(A180="","",N(INDEX(Projects[Act Controls Eng],179)))</f>
        <v/>
      </c>
      <c r="BU180" s="5">
        <f>IF(A180="","",N(INDEX(Projects[Act Controls Purchase],179)))</f>
        <v/>
      </c>
      <c r="BV180" s="5">
        <f>IF(A180="","",N(INDEX(Projects[Act Software Eng],179)))</f>
        <v/>
      </c>
      <c r="BW180" s="5">
        <f>IF(A180="","",N(INDEX(Projects[Act 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INDEX(Projects[Sold Value (USD M)],179)</f>
        <v/>
      </c>
      <c r="CE180" s="5" t="n"/>
      <c r="CF180" s="5">
        <f>IF(A180="","",N(INDEX(Projects[Est Mech Inst],179)))</f>
        <v/>
      </c>
      <c r="CG180" s="5">
        <f>IF(A180="","",N(INDEX(Projects[Est Elec Inst],179)))</f>
        <v/>
      </c>
      <c r="CH180" s="5">
        <f>IF(A180="","",N(INDEX(Projects[Est Project Management],179)))</f>
        <v/>
      </c>
      <c r="CI180" s="5">
        <f>IF(A180="","",N(INDEX(Projects[Est Systems Eng],179)))</f>
        <v/>
      </c>
      <c r="CJ180" s="5">
        <f>IF(A180="","",N(INDEX(Projects[Est Mechanical Eng],179)))</f>
        <v/>
      </c>
      <c r="CK180" s="5">
        <f>IF(A180="","",N(INDEX(Projects[Est Structural Engineering],179)))</f>
        <v/>
      </c>
      <c r="CL180" s="5">
        <f>IF(A180="","",N(INDEX(Projects[Est Site Sup],179)))</f>
        <v/>
      </c>
      <c r="CM180" s="5">
        <f>IF(A180="","",N(INDEX(Projects[Est Controls Commissioning],179)))</f>
        <v/>
      </c>
      <c r="CN180" s="5">
        <f>IF(A180="","",N(INDEX(Projects[Est Systems Commissioning],179)))</f>
        <v/>
      </c>
      <c r="CO180" s="5">
        <f>IF(A180="","",N(INDEX(Projects[Est Service Commissioning],179)))</f>
        <v/>
      </c>
      <c r="CP180" s="5">
        <f>IF(A180="","",N(INDEX(Projects[Est Controls Eng],179)))</f>
        <v/>
      </c>
      <c r="CQ180" s="5">
        <f>IF(A180="","",N(INDEX(Projects[Est Controls Purchase],179)))</f>
        <v/>
      </c>
      <c r="CR180" s="5">
        <f>IF(A180="","",N(INDEX(Projects[Est Software Eng],179)))</f>
        <v/>
      </c>
      <c r="CS180" s="5">
        <f>IF(A180="","",N(INDEX(Projects[Est Misc],179)))</f>
        <v/>
      </c>
      <c r="CT180" s="5">
        <f>IF(A180="","",SUM(CF180:CS180))</f>
        <v/>
      </c>
      <c r="CU180" s="5">
        <f>INDEX(Projects[Est Cost (M)],179)</f>
        <v/>
      </c>
      <c r="CV180" s="5">
        <f>INDEX(Projects[Act Cost (M)],179)</f>
        <v/>
      </c>
      <c r="CW180" s="5">
        <f>INDEX(Projects[Plan Mech Eng (wks)],179)</f>
        <v/>
      </c>
      <c r="CX180" s="5">
        <f>INDEX(Projects[Plan Controls Eng (wks)],179)</f>
        <v/>
      </c>
      <c r="CY180" s="5">
        <f>INDEX(Projects[Plan Systems Eng (wks)],179)</f>
        <v/>
      </c>
      <c r="CZ180" s="5">
        <f>INDEX(Projects[Plan Software Eng (wks)],179)</f>
        <v/>
      </c>
      <c r="DA180" s="5">
        <f>INDEX(Projects[Plan M&amp;E Installation (wks)],179)</f>
        <v/>
      </c>
      <c r="DB180" s="5">
        <f>INDEX(Projects[Plan Commissioning (wks)],179)</f>
        <v/>
      </c>
      <c r="DC180" s="5">
        <f>INDEX(Projects[Plan Total (wks)],179)</f>
        <v/>
      </c>
      <c r="DD180" s="5">
        <f>INDEX(Projects[Act Mech Eng (wks)],179)</f>
        <v/>
      </c>
      <c r="DE180" s="5">
        <f>INDEX(Projects[Act Controls Eng (wks)],179)</f>
        <v/>
      </c>
      <c r="DF180" s="5">
        <f>INDEX(Projects[Act Systems Eng (wks)],179)</f>
        <v/>
      </c>
      <c r="DG180" s="5">
        <f>INDEX(Projects[Act Software Eng (wks)],179)</f>
        <v/>
      </c>
      <c r="DH180" s="5">
        <f>INDEX(Projects[Act M&amp;E Installation (wks)],179)</f>
        <v/>
      </c>
      <c r="DI180" s="5">
        <f>INDEX(Projects[Act Commissioning (wks)],179)</f>
        <v/>
      </c>
      <c r="DJ180" s="5">
        <f>INDEX(Projects[Act Total (wks)],179)</f>
        <v/>
      </c>
    </row>
    <row r="181" ht="15" customHeight="1" s="82">
      <c r="A181" s="64">
        <f>INDEX(Projects[Project ID *],180)&amp;""</f>
        <v/>
      </c>
      <c r="B181" s="64">
        <f>INDEX(Projects[Project Name *],180)&amp;""</f>
        <v/>
      </c>
      <c r="C181" s="64">
        <f>INDEX(Projects[MS Shuttles],180)</f>
        <v/>
      </c>
      <c r="D181" s="64">
        <f>INDEX(Projects[MS Tote Locations],180)</f>
        <v/>
      </c>
      <c r="E181" s="64">
        <f>INDEX(Projects[AS Robots],180)</f>
        <v/>
      </c>
      <c r="F181" s="64">
        <f>INDEX(Projects[AS Tote Locations],180)</f>
        <v/>
      </c>
      <c r="G181" s="64">
        <f>INDEX(Projects[PS Shuttles],180)</f>
        <v/>
      </c>
      <c r="H181" s="64">
        <f>INDEX(Projects[PS Pallet Locations],180)</f>
        <v/>
      </c>
      <c r="I181" s="64">
        <f>INDEX(Projects[SRM Cranes],180)</f>
        <v/>
      </c>
      <c r="J181" s="64">
        <f>INDEX(Projects[SRM Pallet Locations],180)</f>
        <v/>
      </c>
      <c r="K181" s="64">
        <f>INDEX(Projects[Case Conv (m)],180)</f>
        <v/>
      </c>
      <c r="L181" s="64">
        <f>INDEX(Projects[Pallet Conv (m)],180)</f>
        <v/>
      </c>
      <c r="M181" s="64">
        <f>IF(N(DJ181)&gt;0,DD181,CW181)</f>
        <v/>
      </c>
      <c r="N181" s="64">
        <f>IF(N(DJ181)&gt;0,DE181,CX181)</f>
        <v/>
      </c>
      <c r="O181" s="64">
        <f>IF(N(DJ181)&gt;0,DF181,CY181)</f>
        <v/>
      </c>
      <c r="P181" s="64">
        <f>IF(N(DJ181)&gt;0,DG181,CZ181)</f>
        <v/>
      </c>
      <c r="Q181" s="64">
        <f>IF(N(DJ181)&gt;0,DH181,DA181)</f>
        <v/>
      </c>
      <c r="R181" s="64">
        <f>IF(N(DJ181)&gt;0,DI181,DB181)</f>
        <v/>
      </c>
      <c r="S181" s="64">
        <f>IF(N(DJ181)&gt;0,DJ181,DC181)</f>
        <v/>
      </c>
      <c r="T181" s="64">
        <f>INDEX(Projects[Currency],180)&amp;""</f>
        <v/>
      </c>
      <c r="U181" s="65">
        <f>INDEX(Projects[Sold Value (M)],180)</f>
        <v/>
      </c>
      <c r="V181" s="64">
        <f>IF('Smart Search'!B13=1,IFERROR(1/'Smart Search'!H13,0),0)</f>
        <v/>
      </c>
      <c r="W181" s="64">
        <f>IF('Smart Search'!B13=1,IFERROR(1/'Smart Search'!H13,0),0)</f>
        <v/>
      </c>
      <c r="X181" s="64">
        <f>IF('Smart Search'!C13=1,IFERROR(1/'Smart Search'!H13,0),0)</f>
        <v/>
      </c>
      <c r="Y181" s="64">
        <f>IF('Smart Search'!C13=1,IFERROR(1/'Smart Search'!H13,0),0)</f>
        <v/>
      </c>
      <c r="Z181" s="64">
        <f>IF('Smart Search'!D13=1,IFERROR(1/'Smart Search'!H13,0),0)</f>
        <v/>
      </c>
      <c r="AA181" s="64">
        <f>IF('Smart Search'!D13=1,IFERROR(1/'Smart Search'!H13,0),0)</f>
        <v/>
      </c>
      <c r="AB181" s="64">
        <f>IF('Smart Search'!E13=1,IFERROR(1/'Smart Search'!H13,0),0)</f>
        <v/>
      </c>
      <c r="AC181" s="64">
        <f>IF('Smart Search'!E13=1,IFERROR(1/'Smart Search'!H13,0),0)</f>
        <v/>
      </c>
      <c r="AD181" s="64">
        <f>IF('Smart Search'!F13=1,IFERROR(1/'Smart Search'!H13,0),0)</f>
        <v/>
      </c>
      <c r="AE181" s="64">
        <f>IF('Smart Search'!F13=1,IFERROR(1/'Smart Search'!H13,0),0)</f>
        <v/>
      </c>
      <c r="AF181" s="64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4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4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4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4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4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4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4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4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4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4">
        <f>AF181*V181</f>
        <v/>
      </c>
      <c r="AQ181" s="64">
        <f>AG181*W181</f>
        <v/>
      </c>
      <c r="AR181" s="64">
        <f>AH181*X181</f>
        <v/>
      </c>
      <c r="AS181" s="64">
        <f>AI181*Y181</f>
        <v/>
      </c>
      <c r="AT181" s="64">
        <f>AJ181*Z181</f>
        <v/>
      </c>
      <c r="AU181" s="64">
        <f>AK181*AA181</f>
        <v/>
      </c>
      <c r="AV181" s="64">
        <f>AL181*AB181</f>
        <v/>
      </c>
      <c r="AW181" s="64">
        <f>AM181*AC181</f>
        <v/>
      </c>
      <c r="AX181" s="64">
        <f>AN181*AD181</f>
        <v/>
      </c>
      <c r="AY181" s="64">
        <f>AO181*AE181</f>
        <v/>
      </c>
      <c r="AZ181" s="64">
        <f>INDEX(Projects[Automation Equipment],180)&amp;""</f>
        <v/>
      </c>
      <c r="BA181" s="64">
        <f>IF(OR(A181="",'Smart Search'!H13=0),"",MAX(0,BE181*BF181*MAX(0,1-BG181)))</f>
        <v/>
      </c>
      <c r="BB181" s="64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4">
        <f>IF('Smart Search'!G13=1,IFERROR(1/'Smart Search'!H13,0),0)</f>
        <v/>
      </c>
      <c r="BD181" s="64">
        <f>BB181*BC181</f>
        <v/>
      </c>
      <c r="BE181" s="64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IF(A181="","",N(INDEX(Projects[Act Mech Inst],180)))</f>
        <v/>
      </c>
      <c r="BK181" s="5">
        <f>IF(A181="","",N(INDEX(Projects[Act Elec Inst],180)))</f>
        <v/>
      </c>
      <c r="BL181" s="5">
        <f>IF(A181="","",N(INDEX(Projects[Act Project Management],180)))</f>
        <v/>
      </c>
      <c r="BM181" s="5">
        <f>IF(A181="","",N(INDEX(Projects[Act Systems Eng],180)))</f>
        <v/>
      </c>
      <c r="BN181" s="5">
        <f>IF(A181="","",N(INDEX(Projects[Act Mechanical Eng],180)))</f>
        <v/>
      </c>
      <c r="BO181" s="5">
        <f>IF(A181="","",N(INDEX(Projects[Act Structural Engineering],180)))</f>
        <v/>
      </c>
      <c r="BP181" s="5">
        <f>IF(A181="","",N(INDEX(Projects[Act Site Sup],180)))</f>
        <v/>
      </c>
      <c r="BQ181" s="5">
        <f>IF(A181="","",N(INDEX(Projects[Act Controls Commissioning],180)))</f>
        <v/>
      </c>
      <c r="BR181" s="5">
        <f>IF(A181="","",N(INDEX(Projects[Act Systems Commissioning],180)))</f>
        <v/>
      </c>
      <c r="BS181" s="5">
        <f>IF(A181="","",N(INDEX(Projects[Act Service Commissioning],180)))</f>
        <v/>
      </c>
      <c r="BT181" s="5">
        <f>IF(A181="","",N(INDEX(Projects[Act Controls Eng],180)))</f>
        <v/>
      </c>
      <c r="BU181" s="5">
        <f>IF(A181="","",N(INDEX(Projects[Act Controls Purchase],180)))</f>
        <v/>
      </c>
      <c r="BV181" s="5">
        <f>IF(A181="","",N(INDEX(Projects[Act Software Eng],180)))</f>
        <v/>
      </c>
      <c r="BW181" s="5">
        <f>IF(A181="","",N(INDEX(Projects[Act 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INDEX(Projects[Sold Value (USD M)],180)</f>
        <v/>
      </c>
      <c r="CE181" s="5" t="n"/>
      <c r="CF181" s="5">
        <f>IF(A181="","",N(INDEX(Projects[Est Mech Inst],180)))</f>
        <v/>
      </c>
      <c r="CG181" s="5">
        <f>IF(A181="","",N(INDEX(Projects[Est Elec Inst],180)))</f>
        <v/>
      </c>
      <c r="CH181" s="5">
        <f>IF(A181="","",N(INDEX(Projects[Est Project Management],180)))</f>
        <v/>
      </c>
      <c r="CI181" s="5">
        <f>IF(A181="","",N(INDEX(Projects[Est Systems Eng],180)))</f>
        <v/>
      </c>
      <c r="CJ181" s="5">
        <f>IF(A181="","",N(INDEX(Projects[Est Mechanical Eng],180)))</f>
        <v/>
      </c>
      <c r="CK181" s="5">
        <f>IF(A181="","",N(INDEX(Projects[Est Structural Engineering],180)))</f>
        <v/>
      </c>
      <c r="CL181" s="5">
        <f>IF(A181="","",N(INDEX(Projects[Est Site Sup],180)))</f>
        <v/>
      </c>
      <c r="CM181" s="5">
        <f>IF(A181="","",N(INDEX(Projects[Est Controls Commissioning],180)))</f>
        <v/>
      </c>
      <c r="CN181" s="5">
        <f>IF(A181="","",N(INDEX(Projects[Est Systems Commissioning],180)))</f>
        <v/>
      </c>
      <c r="CO181" s="5">
        <f>IF(A181="","",N(INDEX(Projects[Est Service Commissioning],180)))</f>
        <v/>
      </c>
      <c r="CP181" s="5">
        <f>IF(A181="","",N(INDEX(Projects[Est Controls Eng],180)))</f>
        <v/>
      </c>
      <c r="CQ181" s="5">
        <f>IF(A181="","",N(INDEX(Projects[Est Controls Purchase],180)))</f>
        <v/>
      </c>
      <c r="CR181" s="5">
        <f>IF(A181="","",N(INDEX(Projects[Est Software Eng],180)))</f>
        <v/>
      </c>
      <c r="CS181" s="5">
        <f>IF(A181="","",N(INDEX(Projects[Est Misc],180)))</f>
        <v/>
      </c>
      <c r="CT181" s="5">
        <f>IF(A181="","",SUM(CF181:CS181))</f>
        <v/>
      </c>
      <c r="CU181" s="5">
        <f>INDEX(Projects[Est Cost (M)],180)</f>
        <v/>
      </c>
      <c r="CV181" s="5">
        <f>INDEX(Projects[Act Cost (M)],180)</f>
        <v/>
      </c>
      <c r="CW181" s="5">
        <f>INDEX(Projects[Plan Mech Eng (wks)],180)</f>
        <v/>
      </c>
      <c r="CX181" s="5">
        <f>INDEX(Projects[Plan Controls Eng (wks)],180)</f>
        <v/>
      </c>
      <c r="CY181" s="5">
        <f>INDEX(Projects[Plan Systems Eng (wks)],180)</f>
        <v/>
      </c>
      <c r="CZ181" s="5">
        <f>INDEX(Projects[Plan Software Eng (wks)],180)</f>
        <v/>
      </c>
      <c r="DA181" s="5">
        <f>INDEX(Projects[Plan M&amp;E Installation (wks)],180)</f>
        <v/>
      </c>
      <c r="DB181" s="5">
        <f>INDEX(Projects[Plan Commissioning (wks)],180)</f>
        <v/>
      </c>
      <c r="DC181" s="5">
        <f>INDEX(Projects[Plan Total (wks)],180)</f>
        <v/>
      </c>
      <c r="DD181" s="5">
        <f>INDEX(Projects[Act Mech Eng (wks)],180)</f>
        <v/>
      </c>
      <c r="DE181" s="5">
        <f>INDEX(Projects[Act Controls Eng (wks)],180)</f>
        <v/>
      </c>
      <c r="DF181" s="5">
        <f>INDEX(Projects[Act Systems Eng (wks)],180)</f>
        <v/>
      </c>
      <c r="DG181" s="5">
        <f>INDEX(Projects[Act Software Eng (wks)],180)</f>
        <v/>
      </c>
      <c r="DH181" s="5">
        <f>INDEX(Projects[Act M&amp;E Installation (wks)],180)</f>
        <v/>
      </c>
      <c r="DI181" s="5">
        <f>INDEX(Projects[Act Commissioning (wks)],180)</f>
        <v/>
      </c>
      <c r="DJ181" s="5">
        <f>INDEX(Projects[Act Total (wks)],180)</f>
        <v/>
      </c>
    </row>
    <row r="182" ht="15" customHeight="1" s="82">
      <c r="A182" s="64">
        <f>INDEX(Projects[Project ID *],181)&amp;""</f>
        <v/>
      </c>
      <c r="B182" s="64">
        <f>INDEX(Projects[Project Name *],181)&amp;""</f>
        <v/>
      </c>
      <c r="C182" s="64">
        <f>INDEX(Projects[MS Shuttles],181)</f>
        <v/>
      </c>
      <c r="D182" s="64">
        <f>INDEX(Projects[MS Tote Locations],181)</f>
        <v/>
      </c>
      <c r="E182" s="64">
        <f>INDEX(Projects[AS Robots],181)</f>
        <v/>
      </c>
      <c r="F182" s="64">
        <f>INDEX(Projects[AS Tote Locations],181)</f>
        <v/>
      </c>
      <c r="G182" s="64">
        <f>INDEX(Projects[PS Shuttles],181)</f>
        <v/>
      </c>
      <c r="H182" s="64">
        <f>INDEX(Projects[PS Pallet Locations],181)</f>
        <v/>
      </c>
      <c r="I182" s="64">
        <f>INDEX(Projects[SRM Cranes],181)</f>
        <v/>
      </c>
      <c r="J182" s="64">
        <f>INDEX(Projects[SRM Pallet Locations],181)</f>
        <v/>
      </c>
      <c r="K182" s="64">
        <f>INDEX(Projects[Case Conv (m)],181)</f>
        <v/>
      </c>
      <c r="L182" s="64">
        <f>INDEX(Projects[Pallet Conv (m)],181)</f>
        <v/>
      </c>
      <c r="M182" s="64">
        <f>IF(N(DJ182)&gt;0,DD182,CW182)</f>
        <v/>
      </c>
      <c r="N182" s="64">
        <f>IF(N(DJ182)&gt;0,DE182,CX182)</f>
        <v/>
      </c>
      <c r="O182" s="64">
        <f>IF(N(DJ182)&gt;0,DF182,CY182)</f>
        <v/>
      </c>
      <c r="P182" s="64">
        <f>IF(N(DJ182)&gt;0,DG182,CZ182)</f>
        <v/>
      </c>
      <c r="Q182" s="64">
        <f>IF(N(DJ182)&gt;0,DH182,DA182)</f>
        <v/>
      </c>
      <c r="R182" s="64">
        <f>IF(N(DJ182)&gt;0,DI182,DB182)</f>
        <v/>
      </c>
      <c r="S182" s="64">
        <f>IF(N(DJ182)&gt;0,DJ182,DC182)</f>
        <v/>
      </c>
      <c r="T182" s="64">
        <f>INDEX(Projects[Currency],181)&amp;""</f>
        <v/>
      </c>
      <c r="U182" s="65">
        <f>INDEX(Projects[Sold Value (M)],181)</f>
        <v/>
      </c>
      <c r="V182" s="64">
        <f>IF('Smart Search'!B13=1,IFERROR(1/'Smart Search'!H13,0),0)</f>
        <v/>
      </c>
      <c r="W182" s="64">
        <f>IF('Smart Search'!B13=1,IFERROR(1/'Smart Search'!H13,0),0)</f>
        <v/>
      </c>
      <c r="X182" s="64">
        <f>IF('Smart Search'!C13=1,IFERROR(1/'Smart Search'!H13,0),0)</f>
        <v/>
      </c>
      <c r="Y182" s="64">
        <f>IF('Smart Search'!C13=1,IFERROR(1/'Smart Search'!H13,0),0)</f>
        <v/>
      </c>
      <c r="Z182" s="64">
        <f>IF('Smart Search'!D13=1,IFERROR(1/'Smart Search'!H13,0),0)</f>
        <v/>
      </c>
      <c r="AA182" s="64">
        <f>IF('Smart Search'!D13=1,IFERROR(1/'Smart Search'!H13,0),0)</f>
        <v/>
      </c>
      <c r="AB182" s="64">
        <f>IF('Smart Search'!E13=1,IFERROR(1/'Smart Search'!H13,0),0)</f>
        <v/>
      </c>
      <c r="AC182" s="64">
        <f>IF('Smart Search'!E13=1,IFERROR(1/'Smart Search'!H13,0),0)</f>
        <v/>
      </c>
      <c r="AD182" s="64">
        <f>IF('Smart Search'!F13=1,IFERROR(1/'Smart Search'!H13,0),0)</f>
        <v/>
      </c>
      <c r="AE182" s="64">
        <f>IF('Smart Search'!F13=1,IFERROR(1/'Smart Search'!H13,0),0)</f>
        <v/>
      </c>
      <c r="AF182" s="64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4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4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4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4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4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4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4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4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4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4">
        <f>AF182*V182</f>
        <v/>
      </c>
      <c r="AQ182" s="64">
        <f>AG182*W182</f>
        <v/>
      </c>
      <c r="AR182" s="64">
        <f>AH182*X182</f>
        <v/>
      </c>
      <c r="AS182" s="64">
        <f>AI182*Y182</f>
        <v/>
      </c>
      <c r="AT182" s="64">
        <f>AJ182*Z182</f>
        <v/>
      </c>
      <c r="AU182" s="64">
        <f>AK182*AA182</f>
        <v/>
      </c>
      <c r="AV182" s="64">
        <f>AL182*AB182</f>
        <v/>
      </c>
      <c r="AW182" s="64">
        <f>AM182*AC182</f>
        <v/>
      </c>
      <c r="AX182" s="64">
        <f>AN182*AD182</f>
        <v/>
      </c>
      <c r="AY182" s="64">
        <f>AO182*AE182</f>
        <v/>
      </c>
      <c r="AZ182" s="64">
        <f>INDEX(Projects[Automation Equipment],181)&amp;""</f>
        <v/>
      </c>
      <c r="BA182" s="64">
        <f>IF(OR(A182="",'Smart Search'!H13=0),"",MAX(0,BE182*BF182*MAX(0,1-BG182)))</f>
        <v/>
      </c>
      <c r="BB182" s="64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4">
        <f>IF('Smart Search'!G13=1,IFERROR(1/'Smart Search'!H13,0),0)</f>
        <v/>
      </c>
      <c r="BD182" s="64">
        <f>BB182*BC182</f>
        <v/>
      </c>
      <c r="BE182" s="64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IF(A182="","",N(INDEX(Projects[Act Mech Inst],181)))</f>
        <v/>
      </c>
      <c r="BK182" s="5">
        <f>IF(A182="","",N(INDEX(Projects[Act Elec Inst],181)))</f>
        <v/>
      </c>
      <c r="BL182" s="5">
        <f>IF(A182="","",N(INDEX(Projects[Act Project Management],181)))</f>
        <v/>
      </c>
      <c r="BM182" s="5">
        <f>IF(A182="","",N(INDEX(Projects[Act Systems Eng],181)))</f>
        <v/>
      </c>
      <c r="BN182" s="5">
        <f>IF(A182="","",N(INDEX(Projects[Act Mechanical Eng],181)))</f>
        <v/>
      </c>
      <c r="BO182" s="5">
        <f>IF(A182="","",N(INDEX(Projects[Act Structural Engineering],181)))</f>
        <v/>
      </c>
      <c r="BP182" s="5">
        <f>IF(A182="","",N(INDEX(Projects[Act Site Sup],181)))</f>
        <v/>
      </c>
      <c r="BQ182" s="5">
        <f>IF(A182="","",N(INDEX(Projects[Act Controls Commissioning],181)))</f>
        <v/>
      </c>
      <c r="BR182" s="5">
        <f>IF(A182="","",N(INDEX(Projects[Act Systems Commissioning],181)))</f>
        <v/>
      </c>
      <c r="BS182" s="5">
        <f>IF(A182="","",N(INDEX(Projects[Act Service Commissioning],181)))</f>
        <v/>
      </c>
      <c r="BT182" s="5">
        <f>IF(A182="","",N(INDEX(Projects[Act Controls Eng],181)))</f>
        <v/>
      </c>
      <c r="BU182" s="5">
        <f>IF(A182="","",N(INDEX(Projects[Act Controls Purchase],181)))</f>
        <v/>
      </c>
      <c r="BV182" s="5">
        <f>IF(A182="","",N(INDEX(Projects[Act Software Eng],181)))</f>
        <v/>
      </c>
      <c r="BW182" s="5">
        <f>IF(A182="","",N(INDEX(Projects[Act 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INDEX(Projects[Sold Value (USD M)],181)</f>
        <v/>
      </c>
      <c r="CE182" s="5" t="n"/>
      <c r="CF182" s="5">
        <f>IF(A182="","",N(INDEX(Projects[Est Mech Inst],181)))</f>
        <v/>
      </c>
      <c r="CG182" s="5">
        <f>IF(A182="","",N(INDEX(Projects[Est Elec Inst],181)))</f>
        <v/>
      </c>
      <c r="CH182" s="5">
        <f>IF(A182="","",N(INDEX(Projects[Est Project Management],181)))</f>
        <v/>
      </c>
      <c r="CI182" s="5">
        <f>IF(A182="","",N(INDEX(Projects[Est Systems Eng],181)))</f>
        <v/>
      </c>
      <c r="CJ182" s="5">
        <f>IF(A182="","",N(INDEX(Projects[Est Mechanical Eng],181)))</f>
        <v/>
      </c>
      <c r="CK182" s="5">
        <f>IF(A182="","",N(INDEX(Projects[Est Structural Engineering],181)))</f>
        <v/>
      </c>
      <c r="CL182" s="5">
        <f>IF(A182="","",N(INDEX(Projects[Est Site Sup],181)))</f>
        <v/>
      </c>
      <c r="CM182" s="5">
        <f>IF(A182="","",N(INDEX(Projects[Est Controls Commissioning],181)))</f>
        <v/>
      </c>
      <c r="CN182" s="5">
        <f>IF(A182="","",N(INDEX(Projects[Est Systems Commissioning],181)))</f>
        <v/>
      </c>
      <c r="CO182" s="5">
        <f>IF(A182="","",N(INDEX(Projects[Est Service Commissioning],181)))</f>
        <v/>
      </c>
      <c r="CP182" s="5">
        <f>IF(A182="","",N(INDEX(Projects[Est Controls Eng],181)))</f>
        <v/>
      </c>
      <c r="CQ182" s="5">
        <f>IF(A182="","",N(INDEX(Projects[Est Controls Purchase],181)))</f>
        <v/>
      </c>
      <c r="CR182" s="5">
        <f>IF(A182="","",N(INDEX(Projects[Est Software Eng],181)))</f>
        <v/>
      </c>
      <c r="CS182" s="5">
        <f>IF(A182="","",N(INDEX(Projects[Est Misc],181)))</f>
        <v/>
      </c>
      <c r="CT182" s="5">
        <f>IF(A182="","",SUM(CF182:CS182))</f>
        <v/>
      </c>
      <c r="CU182" s="5">
        <f>INDEX(Projects[Est Cost (M)],181)</f>
        <v/>
      </c>
      <c r="CV182" s="5">
        <f>INDEX(Projects[Act Cost (M)],181)</f>
        <v/>
      </c>
      <c r="CW182" s="5">
        <f>INDEX(Projects[Plan Mech Eng (wks)],181)</f>
        <v/>
      </c>
      <c r="CX182" s="5">
        <f>INDEX(Projects[Plan Controls Eng (wks)],181)</f>
        <v/>
      </c>
      <c r="CY182" s="5">
        <f>INDEX(Projects[Plan Systems Eng (wks)],181)</f>
        <v/>
      </c>
      <c r="CZ182" s="5">
        <f>INDEX(Projects[Plan Software Eng (wks)],181)</f>
        <v/>
      </c>
      <c r="DA182" s="5">
        <f>INDEX(Projects[Plan M&amp;E Installation (wks)],181)</f>
        <v/>
      </c>
      <c r="DB182" s="5">
        <f>INDEX(Projects[Plan Commissioning (wks)],181)</f>
        <v/>
      </c>
      <c r="DC182" s="5">
        <f>INDEX(Projects[Plan Total (wks)],181)</f>
        <v/>
      </c>
      <c r="DD182" s="5">
        <f>INDEX(Projects[Act Mech Eng (wks)],181)</f>
        <v/>
      </c>
      <c r="DE182" s="5">
        <f>INDEX(Projects[Act Controls Eng (wks)],181)</f>
        <v/>
      </c>
      <c r="DF182" s="5">
        <f>INDEX(Projects[Act Systems Eng (wks)],181)</f>
        <v/>
      </c>
      <c r="DG182" s="5">
        <f>INDEX(Projects[Act Software Eng (wks)],181)</f>
        <v/>
      </c>
      <c r="DH182" s="5">
        <f>INDEX(Projects[Act M&amp;E Installation (wks)],181)</f>
        <v/>
      </c>
      <c r="DI182" s="5">
        <f>INDEX(Projects[Act Commissioning (wks)],181)</f>
        <v/>
      </c>
      <c r="DJ182" s="5">
        <f>INDEX(Projects[Act Total (wks)],181)</f>
        <v/>
      </c>
    </row>
    <row r="183" ht="15" customHeight="1" s="82">
      <c r="A183" s="64">
        <f>INDEX(Projects[Project ID *],182)&amp;""</f>
        <v/>
      </c>
      <c r="B183" s="64">
        <f>INDEX(Projects[Project Name *],182)&amp;""</f>
        <v/>
      </c>
      <c r="C183" s="64">
        <f>INDEX(Projects[MS Shuttles],182)</f>
        <v/>
      </c>
      <c r="D183" s="64">
        <f>INDEX(Projects[MS Tote Locations],182)</f>
        <v/>
      </c>
      <c r="E183" s="64">
        <f>INDEX(Projects[AS Robots],182)</f>
        <v/>
      </c>
      <c r="F183" s="64">
        <f>INDEX(Projects[AS Tote Locations],182)</f>
        <v/>
      </c>
      <c r="G183" s="64">
        <f>INDEX(Projects[PS Shuttles],182)</f>
        <v/>
      </c>
      <c r="H183" s="64">
        <f>INDEX(Projects[PS Pallet Locations],182)</f>
        <v/>
      </c>
      <c r="I183" s="64">
        <f>INDEX(Projects[SRM Cranes],182)</f>
        <v/>
      </c>
      <c r="J183" s="64">
        <f>INDEX(Projects[SRM Pallet Locations],182)</f>
        <v/>
      </c>
      <c r="K183" s="64">
        <f>INDEX(Projects[Case Conv (m)],182)</f>
        <v/>
      </c>
      <c r="L183" s="64">
        <f>INDEX(Projects[Pallet Conv (m)],182)</f>
        <v/>
      </c>
      <c r="M183" s="64">
        <f>IF(N(DJ183)&gt;0,DD183,CW183)</f>
        <v/>
      </c>
      <c r="N183" s="64">
        <f>IF(N(DJ183)&gt;0,DE183,CX183)</f>
        <v/>
      </c>
      <c r="O183" s="64">
        <f>IF(N(DJ183)&gt;0,DF183,CY183)</f>
        <v/>
      </c>
      <c r="P183" s="64">
        <f>IF(N(DJ183)&gt;0,DG183,CZ183)</f>
        <v/>
      </c>
      <c r="Q183" s="64">
        <f>IF(N(DJ183)&gt;0,DH183,DA183)</f>
        <v/>
      </c>
      <c r="R183" s="64">
        <f>IF(N(DJ183)&gt;0,DI183,DB183)</f>
        <v/>
      </c>
      <c r="S183" s="64">
        <f>IF(N(DJ183)&gt;0,DJ183,DC183)</f>
        <v/>
      </c>
      <c r="T183" s="64">
        <f>INDEX(Projects[Currency],182)&amp;""</f>
        <v/>
      </c>
      <c r="U183" s="65">
        <f>INDEX(Projects[Sold Value (M)],182)</f>
        <v/>
      </c>
      <c r="V183" s="64">
        <f>IF('Smart Search'!B13=1,IFERROR(1/'Smart Search'!H13,0),0)</f>
        <v/>
      </c>
      <c r="W183" s="64">
        <f>IF('Smart Search'!B13=1,IFERROR(1/'Smart Search'!H13,0),0)</f>
        <v/>
      </c>
      <c r="X183" s="64">
        <f>IF('Smart Search'!C13=1,IFERROR(1/'Smart Search'!H13,0),0)</f>
        <v/>
      </c>
      <c r="Y183" s="64">
        <f>IF('Smart Search'!C13=1,IFERROR(1/'Smart Search'!H13,0),0)</f>
        <v/>
      </c>
      <c r="Z183" s="64">
        <f>IF('Smart Search'!D13=1,IFERROR(1/'Smart Search'!H13,0),0)</f>
        <v/>
      </c>
      <c r="AA183" s="64">
        <f>IF('Smart Search'!D13=1,IFERROR(1/'Smart Search'!H13,0),0)</f>
        <v/>
      </c>
      <c r="AB183" s="64">
        <f>IF('Smart Search'!E13=1,IFERROR(1/'Smart Search'!H13,0),0)</f>
        <v/>
      </c>
      <c r="AC183" s="64">
        <f>IF('Smart Search'!E13=1,IFERROR(1/'Smart Search'!H13,0),0)</f>
        <v/>
      </c>
      <c r="AD183" s="64">
        <f>IF('Smart Search'!F13=1,IFERROR(1/'Smart Search'!H13,0),0)</f>
        <v/>
      </c>
      <c r="AE183" s="64">
        <f>IF('Smart Search'!F13=1,IFERROR(1/'Smart Search'!H13,0),0)</f>
        <v/>
      </c>
      <c r="AF183" s="64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4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4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4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4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4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4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4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4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4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4">
        <f>AF183*V183</f>
        <v/>
      </c>
      <c r="AQ183" s="64">
        <f>AG183*W183</f>
        <v/>
      </c>
      <c r="AR183" s="64">
        <f>AH183*X183</f>
        <v/>
      </c>
      <c r="AS183" s="64">
        <f>AI183*Y183</f>
        <v/>
      </c>
      <c r="AT183" s="64">
        <f>AJ183*Z183</f>
        <v/>
      </c>
      <c r="AU183" s="64">
        <f>AK183*AA183</f>
        <v/>
      </c>
      <c r="AV183" s="64">
        <f>AL183*AB183</f>
        <v/>
      </c>
      <c r="AW183" s="64">
        <f>AM183*AC183</f>
        <v/>
      </c>
      <c r="AX183" s="64">
        <f>AN183*AD183</f>
        <v/>
      </c>
      <c r="AY183" s="64">
        <f>AO183*AE183</f>
        <v/>
      </c>
      <c r="AZ183" s="64">
        <f>INDEX(Projects[Automation Equipment],182)&amp;""</f>
        <v/>
      </c>
      <c r="BA183" s="64">
        <f>IF(OR(A183="",'Smart Search'!H13=0),"",MAX(0,BE183*BF183*MAX(0,1-BG183)))</f>
        <v/>
      </c>
      <c r="BB183" s="64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4">
        <f>IF('Smart Search'!G13=1,IFERROR(1/'Smart Search'!H13,0),0)</f>
        <v/>
      </c>
      <c r="BD183" s="64">
        <f>BB183*BC183</f>
        <v/>
      </c>
      <c r="BE183" s="64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IF(A183="","",N(INDEX(Projects[Act Mech Inst],182)))</f>
        <v/>
      </c>
      <c r="BK183" s="5">
        <f>IF(A183="","",N(INDEX(Projects[Act Elec Inst],182)))</f>
        <v/>
      </c>
      <c r="BL183" s="5">
        <f>IF(A183="","",N(INDEX(Projects[Act Project Management],182)))</f>
        <v/>
      </c>
      <c r="BM183" s="5">
        <f>IF(A183="","",N(INDEX(Projects[Act Systems Eng],182)))</f>
        <v/>
      </c>
      <c r="BN183" s="5">
        <f>IF(A183="","",N(INDEX(Projects[Act Mechanical Eng],182)))</f>
        <v/>
      </c>
      <c r="BO183" s="5">
        <f>IF(A183="","",N(INDEX(Projects[Act Structural Engineering],182)))</f>
        <v/>
      </c>
      <c r="BP183" s="5">
        <f>IF(A183="","",N(INDEX(Projects[Act Site Sup],182)))</f>
        <v/>
      </c>
      <c r="BQ183" s="5">
        <f>IF(A183="","",N(INDEX(Projects[Act Controls Commissioning],182)))</f>
        <v/>
      </c>
      <c r="BR183" s="5">
        <f>IF(A183="","",N(INDEX(Projects[Act Systems Commissioning],182)))</f>
        <v/>
      </c>
      <c r="BS183" s="5">
        <f>IF(A183="","",N(INDEX(Projects[Act Service Commissioning],182)))</f>
        <v/>
      </c>
      <c r="BT183" s="5">
        <f>IF(A183="","",N(INDEX(Projects[Act Controls Eng],182)))</f>
        <v/>
      </c>
      <c r="BU183" s="5">
        <f>IF(A183="","",N(INDEX(Projects[Act Controls Purchase],182)))</f>
        <v/>
      </c>
      <c r="BV183" s="5">
        <f>IF(A183="","",N(INDEX(Projects[Act Software Eng],182)))</f>
        <v/>
      </c>
      <c r="BW183" s="5">
        <f>IF(A183="","",N(INDEX(Projects[Act 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INDEX(Projects[Sold Value (USD M)],182)</f>
        <v/>
      </c>
      <c r="CE183" s="5" t="n"/>
      <c r="CF183" s="5">
        <f>IF(A183="","",N(INDEX(Projects[Est Mech Inst],182)))</f>
        <v/>
      </c>
      <c r="CG183" s="5">
        <f>IF(A183="","",N(INDEX(Projects[Est Elec Inst],182)))</f>
        <v/>
      </c>
      <c r="CH183" s="5">
        <f>IF(A183="","",N(INDEX(Projects[Est Project Management],182)))</f>
        <v/>
      </c>
      <c r="CI183" s="5">
        <f>IF(A183="","",N(INDEX(Projects[Est Systems Eng],182)))</f>
        <v/>
      </c>
      <c r="CJ183" s="5">
        <f>IF(A183="","",N(INDEX(Projects[Est Mechanical Eng],182)))</f>
        <v/>
      </c>
      <c r="CK183" s="5">
        <f>IF(A183="","",N(INDEX(Projects[Est Structural Engineering],182)))</f>
        <v/>
      </c>
      <c r="CL183" s="5">
        <f>IF(A183="","",N(INDEX(Projects[Est Site Sup],182)))</f>
        <v/>
      </c>
      <c r="CM183" s="5">
        <f>IF(A183="","",N(INDEX(Projects[Est Controls Commissioning],182)))</f>
        <v/>
      </c>
      <c r="CN183" s="5">
        <f>IF(A183="","",N(INDEX(Projects[Est Systems Commissioning],182)))</f>
        <v/>
      </c>
      <c r="CO183" s="5">
        <f>IF(A183="","",N(INDEX(Projects[Est Service Commissioning],182)))</f>
        <v/>
      </c>
      <c r="CP183" s="5">
        <f>IF(A183="","",N(INDEX(Projects[Est Controls Eng],182)))</f>
        <v/>
      </c>
      <c r="CQ183" s="5">
        <f>IF(A183="","",N(INDEX(Projects[Est Controls Purchase],182)))</f>
        <v/>
      </c>
      <c r="CR183" s="5">
        <f>IF(A183="","",N(INDEX(Projects[Est Software Eng],182)))</f>
        <v/>
      </c>
      <c r="CS183" s="5">
        <f>IF(A183="","",N(INDEX(Projects[Est Misc],182)))</f>
        <v/>
      </c>
      <c r="CT183" s="5">
        <f>IF(A183="","",SUM(CF183:CS183))</f>
        <v/>
      </c>
      <c r="CU183" s="5">
        <f>INDEX(Projects[Est Cost (M)],182)</f>
        <v/>
      </c>
      <c r="CV183" s="5">
        <f>INDEX(Projects[Act Cost (M)],182)</f>
        <v/>
      </c>
      <c r="CW183" s="5">
        <f>INDEX(Projects[Plan Mech Eng (wks)],182)</f>
        <v/>
      </c>
      <c r="CX183" s="5">
        <f>INDEX(Projects[Plan Controls Eng (wks)],182)</f>
        <v/>
      </c>
      <c r="CY183" s="5">
        <f>INDEX(Projects[Plan Systems Eng (wks)],182)</f>
        <v/>
      </c>
      <c r="CZ183" s="5">
        <f>INDEX(Projects[Plan Software Eng (wks)],182)</f>
        <v/>
      </c>
      <c r="DA183" s="5">
        <f>INDEX(Projects[Plan M&amp;E Installation (wks)],182)</f>
        <v/>
      </c>
      <c r="DB183" s="5">
        <f>INDEX(Projects[Plan Commissioning (wks)],182)</f>
        <v/>
      </c>
      <c r="DC183" s="5">
        <f>INDEX(Projects[Plan Total (wks)],182)</f>
        <v/>
      </c>
      <c r="DD183" s="5">
        <f>INDEX(Projects[Act Mech Eng (wks)],182)</f>
        <v/>
      </c>
      <c r="DE183" s="5">
        <f>INDEX(Projects[Act Controls Eng (wks)],182)</f>
        <v/>
      </c>
      <c r="DF183" s="5">
        <f>INDEX(Projects[Act Systems Eng (wks)],182)</f>
        <v/>
      </c>
      <c r="DG183" s="5">
        <f>INDEX(Projects[Act Software Eng (wks)],182)</f>
        <v/>
      </c>
      <c r="DH183" s="5">
        <f>INDEX(Projects[Act M&amp;E Installation (wks)],182)</f>
        <v/>
      </c>
      <c r="DI183" s="5">
        <f>INDEX(Projects[Act Commissioning (wks)],182)</f>
        <v/>
      </c>
      <c r="DJ183" s="5">
        <f>INDEX(Projects[Act Total (wks)],182)</f>
        <v/>
      </c>
    </row>
    <row r="184" ht="15" customHeight="1" s="82">
      <c r="A184" s="64">
        <f>INDEX(Projects[Project ID *],183)&amp;""</f>
        <v/>
      </c>
      <c r="B184" s="64">
        <f>INDEX(Projects[Project Name *],183)&amp;""</f>
        <v/>
      </c>
      <c r="C184" s="64">
        <f>INDEX(Projects[MS Shuttles],183)</f>
        <v/>
      </c>
      <c r="D184" s="64">
        <f>INDEX(Projects[MS Tote Locations],183)</f>
        <v/>
      </c>
      <c r="E184" s="64">
        <f>INDEX(Projects[AS Robots],183)</f>
        <v/>
      </c>
      <c r="F184" s="64">
        <f>INDEX(Projects[AS Tote Locations],183)</f>
        <v/>
      </c>
      <c r="G184" s="64">
        <f>INDEX(Projects[PS Shuttles],183)</f>
        <v/>
      </c>
      <c r="H184" s="64">
        <f>INDEX(Projects[PS Pallet Locations],183)</f>
        <v/>
      </c>
      <c r="I184" s="64">
        <f>INDEX(Projects[SRM Cranes],183)</f>
        <v/>
      </c>
      <c r="J184" s="64">
        <f>INDEX(Projects[SRM Pallet Locations],183)</f>
        <v/>
      </c>
      <c r="K184" s="64">
        <f>INDEX(Projects[Case Conv (m)],183)</f>
        <v/>
      </c>
      <c r="L184" s="64">
        <f>INDEX(Projects[Pallet Conv (m)],183)</f>
        <v/>
      </c>
      <c r="M184" s="64">
        <f>IF(N(DJ184)&gt;0,DD184,CW184)</f>
        <v/>
      </c>
      <c r="N184" s="64">
        <f>IF(N(DJ184)&gt;0,DE184,CX184)</f>
        <v/>
      </c>
      <c r="O184" s="64">
        <f>IF(N(DJ184)&gt;0,DF184,CY184)</f>
        <v/>
      </c>
      <c r="P184" s="64">
        <f>IF(N(DJ184)&gt;0,DG184,CZ184)</f>
        <v/>
      </c>
      <c r="Q184" s="64">
        <f>IF(N(DJ184)&gt;0,DH184,DA184)</f>
        <v/>
      </c>
      <c r="R184" s="64">
        <f>IF(N(DJ184)&gt;0,DI184,DB184)</f>
        <v/>
      </c>
      <c r="S184" s="64">
        <f>IF(N(DJ184)&gt;0,DJ184,DC184)</f>
        <v/>
      </c>
      <c r="T184" s="64">
        <f>INDEX(Projects[Currency],183)&amp;""</f>
        <v/>
      </c>
      <c r="U184" s="65">
        <f>INDEX(Projects[Sold Value (M)],183)</f>
        <v/>
      </c>
      <c r="V184" s="64">
        <f>IF('Smart Search'!B13=1,IFERROR(1/'Smart Search'!H13,0),0)</f>
        <v/>
      </c>
      <c r="W184" s="64">
        <f>IF('Smart Search'!B13=1,IFERROR(1/'Smart Search'!H13,0),0)</f>
        <v/>
      </c>
      <c r="X184" s="64">
        <f>IF('Smart Search'!C13=1,IFERROR(1/'Smart Search'!H13,0),0)</f>
        <v/>
      </c>
      <c r="Y184" s="64">
        <f>IF('Smart Search'!C13=1,IFERROR(1/'Smart Search'!H13,0),0)</f>
        <v/>
      </c>
      <c r="Z184" s="64">
        <f>IF('Smart Search'!D13=1,IFERROR(1/'Smart Search'!H13,0),0)</f>
        <v/>
      </c>
      <c r="AA184" s="64">
        <f>IF('Smart Search'!D13=1,IFERROR(1/'Smart Search'!H13,0),0)</f>
        <v/>
      </c>
      <c r="AB184" s="64">
        <f>IF('Smart Search'!E13=1,IFERROR(1/'Smart Search'!H13,0),0)</f>
        <v/>
      </c>
      <c r="AC184" s="64">
        <f>IF('Smart Search'!E13=1,IFERROR(1/'Smart Search'!H13,0),0)</f>
        <v/>
      </c>
      <c r="AD184" s="64">
        <f>IF('Smart Search'!F13=1,IFERROR(1/'Smart Search'!H13,0),0)</f>
        <v/>
      </c>
      <c r="AE184" s="64">
        <f>IF('Smart Search'!F13=1,IFERROR(1/'Smart Search'!H13,0),0)</f>
        <v/>
      </c>
      <c r="AF184" s="64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4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4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4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4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4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4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4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4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4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4">
        <f>AF184*V184</f>
        <v/>
      </c>
      <c r="AQ184" s="64">
        <f>AG184*W184</f>
        <v/>
      </c>
      <c r="AR184" s="64">
        <f>AH184*X184</f>
        <v/>
      </c>
      <c r="AS184" s="64">
        <f>AI184*Y184</f>
        <v/>
      </c>
      <c r="AT184" s="64">
        <f>AJ184*Z184</f>
        <v/>
      </c>
      <c r="AU184" s="64">
        <f>AK184*AA184</f>
        <v/>
      </c>
      <c r="AV184" s="64">
        <f>AL184*AB184</f>
        <v/>
      </c>
      <c r="AW184" s="64">
        <f>AM184*AC184</f>
        <v/>
      </c>
      <c r="AX184" s="64">
        <f>AN184*AD184</f>
        <v/>
      </c>
      <c r="AY184" s="64">
        <f>AO184*AE184</f>
        <v/>
      </c>
      <c r="AZ184" s="64">
        <f>INDEX(Projects[Automation Equipment],183)&amp;""</f>
        <v/>
      </c>
      <c r="BA184" s="64">
        <f>IF(OR(A184="",'Smart Search'!H13=0),"",MAX(0,BE184*BF184*MAX(0,1-BG184)))</f>
        <v/>
      </c>
      <c r="BB184" s="64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4">
        <f>IF('Smart Search'!G13=1,IFERROR(1/'Smart Search'!H13,0),0)</f>
        <v/>
      </c>
      <c r="BD184" s="64">
        <f>BB184*BC184</f>
        <v/>
      </c>
      <c r="BE184" s="64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IF(A184="","",N(INDEX(Projects[Act Mech Inst],183)))</f>
        <v/>
      </c>
      <c r="BK184" s="5">
        <f>IF(A184="","",N(INDEX(Projects[Act Elec Inst],183)))</f>
        <v/>
      </c>
      <c r="BL184" s="5">
        <f>IF(A184="","",N(INDEX(Projects[Act Project Management],183)))</f>
        <v/>
      </c>
      <c r="BM184" s="5">
        <f>IF(A184="","",N(INDEX(Projects[Act Systems Eng],183)))</f>
        <v/>
      </c>
      <c r="BN184" s="5">
        <f>IF(A184="","",N(INDEX(Projects[Act Mechanical Eng],183)))</f>
        <v/>
      </c>
      <c r="BO184" s="5">
        <f>IF(A184="","",N(INDEX(Projects[Act Structural Engineering],183)))</f>
        <v/>
      </c>
      <c r="BP184" s="5">
        <f>IF(A184="","",N(INDEX(Projects[Act Site Sup],183)))</f>
        <v/>
      </c>
      <c r="BQ184" s="5">
        <f>IF(A184="","",N(INDEX(Projects[Act Controls Commissioning],183)))</f>
        <v/>
      </c>
      <c r="BR184" s="5">
        <f>IF(A184="","",N(INDEX(Projects[Act Systems Commissioning],183)))</f>
        <v/>
      </c>
      <c r="BS184" s="5">
        <f>IF(A184="","",N(INDEX(Projects[Act Service Commissioning],183)))</f>
        <v/>
      </c>
      <c r="BT184" s="5">
        <f>IF(A184="","",N(INDEX(Projects[Act Controls Eng],183)))</f>
        <v/>
      </c>
      <c r="BU184" s="5">
        <f>IF(A184="","",N(INDEX(Projects[Act Controls Purchase],183)))</f>
        <v/>
      </c>
      <c r="BV184" s="5">
        <f>IF(A184="","",N(INDEX(Projects[Act Software Eng],183)))</f>
        <v/>
      </c>
      <c r="BW184" s="5">
        <f>IF(A184="","",N(INDEX(Projects[Act 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INDEX(Projects[Sold Value (USD M)],183)</f>
        <v/>
      </c>
      <c r="CE184" s="5" t="n"/>
      <c r="CF184" s="5">
        <f>IF(A184="","",N(INDEX(Projects[Est Mech Inst],183)))</f>
        <v/>
      </c>
      <c r="CG184" s="5">
        <f>IF(A184="","",N(INDEX(Projects[Est Elec Inst],183)))</f>
        <v/>
      </c>
      <c r="CH184" s="5">
        <f>IF(A184="","",N(INDEX(Projects[Est Project Management],183)))</f>
        <v/>
      </c>
      <c r="CI184" s="5">
        <f>IF(A184="","",N(INDEX(Projects[Est Systems Eng],183)))</f>
        <v/>
      </c>
      <c r="CJ184" s="5">
        <f>IF(A184="","",N(INDEX(Projects[Est Mechanical Eng],183)))</f>
        <v/>
      </c>
      <c r="CK184" s="5">
        <f>IF(A184="","",N(INDEX(Projects[Est Structural Engineering],183)))</f>
        <v/>
      </c>
      <c r="CL184" s="5">
        <f>IF(A184="","",N(INDEX(Projects[Est Site Sup],183)))</f>
        <v/>
      </c>
      <c r="CM184" s="5">
        <f>IF(A184="","",N(INDEX(Projects[Est Controls Commissioning],183)))</f>
        <v/>
      </c>
      <c r="CN184" s="5">
        <f>IF(A184="","",N(INDEX(Projects[Est Systems Commissioning],183)))</f>
        <v/>
      </c>
      <c r="CO184" s="5">
        <f>IF(A184="","",N(INDEX(Projects[Est Service Commissioning],183)))</f>
        <v/>
      </c>
      <c r="CP184" s="5">
        <f>IF(A184="","",N(INDEX(Projects[Est Controls Eng],183)))</f>
        <v/>
      </c>
      <c r="CQ184" s="5">
        <f>IF(A184="","",N(INDEX(Projects[Est Controls Purchase],183)))</f>
        <v/>
      </c>
      <c r="CR184" s="5">
        <f>IF(A184="","",N(INDEX(Projects[Est Software Eng],183)))</f>
        <v/>
      </c>
      <c r="CS184" s="5">
        <f>IF(A184="","",N(INDEX(Projects[Est Misc],183)))</f>
        <v/>
      </c>
      <c r="CT184" s="5">
        <f>IF(A184="","",SUM(CF184:CS184))</f>
        <v/>
      </c>
      <c r="CU184" s="5">
        <f>INDEX(Projects[Est Cost (M)],183)</f>
        <v/>
      </c>
      <c r="CV184" s="5">
        <f>INDEX(Projects[Act Cost (M)],183)</f>
        <v/>
      </c>
      <c r="CW184" s="5">
        <f>INDEX(Projects[Plan Mech Eng (wks)],183)</f>
        <v/>
      </c>
      <c r="CX184" s="5">
        <f>INDEX(Projects[Plan Controls Eng (wks)],183)</f>
        <v/>
      </c>
      <c r="CY184" s="5">
        <f>INDEX(Projects[Plan Systems Eng (wks)],183)</f>
        <v/>
      </c>
      <c r="CZ184" s="5">
        <f>INDEX(Projects[Plan Software Eng (wks)],183)</f>
        <v/>
      </c>
      <c r="DA184" s="5">
        <f>INDEX(Projects[Plan M&amp;E Installation (wks)],183)</f>
        <v/>
      </c>
      <c r="DB184" s="5">
        <f>INDEX(Projects[Plan Commissioning (wks)],183)</f>
        <v/>
      </c>
      <c r="DC184" s="5">
        <f>INDEX(Projects[Plan Total (wks)],183)</f>
        <v/>
      </c>
      <c r="DD184" s="5">
        <f>INDEX(Projects[Act Mech Eng (wks)],183)</f>
        <v/>
      </c>
      <c r="DE184" s="5">
        <f>INDEX(Projects[Act Controls Eng (wks)],183)</f>
        <v/>
      </c>
      <c r="DF184" s="5">
        <f>INDEX(Projects[Act Systems Eng (wks)],183)</f>
        <v/>
      </c>
      <c r="DG184" s="5">
        <f>INDEX(Projects[Act Software Eng (wks)],183)</f>
        <v/>
      </c>
      <c r="DH184" s="5">
        <f>INDEX(Projects[Act M&amp;E Installation (wks)],183)</f>
        <v/>
      </c>
      <c r="DI184" s="5">
        <f>INDEX(Projects[Act Commissioning (wks)],183)</f>
        <v/>
      </c>
      <c r="DJ184" s="5">
        <f>INDEX(Projects[Act Total (wks)],183)</f>
        <v/>
      </c>
    </row>
    <row r="185" ht="15" customHeight="1" s="82">
      <c r="A185" s="64">
        <f>INDEX(Projects[Project ID *],184)&amp;""</f>
        <v/>
      </c>
      <c r="B185" s="64">
        <f>INDEX(Projects[Project Name *],184)&amp;""</f>
        <v/>
      </c>
      <c r="C185" s="64">
        <f>INDEX(Projects[MS Shuttles],184)</f>
        <v/>
      </c>
      <c r="D185" s="64">
        <f>INDEX(Projects[MS Tote Locations],184)</f>
        <v/>
      </c>
      <c r="E185" s="64">
        <f>INDEX(Projects[AS Robots],184)</f>
        <v/>
      </c>
      <c r="F185" s="64">
        <f>INDEX(Projects[AS Tote Locations],184)</f>
        <v/>
      </c>
      <c r="G185" s="64">
        <f>INDEX(Projects[PS Shuttles],184)</f>
        <v/>
      </c>
      <c r="H185" s="64">
        <f>INDEX(Projects[PS Pallet Locations],184)</f>
        <v/>
      </c>
      <c r="I185" s="64">
        <f>INDEX(Projects[SRM Cranes],184)</f>
        <v/>
      </c>
      <c r="J185" s="64">
        <f>INDEX(Projects[SRM Pallet Locations],184)</f>
        <v/>
      </c>
      <c r="K185" s="64">
        <f>INDEX(Projects[Case Conv (m)],184)</f>
        <v/>
      </c>
      <c r="L185" s="64">
        <f>INDEX(Projects[Pallet Conv (m)],184)</f>
        <v/>
      </c>
      <c r="M185" s="64">
        <f>IF(N(DJ185)&gt;0,DD185,CW185)</f>
        <v/>
      </c>
      <c r="N185" s="64">
        <f>IF(N(DJ185)&gt;0,DE185,CX185)</f>
        <v/>
      </c>
      <c r="O185" s="64">
        <f>IF(N(DJ185)&gt;0,DF185,CY185)</f>
        <v/>
      </c>
      <c r="P185" s="64">
        <f>IF(N(DJ185)&gt;0,DG185,CZ185)</f>
        <v/>
      </c>
      <c r="Q185" s="64">
        <f>IF(N(DJ185)&gt;0,DH185,DA185)</f>
        <v/>
      </c>
      <c r="R185" s="64">
        <f>IF(N(DJ185)&gt;0,DI185,DB185)</f>
        <v/>
      </c>
      <c r="S185" s="64">
        <f>IF(N(DJ185)&gt;0,DJ185,DC185)</f>
        <v/>
      </c>
      <c r="T185" s="64">
        <f>INDEX(Projects[Currency],184)&amp;""</f>
        <v/>
      </c>
      <c r="U185" s="65">
        <f>INDEX(Projects[Sold Value (M)],184)</f>
        <v/>
      </c>
      <c r="V185" s="64">
        <f>IF('Smart Search'!B13=1,IFERROR(1/'Smart Search'!H13,0),0)</f>
        <v/>
      </c>
      <c r="W185" s="64">
        <f>IF('Smart Search'!B13=1,IFERROR(1/'Smart Search'!H13,0),0)</f>
        <v/>
      </c>
      <c r="X185" s="64">
        <f>IF('Smart Search'!C13=1,IFERROR(1/'Smart Search'!H13,0),0)</f>
        <v/>
      </c>
      <c r="Y185" s="64">
        <f>IF('Smart Search'!C13=1,IFERROR(1/'Smart Search'!H13,0),0)</f>
        <v/>
      </c>
      <c r="Z185" s="64">
        <f>IF('Smart Search'!D13=1,IFERROR(1/'Smart Search'!H13,0),0)</f>
        <v/>
      </c>
      <c r="AA185" s="64">
        <f>IF('Smart Search'!D13=1,IFERROR(1/'Smart Search'!H13,0),0)</f>
        <v/>
      </c>
      <c r="AB185" s="64">
        <f>IF('Smart Search'!E13=1,IFERROR(1/'Smart Search'!H13,0),0)</f>
        <v/>
      </c>
      <c r="AC185" s="64">
        <f>IF('Smart Search'!E13=1,IFERROR(1/'Smart Search'!H13,0),0)</f>
        <v/>
      </c>
      <c r="AD185" s="64">
        <f>IF('Smart Search'!F13=1,IFERROR(1/'Smart Search'!H13,0),0)</f>
        <v/>
      </c>
      <c r="AE185" s="64">
        <f>IF('Smart Search'!F13=1,IFERROR(1/'Smart Search'!H13,0),0)</f>
        <v/>
      </c>
      <c r="AF185" s="64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4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4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4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4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4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4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4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4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4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4">
        <f>AF185*V185</f>
        <v/>
      </c>
      <c r="AQ185" s="64">
        <f>AG185*W185</f>
        <v/>
      </c>
      <c r="AR185" s="64">
        <f>AH185*X185</f>
        <v/>
      </c>
      <c r="AS185" s="64">
        <f>AI185*Y185</f>
        <v/>
      </c>
      <c r="AT185" s="64">
        <f>AJ185*Z185</f>
        <v/>
      </c>
      <c r="AU185" s="64">
        <f>AK185*AA185</f>
        <v/>
      </c>
      <c r="AV185" s="64">
        <f>AL185*AB185</f>
        <v/>
      </c>
      <c r="AW185" s="64">
        <f>AM185*AC185</f>
        <v/>
      </c>
      <c r="AX185" s="64">
        <f>AN185*AD185</f>
        <v/>
      </c>
      <c r="AY185" s="64">
        <f>AO185*AE185</f>
        <v/>
      </c>
      <c r="AZ185" s="64">
        <f>INDEX(Projects[Automation Equipment],184)&amp;""</f>
        <v/>
      </c>
      <c r="BA185" s="64">
        <f>IF(OR(A185="",'Smart Search'!H13=0),"",MAX(0,BE185*BF185*MAX(0,1-BG185)))</f>
        <v/>
      </c>
      <c r="BB185" s="64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4">
        <f>IF('Smart Search'!G13=1,IFERROR(1/'Smart Search'!H13,0),0)</f>
        <v/>
      </c>
      <c r="BD185" s="64">
        <f>BB185*BC185</f>
        <v/>
      </c>
      <c r="BE185" s="64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IF(A185="","",N(INDEX(Projects[Act Mech Inst],184)))</f>
        <v/>
      </c>
      <c r="BK185" s="5">
        <f>IF(A185="","",N(INDEX(Projects[Act Elec Inst],184)))</f>
        <v/>
      </c>
      <c r="BL185" s="5">
        <f>IF(A185="","",N(INDEX(Projects[Act Project Management],184)))</f>
        <v/>
      </c>
      <c r="BM185" s="5">
        <f>IF(A185="","",N(INDEX(Projects[Act Systems Eng],184)))</f>
        <v/>
      </c>
      <c r="BN185" s="5">
        <f>IF(A185="","",N(INDEX(Projects[Act Mechanical Eng],184)))</f>
        <v/>
      </c>
      <c r="BO185" s="5">
        <f>IF(A185="","",N(INDEX(Projects[Act Structural Engineering],184)))</f>
        <v/>
      </c>
      <c r="BP185" s="5">
        <f>IF(A185="","",N(INDEX(Projects[Act Site Sup],184)))</f>
        <v/>
      </c>
      <c r="BQ185" s="5">
        <f>IF(A185="","",N(INDEX(Projects[Act Controls Commissioning],184)))</f>
        <v/>
      </c>
      <c r="BR185" s="5">
        <f>IF(A185="","",N(INDEX(Projects[Act Systems Commissioning],184)))</f>
        <v/>
      </c>
      <c r="BS185" s="5">
        <f>IF(A185="","",N(INDEX(Projects[Act Service Commissioning],184)))</f>
        <v/>
      </c>
      <c r="BT185" s="5">
        <f>IF(A185="","",N(INDEX(Projects[Act Controls Eng],184)))</f>
        <v/>
      </c>
      <c r="BU185" s="5">
        <f>IF(A185="","",N(INDEX(Projects[Act Controls Purchase],184)))</f>
        <v/>
      </c>
      <c r="BV185" s="5">
        <f>IF(A185="","",N(INDEX(Projects[Act Software Eng],184)))</f>
        <v/>
      </c>
      <c r="BW185" s="5">
        <f>IF(A185="","",N(INDEX(Projects[Act 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INDEX(Projects[Sold Value (USD M)],184)</f>
        <v/>
      </c>
      <c r="CE185" s="5" t="n"/>
      <c r="CF185" s="5">
        <f>IF(A185="","",N(INDEX(Projects[Est Mech Inst],184)))</f>
        <v/>
      </c>
      <c r="CG185" s="5">
        <f>IF(A185="","",N(INDEX(Projects[Est Elec Inst],184)))</f>
        <v/>
      </c>
      <c r="CH185" s="5">
        <f>IF(A185="","",N(INDEX(Projects[Est Project Management],184)))</f>
        <v/>
      </c>
      <c r="CI185" s="5">
        <f>IF(A185="","",N(INDEX(Projects[Est Systems Eng],184)))</f>
        <v/>
      </c>
      <c r="CJ185" s="5">
        <f>IF(A185="","",N(INDEX(Projects[Est Mechanical Eng],184)))</f>
        <v/>
      </c>
      <c r="CK185" s="5">
        <f>IF(A185="","",N(INDEX(Projects[Est Structural Engineering],184)))</f>
        <v/>
      </c>
      <c r="CL185" s="5">
        <f>IF(A185="","",N(INDEX(Projects[Est Site Sup],184)))</f>
        <v/>
      </c>
      <c r="CM185" s="5">
        <f>IF(A185="","",N(INDEX(Projects[Est Controls Commissioning],184)))</f>
        <v/>
      </c>
      <c r="CN185" s="5">
        <f>IF(A185="","",N(INDEX(Projects[Est Systems Commissioning],184)))</f>
        <v/>
      </c>
      <c r="CO185" s="5">
        <f>IF(A185="","",N(INDEX(Projects[Est Service Commissioning],184)))</f>
        <v/>
      </c>
      <c r="CP185" s="5">
        <f>IF(A185="","",N(INDEX(Projects[Est Controls Eng],184)))</f>
        <v/>
      </c>
      <c r="CQ185" s="5">
        <f>IF(A185="","",N(INDEX(Projects[Est Controls Purchase],184)))</f>
        <v/>
      </c>
      <c r="CR185" s="5">
        <f>IF(A185="","",N(INDEX(Projects[Est Software Eng],184)))</f>
        <v/>
      </c>
      <c r="CS185" s="5">
        <f>IF(A185="","",N(INDEX(Projects[Est Misc],184)))</f>
        <v/>
      </c>
      <c r="CT185" s="5">
        <f>IF(A185="","",SUM(CF185:CS185))</f>
        <v/>
      </c>
      <c r="CU185" s="5">
        <f>INDEX(Projects[Est Cost (M)],184)</f>
        <v/>
      </c>
      <c r="CV185" s="5">
        <f>INDEX(Projects[Act Cost (M)],184)</f>
        <v/>
      </c>
      <c r="CW185" s="5">
        <f>INDEX(Projects[Plan Mech Eng (wks)],184)</f>
        <v/>
      </c>
      <c r="CX185" s="5">
        <f>INDEX(Projects[Plan Controls Eng (wks)],184)</f>
        <v/>
      </c>
      <c r="CY185" s="5">
        <f>INDEX(Projects[Plan Systems Eng (wks)],184)</f>
        <v/>
      </c>
      <c r="CZ185" s="5">
        <f>INDEX(Projects[Plan Software Eng (wks)],184)</f>
        <v/>
      </c>
      <c r="DA185" s="5">
        <f>INDEX(Projects[Plan M&amp;E Installation (wks)],184)</f>
        <v/>
      </c>
      <c r="DB185" s="5">
        <f>INDEX(Projects[Plan Commissioning (wks)],184)</f>
        <v/>
      </c>
      <c r="DC185" s="5">
        <f>INDEX(Projects[Plan Total (wks)],184)</f>
        <v/>
      </c>
      <c r="DD185" s="5">
        <f>INDEX(Projects[Act Mech Eng (wks)],184)</f>
        <v/>
      </c>
      <c r="DE185" s="5">
        <f>INDEX(Projects[Act Controls Eng (wks)],184)</f>
        <v/>
      </c>
      <c r="DF185" s="5">
        <f>INDEX(Projects[Act Systems Eng (wks)],184)</f>
        <v/>
      </c>
      <c r="DG185" s="5">
        <f>INDEX(Projects[Act Software Eng (wks)],184)</f>
        <v/>
      </c>
      <c r="DH185" s="5">
        <f>INDEX(Projects[Act M&amp;E Installation (wks)],184)</f>
        <v/>
      </c>
      <c r="DI185" s="5">
        <f>INDEX(Projects[Act Commissioning (wks)],184)</f>
        <v/>
      </c>
      <c r="DJ185" s="5">
        <f>INDEX(Projects[Act Total (wks)],184)</f>
        <v/>
      </c>
    </row>
    <row r="186" ht="15" customHeight="1" s="82">
      <c r="A186" s="64">
        <f>INDEX(Projects[Project ID *],185)&amp;""</f>
        <v/>
      </c>
      <c r="B186" s="64">
        <f>INDEX(Projects[Project Name *],185)&amp;""</f>
        <v/>
      </c>
      <c r="C186" s="64">
        <f>INDEX(Projects[MS Shuttles],185)</f>
        <v/>
      </c>
      <c r="D186" s="64">
        <f>INDEX(Projects[MS Tote Locations],185)</f>
        <v/>
      </c>
      <c r="E186" s="64">
        <f>INDEX(Projects[AS Robots],185)</f>
        <v/>
      </c>
      <c r="F186" s="64">
        <f>INDEX(Projects[AS Tote Locations],185)</f>
        <v/>
      </c>
      <c r="G186" s="64">
        <f>INDEX(Projects[PS Shuttles],185)</f>
        <v/>
      </c>
      <c r="H186" s="64">
        <f>INDEX(Projects[PS Pallet Locations],185)</f>
        <v/>
      </c>
      <c r="I186" s="64">
        <f>INDEX(Projects[SRM Cranes],185)</f>
        <v/>
      </c>
      <c r="J186" s="64">
        <f>INDEX(Projects[SRM Pallet Locations],185)</f>
        <v/>
      </c>
      <c r="K186" s="64">
        <f>INDEX(Projects[Case Conv (m)],185)</f>
        <v/>
      </c>
      <c r="L186" s="64">
        <f>INDEX(Projects[Pallet Conv (m)],185)</f>
        <v/>
      </c>
      <c r="M186" s="64">
        <f>IF(N(DJ186)&gt;0,DD186,CW186)</f>
        <v/>
      </c>
      <c r="N186" s="64">
        <f>IF(N(DJ186)&gt;0,DE186,CX186)</f>
        <v/>
      </c>
      <c r="O186" s="64">
        <f>IF(N(DJ186)&gt;0,DF186,CY186)</f>
        <v/>
      </c>
      <c r="P186" s="64">
        <f>IF(N(DJ186)&gt;0,DG186,CZ186)</f>
        <v/>
      </c>
      <c r="Q186" s="64">
        <f>IF(N(DJ186)&gt;0,DH186,DA186)</f>
        <v/>
      </c>
      <c r="R186" s="64">
        <f>IF(N(DJ186)&gt;0,DI186,DB186)</f>
        <v/>
      </c>
      <c r="S186" s="64">
        <f>IF(N(DJ186)&gt;0,DJ186,DC186)</f>
        <v/>
      </c>
      <c r="T186" s="64">
        <f>INDEX(Projects[Currency],185)&amp;""</f>
        <v/>
      </c>
      <c r="U186" s="65">
        <f>INDEX(Projects[Sold Value (M)],185)</f>
        <v/>
      </c>
      <c r="V186" s="64">
        <f>IF('Smart Search'!B13=1,IFERROR(1/'Smart Search'!H13,0),0)</f>
        <v/>
      </c>
      <c r="W186" s="64">
        <f>IF('Smart Search'!B13=1,IFERROR(1/'Smart Search'!H13,0),0)</f>
        <v/>
      </c>
      <c r="X186" s="64">
        <f>IF('Smart Search'!C13=1,IFERROR(1/'Smart Search'!H13,0),0)</f>
        <v/>
      </c>
      <c r="Y186" s="64">
        <f>IF('Smart Search'!C13=1,IFERROR(1/'Smart Search'!H13,0),0)</f>
        <v/>
      </c>
      <c r="Z186" s="64">
        <f>IF('Smart Search'!D13=1,IFERROR(1/'Smart Search'!H13,0),0)</f>
        <v/>
      </c>
      <c r="AA186" s="64">
        <f>IF('Smart Search'!D13=1,IFERROR(1/'Smart Search'!H13,0),0)</f>
        <v/>
      </c>
      <c r="AB186" s="64">
        <f>IF('Smart Search'!E13=1,IFERROR(1/'Smart Search'!H13,0),0)</f>
        <v/>
      </c>
      <c r="AC186" s="64">
        <f>IF('Smart Search'!E13=1,IFERROR(1/'Smart Search'!H13,0),0)</f>
        <v/>
      </c>
      <c r="AD186" s="64">
        <f>IF('Smart Search'!F13=1,IFERROR(1/'Smart Search'!H13,0),0)</f>
        <v/>
      </c>
      <c r="AE186" s="64">
        <f>IF('Smart Search'!F13=1,IFERROR(1/'Smart Search'!H13,0),0)</f>
        <v/>
      </c>
      <c r="AF186" s="64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4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4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4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4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4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4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4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4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4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4">
        <f>AF186*V186</f>
        <v/>
      </c>
      <c r="AQ186" s="64">
        <f>AG186*W186</f>
        <v/>
      </c>
      <c r="AR186" s="64">
        <f>AH186*X186</f>
        <v/>
      </c>
      <c r="AS186" s="64">
        <f>AI186*Y186</f>
        <v/>
      </c>
      <c r="AT186" s="64">
        <f>AJ186*Z186</f>
        <v/>
      </c>
      <c r="AU186" s="64">
        <f>AK186*AA186</f>
        <v/>
      </c>
      <c r="AV186" s="64">
        <f>AL186*AB186</f>
        <v/>
      </c>
      <c r="AW186" s="64">
        <f>AM186*AC186</f>
        <v/>
      </c>
      <c r="AX186" s="64">
        <f>AN186*AD186</f>
        <v/>
      </c>
      <c r="AY186" s="64">
        <f>AO186*AE186</f>
        <v/>
      </c>
      <c r="AZ186" s="64">
        <f>INDEX(Projects[Automation Equipment],185)&amp;""</f>
        <v/>
      </c>
      <c r="BA186" s="64">
        <f>IF(OR(A186="",'Smart Search'!H13=0),"",MAX(0,BE186*BF186*MAX(0,1-BG186)))</f>
        <v/>
      </c>
      <c r="BB186" s="64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4">
        <f>IF('Smart Search'!G13=1,IFERROR(1/'Smart Search'!H13,0),0)</f>
        <v/>
      </c>
      <c r="BD186" s="64">
        <f>BB186*BC186</f>
        <v/>
      </c>
      <c r="BE186" s="64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IF(A186="","",N(INDEX(Projects[Act Mech Inst],185)))</f>
        <v/>
      </c>
      <c r="BK186" s="5">
        <f>IF(A186="","",N(INDEX(Projects[Act Elec Inst],185)))</f>
        <v/>
      </c>
      <c r="BL186" s="5">
        <f>IF(A186="","",N(INDEX(Projects[Act Project Management],185)))</f>
        <v/>
      </c>
      <c r="BM186" s="5">
        <f>IF(A186="","",N(INDEX(Projects[Act Systems Eng],185)))</f>
        <v/>
      </c>
      <c r="BN186" s="5">
        <f>IF(A186="","",N(INDEX(Projects[Act Mechanical Eng],185)))</f>
        <v/>
      </c>
      <c r="BO186" s="5">
        <f>IF(A186="","",N(INDEX(Projects[Act Structural Engineering],185)))</f>
        <v/>
      </c>
      <c r="BP186" s="5">
        <f>IF(A186="","",N(INDEX(Projects[Act Site Sup],185)))</f>
        <v/>
      </c>
      <c r="BQ186" s="5">
        <f>IF(A186="","",N(INDEX(Projects[Act Controls Commissioning],185)))</f>
        <v/>
      </c>
      <c r="BR186" s="5">
        <f>IF(A186="","",N(INDEX(Projects[Act Systems Commissioning],185)))</f>
        <v/>
      </c>
      <c r="BS186" s="5">
        <f>IF(A186="","",N(INDEX(Projects[Act Service Commissioning],185)))</f>
        <v/>
      </c>
      <c r="BT186" s="5">
        <f>IF(A186="","",N(INDEX(Projects[Act Controls Eng],185)))</f>
        <v/>
      </c>
      <c r="BU186" s="5">
        <f>IF(A186="","",N(INDEX(Projects[Act Controls Purchase],185)))</f>
        <v/>
      </c>
      <c r="BV186" s="5">
        <f>IF(A186="","",N(INDEX(Projects[Act Software Eng],185)))</f>
        <v/>
      </c>
      <c r="BW186" s="5">
        <f>IF(A186="","",N(INDEX(Projects[Act 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INDEX(Projects[Sold Value (USD M)],185)</f>
        <v/>
      </c>
      <c r="CE186" s="5" t="n"/>
      <c r="CF186" s="5">
        <f>IF(A186="","",N(INDEX(Projects[Est Mech Inst],185)))</f>
        <v/>
      </c>
      <c r="CG186" s="5">
        <f>IF(A186="","",N(INDEX(Projects[Est Elec Inst],185)))</f>
        <v/>
      </c>
      <c r="CH186" s="5">
        <f>IF(A186="","",N(INDEX(Projects[Est Project Management],185)))</f>
        <v/>
      </c>
      <c r="CI186" s="5">
        <f>IF(A186="","",N(INDEX(Projects[Est Systems Eng],185)))</f>
        <v/>
      </c>
      <c r="CJ186" s="5">
        <f>IF(A186="","",N(INDEX(Projects[Est Mechanical Eng],185)))</f>
        <v/>
      </c>
      <c r="CK186" s="5">
        <f>IF(A186="","",N(INDEX(Projects[Est Structural Engineering],185)))</f>
        <v/>
      </c>
      <c r="CL186" s="5">
        <f>IF(A186="","",N(INDEX(Projects[Est Site Sup],185)))</f>
        <v/>
      </c>
      <c r="CM186" s="5">
        <f>IF(A186="","",N(INDEX(Projects[Est Controls Commissioning],185)))</f>
        <v/>
      </c>
      <c r="CN186" s="5">
        <f>IF(A186="","",N(INDEX(Projects[Est Systems Commissioning],185)))</f>
        <v/>
      </c>
      <c r="CO186" s="5">
        <f>IF(A186="","",N(INDEX(Projects[Est Service Commissioning],185)))</f>
        <v/>
      </c>
      <c r="CP186" s="5">
        <f>IF(A186="","",N(INDEX(Projects[Est Controls Eng],185)))</f>
        <v/>
      </c>
      <c r="CQ186" s="5">
        <f>IF(A186="","",N(INDEX(Projects[Est Controls Purchase],185)))</f>
        <v/>
      </c>
      <c r="CR186" s="5">
        <f>IF(A186="","",N(INDEX(Projects[Est Software Eng],185)))</f>
        <v/>
      </c>
      <c r="CS186" s="5">
        <f>IF(A186="","",N(INDEX(Projects[Est Misc],185)))</f>
        <v/>
      </c>
      <c r="CT186" s="5">
        <f>IF(A186="","",SUM(CF186:CS186))</f>
        <v/>
      </c>
      <c r="CU186" s="5">
        <f>INDEX(Projects[Est Cost (M)],185)</f>
        <v/>
      </c>
      <c r="CV186" s="5">
        <f>INDEX(Projects[Act Cost (M)],185)</f>
        <v/>
      </c>
      <c r="CW186" s="5">
        <f>INDEX(Projects[Plan Mech Eng (wks)],185)</f>
        <v/>
      </c>
      <c r="CX186" s="5">
        <f>INDEX(Projects[Plan Controls Eng (wks)],185)</f>
        <v/>
      </c>
      <c r="CY186" s="5">
        <f>INDEX(Projects[Plan Systems Eng (wks)],185)</f>
        <v/>
      </c>
      <c r="CZ186" s="5">
        <f>INDEX(Projects[Plan Software Eng (wks)],185)</f>
        <v/>
      </c>
      <c r="DA186" s="5">
        <f>INDEX(Projects[Plan M&amp;E Installation (wks)],185)</f>
        <v/>
      </c>
      <c r="DB186" s="5">
        <f>INDEX(Projects[Plan Commissioning (wks)],185)</f>
        <v/>
      </c>
      <c r="DC186" s="5">
        <f>INDEX(Projects[Plan Total (wks)],185)</f>
        <v/>
      </c>
      <c r="DD186" s="5">
        <f>INDEX(Projects[Act Mech Eng (wks)],185)</f>
        <v/>
      </c>
      <c r="DE186" s="5">
        <f>INDEX(Projects[Act Controls Eng (wks)],185)</f>
        <v/>
      </c>
      <c r="DF186" s="5">
        <f>INDEX(Projects[Act Systems Eng (wks)],185)</f>
        <v/>
      </c>
      <c r="DG186" s="5">
        <f>INDEX(Projects[Act Software Eng (wks)],185)</f>
        <v/>
      </c>
      <c r="DH186" s="5">
        <f>INDEX(Projects[Act M&amp;E Installation (wks)],185)</f>
        <v/>
      </c>
      <c r="DI186" s="5">
        <f>INDEX(Projects[Act Commissioning (wks)],185)</f>
        <v/>
      </c>
      <c r="DJ186" s="5">
        <f>INDEX(Projects[Act Total (wks)],185)</f>
        <v/>
      </c>
    </row>
    <row r="187" ht="15" customHeight="1" s="82">
      <c r="A187" s="64">
        <f>INDEX(Projects[Project ID *],186)&amp;""</f>
        <v/>
      </c>
      <c r="B187" s="64">
        <f>INDEX(Projects[Project Name *],186)&amp;""</f>
        <v/>
      </c>
      <c r="C187" s="64">
        <f>INDEX(Projects[MS Shuttles],186)</f>
        <v/>
      </c>
      <c r="D187" s="64">
        <f>INDEX(Projects[MS Tote Locations],186)</f>
        <v/>
      </c>
      <c r="E187" s="64">
        <f>INDEX(Projects[AS Robots],186)</f>
        <v/>
      </c>
      <c r="F187" s="64">
        <f>INDEX(Projects[AS Tote Locations],186)</f>
        <v/>
      </c>
      <c r="G187" s="64">
        <f>INDEX(Projects[PS Shuttles],186)</f>
        <v/>
      </c>
      <c r="H187" s="64">
        <f>INDEX(Projects[PS Pallet Locations],186)</f>
        <v/>
      </c>
      <c r="I187" s="64">
        <f>INDEX(Projects[SRM Cranes],186)</f>
        <v/>
      </c>
      <c r="J187" s="64">
        <f>INDEX(Projects[SRM Pallet Locations],186)</f>
        <v/>
      </c>
      <c r="K187" s="64">
        <f>INDEX(Projects[Case Conv (m)],186)</f>
        <v/>
      </c>
      <c r="L187" s="64">
        <f>INDEX(Projects[Pallet Conv (m)],186)</f>
        <v/>
      </c>
      <c r="M187" s="64">
        <f>IF(N(DJ187)&gt;0,DD187,CW187)</f>
        <v/>
      </c>
      <c r="N187" s="64">
        <f>IF(N(DJ187)&gt;0,DE187,CX187)</f>
        <v/>
      </c>
      <c r="O187" s="64">
        <f>IF(N(DJ187)&gt;0,DF187,CY187)</f>
        <v/>
      </c>
      <c r="P187" s="64">
        <f>IF(N(DJ187)&gt;0,DG187,CZ187)</f>
        <v/>
      </c>
      <c r="Q187" s="64">
        <f>IF(N(DJ187)&gt;0,DH187,DA187)</f>
        <v/>
      </c>
      <c r="R187" s="64">
        <f>IF(N(DJ187)&gt;0,DI187,DB187)</f>
        <v/>
      </c>
      <c r="S187" s="64">
        <f>IF(N(DJ187)&gt;0,DJ187,DC187)</f>
        <v/>
      </c>
      <c r="T187" s="64">
        <f>INDEX(Projects[Currency],186)&amp;""</f>
        <v/>
      </c>
      <c r="U187" s="65">
        <f>INDEX(Projects[Sold Value (M)],186)</f>
        <v/>
      </c>
      <c r="V187" s="64">
        <f>IF('Smart Search'!B13=1,IFERROR(1/'Smart Search'!H13,0),0)</f>
        <v/>
      </c>
      <c r="W187" s="64">
        <f>IF('Smart Search'!B13=1,IFERROR(1/'Smart Search'!H13,0),0)</f>
        <v/>
      </c>
      <c r="X187" s="64">
        <f>IF('Smart Search'!C13=1,IFERROR(1/'Smart Search'!H13,0),0)</f>
        <v/>
      </c>
      <c r="Y187" s="64">
        <f>IF('Smart Search'!C13=1,IFERROR(1/'Smart Search'!H13,0),0)</f>
        <v/>
      </c>
      <c r="Z187" s="64">
        <f>IF('Smart Search'!D13=1,IFERROR(1/'Smart Search'!H13,0),0)</f>
        <v/>
      </c>
      <c r="AA187" s="64">
        <f>IF('Smart Search'!D13=1,IFERROR(1/'Smart Search'!H13,0),0)</f>
        <v/>
      </c>
      <c r="AB187" s="64">
        <f>IF('Smart Search'!E13=1,IFERROR(1/'Smart Search'!H13,0),0)</f>
        <v/>
      </c>
      <c r="AC187" s="64">
        <f>IF('Smart Search'!E13=1,IFERROR(1/'Smart Search'!H13,0),0)</f>
        <v/>
      </c>
      <c r="AD187" s="64">
        <f>IF('Smart Search'!F13=1,IFERROR(1/'Smart Search'!H13,0),0)</f>
        <v/>
      </c>
      <c r="AE187" s="64">
        <f>IF('Smart Search'!F13=1,IFERROR(1/'Smart Search'!H13,0),0)</f>
        <v/>
      </c>
      <c r="AF187" s="64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4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4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4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4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4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4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4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4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4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4">
        <f>AF187*V187</f>
        <v/>
      </c>
      <c r="AQ187" s="64">
        <f>AG187*W187</f>
        <v/>
      </c>
      <c r="AR187" s="64">
        <f>AH187*X187</f>
        <v/>
      </c>
      <c r="AS187" s="64">
        <f>AI187*Y187</f>
        <v/>
      </c>
      <c r="AT187" s="64">
        <f>AJ187*Z187</f>
        <v/>
      </c>
      <c r="AU187" s="64">
        <f>AK187*AA187</f>
        <v/>
      </c>
      <c r="AV187" s="64">
        <f>AL187*AB187</f>
        <v/>
      </c>
      <c r="AW187" s="64">
        <f>AM187*AC187</f>
        <v/>
      </c>
      <c r="AX187" s="64">
        <f>AN187*AD187</f>
        <v/>
      </c>
      <c r="AY187" s="64">
        <f>AO187*AE187</f>
        <v/>
      </c>
      <c r="AZ187" s="64">
        <f>INDEX(Projects[Automation Equipment],186)&amp;""</f>
        <v/>
      </c>
      <c r="BA187" s="64">
        <f>IF(OR(A187="",'Smart Search'!H13=0),"",MAX(0,BE187*BF187*MAX(0,1-BG187)))</f>
        <v/>
      </c>
      <c r="BB187" s="64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4">
        <f>IF('Smart Search'!G13=1,IFERROR(1/'Smart Search'!H13,0),0)</f>
        <v/>
      </c>
      <c r="BD187" s="64">
        <f>BB187*BC187</f>
        <v/>
      </c>
      <c r="BE187" s="64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IF(A187="","",N(INDEX(Projects[Act Mech Inst],186)))</f>
        <v/>
      </c>
      <c r="BK187" s="5">
        <f>IF(A187="","",N(INDEX(Projects[Act Elec Inst],186)))</f>
        <v/>
      </c>
      <c r="BL187" s="5">
        <f>IF(A187="","",N(INDEX(Projects[Act Project Management],186)))</f>
        <v/>
      </c>
      <c r="BM187" s="5">
        <f>IF(A187="","",N(INDEX(Projects[Act Systems Eng],186)))</f>
        <v/>
      </c>
      <c r="BN187" s="5">
        <f>IF(A187="","",N(INDEX(Projects[Act Mechanical Eng],186)))</f>
        <v/>
      </c>
      <c r="BO187" s="5">
        <f>IF(A187="","",N(INDEX(Projects[Act Structural Engineering],186)))</f>
        <v/>
      </c>
      <c r="BP187" s="5">
        <f>IF(A187="","",N(INDEX(Projects[Act Site Sup],186)))</f>
        <v/>
      </c>
      <c r="BQ187" s="5">
        <f>IF(A187="","",N(INDEX(Projects[Act Controls Commissioning],186)))</f>
        <v/>
      </c>
      <c r="BR187" s="5">
        <f>IF(A187="","",N(INDEX(Projects[Act Systems Commissioning],186)))</f>
        <v/>
      </c>
      <c r="BS187" s="5">
        <f>IF(A187="","",N(INDEX(Projects[Act Service Commissioning],186)))</f>
        <v/>
      </c>
      <c r="BT187" s="5">
        <f>IF(A187="","",N(INDEX(Projects[Act Controls Eng],186)))</f>
        <v/>
      </c>
      <c r="BU187" s="5">
        <f>IF(A187="","",N(INDEX(Projects[Act Controls Purchase],186)))</f>
        <v/>
      </c>
      <c r="BV187" s="5">
        <f>IF(A187="","",N(INDEX(Projects[Act Software Eng],186)))</f>
        <v/>
      </c>
      <c r="BW187" s="5">
        <f>IF(A187="","",N(INDEX(Projects[Act 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INDEX(Projects[Sold Value (USD M)],186)</f>
        <v/>
      </c>
      <c r="CE187" s="5" t="n"/>
      <c r="CF187" s="5">
        <f>IF(A187="","",N(INDEX(Projects[Est Mech Inst],186)))</f>
        <v/>
      </c>
      <c r="CG187" s="5">
        <f>IF(A187="","",N(INDEX(Projects[Est Elec Inst],186)))</f>
        <v/>
      </c>
      <c r="CH187" s="5">
        <f>IF(A187="","",N(INDEX(Projects[Est Project Management],186)))</f>
        <v/>
      </c>
      <c r="CI187" s="5">
        <f>IF(A187="","",N(INDEX(Projects[Est Systems Eng],186)))</f>
        <v/>
      </c>
      <c r="CJ187" s="5">
        <f>IF(A187="","",N(INDEX(Projects[Est Mechanical Eng],186)))</f>
        <v/>
      </c>
      <c r="CK187" s="5">
        <f>IF(A187="","",N(INDEX(Projects[Est Structural Engineering],186)))</f>
        <v/>
      </c>
      <c r="CL187" s="5">
        <f>IF(A187="","",N(INDEX(Projects[Est Site Sup],186)))</f>
        <v/>
      </c>
      <c r="CM187" s="5">
        <f>IF(A187="","",N(INDEX(Projects[Est Controls Commissioning],186)))</f>
        <v/>
      </c>
      <c r="CN187" s="5">
        <f>IF(A187="","",N(INDEX(Projects[Est Systems Commissioning],186)))</f>
        <v/>
      </c>
      <c r="CO187" s="5">
        <f>IF(A187="","",N(INDEX(Projects[Est Service Commissioning],186)))</f>
        <v/>
      </c>
      <c r="CP187" s="5">
        <f>IF(A187="","",N(INDEX(Projects[Est Controls Eng],186)))</f>
        <v/>
      </c>
      <c r="CQ187" s="5">
        <f>IF(A187="","",N(INDEX(Projects[Est Controls Purchase],186)))</f>
        <v/>
      </c>
      <c r="CR187" s="5">
        <f>IF(A187="","",N(INDEX(Projects[Est Software Eng],186)))</f>
        <v/>
      </c>
      <c r="CS187" s="5">
        <f>IF(A187="","",N(INDEX(Projects[Est Misc],186)))</f>
        <v/>
      </c>
      <c r="CT187" s="5">
        <f>IF(A187="","",SUM(CF187:CS187))</f>
        <v/>
      </c>
      <c r="CU187" s="5">
        <f>INDEX(Projects[Est Cost (M)],186)</f>
        <v/>
      </c>
      <c r="CV187" s="5">
        <f>INDEX(Projects[Act Cost (M)],186)</f>
        <v/>
      </c>
      <c r="CW187" s="5">
        <f>INDEX(Projects[Plan Mech Eng (wks)],186)</f>
        <v/>
      </c>
      <c r="CX187" s="5">
        <f>INDEX(Projects[Plan Controls Eng (wks)],186)</f>
        <v/>
      </c>
      <c r="CY187" s="5">
        <f>INDEX(Projects[Plan Systems Eng (wks)],186)</f>
        <v/>
      </c>
      <c r="CZ187" s="5">
        <f>INDEX(Projects[Plan Software Eng (wks)],186)</f>
        <v/>
      </c>
      <c r="DA187" s="5">
        <f>INDEX(Projects[Plan M&amp;E Installation (wks)],186)</f>
        <v/>
      </c>
      <c r="DB187" s="5">
        <f>INDEX(Projects[Plan Commissioning (wks)],186)</f>
        <v/>
      </c>
      <c r="DC187" s="5">
        <f>INDEX(Projects[Plan Total (wks)],186)</f>
        <v/>
      </c>
      <c r="DD187" s="5">
        <f>INDEX(Projects[Act Mech Eng (wks)],186)</f>
        <v/>
      </c>
      <c r="DE187" s="5">
        <f>INDEX(Projects[Act Controls Eng (wks)],186)</f>
        <v/>
      </c>
      <c r="DF187" s="5">
        <f>INDEX(Projects[Act Systems Eng (wks)],186)</f>
        <v/>
      </c>
      <c r="DG187" s="5">
        <f>INDEX(Projects[Act Software Eng (wks)],186)</f>
        <v/>
      </c>
      <c r="DH187" s="5">
        <f>INDEX(Projects[Act M&amp;E Installation (wks)],186)</f>
        <v/>
      </c>
      <c r="DI187" s="5">
        <f>INDEX(Projects[Act Commissioning (wks)],186)</f>
        <v/>
      </c>
      <c r="DJ187" s="5">
        <f>INDEX(Projects[Act Total (wks)],186)</f>
        <v/>
      </c>
    </row>
    <row r="188" ht="15" customHeight="1" s="82">
      <c r="A188" s="64">
        <f>INDEX(Projects[Project ID *],187)&amp;""</f>
        <v/>
      </c>
      <c r="B188" s="64">
        <f>INDEX(Projects[Project Name *],187)&amp;""</f>
        <v/>
      </c>
      <c r="C188" s="64">
        <f>INDEX(Projects[MS Shuttles],187)</f>
        <v/>
      </c>
      <c r="D188" s="64">
        <f>INDEX(Projects[MS Tote Locations],187)</f>
        <v/>
      </c>
      <c r="E188" s="64">
        <f>INDEX(Projects[AS Robots],187)</f>
        <v/>
      </c>
      <c r="F188" s="64">
        <f>INDEX(Projects[AS Tote Locations],187)</f>
        <v/>
      </c>
      <c r="G188" s="64">
        <f>INDEX(Projects[PS Shuttles],187)</f>
        <v/>
      </c>
      <c r="H188" s="64">
        <f>INDEX(Projects[PS Pallet Locations],187)</f>
        <v/>
      </c>
      <c r="I188" s="64">
        <f>INDEX(Projects[SRM Cranes],187)</f>
        <v/>
      </c>
      <c r="J188" s="64">
        <f>INDEX(Projects[SRM Pallet Locations],187)</f>
        <v/>
      </c>
      <c r="K188" s="64">
        <f>INDEX(Projects[Case Conv (m)],187)</f>
        <v/>
      </c>
      <c r="L188" s="64">
        <f>INDEX(Projects[Pallet Conv (m)],187)</f>
        <v/>
      </c>
      <c r="M188" s="64">
        <f>IF(N(DJ188)&gt;0,DD188,CW188)</f>
        <v/>
      </c>
      <c r="N188" s="64">
        <f>IF(N(DJ188)&gt;0,DE188,CX188)</f>
        <v/>
      </c>
      <c r="O188" s="64">
        <f>IF(N(DJ188)&gt;0,DF188,CY188)</f>
        <v/>
      </c>
      <c r="P188" s="64">
        <f>IF(N(DJ188)&gt;0,DG188,CZ188)</f>
        <v/>
      </c>
      <c r="Q188" s="64">
        <f>IF(N(DJ188)&gt;0,DH188,DA188)</f>
        <v/>
      </c>
      <c r="R188" s="64">
        <f>IF(N(DJ188)&gt;0,DI188,DB188)</f>
        <v/>
      </c>
      <c r="S188" s="64">
        <f>IF(N(DJ188)&gt;0,DJ188,DC188)</f>
        <v/>
      </c>
      <c r="T188" s="64">
        <f>INDEX(Projects[Currency],187)&amp;""</f>
        <v/>
      </c>
      <c r="U188" s="65">
        <f>INDEX(Projects[Sold Value (M)],187)</f>
        <v/>
      </c>
      <c r="V188" s="64">
        <f>IF('Smart Search'!B13=1,IFERROR(1/'Smart Search'!H13,0),0)</f>
        <v/>
      </c>
      <c r="W188" s="64">
        <f>IF('Smart Search'!B13=1,IFERROR(1/'Smart Search'!H13,0),0)</f>
        <v/>
      </c>
      <c r="X188" s="64">
        <f>IF('Smart Search'!C13=1,IFERROR(1/'Smart Search'!H13,0),0)</f>
        <v/>
      </c>
      <c r="Y188" s="64">
        <f>IF('Smart Search'!C13=1,IFERROR(1/'Smart Search'!H13,0),0)</f>
        <v/>
      </c>
      <c r="Z188" s="64">
        <f>IF('Smart Search'!D13=1,IFERROR(1/'Smart Search'!H13,0),0)</f>
        <v/>
      </c>
      <c r="AA188" s="64">
        <f>IF('Smart Search'!D13=1,IFERROR(1/'Smart Search'!H13,0),0)</f>
        <v/>
      </c>
      <c r="AB188" s="64">
        <f>IF('Smart Search'!E13=1,IFERROR(1/'Smart Search'!H13,0),0)</f>
        <v/>
      </c>
      <c r="AC188" s="64">
        <f>IF('Smart Search'!E13=1,IFERROR(1/'Smart Search'!H13,0),0)</f>
        <v/>
      </c>
      <c r="AD188" s="64">
        <f>IF('Smart Search'!F13=1,IFERROR(1/'Smart Search'!H13,0),0)</f>
        <v/>
      </c>
      <c r="AE188" s="64">
        <f>IF('Smart Search'!F13=1,IFERROR(1/'Smart Search'!H13,0),0)</f>
        <v/>
      </c>
      <c r="AF188" s="64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4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4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4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4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4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4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4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4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4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4">
        <f>AF188*V188</f>
        <v/>
      </c>
      <c r="AQ188" s="64">
        <f>AG188*W188</f>
        <v/>
      </c>
      <c r="AR188" s="64">
        <f>AH188*X188</f>
        <v/>
      </c>
      <c r="AS188" s="64">
        <f>AI188*Y188</f>
        <v/>
      </c>
      <c r="AT188" s="64">
        <f>AJ188*Z188</f>
        <v/>
      </c>
      <c r="AU188" s="64">
        <f>AK188*AA188</f>
        <v/>
      </c>
      <c r="AV188" s="64">
        <f>AL188*AB188</f>
        <v/>
      </c>
      <c r="AW188" s="64">
        <f>AM188*AC188</f>
        <v/>
      </c>
      <c r="AX188" s="64">
        <f>AN188*AD188</f>
        <v/>
      </c>
      <c r="AY188" s="64">
        <f>AO188*AE188</f>
        <v/>
      </c>
      <c r="AZ188" s="64">
        <f>INDEX(Projects[Automation Equipment],187)&amp;""</f>
        <v/>
      </c>
      <c r="BA188" s="64">
        <f>IF(OR(A188="",'Smart Search'!H13=0),"",MAX(0,BE188*BF188*MAX(0,1-BG188)))</f>
        <v/>
      </c>
      <c r="BB188" s="64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4">
        <f>IF('Smart Search'!G13=1,IFERROR(1/'Smart Search'!H13,0),0)</f>
        <v/>
      </c>
      <c r="BD188" s="64">
        <f>BB188*BC188</f>
        <v/>
      </c>
      <c r="BE188" s="64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IF(A188="","",N(INDEX(Projects[Act Mech Inst],187)))</f>
        <v/>
      </c>
      <c r="BK188" s="5">
        <f>IF(A188="","",N(INDEX(Projects[Act Elec Inst],187)))</f>
        <v/>
      </c>
      <c r="BL188" s="5">
        <f>IF(A188="","",N(INDEX(Projects[Act Project Management],187)))</f>
        <v/>
      </c>
      <c r="BM188" s="5">
        <f>IF(A188="","",N(INDEX(Projects[Act Systems Eng],187)))</f>
        <v/>
      </c>
      <c r="BN188" s="5">
        <f>IF(A188="","",N(INDEX(Projects[Act Mechanical Eng],187)))</f>
        <v/>
      </c>
      <c r="BO188" s="5">
        <f>IF(A188="","",N(INDEX(Projects[Act Structural Engineering],187)))</f>
        <v/>
      </c>
      <c r="BP188" s="5">
        <f>IF(A188="","",N(INDEX(Projects[Act Site Sup],187)))</f>
        <v/>
      </c>
      <c r="BQ188" s="5">
        <f>IF(A188="","",N(INDEX(Projects[Act Controls Commissioning],187)))</f>
        <v/>
      </c>
      <c r="BR188" s="5">
        <f>IF(A188="","",N(INDEX(Projects[Act Systems Commissioning],187)))</f>
        <v/>
      </c>
      <c r="BS188" s="5">
        <f>IF(A188="","",N(INDEX(Projects[Act Service Commissioning],187)))</f>
        <v/>
      </c>
      <c r="BT188" s="5">
        <f>IF(A188="","",N(INDEX(Projects[Act Controls Eng],187)))</f>
        <v/>
      </c>
      <c r="BU188" s="5">
        <f>IF(A188="","",N(INDEX(Projects[Act Controls Purchase],187)))</f>
        <v/>
      </c>
      <c r="BV188" s="5">
        <f>IF(A188="","",N(INDEX(Projects[Act Software Eng],187)))</f>
        <v/>
      </c>
      <c r="BW188" s="5">
        <f>IF(A188="","",N(INDEX(Projects[Act 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INDEX(Projects[Sold Value (USD M)],187)</f>
        <v/>
      </c>
      <c r="CE188" s="5" t="n"/>
      <c r="CF188" s="5">
        <f>IF(A188="","",N(INDEX(Projects[Est Mech Inst],187)))</f>
        <v/>
      </c>
      <c r="CG188" s="5">
        <f>IF(A188="","",N(INDEX(Projects[Est Elec Inst],187)))</f>
        <v/>
      </c>
      <c r="CH188" s="5">
        <f>IF(A188="","",N(INDEX(Projects[Est Project Management],187)))</f>
        <v/>
      </c>
      <c r="CI188" s="5">
        <f>IF(A188="","",N(INDEX(Projects[Est Systems Eng],187)))</f>
        <v/>
      </c>
      <c r="CJ188" s="5">
        <f>IF(A188="","",N(INDEX(Projects[Est Mechanical Eng],187)))</f>
        <v/>
      </c>
      <c r="CK188" s="5">
        <f>IF(A188="","",N(INDEX(Projects[Est Structural Engineering],187)))</f>
        <v/>
      </c>
      <c r="CL188" s="5">
        <f>IF(A188="","",N(INDEX(Projects[Est Site Sup],187)))</f>
        <v/>
      </c>
      <c r="CM188" s="5">
        <f>IF(A188="","",N(INDEX(Projects[Est Controls Commissioning],187)))</f>
        <v/>
      </c>
      <c r="CN188" s="5">
        <f>IF(A188="","",N(INDEX(Projects[Est Systems Commissioning],187)))</f>
        <v/>
      </c>
      <c r="CO188" s="5">
        <f>IF(A188="","",N(INDEX(Projects[Est Service Commissioning],187)))</f>
        <v/>
      </c>
      <c r="CP188" s="5">
        <f>IF(A188="","",N(INDEX(Projects[Est Controls Eng],187)))</f>
        <v/>
      </c>
      <c r="CQ188" s="5">
        <f>IF(A188="","",N(INDEX(Projects[Est Controls Purchase],187)))</f>
        <v/>
      </c>
      <c r="CR188" s="5">
        <f>IF(A188="","",N(INDEX(Projects[Est Software Eng],187)))</f>
        <v/>
      </c>
      <c r="CS188" s="5">
        <f>IF(A188="","",N(INDEX(Projects[Est Misc],187)))</f>
        <v/>
      </c>
      <c r="CT188" s="5">
        <f>IF(A188="","",SUM(CF188:CS188))</f>
        <v/>
      </c>
      <c r="CU188" s="5">
        <f>INDEX(Projects[Est Cost (M)],187)</f>
        <v/>
      </c>
      <c r="CV188" s="5">
        <f>INDEX(Projects[Act Cost (M)],187)</f>
        <v/>
      </c>
      <c r="CW188" s="5">
        <f>INDEX(Projects[Plan Mech Eng (wks)],187)</f>
        <v/>
      </c>
      <c r="CX188" s="5">
        <f>INDEX(Projects[Plan Controls Eng (wks)],187)</f>
        <v/>
      </c>
      <c r="CY188" s="5">
        <f>INDEX(Projects[Plan Systems Eng (wks)],187)</f>
        <v/>
      </c>
      <c r="CZ188" s="5">
        <f>INDEX(Projects[Plan Software Eng (wks)],187)</f>
        <v/>
      </c>
      <c r="DA188" s="5">
        <f>INDEX(Projects[Plan M&amp;E Installation (wks)],187)</f>
        <v/>
      </c>
      <c r="DB188" s="5">
        <f>INDEX(Projects[Plan Commissioning (wks)],187)</f>
        <v/>
      </c>
      <c r="DC188" s="5">
        <f>INDEX(Projects[Plan Total (wks)],187)</f>
        <v/>
      </c>
      <c r="DD188" s="5">
        <f>INDEX(Projects[Act Mech Eng (wks)],187)</f>
        <v/>
      </c>
      <c r="DE188" s="5">
        <f>INDEX(Projects[Act Controls Eng (wks)],187)</f>
        <v/>
      </c>
      <c r="DF188" s="5">
        <f>INDEX(Projects[Act Systems Eng (wks)],187)</f>
        <v/>
      </c>
      <c r="DG188" s="5">
        <f>INDEX(Projects[Act Software Eng (wks)],187)</f>
        <v/>
      </c>
      <c r="DH188" s="5">
        <f>INDEX(Projects[Act M&amp;E Installation (wks)],187)</f>
        <v/>
      </c>
      <c r="DI188" s="5">
        <f>INDEX(Projects[Act Commissioning (wks)],187)</f>
        <v/>
      </c>
      <c r="DJ188" s="5">
        <f>INDEX(Projects[Act Total (wks)],187)</f>
        <v/>
      </c>
    </row>
    <row r="189" ht="15" customHeight="1" s="82">
      <c r="A189" s="64">
        <f>INDEX(Projects[Project ID *],188)&amp;""</f>
        <v/>
      </c>
      <c r="B189" s="64">
        <f>INDEX(Projects[Project Name *],188)&amp;""</f>
        <v/>
      </c>
      <c r="C189" s="64">
        <f>INDEX(Projects[MS Shuttles],188)</f>
        <v/>
      </c>
      <c r="D189" s="64">
        <f>INDEX(Projects[MS Tote Locations],188)</f>
        <v/>
      </c>
      <c r="E189" s="64">
        <f>INDEX(Projects[AS Robots],188)</f>
        <v/>
      </c>
      <c r="F189" s="64">
        <f>INDEX(Projects[AS Tote Locations],188)</f>
        <v/>
      </c>
      <c r="G189" s="64">
        <f>INDEX(Projects[PS Shuttles],188)</f>
        <v/>
      </c>
      <c r="H189" s="64">
        <f>INDEX(Projects[PS Pallet Locations],188)</f>
        <v/>
      </c>
      <c r="I189" s="64">
        <f>INDEX(Projects[SRM Cranes],188)</f>
        <v/>
      </c>
      <c r="J189" s="64">
        <f>INDEX(Projects[SRM Pallet Locations],188)</f>
        <v/>
      </c>
      <c r="K189" s="64">
        <f>INDEX(Projects[Case Conv (m)],188)</f>
        <v/>
      </c>
      <c r="L189" s="64">
        <f>INDEX(Projects[Pallet Conv (m)],188)</f>
        <v/>
      </c>
      <c r="M189" s="64">
        <f>IF(N(DJ189)&gt;0,DD189,CW189)</f>
        <v/>
      </c>
      <c r="N189" s="64">
        <f>IF(N(DJ189)&gt;0,DE189,CX189)</f>
        <v/>
      </c>
      <c r="O189" s="64">
        <f>IF(N(DJ189)&gt;0,DF189,CY189)</f>
        <v/>
      </c>
      <c r="P189" s="64">
        <f>IF(N(DJ189)&gt;0,DG189,CZ189)</f>
        <v/>
      </c>
      <c r="Q189" s="64">
        <f>IF(N(DJ189)&gt;0,DH189,DA189)</f>
        <v/>
      </c>
      <c r="R189" s="64">
        <f>IF(N(DJ189)&gt;0,DI189,DB189)</f>
        <v/>
      </c>
      <c r="S189" s="64">
        <f>IF(N(DJ189)&gt;0,DJ189,DC189)</f>
        <v/>
      </c>
      <c r="T189" s="64">
        <f>INDEX(Projects[Currency],188)&amp;""</f>
        <v/>
      </c>
      <c r="U189" s="65">
        <f>INDEX(Projects[Sold Value (M)],188)</f>
        <v/>
      </c>
      <c r="V189" s="64">
        <f>IF('Smart Search'!B13=1,IFERROR(1/'Smart Search'!H13,0),0)</f>
        <v/>
      </c>
      <c r="W189" s="64">
        <f>IF('Smart Search'!B13=1,IFERROR(1/'Smart Search'!H13,0),0)</f>
        <v/>
      </c>
      <c r="X189" s="64">
        <f>IF('Smart Search'!C13=1,IFERROR(1/'Smart Search'!H13,0),0)</f>
        <v/>
      </c>
      <c r="Y189" s="64">
        <f>IF('Smart Search'!C13=1,IFERROR(1/'Smart Search'!H13,0),0)</f>
        <v/>
      </c>
      <c r="Z189" s="64">
        <f>IF('Smart Search'!D13=1,IFERROR(1/'Smart Search'!H13,0),0)</f>
        <v/>
      </c>
      <c r="AA189" s="64">
        <f>IF('Smart Search'!D13=1,IFERROR(1/'Smart Search'!H13,0),0)</f>
        <v/>
      </c>
      <c r="AB189" s="64">
        <f>IF('Smart Search'!E13=1,IFERROR(1/'Smart Search'!H13,0),0)</f>
        <v/>
      </c>
      <c r="AC189" s="64">
        <f>IF('Smart Search'!E13=1,IFERROR(1/'Smart Search'!H13,0),0)</f>
        <v/>
      </c>
      <c r="AD189" s="64">
        <f>IF('Smart Search'!F13=1,IFERROR(1/'Smart Search'!H13,0),0)</f>
        <v/>
      </c>
      <c r="AE189" s="64">
        <f>IF('Smart Search'!F13=1,IFERROR(1/'Smart Search'!H13,0),0)</f>
        <v/>
      </c>
      <c r="AF189" s="64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4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4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4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4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4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4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4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4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4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4">
        <f>AF189*V189</f>
        <v/>
      </c>
      <c r="AQ189" s="64">
        <f>AG189*W189</f>
        <v/>
      </c>
      <c r="AR189" s="64">
        <f>AH189*X189</f>
        <v/>
      </c>
      <c r="AS189" s="64">
        <f>AI189*Y189</f>
        <v/>
      </c>
      <c r="AT189" s="64">
        <f>AJ189*Z189</f>
        <v/>
      </c>
      <c r="AU189" s="64">
        <f>AK189*AA189</f>
        <v/>
      </c>
      <c r="AV189" s="64">
        <f>AL189*AB189</f>
        <v/>
      </c>
      <c r="AW189" s="64">
        <f>AM189*AC189</f>
        <v/>
      </c>
      <c r="AX189" s="64">
        <f>AN189*AD189</f>
        <v/>
      </c>
      <c r="AY189" s="64">
        <f>AO189*AE189</f>
        <v/>
      </c>
      <c r="AZ189" s="64">
        <f>INDEX(Projects[Automation Equipment],188)&amp;""</f>
        <v/>
      </c>
      <c r="BA189" s="64">
        <f>IF(OR(A189="",'Smart Search'!H13=0),"",MAX(0,BE189*BF189*MAX(0,1-BG189)))</f>
        <v/>
      </c>
      <c r="BB189" s="64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4">
        <f>IF('Smart Search'!G13=1,IFERROR(1/'Smart Search'!H13,0),0)</f>
        <v/>
      </c>
      <c r="BD189" s="64">
        <f>BB189*BC189</f>
        <v/>
      </c>
      <c r="BE189" s="64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IF(A189="","",N(INDEX(Projects[Act Mech Inst],188)))</f>
        <v/>
      </c>
      <c r="BK189" s="5">
        <f>IF(A189="","",N(INDEX(Projects[Act Elec Inst],188)))</f>
        <v/>
      </c>
      <c r="BL189" s="5">
        <f>IF(A189="","",N(INDEX(Projects[Act Project Management],188)))</f>
        <v/>
      </c>
      <c r="BM189" s="5">
        <f>IF(A189="","",N(INDEX(Projects[Act Systems Eng],188)))</f>
        <v/>
      </c>
      <c r="BN189" s="5">
        <f>IF(A189="","",N(INDEX(Projects[Act Mechanical Eng],188)))</f>
        <v/>
      </c>
      <c r="BO189" s="5">
        <f>IF(A189="","",N(INDEX(Projects[Act Structural Engineering],188)))</f>
        <v/>
      </c>
      <c r="BP189" s="5">
        <f>IF(A189="","",N(INDEX(Projects[Act Site Sup],188)))</f>
        <v/>
      </c>
      <c r="BQ189" s="5">
        <f>IF(A189="","",N(INDEX(Projects[Act Controls Commissioning],188)))</f>
        <v/>
      </c>
      <c r="BR189" s="5">
        <f>IF(A189="","",N(INDEX(Projects[Act Systems Commissioning],188)))</f>
        <v/>
      </c>
      <c r="BS189" s="5">
        <f>IF(A189="","",N(INDEX(Projects[Act Service Commissioning],188)))</f>
        <v/>
      </c>
      <c r="BT189" s="5">
        <f>IF(A189="","",N(INDEX(Projects[Act Controls Eng],188)))</f>
        <v/>
      </c>
      <c r="BU189" s="5">
        <f>IF(A189="","",N(INDEX(Projects[Act Controls Purchase],188)))</f>
        <v/>
      </c>
      <c r="BV189" s="5">
        <f>IF(A189="","",N(INDEX(Projects[Act Software Eng],188)))</f>
        <v/>
      </c>
      <c r="BW189" s="5">
        <f>IF(A189="","",N(INDEX(Projects[Act 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INDEX(Projects[Sold Value (USD M)],188)</f>
        <v/>
      </c>
      <c r="CE189" s="5" t="n"/>
      <c r="CF189" s="5">
        <f>IF(A189="","",N(INDEX(Projects[Est Mech Inst],188)))</f>
        <v/>
      </c>
      <c r="CG189" s="5">
        <f>IF(A189="","",N(INDEX(Projects[Est Elec Inst],188)))</f>
        <v/>
      </c>
      <c r="CH189" s="5">
        <f>IF(A189="","",N(INDEX(Projects[Est Project Management],188)))</f>
        <v/>
      </c>
      <c r="CI189" s="5">
        <f>IF(A189="","",N(INDEX(Projects[Est Systems Eng],188)))</f>
        <v/>
      </c>
      <c r="CJ189" s="5">
        <f>IF(A189="","",N(INDEX(Projects[Est Mechanical Eng],188)))</f>
        <v/>
      </c>
      <c r="CK189" s="5">
        <f>IF(A189="","",N(INDEX(Projects[Est Structural Engineering],188)))</f>
        <v/>
      </c>
      <c r="CL189" s="5">
        <f>IF(A189="","",N(INDEX(Projects[Est Site Sup],188)))</f>
        <v/>
      </c>
      <c r="CM189" s="5">
        <f>IF(A189="","",N(INDEX(Projects[Est Controls Commissioning],188)))</f>
        <v/>
      </c>
      <c r="CN189" s="5">
        <f>IF(A189="","",N(INDEX(Projects[Est Systems Commissioning],188)))</f>
        <v/>
      </c>
      <c r="CO189" s="5">
        <f>IF(A189="","",N(INDEX(Projects[Est Service Commissioning],188)))</f>
        <v/>
      </c>
      <c r="CP189" s="5">
        <f>IF(A189="","",N(INDEX(Projects[Est Controls Eng],188)))</f>
        <v/>
      </c>
      <c r="CQ189" s="5">
        <f>IF(A189="","",N(INDEX(Projects[Est Controls Purchase],188)))</f>
        <v/>
      </c>
      <c r="CR189" s="5">
        <f>IF(A189="","",N(INDEX(Projects[Est Software Eng],188)))</f>
        <v/>
      </c>
      <c r="CS189" s="5">
        <f>IF(A189="","",N(INDEX(Projects[Est Misc],188)))</f>
        <v/>
      </c>
      <c r="CT189" s="5">
        <f>IF(A189="","",SUM(CF189:CS189))</f>
        <v/>
      </c>
      <c r="CU189" s="5">
        <f>INDEX(Projects[Est Cost (M)],188)</f>
        <v/>
      </c>
      <c r="CV189" s="5">
        <f>INDEX(Projects[Act Cost (M)],188)</f>
        <v/>
      </c>
      <c r="CW189" s="5">
        <f>INDEX(Projects[Plan Mech Eng (wks)],188)</f>
        <v/>
      </c>
      <c r="CX189" s="5">
        <f>INDEX(Projects[Plan Controls Eng (wks)],188)</f>
        <v/>
      </c>
      <c r="CY189" s="5">
        <f>INDEX(Projects[Plan Systems Eng (wks)],188)</f>
        <v/>
      </c>
      <c r="CZ189" s="5">
        <f>INDEX(Projects[Plan Software Eng (wks)],188)</f>
        <v/>
      </c>
      <c r="DA189" s="5">
        <f>INDEX(Projects[Plan M&amp;E Installation (wks)],188)</f>
        <v/>
      </c>
      <c r="DB189" s="5">
        <f>INDEX(Projects[Plan Commissioning (wks)],188)</f>
        <v/>
      </c>
      <c r="DC189" s="5">
        <f>INDEX(Projects[Plan Total (wks)],188)</f>
        <v/>
      </c>
      <c r="DD189" s="5">
        <f>INDEX(Projects[Act Mech Eng (wks)],188)</f>
        <v/>
      </c>
      <c r="DE189" s="5">
        <f>INDEX(Projects[Act Controls Eng (wks)],188)</f>
        <v/>
      </c>
      <c r="DF189" s="5">
        <f>INDEX(Projects[Act Systems Eng (wks)],188)</f>
        <v/>
      </c>
      <c r="DG189" s="5">
        <f>INDEX(Projects[Act Software Eng (wks)],188)</f>
        <v/>
      </c>
      <c r="DH189" s="5">
        <f>INDEX(Projects[Act M&amp;E Installation (wks)],188)</f>
        <v/>
      </c>
      <c r="DI189" s="5">
        <f>INDEX(Projects[Act Commissioning (wks)],188)</f>
        <v/>
      </c>
      <c r="DJ189" s="5">
        <f>INDEX(Projects[Act Total (wks)],188)</f>
        <v/>
      </c>
    </row>
    <row r="190" ht="15" customHeight="1" s="82">
      <c r="A190" s="64">
        <f>INDEX(Projects[Project ID *],189)&amp;""</f>
        <v/>
      </c>
      <c r="B190" s="64">
        <f>INDEX(Projects[Project Name *],189)&amp;""</f>
        <v/>
      </c>
      <c r="C190" s="64">
        <f>INDEX(Projects[MS Shuttles],189)</f>
        <v/>
      </c>
      <c r="D190" s="64">
        <f>INDEX(Projects[MS Tote Locations],189)</f>
        <v/>
      </c>
      <c r="E190" s="64">
        <f>INDEX(Projects[AS Robots],189)</f>
        <v/>
      </c>
      <c r="F190" s="64">
        <f>INDEX(Projects[AS Tote Locations],189)</f>
        <v/>
      </c>
      <c r="G190" s="64">
        <f>INDEX(Projects[PS Shuttles],189)</f>
        <v/>
      </c>
      <c r="H190" s="64">
        <f>INDEX(Projects[PS Pallet Locations],189)</f>
        <v/>
      </c>
      <c r="I190" s="64">
        <f>INDEX(Projects[SRM Cranes],189)</f>
        <v/>
      </c>
      <c r="J190" s="64">
        <f>INDEX(Projects[SRM Pallet Locations],189)</f>
        <v/>
      </c>
      <c r="K190" s="64">
        <f>INDEX(Projects[Case Conv (m)],189)</f>
        <v/>
      </c>
      <c r="L190" s="64">
        <f>INDEX(Projects[Pallet Conv (m)],189)</f>
        <v/>
      </c>
      <c r="M190" s="64">
        <f>IF(N(DJ190)&gt;0,DD190,CW190)</f>
        <v/>
      </c>
      <c r="N190" s="64">
        <f>IF(N(DJ190)&gt;0,DE190,CX190)</f>
        <v/>
      </c>
      <c r="O190" s="64">
        <f>IF(N(DJ190)&gt;0,DF190,CY190)</f>
        <v/>
      </c>
      <c r="P190" s="64">
        <f>IF(N(DJ190)&gt;0,DG190,CZ190)</f>
        <v/>
      </c>
      <c r="Q190" s="64">
        <f>IF(N(DJ190)&gt;0,DH190,DA190)</f>
        <v/>
      </c>
      <c r="R190" s="64">
        <f>IF(N(DJ190)&gt;0,DI190,DB190)</f>
        <v/>
      </c>
      <c r="S190" s="64">
        <f>IF(N(DJ190)&gt;0,DJ190,DC190)</f>
        <v/>
      </c>
      <c r="T190" s="64">
        <f>INDEX(Projects[Currency],189)&amp;""</f>
        <v/>
      </c>
      <c r="U190" s="65">
        <f>INDEX(Projects[Sold Value (M)],189)</f>
        <v/>
      </c>
      <c r="V190" s="64">
        <f>IF('Smart Search'!B13=1,IFERROR(1/'Smart Search'!H13,0),0)</f>
        <v/>
      </c>
      <c r="W190" s="64">
        <f>IF('Smart Search'!B13=1,IFERROR(1/'Smart Search'!H13,0),0)</f>
        <v/>
      </c>
      <c r="X190" s="64">
        <f>IF('Smart Search'!C13=1,IFERROR(1/'Smart Search'!H13,0),0)</f>
        <v/>
      </c>
      <c r="Y190" s="64">
        <f>IF('Smart Search'!C13=1,IFERROR(1/'Smart Search'!H13,0),0)</f>
        <v/>
      </c>
      <c r="Z190" s="64">
        <f>IF('Smart Search'!D13=1,IFERROR(1/'Smart Search'!H13,0),0)</f>
        <v/>
      </c>
      <c r="AA190" s="64">
        <f>IF('Smart Search'!D13=1,IFERROR(1/'Smart Search'!H13,0),0)</f>
        <v/>
      </c>
      <c r="AB190" s="64">
        <f>IF('Smart Search'!E13=1,IFERROR(1/'Smart Search'!H13,0),0)</f>
        <v/>
      </c>
      <c r="AC190" s="64">
        <f>IF('Smart Search'!E13=1,IFERROR(1/'Smart Search'!H13,0),0)</f>
        <v/>
      </c>
      <c r="AD190" s="64">
        <f>IF('Smart Search'!F13=1,IFERROR(1/'Smart Search'!H13,0),0)</f>
        <v/>
      </c>
      <c r="AE190" s="64">
        <f>IF('Smart Search'!F13=1,IFERROR(1/'Smart Search'!H13,0),0)</f>
        <v/>
      </c>
      <c r="AF190" s="64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4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4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4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4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4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4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4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4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4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4">
        <f>AF190*V190</f>
        <v/>
      </c>
      <c r="AQ190" s="64">
        <f>AG190*W190</f>
        <v/>
      </c>
      <c r="AR190" s="64">
        <f>AH190*X190</f>
        <v/>
      </c>
      <c r="AS190" s="64">
        <f>AI190*Y190</f>
        <v/>
      </c>
      <c r="AT190" s="64">
        <f>AJ190*Z190</f>
        <v/>
      </c>
      <c r="AU190" s="64">
        <f>AK190*AA190</f>
        <v/>
      </c>
      <c r="AV190" s="64">
        <f>AL190*AB190</f>
        <v/>
      </c>
      <c r="AW190" s="64">
        <f>AM190*AC190</f>
        <v/>
      </c>
      <c r="AX190" s="64">
        <f>AN190*AD190</f>
        <v/>
      </c>
      <c r="AY190" s="64">
        <f>AO190*AE190</f>
        <v/>
      </c>
      <c r="AZ190" s="64">
        <f>INDEX(Projects[Automation Equipment],189)&amp;""</f>
        <v/>
      </c>
      <c r="BA190" s="64">
        <f>IF(OR(A190="",'Smart Search'!H13=0),"",MAX(0,BE190*BF190*MAX(0,1-BG190)))</f>
        <v/>
      </c>
      <c r="BB190" s="64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4">
        <f>IF('Smart Search'!G13=1,IFERROR(1/'Smart Search'!H13,0),0)</f>
        <v/>
      </c>
      <c r="BD190" s="64">
        <f>BB190*BC190</f>
        <v/>
      </c>
      <c r="BE190" s="64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IF(A190="","",N(INDEX(Projects[Act Mech Inst],189)))</f>
        <v/>
      </c>
      <c r="BK190" s="5">
        <f>IF(A190="","",N(INDEX(Projects[Act Elec Inst],189)))</f>
        <v/>
      </c>
      <c r="BL190" s="5">
        <f>IF(A190="","",N(INDEX(Projects[Act Project Management],189)))</f>
        <v/>
      </c>
      <c r="BM190" s="5">
        <f>IF(A190="","",N(INDEX(Projects[Act Systems Eng],189)))</f>
        <v/>
      </c>
      <c r="BN190" s="5">
        <f>IF(A190="","",N(INDEX(Projects[Act Mechanical Eng],189)))</f>
        <v/>
      </c>
      <c r="BO190" s="5">
        <f>IF(A190="","",N(INDEX(Projects[Act Structural Engineering],189)))</f>
        <v/>
      </c>
      <c r="BP190" s="5">
        <f>IF(A190="","",N(INDEX(Projects[Act Site Sup],189)))</f>
        <v/>
      </c>
      <c r="BQ190" s="5">
        <f>IF(A190="","",N(INDEX(Projects[Act Controls Commissioning],189)))</f>
        <v/>
      </c>
      <c r="BR190" s="5">
        <f>IF(A190="","",N(INDEX(Projects[Act Systems Commissioning],189)))</f>
        <v/>
      </c>
      <c r="BS190" s="5">
        <f>IF(A190="","",N(INDEX(Projects[Act Service Commissioning],189)))</f>
        <v/>
      </c>
      <c r="BT190" s="5">
        <f>IF(A190="","",N(INDEX(Projects[Act Controls Eng],189)))</f>
        <v/>
      </c>
      <c r="BU190" s="5">
        <f>IF(A190="","",N(INDEX(Projects[Act Controls Purchase],189)))</f>
        <v/>
      </c>
      <c r="BV190" s="5">
        <f>IF(A190="","",N(INDEX(Projects[Act Software Eng],189)))</f>
        <v/>
      </c>
      <c r="BW190" s="5">
        <f>IF(A190="","",N(INDEX(Projects[Act 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INDEX(Projects[Sold Value (USD M)],189)</f>
        <v/>
      </c>
      <c r="CE190" s="5" t="n"/>
      <c r="CF190" s="5">
        <f>IF(A190="","",N(INDEX(Projects[Est Mech Inst],189)))</f>
        <v/>
      </c>
      <c r="CG190" s="5">
        <f>IF(A190="","",N(INDEX(Projects[Est Elec Inst],189)))</f>
        <v/>
      </c>
      <c r="CH190" s="5">
        <f>IF(A190="","",N(INDEX(Projects[Est Project Management],189)))</f>
        <v/>
      </c>
      <c r="CI190" s="5">
        <f>IF(A190="","",N(INDEX(Projects[Est Systems Eng],189)))</f>
        <v/>
      </c>
      <c r="CJ190" s="5">
        <f>IF(A190="","",N(INDEX(Projects[Est Mechanical Eng],189)))</f>
        <v/>
      </c>
      <c r="CK190" s="5">
        <f>IF(A190="","",N(INDEX(Projects[Est Structural Engineering],189)))</f>
        <v/>
      </c>
      <c r="CL190" s="5">
        <f>IF(A190="","",N(INDEX(Projects[Est Site Sup],189)))</f>
        <v/>
      </c>
      <c r="CM190" s="5">
        <f>IF(A190="","",N(INDEX(Projects[Est Controls Commissioning],189)))</f>
        <v/>
      </c>
      <c r="CN190" s="5">
        <f>IF(A190="","",N(INDEX(Projects[Est Systems Commissioning],189)))</f>
        <v/>
      </c>
      <c r="CO190" s="5">
        <f>IF(A190="","",N(INDEX(Projects[Est Service Commissioning],189)))</f>
        <v/>
      </c>
      <c r="CP190" s="5">
        <f>IF(A190="","",N(INDEX(Projects[Est Controls Eng],189)))</f>
        <v/>
      </c>
      <c r="CQ190" s="5">
        <f>IF(A190="","",N(INDEX(Projects[Est Controls Purchase],189)))</f>
        <v/>
      </c>
      <c r="CR190" s="5">
        <f>IF(A190="","",N(INDEX(Projects[Est Software Eng],189)))</f>
        <v/>
      </c>
      <c r="CS190" s="5">
        <f>IF(A190="","",N(INDEX(Projects[Est Misc],189)))</f>
        <v/>
      </c>
      <c r="CT190" s="5">
        <f>IF(A190="","",SUM(CF190:CS190))</f>
        <v/>
      </c>
      <c r="CU190" s="5">
        <f>INDEX(Projects[Est Cost (M)],189)</f>
        <v/>
      </c>
      <c r="CV190" s="5">
        <f>INDEX(Projects[Act Cost (M)],189)</f>
        <v/>
      </c>
      <c r="CW190" s="5">
        <f>INDEX(Projects[Plan Mech Eng (wks)],189)</f>
        <v/>
      </c>
      <c r="CX190" s="5">
        <f>INDEX(Projects[Plan Controls Eng (wks)],189)</f>
        <v/>
      </c>
      <c r="CY190" s="5">
        <f>INDEX(Projects[Plan Systems Eng (wks)],189)</f>
        <v/>
      </c>
      <c r="CZ190" s="5">
        <f>INDEX(Projects[Plan Software Eng (wks)],189)</f>
        <v/>
      </c>
      <c r="DA190" s="5">
        <f>INDEX(Projects[Plan M&amp;E Installation (wks)],189)</f>
        <v/>
      </c>
      <c r="DB190" s="5">
        <f>INDEX(Projects[Plan Commissioning (wks)],189)</f>
        <v/>
      </c>
      <c r="DC190" s="5">
        <f>INDEX(Projects[Plan Total (wks)],189)</f>
        <v/>
      </c>
      <c r="DD190" s="5">
        <f>INDEX(Projects[Act Mech Eng (wks)],189)</f>
        <v/>
      </c>
      <c r="DE190" s="5">
        <f>INDEX(Projects[Act Controls Eng (wks)],189)</f>
        <v/>
      </c>
      <c r="DF190" s="5">
        <f>INDEX(Projects[Act Systems Eng (wks)],189)</f>
        <v/>
      </c>
      <c r="DG190" s="5">
        <f>INDEX(Projects[Act Software Eng (wks)],189)</f>
        <v/>
      </c>
      <c r="DH190" s="5">
        <f>INDEX(Projects[Act M&amp;E Installation (wks)],189)</f>
        <v/>
      </c>
      <c r="DI190" s="5">
        <f>INDEX(Projects[Act Commissioning (wks)],189)</f>
        <v/>
      </c>
      <c r="DJ190" s="5">
        <f>INDEX(Projects[Act Total (wks)],189)</f>
        <v/>
      </c>
    </row>
    <row r="191" ht="15" customHeight="1" s="82">
      <c r="A191" s="64">
        <f>INDEX(Projects[Project ID *],190)&amp;""</f>
        <v/>
      </c>
      <c r="B191" s="64">
        <f>INDEX(Projects[Project Name *],190)&amp;""</f>
        <v/>
      </c>
      <c r="C191" s="64">
        <f>INDEX(Projects[MS Shuttles],190)</f>
        <v/>
      </c>
      <c r="D191" s="64">
        <f>INDEX(Projects[MS Tote Locations],190)</f>
        <v/>
      </c>
      <c r="E191" s="64">
        <f>INDEX(Projects[AS Robots],190)</f>
        <v/>
      </c>
      <c r="F191" s="64">
        <f>INDEX(Projects[AS Tote Locations],190)</f>
        <v/>
      </c>
      <c r="G191" s="64">
        <f>INDEX(Projects[PS Shuttles],190)</f>
        <v/>
      </c>
      <c r="H191" s="64">
        <f>INDEX(Projects[PS Pallet Locations],190)</f>
        <v/>
      </c>
      <c r="I191" s="64">
        <f>INDEX(Projects[SRM Cranes],190)</f>
        <v/>
      </c>
      <c r="J191" s="64">
        <f>INDEX(Projects[SRM Pallet Locations],190)</f>
        <v/>
      </c>
      <c r="K191" s="64">
        <f>INDEX(Projects[Case Conv (m)],190)</f>
        <v/>
      </c>
      <c r="L191" s="64">
        <f>INDEX(Projects[Pallet Conv (m)],190)</f>
        <v/>
      </c>
      <c r="M191" s="64">
        <f>IF(N(DJ191)&gt;0,DD191,CW191)</f>
        <v/>
      </c>
      <c r="N191" s="64">
        <f>IF(N(DJ191)&gt;0,DE191,CX191)</f>
        <v/>
      </c>
      <c r="O191" s="64">
        <f>IF(N(DJ191)&gt;0,DF191,CY191)</f>
        <v/>
      </c>
      <c r="P191" s="64">
        <f>IF(N(DJ191)&gt;0,DG191,CZ191)</f>
        <v/>
      </c>
      <c r="Q191" s="64">
        <f>IF(N(DJ191)&gt;0,DH191,DA191)</f>
        <v/>
      </c>
      <c r="R191" s="64">
        <f>IF(N(DJ191)&gt;0,DI191,DB191)</f>
        <v/>
      </c>
      <c r="S191" s="64">
        <f>IF(N(DJ191)&gt;0,DJ191,DC191)</f>
        <v/>
      </c>
      <c r="T191" s="64">
        <f>INDEX(Projects[Currency],190)&amp;""</f>
        <v/>
      </c>
      <c r="U191" s="65">
        <f>INDEX(Projects[Sold Value (M)],190)</f>
        <v/>
      </c>
      <c r="V191" s="64">
        <f>IF('Smart Search'!B13=1,IFERROR(1/'Smart Search'!H13,0),0)</f>
        <v/>
      </c>
      <c r="W191" s="64">
        <f>IF('Smart Search'!B13=1,IFERROR(1/'Smart Search'!H13,0),0)</f>
        <v/>
      </c>
      <c r="X191" s="64">
        <f>IF('Smart Search'!C13=1,IFERROR(1/'Smart Search'!H13,0),0)</f>
        <v/>
      </c>
      <c r="Y191" s="64">
        <f>IF('Smart Search'!C13=1,IFERROR(1/'Smart Search'!H13,0),0)</f>
        <v/>
      </c>
      <c r="Z191" s="64">
        <f>IF('Smart Search'!D13=1,IFERROR(1/'Smart Search'!H13,0),0)</f>
        <v/>
      </c>
      <c r="AA191" s="64">
        <f>IF('Smart Search'!D13=1,IFERROR(1/'Smart Search'!H13,0),0)</f>
        <v/>
      </c>
      <c r="AB191" s="64">
        <f>IF('Smart Search'!E13=1,IFERROR(1/'Smart Search'!H13,0),0)</f>
        <v/>
      </c>
      <c r="AC191" s="64">
        <f>IF('Smart Search'!E13=1,IFERROR(1/'Smart Search'!H13,0),0)</f>
        <v/>
      </c>
      <c r="AD191" s="64">
        <f>IF('Smart Search'!F13=1,IFERROR(1/'Smart Search'!H13,0),0)</f>
        <v/>
      </c>
      <c r="AE191" s="64">
        <f>IF('Smart Search'!F13=1,IFERROR(1/'Smart Search'!H13,0),0)</f>
        <v/>
      </c>
      <c r="AF191" s="64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4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4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4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4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4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4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4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4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4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4">
        <f>AF191*V191</f>
        <v/>
      </c>
      <c r="AQ191" s="64">
        <f>AG191*W191</f>
        <v/>
      </c>
      <c r="AR191" s="64">
        <f>AH191*X191</f>
        <v/>
      </c>
      <c r="AS191" s="64">
        <f>AI191*Y191</f>
        <v/>
      </c>
      <c r="AT191" s="64">
        <f>AJ191*Z191</f>
        <v/>
      </c>
      <c r="AU191" s="64">
        <f>AK191*AA191</f>
        <v/>
      </c>
      <c r="AV191" s="64">
        <f>AL191*AB191</f>
        <v/>
      </c>
      <c r="AW191" s="64">
        <f>AM191*AC191</f>
        <v/>
      </c>
      <c r="AX191" s="64">
        <f>AN191*AD191</f>
        <v/>
      </c>
      <c r="AY191" s="64">
        <f>AO191*AE191</f>
        <v/>
      </c>
      <c r="AZ191" s="64">
        <f>INDEX(Projects[Automation Equipment],190)&amp;""</f>
        <v/>
      </c>
      <c r="BA191" s="64">
        <f>IF(OR(A191="",'Smart Search'!H13=0),"",MAX(0,BE191*BF191*MAX(0,1-BG191)))</f>
        <v/>
      </c>
      <c r="BB191" s="64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4">
        <f>IF('Smart Search'!G13=1,IFERROR(1/'Smart Search'!H13,0),0)</f>
        <v/>
      </c>
      <c r="BD191" s="64">
        <f>BB191*BC191</f>
        <v/>
      </c>
      <c r="BE191" s="64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IF(A191="","",N(INDEX(Projects[Act Mech Inst],190)))</f>
        <v/>
      </c>
      <c r="BK191" s="5">
        <f>IF(A191="","",N(INDEX(Projects[Act Elec Inst],190)))</f>
        <v/>
      </c>
      <c r="BL191" s="5">
        <f>IF(A191="","",N(INDEX(Projects[Act Project Management],190)))</f>
        <v/>
      </c>
      <c r="BM191" s="5">
        <f>IF(A191="","",N(INDEX(Projects[Act Systems Eng],190)))</f>
        <v/>
      </c>
      <c r="BN191" s="5">
        <f>IF(A191="","",N(INDEX(Projects[Act Mechanical Eng],190)))</f>
        <v/>
      </c>
      <c r="BO191" s="5">
        <f>IF(A191="","",N(INDEX(Projects[Act Structural Engineering],190)))</f>
        <v/>
      </c>
      <c r="BP191" s="5">
        <f>IF(A191="","",N(INDEX(Projects[Act Site Sup],190)))</f>
        <v/>
      </c>
      <c r="BQ191" s="5">
        <f>IF(A191="","",N(INDEX(Projects[Act Controls Commissioning],190)))</f>
        <v/>
      </c>
      <c r="BR191" s="5">
        <f>IF(A191="","",N(INDEX(Projects[Act Systems Commissioning],190)))</f>
        <v/>
      </c>
      <c r="BS191" s="5">
        <f>IF(A191="","",N(INDEX(Projects[Act Service Commissioning],190)))</f>
        <v/>
      </c>
      <c r="BT191" s="5">
        <f>IF(A191="","",N(INDEX(Projects[Act Controls Eng],190)))</f>
        <v/>
      </c>
      <c r="BU191" s="5">
        <f>IF(A191="","",N(INDEX(Projects[Act Controls Purchase],190)))</f>
        <v/>
      </c>
      <c r="BV191" s="5">
        <f>IF(A191="","",N(INDEX(Projects[Act Software Eng],190)))</f>
        <v/>
      </c>
      <c r="BW191" s="5">
        <f>IF(A191="","",N(INDEX(Projects[Act 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INDEX(Projects[Sold Value (USD M)],190)</f>
        <v/>
      </c>
      <c r="CE191" s="5" t="n"/>
      <c r="CF191" s="5">
        <f>IF(A191="","",N(INDEX(Projects[Est Mech Inst],190)))</f>
        <v/>
      </c>
      <c r="CG191" s="5">
        <f>IF(A191="","",N(INDEX(Projects[Est Elec Inst],190)))</f>
        <v/>
      </c>
      <c r="CH191" s="5">
        <f>IF(A191="","",N(INDEX(Projects[Est Project Management],190)))</f>
        <v/>
      </c>
      <c r="CI191" s="5">
        <f>IF(A191="","",N(INDEX(Projects[Est Systems Eng],190)))</f>
        <v/>
      </c>
      <c r="CJ191" s="5">
        <f>IF(A191="","",N(INDEX(Projects[Est Mechanical Eng],190)))</f>
        <v/>
      </c>
      <c r="CK191" s="5">
        <f>IF(A191="","",N(INDEX(Projects[Est Structural Engineering],190)))</f>
        <v/>
      </c>
      <c r="CL191" s="5">
        <f>IF(A191="","",N(INDEX(Projects[Est Site Sup],190)))</f>
        <v/>
      </c>
      <c r="CM191" s="5">
        <f>IF(A191="","",N(INDEX(Projects[Est Controls Commissioning],190)))</f>
        <v/>
      </c>
      <c r="CN191" s="5">
        <f>IF(A191="","",N(INDEX(Projects[Est Systems Commissioning],190)))</f>
        <v/>
      </c>
      <c r="CO191" s="5">
        <f>IF(A191="","",N(INDEX(Projects[Est Service Commissioning],190)))</f>
        <v/>
      </c>
      <c r="CP191" s="5">
        <f>IF(A191="","",N(INDEX(Projects[Est Controls Eng],190)))</f>
        <v/>
      </c>
      <c r="CQ191" s="5">
        <f>IF(A191="","",N(INDEX(Projects[Est Controls Purchase],190)))</f>
        <v/>
      </c>
      <c r="CR191" s="5">
        <f>IF(A191="","",N(INDEX(Projects[Est Software Eng],190)))</f>
        <v/>
      </c>
      <c r="CS191" s="5">
        <f>IF(A191="","",N(INDEX(Projects[Est Misc],190)))</f>
        <v/>
      </c>
      <c r="CT191" s="5">
        <f>IF(A191="","",SUM(CF191:CS191))</f>
        <v/>
      </c>
      <c r="CU191" s="5">
        <f>INDEX(Projects[Est Cost (M)],190)</f>
        <v/>
      </c>
      <c r="CV191" s="5">
        <f>INDEX(Projects[Act Cost (M)],190)</f>
        <v/>
      </c>
      <c r="CW191" s="5">
        <f>INDEX(Projects[Plan Mech Eng (wks)],190)</f>
        <v/>
      </c>
      <c r="CX191" s="5">
        <f>INDEX(Projects[Plan Controls Eng (wks)],190)</f>
        <v/>
      </c>
      <c r="CY191" s="5">
        <f>INDEX(Projects[Plan Systems Eng (wks)],190)</f>
        <v/>
      </c>
      <c r="CZ191" s="5">
        <f>INDEX(Projects[Plan Software Eng (wks)],190)</f>
        <v/>
      </c>
      <c r="DA191" s="5">
        <f>INDEX(Projects[Plan M&amp;E Installation (wks)],190)</f>
        <v/>
      </c>
      <c r="DB191" s="5">
        <f>INDEX(Projects[Plan Commissioning (wks)],190)</f>
        <v/>
      </c>
      <c r="DC191" s="5">
        <f>INDEX(Projects[Plan Total (wks)],190)</f>
        <v/>
      </c>
      <c r="DD191" s="5">
        <f>INDEX(Projects[Act Mech Eng (wks)],190)</f>
        <v/>
      </c>
      <c r="DE191" s="5">
        <f>INDEX(Projects[Act Controls Eng (wks)],190)</f>
        <v/>
      </c>
      <c r="DF191" s="5">
        <f>INDEX(Projects[Act Systems Eng (wks)],190)</f>
        <v/>
      </c>
      <c r="DG191" s="5">
        <f>INDEX(Projects[Act Software Eng (wks)],190)</f>
        <v/>
      </c>
      <c r="DH191" s="5">
        <f>INDEX(Projects[Act M&amp;E Installation (wks)],190)</f>
        <v/>
      </c>
      <c r="DI191" s="5">
        <f>INDEX(Projects[Act Commissioning (wks)],190)</f>
        <v/>
      </c>
      <c r="DJ191" s="5">
        <f>INDEX(Projects[Act Total (wks)],190)</f>
        <v/>
      </c>
    </row>
    <row r="192" ht="15" customHeight="1" s="82">
      <c r="A192" s="64">
        <f>INDEX(Projects[Project ID *],191)&amp;""</f>
        <v/>
      </c>
      <c r="B192" s="64">
        <f>INDEX(Projects[Project Name *],191)&amp;""</f>
        <v/>
      </c>
      <c r="C192" s="64">
        <f>INDEX(Projects[MS Shuttles],191)</f>
        <v/>
      </c>
      <c r="D192" s="64">
        <f>INDEX(Projects[MS Tote Locations],191)</f>
        <v/>
      </c>
      <c r="E192" s="64">
        <f>INDEX(Projects[AS Robots],191)</f>
        <v/>
      </c>
      <c r="F192" s="64">
        <f>INDEX(Projects[AS Tote Locations],191)</f>
        <v/>
      </c>
      <c r="G192" s="64">
        <f>INDEX(Projects[PS Shuttles],191)</f>
        <v/>
      </c>
      <c r="H192" s="64">
        <f>INDEX(Projects[PS Pallet Locations],191)</f>
        <v/>
      </c>
      <c r="I192" s="64">
        <f>INDEX(Projects[SRM Cranes],191)</f>
        <v/>
      </c>
      <c r="J192" s="64">
        <f>INDEX(Projects[SRM Pallet Locations],191)</f>
        <v/>
      </c>
      <c r="K192" s="64">
        <f>INDEX(Projects[Case Conv (m)],191)</f>
        <v/>
      </c>
      <c r="L192" s="64">
        <f>INDEX(Projects[Pallet Conv (m)],191)</f>
        <v/>
      </c>
      <c r="M192" s="64">
        <f>IF(N(DJ192)&gt;0,DD192,CW192)</f>
        <v/>
      </c>
      <c r="N192" s="64">
        <f>IF(N(DJ192)&gt;0,DE192,CX192)</f>
        <v/>
      </c>
      <c r="O192" s="64">
        <f>IF(N(DJ192)&gt;0,DF192,CY192)</f>
        <v/>
      </c>
      <c r="P192" s="64">
        <f>IF(N(DJ192)&gt;0,DG192,CZ192)</f>
        <v/>
      </c>
      <c r="Q192" s="64">
        <f>IF(N(DJ192)&gt;0,DH192,DA192)</f>
        <v/>
      </c>
      <c r="R192" s="64">
        <f>IF(N(DJ192)&gt;0,DI192,DB192)</f>
        <v/>
      </c>
      <c r="S192" s="64">
        <f>IF(N(DJ192)&gt;0,DJ192,DC192)</f>
        <v/>
      </c>
      <c r="T192" s="64">
        <f>INDEX(Projects[Currency],191)&amp;""</f>
        <v/>
      </c>
      <c r="U192" s="65">
        <f>INDEX(Projects[Sold Value (M)],191)</f>
        <v/>
      </c>
      <c r="V192" s="64">
        <f>IF('Smart Search'!B13=1,IFERROR(1/'Smart Search'!H13,0),0)</f>
        <v/>
      </c>
      <c r="W192" s="64">
        <f>IF('Smart Search'!B13=1,IFERROR(1/'Smart Search'!H13,0),0)</f>
        <v/>
      </c>
      <c r="X192" s="64">
        <f>IF('Smart Search'!C13=1,IFERROR(1/'Smart Search'!H13,0),0)</f>
        <v/>
      </c>
      <c r="Y192" s="64">
        <f>IF('Smart Search'!C13=1,IFERROR(1/'Smart Search'!H13,0),0)</f>
        <v/>
      </c>
      <c r="Z192" s="64">
        <f>IF('Smart Search'!D13=1,IFERROR(1/'Smart Search'!H13,0),0)</f>
        <v/>
      </c>
      <c r="AA192" s="64">
        <f>IF('Smart Search'!D13=1,IFERROR(1/'Smart Search'!H13,0),0)</f>
        <v/>
      </c>
      <c r="AB192" s="64">
        <f>IF('Smart Search'!E13=1,IFERROR(1/'Smart Search'!H13,0),0)</f>
        <v/>
      </c>
      <c r="AC192" s="64">
        <f>IF('Smart Search'!E13=1,IFERROR(1/'Smart Search'!H13,0),0)</f>
        <v/>
      </c>
      <c r="AD192" s="64">
        <f>IF('Smart Search'!F13=1,IFERROR(1/'Smart Search'!H13,0),0)</f>
        <v/>
      </c>
      <c r="AE192" s="64">
        <f>IF('Smart Search'!F13=1,IFERROR(1/'Smart Search'!H13,0),0)</f>
        <v/>
      </c>
      <c r="AF192" s="64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4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4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4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4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4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4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4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4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4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4">
        <f>AF192*V192</f>
        <v/>
      </c>
      <c r="AQ192" s="64">
        <f>AG192*W192</f>
        <v/>
      </c>
      <c r="AR192" s="64">
        <f>AH192*X192</f>
        <v/>
      </c>
      <c r="AS192" s="64">
        <f>AI192*Y192</f>
        <v/>
      </c>
      <c r="AT192" s="64">
        <f>AJ192*Z192</f>
        <v/>
      </c>
      <c r="AU192" s="64">
        <f>AK192*AA192</f>
        <v/>
      </c>
      <c r="AV192" s="64">
        <f>AL192*AB192</f>
        <v/>
      </c>
      <c r="AW192" s="64">
        <f>AM192*AC192</f>
        <v/>
      </c>
      <c r="AX192" s="64">
        <f>AN192*AD192</f>
        <v/>
      </c>
      <c r="AY192" s="64">
        <f>AO192*AE192</f>
        <v/>
      </c>
      <c r="AZ192" s="64">
        <f>INDEX(Projects[Automation Equipment],191)&amp;""</f>
        <v/>
      </c>
      <c r="BA192" s="64">
        <f>IF(OR(A192="",'Smart Search'!H13=0),"",MAX(0,BE192*BF192*MAX(0,1-BG192)))</f>
        <v/>
      </c>
      <c r="BB192" s="64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4">
        <f>IF('Smart Search'!G13=1,IFERROR(1/'Smart Search'!H13,0),0)</f>
        <v/>
      </c>
      <c r="BD192" s="64">
        <f>BB192*BC192</f>
        <v/>
      </c>
      <c r="BE192" s="64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IF(A192="","",N(INDEX(Projects[Act Mech Inst],191)))</f>
        <v/>
      </c>
      <c r="BK192" s="5">
        <f>IF(A192="","",N(INDEX(Projects[Act Elec Inst],191)))</f>
        <v/>
      </c>
      <c r="BL192" s="5">
        <f>IF(A192="","",N(INDEX(Projects[Act Project Management],191)))</f>
        <v/>
      </c>
      <c r="BM192" s="5">
        <f>IF(A192="","",N(INDEX(Projects[Act Systems Eng],191)))</f>
        <v/>
      </c>
      <c r="BN192" s="5">
        <f>IF(A192="","",N(INDEX(Projects[Act Mechanical Eng],191)))</f>
        <v/>
      </c>
      <c r="BO192" s="5">
        <f>IF(A192="","",N(INDEX(Projects[Act Structural Engineering],191)))</f>
        <v/>
      </c>
      <c r="BP192" s="5">
        <f>IF(A192="","",N(INDEX(Projects[Act Site Sup],191)))</f>
        <v/>
      </c>
      <c r="BQ192" s="5">
        <f>IF(A192="","",N(INDEX(Projects[Act Controls Commissioning],191)))</f>
        <v/>
      </c>
      <c r="BR192" s="5">
        <f>IF(A192="","",N(INDEX(Projects[Act Systems Commissioning],191)))</f>
        <v/>
      </c>
      <c r="BS192" s="5">
        <f>IF(A192="","",N(INDEX(Projects[Act Service Commissioning],191)))</f>
        <v/>
      </c>
      <c r="BT192" s="5">
        <f>IF(A192="","",N(INDEX(Projects[Act Controls Eng],191)))</f>
        <v/>
      </c>
      <c r="BU192" s="5">
        <f>IF(A192="","",N(INDEX(Projects[Act Controls Purchase],191)))</f>
        <v/>
      </c>
      <c r="BV192" s="5">
        <f>IF(A192="","",N(INDEX(Projects[Act Software Eng],191)))</f>
        <v/>
      </c>
      <c r="BW192" s="5">
        <f>IF(A192="","",N(INDEX(Projects[Act 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INDEX(Projects[Sold Value (USD M)],191)</f>
        <v/>
      </c>
      <c r="CE192" s="5" t="n"/>
      <c r="CF192" s="5">
        <f>IF(A192="","",N(INDEX(Projects[Est Mech Inst],191)))</f>
        <v/>
      </c>
      <c r="CG192" s="5">
        <f>IF(A192="","",N(INDEX(Projects[Est Elec Inst],191)))</f>
        <v/>
      </c>
      <c r="CH192" s="5">
        <f>IF(A192="","",N(INDEX(Projects[Est Project Management],191)))</f>
        <v/>
      </c>
      <c r="CI192" s="5">
        <f>IF(A192="","",N(INDEX(Projects[Est Systems Eng],191)))</f>
        <v/>
      </c>
      <c r="CJ192" s="5">
        <f>IF(A192="","",N(INDEX(Projects[Est Mechanical Eng],191)))</f>
        <v/>
      </c>
      <c r="CK192" s="5">
        <f>IF(A192="","",N(INDEX(Projects[Est Structural Engineering],191)))</f>
        <v/>
      </c>
      <c r="CL192" s="5">
        <f>IF(A192="","",N(INDEX(Projects[Est Site Sup],191)))</f>
        <v/>
      </c>
      <c r="CM192" s="5">
        <f>IF(A192="","",N(INDEX(Projects[Est Controls Commissioning],191)))</f>
        <v/>
      </c>
      <c r="CN192" s="5">
        <f>IF(A192="","",N(INDEX(Projects[Est Systems Commissioning],191)))</f>
        <v/>
      </c>
      <c r="CO192" s="5">
        <f>IF(A192="","",N(INDEX(Projects[Est Service Commissioning],191)))</f>
        <v/>
      </c>
      <c r="CP192" s="5">
        <f>IF(A192="","",N(INDEX(Projects[Est Controls Eng],191)))</f>
        <v/>
      </c>
      <c r="CQ192" s="5">
        <f>IF(A192="","",N(INDEX(Projects[Est Controls Purchase],191)))</f>
        <v/>
      </c>
      <c r="CR192" s="5">
        <f>IF(A192="","",N(INDEX(Projects[Est Software Eng],191)))</f>
        <v/>
      </c>
      <c r="CS192" s="5">
        <f>IF(A192="","",N(INDEX(Projects[Est Misc],191)))</f>
        <v/>
      </c>
      <c r="CT192" s="5">
        <f>IF(A192="","",SUM(CF192:CS192))</f>
        <v/>
      </c>
      <c r="CU192" s="5">
        <f>INDEX(Projects[Est Cost (M)],191)</f>
        <v/>
      </c>
      <c r="CV192" s="5">
        <f>INDEX(Projects[Act Cost (M)],191)</f>
        <v/>
      </c>
      <c r="CW192" s="5">
        <f>INDEX(Projects[Plan Mech Eng (wks)],191)</f>
        <v/>
      </c>
      <c r="CX192" s="5">
        <f>INDEX(Projects[Plan Controls Eng (wks)],191)</f>
        <v/>
      </c>
      <c r="CY192" s="5">
        <f>INDEX(Projects[Plan Systems Eng (wks)],191)</f>
        <v/>
      </c>
      <c r="CZ192" s="5">
        <f>INDEX(Projects[Plan Software Eng (wks)],191)</f>
        <v/>
      </c>
      <c r="DA192" s="5">
        <f>INDEX(Projects[Plan M&amp;E Installation (wks)],191)</f>
        <v/>
      </c>
      <c r="DB192" s="5">
        <f>INDEX(Projects[Plan Commissioning (wks)],191)</f>
        <v/>
      </c>
      <c r="DC192" s="5">
        <f>INDEX(Projects[Plan Total (wks)],191)</f>
        <v/>
      </c>
      <c r="DD192" s="5">
        <f>INDEX(Projects[Act Mech Eng (wks)],191)</f>
        <v/>
      </c>
      <c r="DE192" s="5">
        <f>INDEX(Projects[Act Controls Eng (wks)],191)</f>
        <v/>
      </c>
      <c r="DF192" s="5">
        <f>INDEX(Projects[Act Systems Eng (wks)],191)</f>
        <v/>
      </c>
      <c r="DG192" s="5">
        <f>INDEX(Projects[Act Software Eng (wks)],191)</f>
        <v/>
      </c>
      <c r="DH192" s="5">
        <f>INDEX(Projects[Act M&amp;E Installation (wks)],191)</f>
        <v/>
      </c>
      <c r="DI192" s="5">
        <f>INDEX(Projects[Act Commissioning (wks)],191)</f>
        <v/>
      </c>
      <c r="DJ192" s="5">
        <f>INDEX(Projects[Act Total (wks)],191)</f>
        <v/>
      </c>
    </row>
    <row r="193" ht="15" customHeight="1" s="82">
      <c r="A193" s="64">
        <f>INDEX(Projects[Project ID *],192)&amp;""</f>
        <v/>
      </c>
      <c r="B193" s="64">
        <f>INDEX(Projects[Project Name *],192)&amp;""</f>
        <v/>
      </c>
      <c r="C193" s="64">
        <f>INDEX(Projects[MS Shuttles],192)</f>
        <v/>
      </c>
      <c r="D193" s="64">
        <f>INDEX(Projects[MS Tote Locations],192)</f>
        <v/>
      </c>
      <c r="E193" s="64">
        <f>INDEX(Projects[AS Robots],192)</f>
        <v/>
      </c>
      <c r="F193" s="64">
        <f>INDEX(Projects[AS Tote Locations],192)</f>
        <v/>
      </c>
      <c r="G193" s="64">
        <f>INDEX(Projects[PS Shuttles],192)</f>
        <v/>
      </c>
      <c r="H193" s="64">
        <f>INDEX(Projects[PS Pallet Locations],192)</f>
        <v/>
      </c>
      <c r="I193" s="64">
        <f>INDEX(Projects[SRM Cranes],192)</f>
        <v/>
      </c>
      <c r="J193" s="64">
        <f>INDEX(Projects[SRM Pallet Locations],192)</f>
        <v/>
      </c>
      <c r="K193" s="64">
        <f>INDEX(Projects[Case Conv (m)],192)</f>
        <v/>
      </c>
      <c r="L193" s="64">
        <f>INDEX(Projects[Pallet Conv (m)],192)</f>
        <v/>
      </c>
      <c r="M193" s="64">
        <f>IF(N(DJ193)&gt;0,DD193,CW193)</f>
        <v/>
      </c>
      <c r="N193" s="64">
        <f>IF(N(DJ193)&gt;0,DE193,CX193)</f>
        <v/>
      </c>
      <c r="O193" s="64">
        <f>IF(N(DJ193)&gt;0,DF193,CY193)</f>
        <v/>
      </c>
      <c r="P193" s="64">
        <f>IF(N(DJ193)&gt;0,DG193,CZ193)</f>
        <v/>
      </c>
      <c r="Q193" s="64">
        <f>IF(N(DJ193)&gt;0,DH193,DA193)</f>
        <v/>
      </c>
      <c r="R193" s="64">
        <f>IF(N(DJ193)&gt;0,DI193,DB193)</f>
        <v/>
      </c>
      <c r="S193" s="64">
        <f>IF(N(DJ193)&gt;0,DJ193,DC193)</f>
        <v/>
      </c>
      <c r="T193" s="64">
        <f>INDEX(Projects[Currency],192)&amp;""</f>
        <v/>
      </c>
      <c r="U193" s="65">
        <f>INDEX(Projects[Sold Value (M)],192)</f>
        <v/>
      </c>
      <c r="V193" s="64">
        <f>IF('Smart Search'!B13=1,IFERROR(1/'Smart Search'!H13,0),0)</f>
        <v/>
      </c>
      <c r="W193" s="64">
        <f>IF('Smart Search'!B13=1,IFERROR(1/'Smart Search'!H13,0),0)</f>
        <v/>
      </c>
      <c r="X193" s="64">
        <f>IF('Smart Search'!C13=1,IFERROR(1/'Smart Search'!H13,0),0)</f>
        <v/>
      </c>
      <c r="Y193" s="64">
        <f>IF('Smart Search'!C13=1,IFERROR(1/'Smart Search'!H13,0),0)</f>
        <v/>
      </c>
      <c r="Z193" s="64">
        <f>IF('Smart Search'!D13=1,IFERROR(1/'Smart Search'!H13,0),0)</f>
        <v/>
      </c>
      <c r="AA193" s="64">
        <f>IF('Smart Search'!D13=1,IFERROR(1/'Smart Search'!H13,0),0)</f>
        <v/>
      </c>
      <c r="AB193" s="64">
        <f>IF('Smart Search'!E13=1,IFERROR(1/'Smart Search'!H13,0),0)</f>
        <v/>
      </c>
      <c r="AC193" s="64">
        <f>IF('Smart Search'!E13=1,IFERROR(1/'Smart Search'!H13,0),0)</f>
        <v/>
      </c>
      <c r="AD193" s="64">
        <f>IF('Smart Search'!F13=1,IFERROR(1/'Smart Search'!H13,0),0)</f>
        <v/>
      </c>
      <c r="AE193" s="64">
        <f>IF('Smart Search'!F13=1,IFERROR(1/'Smart Search'!H13,0),0)</f>
        <v/>
      </c>
      <c r="AF193" s="64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4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4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4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4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4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4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4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4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4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4">
        <f>AF193*V193</f>
        <v/>
      </c>
      <c r="AQ193" s="64">
        <f>AG193*W193</f>
        <v/>
      </c>
      <c r="AR193" s="64">
        <f>AH193*X193</f>
        <v/>
      </c>
      <c r="AS193" s="64">
        <f>AI193*Y193</f>
        <v/>
      </c>
      <c r="AT193" s="64">
        <f>AJ193*Z193</f>
        <v/>
      </c>
      <c r="AU193" s="64">
        <f>AK193*AA193</f>
        <v/>
      </c>
      <c r="AV193" s="64">
        <f>AL193*AB193</f>
        <v/>
      </c>
      <c r="AW193" s="64">
        <f>AM193*AC193</f>
        <v/>
      </c>
      <c r="AX193" s="64">
        <f>AN193*AD193</f>
        <v/>
      </c>
      <c r="AY193" s="64">
        <f>AO193*AE193</f>
        <v/>
      </c>
      <c r="AZ193" s="64">
        <f>INDEX(Projects[Automation Equipment],192)&amp;""</f>
        <v/>
      </c>
      <c r="BA193" s="64">
        <f>IF(OR(A193="",'Smart Search'!H13=0),"",MAX(0,BE193*BF193*MAX(0,1-BG193)))</f>
        <v/>
      </c>
      <c r="BB193" s="64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4">
        <f>IF('Smart Search'!G13=1,IFERROR(1/'Smart Search'!H13,0),0)</f>
        <v/>
      </c>
      <c r="BD193" s="64">
        <f>BB193*BC193</f>
        <v/>
      </c>
      <c r="BE193" s="64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IF(A193="","",N(INDEX(Projects[Act Mech Inst],192)))</f>
        <v/>
      </c>
      <c r="BK193" s="5">
        <f>IF(A193="","",N(INDEX(Projects[Act Elec Inst],192)))</f>
        <v/>
      </c>
      <c r="BL193" s="5">
        <f>IF(A193="","",N(INDEX(Projects[Act Project Management],192)))</f>
        <v/>
      </c>
      <c r="BM193" s="5">
        <f>IF(A193="","",N(INDEX(Projects[Act Systems Eng],192)))</f>
        <v/>
      </c>
      <c r="BN193" s="5">
        <f>IF(A193="","",N(INDEX(Projects[Act Mechanical Eng],192)))</f>
        <v/>
      </c>
      <c r="BO193" s="5">
        <f>IF(A193="","",N(INDEX(Projects[Act Structural Engineering],192)))</f>
        <v/>
      </c>
      <c r="BP193" s="5">
        <f>IF(A193="","",N(INDEX(Projects[Act Site Sup],192)))</f>
        <v/>
      </c>
      <c r="BQ193" s="5">
        <f>IF(A193="","",N(INDEX(Projects[Act Controls Commissioning],192)))</f>
        <v/>
      </c>
      <c r="BR193" s="5">
        <f>IF(A193="","",N(INDEX(Projects[Act Systems Commissioning],192)))</f>
        <v/>
      </c>
      <c r="BS193" s="5">
        <f>IF(A193="","",N(INDEX(Projects[Act Service Commissioning],192)))</f>
        <v/>
      </c>
      <c r="BT193" s="5">
        <f>IF(A193="","",N(INDEX(Projects[Act Controls Eng],192)))</f>
        <v/>
      </c>
      <c r="BU193" s="5">
        <f>IF(A193="","",N(INDEX(Projects[Act Controls Purchase],192)))</f>
        <v/>
      </c>
      <c r="BV193" s="5">
        <f>IF(A193="","",N(INDEX(Projects[Act Software Eng],192)))</f>
        <v/>
      </c>
      <c r="BW193" s="5">
        <f>IF(A193="","",N(INDEX(Projects[Act 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INDEX(Projects[Sold Value (USD M)],192)</f>
        <v/>
      </c>
      <c r="CE193" s="5" t="n"/>
      <c r="CF193" s="5">
        <f>IF(A193="","",N(INDEX(Projects[Est Mech Inst],192)))</f>
        <v/>
      </c>
      <c r="CG193" s="5">
        <f>IF(A193="","",N(INDEX(Projects[Est Elec Inst],192)))</f>
        <v/>
      </c>
      <c r="CH193" s="5">
        <f>IF(A193="","",N(INDEX(Projects[Est Project Management],192)))</f>
        <v/>
      </c>
      <c r="CI193" s="5">
        <f>IF(A193="","",N(INDEX(Projects[Est Systems Eng],192)))</f>
        <v/>
      </c>
      <c r="CJ193" s="5">
        <f>IF(A193="","",N(INDEX(Projects[Est Mechanical Eng],192)))</f>
        <v/>
      </c>
      <c r="CK193" s="5">
        <f>IF(A193="","",N(INDEX(Projects[Est Structural Engineering],192)))</f>
        <v/>
      </c>
      <c r="CL193" s="5">
        <f>IF(A193="","",N(INDEX(Projects[Est Site Sup],192)))</f>
        <v/>
      </c>
      <c r="CM193" s="5">
        <f>IF(A193="","",N(INDEX(Projects[Est Controls Commissioning],192)))</f>
        <v/>
      </c>
      <c r="CN193" s="5">
        <f>IF(A193="","",N(INDEX(Projects[Est Systems Commissioning],192)))</f>
        <v/>
      </c>
      <c r="CO193" s="5">
        <f>IF(A193="","",N(INDEX(Projects[Est Service Commissioning],192)))</f>
        <v/>
      </c>
      <c r="CP193" s="5">
        <f>IF(A193="","",N(INDEX(Projects[Est Controls Eng],192)))</f>
        <v/>
      </c>
      <c r="CQ193" s="5">
        <f>IF(A193="","",N(INDEX(Projects[Est Controls Purchase],192)))</f>
        <v/>
      </c>
      <c r="CR193" s="5">
        <f>IF(A193="","",N(INDEX(Projects[Est Software Eng],192)))</f>
        <v/>
      </c>
      <c r="CS193" s="5">
        <f>IF(A193="","",N(INDEX(Projects[Est Misc],192)))</f>
        <v/>
      </c>
      <c r="CT193" s="5">
        <f>IF(A193="","",SUM(CF193:CS193))</f>
        <v/>
      </c>
      <c r="CU193" s="5">
        <f>INDEX(Projects[Est Cost (M)],192)</f>
        <v/>
      </c>
      <c r="CV193" s="5">
        <f>INDEX(Projects[Act Cost (M)],192)</f>
        <v/>
      </c>
      <c r="CW193" s="5">
        <f>INDEX(Projects[Plan Mech Eng (wks)],192)</f>
        <v/>
      </c>
      <c r="CX193" s="5">
        <f>INDEX(Projects[Plan Controls Eng (wks)],192)</f>
        <v/>
      </c>
      <c r="CY193" s="5">
        <f>INDEX(Projects[Plan Systems Eng (wks)],192)</f>
        <v/>
      </c>
      <c r="CZ193" s="5">
        <f>INDEX(Projects[Plan Software Eng (wks)],192)</f>
        <v/>
      </c>
      <c r="DA193" s="5">
        <f>INDEX(Projects[Plan M&amp;E Installation (wks)],192)</f>
        <v/>
      </c>
      <c r="DB193" s="5">
        <f>INDEX(Projects[Plan Commissioning (wks)],192)</f>
        <v/>
      </c>
      <c r="DC193" s="5">
        <f>INDEX(Projects[Plan Total (wks)],192)</f>
        <v/>
      </c>
      <c r="DD193" s="5">
        <f>INDEX(Projects[Act Mech Eng (wks)],192)</f>
        <v/>
      </c>
      <c r="DE193" s="5">
        <f>INDEX(Projects[Act Controls Eng (wks)],192)</f>
        <v/>
      </c>
      <c r="DF193" s="5">
        <f>INDEX(Projects[Act Systems Eng (wks)],192)</f>
        <v/>
      </c>
      <c r="DG193" s="5">
        <f>INDEX(Projects[Act Software Eng (wks)],192)</f>
        <v/>
      </c>
      <c r="DH193" s="5">
        <f>INDEX(Projects[Act M&amp;E Installation (wks)],192)</f>
        <v/>
      </c>
      <c r="DI193" s="5">
        <f>INDEX(Projects[Act Commissioning (wks)],192)</f>
        <v/>
      </c>
      <c r="DJ193" s="5">
        <f>INDEX(Projects[Act Total (wks)],192)</f>
        <v/>
      </c>
    </row>
    <row r="194" ht="15" customHeight="1" s="82">
      <c r="A194" s="64">
        <f>INDEX(Projects[Project ID *],193)&amp;""</f>
        <v/>
      </c>
      <c r="B194" s="64">
        <f>INDEX(Projects[Project Name *],193)&amp;""</f>
        <v/>
      </c>
      <c r="C194" s="64">
        <f>INDEX(Projects[MS Shuttles],193)</f>
        <v/>
      </c>
      <c r="D194" s="64">
        <f>INDEX(Projects[MS Tote Locations],193)</f>
        <v/>
      </c>
      <c r="E194" s="64">
        <f>INDEX(Projects[AS Robots],193)</f>
        <v/>
      </c>
      <c r="F194" s="64">
        <f>INDEX(Projects[AS Tote Locations],193)</f>
        <v/>
      </c>
      <c r="G194" s="64">
        <f>INDEX(Projects[PS Shuttles],193)</f>
        <v/>
      </c>
      <c r="H194" s="64">
        <f>INDEX(Projects[PS Pallet Locations],193)</f>
        <v/>
      </c>
      <c r="I194" s="64">
        <f>INDEX(Projects[SRM Cranes],193)</f>
        <v/>
      </c>
      <c r="J194" s="64">
        <f>INDEX(Projects[SRM Pallet Locations],193)</f>
        <v/>
      </c>
      <c r="K194" s="64">
        <f>INDEX(Projects[Case Conv (m)],193)</f>
        <v/>
      </c>
      <c r="L194" s="64">
        <f>INDEX(Projects[Pallet Conv (m)],193)</f>
        <v/>
      </c>
      <c r="M194" s="64">
        <f>IF(N(DJ194)&gt;0,DD194,CW194)</f>
        <v/>
      </c>
      <c r="N194" s="64">
        <f>IF(N(DJ194)&gt;0,DE194,CX194)</f>
        <v/>
      </c>
      <c r="O194" s="64">
        <f>IF(N(DJ194)&gt;0,DF194,CY194)</f>
        <v/>
      </c>
      <c r="P194" s="64">
        <f>IF(N(DJ194)&gt;0,DG194,CZ194)</f>
        <v/>
      </c>
      <c r="Q194" s="64">
        <f>IF(N(DJ194)&gt;0,DH194,DA194)</f>
        <v/>
      </c>
      <c r="R194" s="64">
        <f>IF(N(DJ194)&gt;0,DI194,DB194)</f>
        <v/>
      </c>
      <c r="S194" s="64">
        <f>IF(N(DJ194)&gt;0,DJ194,DC194)</f>
        <v/>
      </c>
      <c r="T194" s="64">
        <f>INDEX(Projects[Currency],193)&amp;""</f>
        <v/>
      </c>
      <c r="U194" s="65">
        <f>INDEX(Projects[Sold Value (M)],193)</f>
        <v/>
      </c>
      <c r="V194" s="64">
        <f>IF('Smart Search'!B13=1,IFERROR(1/'Smart Search'!H13,0),0)</f>
        <v/>
      </c>
      <c r="W194" s="64">
        <f>IF('Smart Search'!B13=1,IFERROR(1/'Smart Search'!H13,0),0)</f>
        <v/>
      </c>
      <c r="X194" s="64">
        <f>IF('Smart Search'!C13=1,IFERROR(1/'Smart Search'!H13,0),0)</f>
        <v/>
      </c>
      <c r="Y194" s="64">
        <f>IF('Smart Search'!C13=1,IFERROR(1/'Smart Search'!H13,0),0)</f>
        <v/>
      </c>
      <c r="Z194" s="64">
        <f>IF('Smart Search'!D13=1,IFERROR(1/'Smart Search'!H13,0),0)</f>
        <v/>
      </c>
      <c r="AA194" s="64">
        <f>IF('Smart Search'!D13=1,IFERROR(1/'Smart Search'!H13,0),0)</f>
        <v/>
      </c>
      <c r="AB194" s="64">
        <f>IF('Smart Search'!E13=1,IFERROR(1/'Smart Search'!H13,0),0)</f>
        <v/>
      </c>
      <c r="AC194" s="64">
        <f>IF('Smart Search'!E13=1,IFERROR(1/'Smart Search'!H13,0),0)</f>
        <v/>
      </c>
      <c r="AD194" s="64">
        <f>IF('Smart Search'!F13=1,IFERROR(1/'Smart Search'!H13,0),0)</f>
        <v/>
      </c>
      <c r="AE194" s="64">
        <f>IF('Smart Search'!F13=1,IFERROR(1/'Smart Search'!H13,0),0)</f>
        <v/>
      </c>
      <c r="AF194" s="64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4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4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4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4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4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4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4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4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4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4">
        <f>AF194*V194</f>
        <v/>
      </c>
      <c r="AQ194" s="64">
        <f>AG194*W194</f>
        <v/>
      </c>
      <c r="AR194" s="64">
        <f>AH194*X194</f>
        <v/>
      </c>
      <c r="AS194" s="64">
        <f>AI194*Y194</f>
        <v/>
      </c>
      <c r="AT194" s="64">
        <f>AJ194*Z194</f>
        <v/>
      </c>
      <c r="AU194" s="64">
        <f>AK194*AA194</f>
        <v/>
      </c>
      <c r="AV194" s="64">
        <f>AL194*AB194</f>
        <v/>
      </c>
      <c r="AW194" s="64">
        <f>AM194*AC194</f>
        <v/>
      </c>
      <c r="AX194" s="64">
        <f>AN194*AD194</f>
        <v/>
      </c>
      <c r="AY194" s="64">
        <f>AO194*AE194</f>
        <v/>
      </c>
      <c r="AZ194" s="64">
        <f>INDEX(Projects[Automation Equipment],193)&amp;""</f>
        <v/>
      </c>
      <c r="BA194" s="64">
        <f>IF(OR(A194="",'Smart Search'!H13=0),"",MAX(0,BE194*BF194*MAX(0,1-BG194)))</f>
        <v/>
      </c>
      <c r="BB194" s="64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4">
        <f>IF('Smart Search'!G13=1,IFERROR(1/'Smart Search'!H13,0),0)</f>
        <v/>
      </c>
      <c r="BD194" s="64">
        <f>BB194*BC194</f>
        <v/>
      </c>
      <c r="BE194" s="64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IF(A194="","",N(INDEX(Projects[Act Mech Inst],193)))</f>
        <v/>
      </c>
      <c r="BK194" s="5">
        <f>IF(A194="","",N(INDEX(Projects[Act Elec Inst],193)))</f>
        <v/>
      </c>
      <c r="BL194" s="5">
        <f>IF(A194="","",N(INDEX(Projects[Act Project Management],193)))</f>
        <v/>
      </c>
      <c r="BM194" s="5">
        <f>IF(A194="","",N(INDEX(Projects[Act Systems Eng],193)))</f>
        <v/>
      </c>
      <c r="BN194" s="5">
        <f>IF(A194="","",N(INDEX(Projects[Act Mechanical Eng],193)))</f>
        <v/>
      </c>
      <c r="BO194" s="5">
        <f>IF(A194="","",N(INDEX(Projects[Act Structural Engineering],193)))</f>
        <v/>
      </c>
      <c r="BP194" s="5">
        <f>IF(A194="","",N(INDEX(Projects[Act Site Sup],193)))</f>
        <v/>
      </c>
      <c r="BQ194" s="5">
        <f>IF(A194="","",N(INDEX(Projects[Act Controls Commissioning],193)))</f>
        <v/>
      </c>
      <c r="BR194" s="5">
        <f>IF(A194="","",N(INDEX(Projects[Act Systems Commissioning],193)))</f>
        <v/>
      </c>
      <c r="BS194" s="5">
        <f>IF(A194="","",N(INDEX(Projects[Act Service Commissioning],193)))</f>
        <v/>
      </c>
      <c r="BT194" s="5">
        <f>IF(A194="","",N(INDEX(Projects[Act Controls Eng],193)))</f>
        <v/>
      </c>
      <c r="BU194" s="5">
        <f>IF(A194="","",N(INDEX(Projects[Act Controls Purchase],193)))</f>
        <v/>
      </c>
      <c r="BV194" s="5">
        <f>IF(A194="","",N(INDEX(Projects[Act Software Eng],193)))</f>
        <v/>
      </c>
      <c r="BW194" s="5">
        <f>IF(A194="","",N(INDEX(Projects[Act 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INDEX(Projects[Sold Value (USD M)],193)</f>
        <v/>
      </c>
      <c r="CE194" s="5" t="n"/>
      <c r="CF194" s="5">
        <f>IF(A194="","",N(INDEX(Projects[Est Mech Inst],193)))</f>
        <v/>
      </c>
      <c r="CG194" s="5">
        <f>IF(A194="","",N(INDEX(Projects[Est Elec Inst],193)))</f>
        <v/>
      </c>
      <c r="CH194" s="5">
        <f>IF(A194="","",N(INDEX(Projects[Est Project Management],193)))</f>
        <v/>
      </c>
      <c r="CI194" s="5">
        <f>IF(A194="","",N(INDEX(Projects[Est Systems Eng],193)))</f>
        <v/>
      </c>
      <c r="CJ194" s="5">
        <f>IF(A194="","",N(INDEX(Projects[Est Mechanical Eng],193)))</f>
        <v/>
      </c>
      <c r="CK194" s="5">
        <f>IF(A194="","",N(INDEX(Projects[Est Structural Engineering],193)))</f>
        <v/>
      </c>
      <c r="CL194" s="5">
        <f>IF(A194="","",N(INDEX(Projects[Est Site Sup],193)))</f>
        <v/>
      </c>
      <c r="CM194" s="5">
        <f>IF(A194="","",N(INDEX(Projects[Est Controls Commissioning],193)))</f>
        <v/>
      </c>
      <c r="CN194" s="5">
        <f>IF(A194="","",N(INDEX(Projects[Est Systems Commissioning],193)))</f>
        <v/>
      </c>
      <c r="CO194" s="5">
        <f>IF(A194="","",N(INDEX(Projects[Est Service Commissioning],193)))</f>
        <v/>
      </c>
      <c r="CP194" s="5">
        <f>IF(A194="","",N(INDEX(Projects[Est Controls Eng],193)))</f>
        <v/>
      </c>
      <c r="CQ194" s="5">
        <f>IF(A194="","",N(INDEX(Projects[Est Controls Purchase],193)))</f>
        <v/>
      </c>
      <c r="CR194" s="5">
        <f>IF(A194="","",N(INDEX(Projects[Est Software Eng],193)))</f>
        <v/>
      </c>
      <c r="CS194" s="5">
        <f>IF(A194="","",N(INDEX(Projects[Est Misc],193)))</f>
        <v/>
      </c>
      <c r="CT194" s="5">
        <f>IF(A194="","",SUM(CF194:CS194))</f>
        <v/>
      </c>
      <c r="CU194" s="5">
        <f>INDEX(Projects[Est Cost (M)],193)</f>
        <v/>
      </c>
      <c r="CV194" s="5">
        <f>INDEX(Projects[Act Cost (M)],193)</f>
        <v/>
      </c>
      <c r="CW194" s="5">
        <f>INDEX(Projects[Plan Mech Eng (wks)],193)</f>
        <v/>
      </c>
      <c r="CX194" s="5">
        <f>INDEX(Projects[Plan Controls Eng (wks)],193)</f>
        <v/>
      </c>
      <c r="CY194" s="5">
        <f>INDEX(Projects[Plan Systems Eng (wks)],193)</f>
        <v/>
      </c>
      <c r="CZ194" s="5">
        <f>INDEX(Projects[Plan Software Eng (wks)],193)</f>
        <v/>
      </c>
      <c r="DA194" s="5">
        <f>INDEX(Projects[Plan M&amp;E Installation (wks)],193)</f>
        <v/>
      </c>
      <c r="DB194" s="5">
        <f>INDEX(Projects[Plan Commissioning (wks)],193)</f>
        <v/>
      </c>
      <c r="DC194" s="5">
        <f>INDEX(Projects[Plan Total (wks)],193)</f>
        <v/>
      </c>
      <c r="DD194" s="5">
        <f>INDEX(Projects[Act Mech Eng (wks)],193)</f>
        <v/>
      </c>
      <c r="DE194" s="5">
        <f>INDEX(Projects[Act Controls Eng (wks)],193)</f>
        <v/>
      </c>
      <c r="DF194" s="5">
        <f>INDEX(Projects[Act Systems Eng (wks)],193)</f>
        <v/>
      </c>
      <c r="DG194" s="5">
        <f>INDEX(Projects[Act Software Eng (wks)],193)</f>
        <v/>
      </c>
      <c r="DH194" s="5">
        <f>INDEX(Projects[Act M&amp;E Installation (wks)],193)</f>
        <v/>
      </c>
      <c r="DI194" s="5">
        <f>INDEX(Projects[Act Commissioning (wks)],193)</f>
        <v/>
      </c>
      <c r="DJ194" s="5">
        <f>INDEX(Projects[Act Total (wks)],193)</f>
        <v/>
      </c>
    </row>
    <row r="195" ht="15" customHeight="1" s="82">
      <c r="A195" s="64">
        <f>INDEX(Projects[Project ID *],194)&amp;""</f>
        <v/>
      </c>
      <c r="B195" s="64">
        <f>INDEX(Projects[Project Name *],194)&amp;""</f>
        <v/>
      </c>
      <c r="C195" s="64">
        <f>INDEX(Projects[MS Shuttles],194)</f>
        <v/>
      </c>
      <c r="D195" s="64">
        <f>INDEX(Projects[MS Tote Locations],194)</f>
        <v/>
      </c>
      <c r="E195" s="64">
        <f>INDEX(Projects[AS Robots],194)</f>
        <v/>
      </c>
      <c r="F195" s="64">
        <f>INDEX(Projects[AS Tote Locations],194)</f>
        <v/>
      </c>
      <c r="G195" s="64">
        <f>INDEX(Projects[PS Shuttles],194)</f>
        <v/>
      </c>
      <c r="H195" s="64">
        <f>INDEX(Projects[PS Pallet Locations],194)</f>
        <v/>
      </c>
      <c r="I195" s="64">
        <f>INDEX(Projects[SRM Cranes],194)</f>
        <v/>
      </c>
      <c r="J195" s="64">
        <f>INDEX(Projects[SRM Pallet Locations],194)</f>
        <v/>
      </c>
      <c r="K195" s="64">
        <f>INDEX(Projects[Case Conv (m)],194)</f>
        <v/>
      </c>
      <c r="L195" s="64">
        <f>INDEX(Projects[Pallet Conv (m)],194)</f>
        <v/>
      </c>
      <c r="M195" s="64">
        <f>IF(N(DJ195)&gt;0,DD195,CW195)</f>
        <v/>
      </c>
      <c r="N195" s="64">
        <f>IF(N(DJ195)&gt;0,DE195,CX195)</f>
        <v/>
      </c>
      <c r="O195" s="64">
        <f>IF(N(DJ195)&gt;0,DF195,CY195)</f>
        <v/>
      </c>
      <c r="P195" s="64">
        <f>IF(N(DJ195)&gt;0,DG195,CZ195)</f>
        <v/>
      </c>
      <c r="Q195" s="64">
        <f>IF(N(DJ195)&gt;0,DH195,DA195)</f>
        <v/>
      </c>
      <c r="R195" s="64">
        <f>IF(N(DJ195)&gt;0,DI195,DB195)</f>
        <v/>
      </c>
      <c r="S195" s="64">
        <f>IF(N(DJ195)&gt;0,DJ195,DC195)</f>
        <v/>
      </c>
      <c r="T195" s="64">
        <f>INDEX(Projects[Currency],194)&amp;""</f>
        <v/>
      </c>
      <c r="U195" s="65">
        <f>INDEX(Projects[Sold Value (M)],194)</f>
        <v/>
      </c>
      <c r="V195" s="64">
        <f>IF('Smart Search'!B13=1,IFERROR(1/'Smart Search'!H13,0),0)</f>
        <v/>
      </c>
      <c r="W195" s="64">
        <f>IF('Smart Search'!B13=1,IFERROR(1/'Smart Search'!H13,0),0)</f>
        <v/>
      </c>
      <c r="X195" s="64">
        <f>IF('Smart Search'!C13=1,IFERROR(1/'Smart Search'!H13,0),0)</f>
        <v/>
      </c>
      <c r="Y195" s="64">
        <f>IF('Smart Search'!C13=1,IFERROR(1/'Smart Search'!H13,0),0)</f>
        <v/>
      </c>
      <c r="Z195" s="64">
        <f>IF('Smart Search'!D13=1,IFERROR(1/'Smart Search'!H13,0),0)</f>
        <v/>
      </c>
      <c r="AA195" s="64">
        <f>IF('Smart Search'!D13=1,IFERROR(1/'Smart Search'!H13,0),0)</f>
        <v/>
      </c>
      <c r="AB195" s="64">
        <f>IF('Smart Search'!E13=1,IFERROR(1/'Smart Search'!H13,0),0)</f>
        <v/>
      </c>
      <c r="AC195" s="64">
        <f>IF('Smart Search'!E13=1,IFERROR(1/'Smart Search'!H13,0),0)</f>
        <v/>
      </c>
      <c r="AD195" s="64">
        <f>IF('Smart Search'!F13=1,IFERROR(1/'Smart Search'!H13,0),0)</f>
        <v/>
      </c>
      <c r="AE195" s="64">
        <f>IF('Smart Search'!F13=1,IFERROR(1/'Smart Search'!H13,0),0)</f>
        <v/>
      </c>
      <c r="AF195" s="64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4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4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4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4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4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4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4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4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4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4">
        <f>AF195*V195</f>
        <v/>
      </c>
      <c r="AQ195" s="64">
        <f>AG195*W195</f>
        <v/>
      </c>
      <c r="AR195" s="64">
        <f>AH195*X195</f>
        <v/>
      </c>
      <c r="AS195" s="64">
        <f>AI195*Y195</f>
        <v/>
      </c>
      <c r="AT195" s="64">
        <f>AJ195*Z195</f>
        <v/>
      </c>
      <c r="AU195" s="64">
        <f>AK195*AA195</f>
        <v/>
      </c>
      <c r="AV195" s="64">
        <f>AL195*AB195</f>
        <v/>
      </c>
      <c r="AW195" s="64">
        <f>AM195*AC195</f>
        <v/>
      </c>
      <c r="AX195" s="64">
        <f>AN195*AD195</f>
        <v/>
      </c>
      <c r="AY195" s="64">
        <f>AO195*AE195</f>
        <v/>
      </c>
      <c r="AZ195" s="64">
        <f>INDEX(Projects[Automation Equipment],194)&amp;""</f>
        <v/>
      </c>
      <c r="BA195" s="64">
        <f>IF(OR(A195="",'Smart Search'!H13=0),"",MAX(0,BE195*BF195*MAX(0,1-BG195)))</f>
        <v/>
      </c>
      <c r="BB195" s="64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4">
        <f>IF('Smart Search'!G13=1,IFERROR(1/'Smart Search'!H13,0),0)</f>
        <v/>
      </c>
      <c r="BD195" s="64">
        <f>BB195*BC195</f>
        <v/>
      </c>
      <c r="BE195" s="64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IF(A195="","",N(INDEX(Projects[Act Mech Inst],194)))</f>
        <v/>
      </c>
      <c r="BK195" s="5">
        <f>IF(A195="","",N(INDEX(Projects[Act Elec Inst],194)))</f>
        <v/>
      </c>
      <c r="BL195" s="5">
        <f>IF(A195="","",N(INDEX(Projects[Act Project Management],194)))</f>
        <v/>
      </c>
      <c r="BM195" s="5">
        <f>IF(A195="","",N(INDEX(Projects[Act Systems Eng],194)))</f>
        <v/>
      </c>
      <c r="BN195" s="5">
        <f>IF(A195="","",N(INDEX(Projects[Act Mechanical Eng],194)))</f>
        <v/>
      </c>
      <c r="BO195" s="5">
        <f>IF(A195="","",N(INDEX(Projects[Act Structural Engineering],194)))</f>
        <v/>
      </c>
      <c r="BP195" s="5">
        <f>IF(A195="","",N(INDEX(Projects[Act Site Sup],194)))</f>
        <v/>
      </c>
      <c r="BQ195" s="5">
        <f>IF(A195="","",N(INDEX(Projects[Act Controls Commissioning],194)))</f>
        <v/>
      </c>
      <c r="BR195" s="5">
        <f>IF(A195="","",N(INDEX(Projects[Act Systems Commissioning],194)))</f>
        <v/>
      </c>
      <c r="BS195" s="5">
        <f>IF(A195="","",N(INDEX(Projects[Act Service Commissioning],194)))</f>
        <v/>
      </c>
      <c r="BT195" s="5">
        <f>IF(A195="","",N(INDEX(Projects[Act Controls Eng],194)))</f>
        <v/>
      </c>
      <c r="BU195" s="5">
        <f>IF(A195="","",N(INDEX(Projects[Act Controls Purchase],194)))</f>
        <v/>
      </c>
      <c r="BV195" s="5">
        <f>IF(A195="","",N(INDEX(Projects[Act Software Eng],194)))</f>
        <v/>
      </c>
      <c r="BW195" s="5">
        <f>IF(A195="","",N(INDEX(Projects[Act 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INDEX(Projects[Sold Value (USD M)],194)</f>
        <v/>
      </c>
      <c r="CE195" s="5" t="n"/>
      <c r="CF195" s="5">
        <f>IF(A195="","",N(INDEX(Projects[Est Mech Inst],194)))</f>
        <v/>
      </c>
      <c r="CG195" s="5">
        <f>IF(A195="","",N(INDEX(Projects[Est Elec Inst],194)))</f>
        <v/>
      </c>
      <c r="CH195" s="5">
        <f>IF(A195="","",N(INDEX(Projects[Est Project Management],194)))</f>
        <v/>
      </c>
      <c r="CI195" s="5">
        <f>IF(A195="","",N(INDEX(Projects[Est Systems Eng],194)))</f>
        <v/>
      </c>
      <c r="CJ195" s="5">
        <f>IF(A195="","",N(INDEX(Projects[Est Mechanical Eng],194)))</f>
        <v/>
      </c>
      <c r="CK195" s="5">
        <f>IF(A195="","",N(INDEX(Projects[Est Structural Engineering],194)))</f>
        <v/>
      </c>
      <c r="CL195" s="5">
        <f>IF(A195="","",N(INDEX(Projects[Est Site Sup],194)))</f>
        <v/>
      </c>
      <c r="CM195" s="5">
        <f>IF(A195="","",N(INDEX(Projects[Est Controls Commissioning],194)))</f>
        <v/>
      </c>
      <c r="CN195" s="5">
        <f>IF(A195="","",N(INDEX(Projects[Est Systems Commissioning],194)))</f>
        <v/>
      </c>
      <c r="CO195" s="5">
        <f>IF(A195="","",N(INDEX(Projects[Est Service Commissioning],194)))</f>
        <v/>
      </c>
      <c r="CP195" s="5">
        <f>IF(A195="","",N(INDEX(Projects[Est Controls Eng],194)))</f>
        <v/>
      </c>
      <c r="CQ195" s="5">
        <f>IF(A195="","",N(INDEX(Projects[Est Controls Purchase],194)))</f>
        <v/>
      </c>
      <c r="CR195" s="5">
        <f>IF(A195="","",N(INDEX(Projects[Est Software Eng],194)))</f>
        <v/>
      </c>
      <c r="CS195" s="5">
        <f>IF(A195="","",N(INDEX(Projects[Est Misc],194)))</f>
        <v/>
      </c>
      <c r="CT195" s="5">
        <f>IF(A195="","",SUM(CF195:CS195))</f>
        <v/>
      </c>
      <c r="CU195" s="5">
        <f>INDEX(Projects[Est Cost (M)],194)</f>
        <v/>
      </c>
      <c r="CV195" s="5">
        <f>INDEX(Projects[Act Cost (M)],194)</f>
        <v/>
      </c>
      <c r="CW195" s="5">
        <f>INDEX(Projects[Plan Mech Eng (wks)],194)</f>
        <v/>
      </c>
      <c r="CX195" s="5">
        <f>INDEX(Projects[Plan Controls Eng (wks)],194)</f>
        <v/>
      </c>
      <c r="CY195" s="5">
        <f>INDEX(Projects[Plan Systems Eng (wks)],194)</f>
        <v/>
      </c>
      <c r="CZ195" s="5">
        <f>INDEX(Projects[Plan Software Eng (wks)],194)</f>
        <v/>
      </c>
      <c r="DA195" s="5">
        <f>INDEX(Projects[Plan M&amp;E Installation (wks)],194)</f>
        <v/>
      </c>
      <c r="DB195" s="5">
        <f>INDEX(Projects[Plan Commissioning (wks)],194)</f>
        <v/>
      </c>
      <c r="DC195" s="5">
        <f>INDEX(Projects[Plan Total (wks)],194)</f>
        <v/>
      </c>
      <c r="DD195" s="5">
        <f>INDEX(Projects[Act Mech Eng (wks)],194)</f>
        <v/>
      </c>
      <c r="DE195" s="5">
        <f>INDEX(Projects[Act Controls Eng (wks)],194)</f>
        <v/>
      </c>
      <c r="DF195" s="5">
        <f>INDEX(Projects[Act Systems Eng (wks)],194)</f>
        <v/>
      </c>
      <c r="DG195" s="5">
        <f>INDEX(Projects[Act Software Eng (wks)],194)</f>
        <v/>
      </c>
      <c r="DH195" s="5">
        <f>INDEX(Projects[Act M&amp;E Installation (wks)],194)</f>
        <v/>
      </c>
      <c r="DI195" s="5">
        <f>INDEX(Projects[Act Commissioning (wks)],194)</f>
        <v/>
      </c>
      <c r="DJ195" s="5">
        <f>INDEX(Projects[Act Total (wks)],194)</f>
        <v/>
      </c>
    </row>
    <row r="196" ht="15" customHeight="1" s="82">
      <c r="A196" s="64">
        <f>INDEX(Projects[Project ID *],195)&amp;""</f>
        <v/>
      </c>
      <c r="B196" s="64">
        <f>INDEX(Projects[Project Name *],195)&amp;""</f>
        <v/>
      </c>
      <c r="C196" s="64">
        <f>INDEX(Projects[MS Shuttles],195)</f>
        <v/>
      </c>
      <c r="D196" s="64">
        <f>INDEX(Projects[MS Tote Locations],195)</f>
        <v/>
      </c>
      <c r="E196" s="64">
        <f>INDEX(Projects[AS Robots],195)</f>
        <v/>
      </c>
      <c r="F196" s="64">
        <f>INDEX(Projects[AS Tote Locations],195)</f>
        <v/>
      </c>
      <c r="G196" s="64">
        <f>INDEX(Projects[PS Shuttles],195)</f>
        <v/>
      </c>
      <c r="H196" s="64">
        <f>INDEX(Projects[PS Pallet Locations],195)</f>
        <v/>
      </c>
      <c r="I196" s="64">
        <f>INDEX(Projects[SRM Cranes],195)</f>
        <v/>
      </c>
      <c r="J196" s="64">
        <f>INDEX(Projects[SRM Pallet Locations],195)</f>
        <v/>
      </c>
      <c r="K196" s="64">
        <f>INDEX(Projects[Case Conv (m)],195)</f>
        <v/>
      </c>
      <c r="L196" s="64">
        <f>INDEX(Projects[Pallet Conv (m)],195)</f>
        <v/>
      </c>
      <c r="M196" s="64">
        <f>IF(N(DJ196)&gt;0,DD196,CW196)</f>
        <v/>
      </c>
      <c r="N196" s="64">
        <f>IF(N(DJ196)&gt;0,DE196,CX196)</f>
        <v/>
      </c>
      <c r="O196" s="64">
        <f>IF(N(DJ196)&gt;0,DF196,CY196)</f>
        <v/>
      </c>
      <c r="P196" s="64">
        <f>IF(N(DJ196)&gt;0,DG196,CZ196)</f>
        <v/>
      </c>
      <c r="Q196" s="64">
        <f>IF(N(DJ196)&gt;0,DH196,DA196)</f>
        <v/>
      </c>
      <c r="R196" s="64">
        <f>IF(N(DJ196)&gt;0,DI196,DB196)</f>
        <v/>
      </c>
      <c r="S196" s="64">
        <f>IF(N(DJ196)&gt;0,DJ196,DC196)</f>
        <v/>
      </c>
      <c r="T196" s="64">
        <f>INDEX(Projects[Currency],195)&amp;""</f>
        <v/>
      </c>
      <c r="U196" s="65">
        <f>INDEX(Projects[Sold Value (M)],195)</f>
        <v/>
      </c>
      <c r="V196" s="64">
        <f>IF('Smart Search'!B13=1,IFERROR(1/'Smart Search'!H13,0),0)</f>
        <v/>
      </c>
      <c r="W196" s="64">
        <f>IF('Smart Search'!B13=1,IFERROR(1/'Smart Search'!H13,0),0)</f>
        <v/>
      </c>
      <c r="X196" s="64">
        <f>IF('Smart Search'!C13=1,IFERROR(1/'Smart Search'!H13,0),0)</f>
        <v/>
      </c>
      <c r="Y196" s="64">
        <f>IF('Smart Search'!C13=1,IFERROR(1/'Smart Search'!H13,0),0)</f>
        <v/>
      </c>
      <c r="Z196" s="64">
        <f>IF('Smart Search'!D13=1,IFERROR(1/'Smart Search'!H13,0),0)</f>
        <v/>
      </c>
      <c r="AA196" s="64">
        <f>IF('Smart Search'!D13=1,IFERROR(1/'Smart Search'!H13,0),0)</f>
        <v/>
      </c>
      <c r="AB196" s="64">
        <f>IF('Smart Search'!E13=1,IFERROR(1/'Smart Search'!H13,0),0)</f>
        <v/>
      </c>
      <c r="AC196" s="64">
        <f>IF('Smart Search'!E13=1,IFERROR(1/'Smart Search'!H13,0),0)</f>
        <v/>
      </c>
      <c r="AD196" s="64">
        <f>IF('Smart Search'!F13=1,IFERROR(1/'Smart Search'!H13,0),0)</f>
        <v/>
      </c>
      <c r="AE196" s="64">
        <f>IF('Smart Search'!F13=1,IFERROR(1/'Smart Search'!H13,0),0)</f>
        <v/>
      </c>
      <c r="AF196" s="64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4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4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4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4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4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4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4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4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4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4">
        <f>AF196*V196</f>
        <v/>
      </c>
      <c r="AQ196" s="64">
        <f>AG196*W196</f>
        <v/>
      </c>
      <c r="AR196" s="64">
        <f>AH196*X196</f>
        <v/>
      </c>
      <c r="AS196" s="64">
        <f>AI196*Y196</f>
        <v/>
      </c>
      <c r="AT196" s="64">
        <f>AJ196*Z196</f>
        <v/>
      </c>
      <c r="AU196" s="64">
        <f>AK196*AA196</f>
        <v/>
      </c>
      <c r="AV196" s="64">
        <f>AL196*AB196</f>
        <v/>
      </c>
      <c r="AW196" s="64">
        <f>AM196*AC196</f>
        <v/>
      </c>
      <c r="AX196" s="64">
        <f>AN196*AD196</f>
        <v/>
      </c>
      <c r="AY196" s="64">
        <f>AO196*AE196</f>
        <v/>
      </c>
      <c r="AZ196" s="64">
        <f>INDEX(Projects[Automation Equipment],195)&amp;""</f>
        <v/>
      </c>
      <c r="BA196" s="64">
        <f>IF(OR(A196="",'Smart Search'!H13=0),"",MAX(0,BE196*BF196*MAX(0,1-BG196)))</f>
        <v/>
      </c>
      <c r="BB196" s="64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4">
        <f>IF('Smart Search'!G13=1,IFERROR(1/'Smart Search'!H13,0),0)</f>
        <v/>
      </c>
      <c r="BD196" s="64">
        <f>BB196*BC196</f>
        <v/>
      </c>
      <c r="BE196" s="64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IF(A196="","",N(INDEX(Projects[Act Mech Inst],195)))</f>
        <v/>
      </c>
      <c r="BK196" s="5">
        <f>IF(A196="","",N(INDEX(Projects[Act Elec Inst],195)))</f>
        <v/>
      </c>
      <c r="BL196" s="5">
        <f>IF(A196="","",N(INDEX(Projects[Act Project Management],195)))</f>
        <v/>
      </c>
      <c r="BM196" s="5">
        <f>IF(A196="","",N(INDEX(Projects[Act Systems Eng],195)))</f>
        <v/>
      </c>
      <c r="BN196" s="5">
        <f>IF(A196="","",N(INDEX(Projects[Act Mechanical Eng],195)))</f>
        <v/>
      </c>
      <c r="BO196" s="5">
        <f>IF(A196="","",N(INDEX(Projects[Act Structural Engineering],195)))</f>
        <v/>
      </c>
      <c r="BP196" s="5">
        <f>IF(A196="","",N(INDEX(Projects[Act Site Sup],195)))</f>
        <v/>
      </c>
      <c r="BQ196" s="5">
        <f>IF(A196="","",N(INDEX(Projects[Act Controls Commissioning],195)))</f>
        <v/>
      </c>
      <c r="BR196" s="5">
        <f>IF(A196="","",N(INDEX(Projects[Act Systems Commissioning],195)))</f>
        <v/>
      </c>
      <c r="BS196" s="5">
        <f>IF(A196="","",N(INDEX(Projects[Act Service Commissioning],195)))</f>
        <v/>
      </c>
      <c r="BT196" s="5">
        <f>IF(A196="","",N(INDEX(Projects[Act Controls Eng],195)))</f>
        <v/>
      </c>
      <c r="BU196" s="5">
        <f>IF(A196="","",N(INDEX(Projects[Act Controls Purchase],195)))</f>
        <v/>
      </c>
      <c r="BV196" s="5">
        <f>IF(A196="","",N(INDEX(Projects[Act Software Eng],195)))</f>
        <v/>
      </c>
      <c r="BW196" s="5">
        <f>IF(A196="","",N(INDEX(Projects[Act 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INDEX(Projects[Sold Value (USD M)],195)</f>
        <v/>
      </c>
      <c r="CE196" s="5" t="n"/>
      <c r="CF196" s="5">
        <f>IF(A196="","",N(INDEX(Projects[Est Mech Inst],195)))</f>
        <v/>
      </c>
      <c r="CG196" s="5">
        <f>IF(A196="","",N(INDEX(Projects[Est Elec Inst],195)))</f>
        <v/>
      </c>
      <c r="CH196" s="5">
        <f>IF(A196="","",N(INDEX(Projects[Est Project Management],195)))</f>
        <v/>
      </c>
      <c r="CI196" s="5">
        <f>IF(A196="","",N(INDEX(Projects[Est Systems Eng],195)))</f>
        <v/>
      </c>
      <c r="CJ196" s="5">
        <f>IF(A196="","",N(INDEX(Projects[Est Mechanical Eng],195)))</f>
        <v/>
      </c>
      <c r="CK196" s="5">
        <f>IF(A196="","",N(INDEX(Projects[Est Structural Engineering],195)))</f>
        <v/>
      </c>
      <c r="CL196" s="5">
        <f>IF(A196="","",N(INDEX(Projects[Est Site Sup],195)))</f>
        <v/>
      </c>
      <c r="CM196" s="5">
        <f>IF(A196="","",N(INDEX(Projects[Est Controls Commissioning],195)))</f>
        <v/>
      </c>
      <c r="CN196" s="5">
        <f>IF(A196="","",N(INDEX(Projects[Est Systems Commissioning],195)))</f>
        <v/>
      </c>
      <c r="CO196" s="5">
        <f>IF(A196="","",N(INDEX(Projects[Est Service Commissioning],195)))</f>
        <v/>
      </c>
      <c r="CP196" s="5">
        <f>IF(A196="","",N(INDEX(Projects[Est Controls Eng],195)))</f>
        <v/>
      </c>
      <c r="CQ196" s="5">
        <f>IF(A196="","",N(INDEX(Projects[Est Controls Purchase],195)))</f>
        <v/>
      </c>
      <c r="CR196" s="5">
        <f>IF(A196="","",N(INDEX(Projects[Est Software Eng],195)))</f>
        <v/>
      </c>
      <c r="CS196" s="5">
        <f>IF(A196="","",N(INDEX(Projects[Est Misc],195)))</f>
        <v/>
      </c>
      <c r="CT196" s="5">
        <f>IF(A196="","",SUM(CF196:CS196))</f>
        <v/>
      </c>
      <c r="CU196" s="5">
        <f>INDEX(Projects[Est Cost (M)],195)</f>
        <v/>
      </c>
      <c r="CV196" s="5">
        <f>INDEX(Projects[Act Cost (M)],195)</f>
        <v/>
      </c>
      <c r="CW196" s="5">
        <f>INDEX(Projects[Plan Mech Eng (wks)],195)</f>
        <v/>
      </c>
      <c r="CX196" s="5">
        <f>INDEX(Projects[Plan Controls Eng (wks)],195)</f>
        <v/>
      </c>
      <c r="CY196" s="5">
        <f>INDEX(Projects[Plan Systems Eng (wks)],195)</f>
        <v/>
      </c>
      <c r="CZ196" s="5">
        <f>INDEX(Projects[Plan Software Eng (wks)],195)</f>
        <v/>
      </c>
      <c r="DA196" s="5">
        <f>INDEX(Projects[Plan M&amp;E Installation (wks)],195)</f>
        <v/>
      </c>
      <c r="DB196" s="5">
        <f>INDEX(Projects[Plan Commissioning (wks)],195)</f>
        <v/>
      </c>
      <c r="DC196" s="5">
        <f>INDEX(Projects[Plan Total (wks)],195)</f>
        <v/>
      </c>
      <c r="DD196" s="5">
        <f>INDEX(Projects[Act Mech Eng (wks)],195)</f>
        <v/>
      </c>
      <c r="DE196" s="5">
        <f>INDEX(Projects[Act Controls Eng (wks)],195)</f>
        <v/>
      </c>
      <c r="DF196" s="5">
        <f>INDEX(Projects[Act Systems Eng (wks)],195)</f>
        <v/>
      </c>
      <c r="DG196" s="5">
        <f>INDEX(Projects[Act Software Eng (wks)],195)</f>
        <v/>
      </c>
      <c r="DH196" s="5">
        <f>INDEX(Projects[Act M&amp;E Installation (wks)],195)</f>
        <v/>
      </c>
      <c r="DI196" s="5">
        <f>INDEX(Projects[Act Commissioning (wks)],195)</f>
        <v/>
      </c>
      <c r="DJ196" s="5">
        <f>INDEX(Projects[Act Total (wks)],195)</f>
        <v/>
      </c>
    </row>
    <row r="197" ht="15" customHeight="1" s="82">
      <c r="A197" s="64">
        <f>INDEX(Projects[Project ID *],196)&amp;""</f>
        <v/>
      </c>
      <c r="B197" s="64">
        <f>INDEX(Projects[Project Name *],196)&amp;""</f>
        <v/>
      </c>
      <c r="C197" s="64">
        <f>INDEX(Projects[MS Shuttles],196)</f>
        <v/>
      </c>
      <c r="D197" s="64">
        <f>INDEX(Projects[MS Tote Locations],196)</f>
        <v/>
      </c>
      <c r="E197" s="64">
        <f>INDEX(Projects[AS Robots],196)</f>
        <v/>
      </c>
      <c r="F197" s="64">
        <f>INDEX(Projects[AS Tote Locations],196)</f>
        <v/>
      </c>
      <c r="G197" s="64">
        <f>INDEX(Projects[PS Shuttles],196)</f>
        <v/>
      </c>
      <c r="H197" s="64">
        <f>INDEX(Projects[PS Pallet Locations],196)</f>
        <v/>
      </c>
      <c r="I197" s="64">
        <f>INDEX(Projects[SRM Cranes],196)</f>
        <v/>
      </c>
      <c r="J197" s="64">
        <f>INDEX(Projects[SRM Pallet Locations],196)</f>
        <v/>
      </c>
      <c r="K197" s="64">
        <f>INDEX(Projects[Case Conv (m)],196)</f>
        <v/>
      </c>
      <c r="L197" s="64">
        <f>INDEX(Projects[Pallet Conv (m)],196)</f>
        <v/>
      </c>
      <c r="M197" s="64">
        <f>IF(N(DJ197)&gt;0,DD197,CW197)</f>
        <v/>
      </c>
      <c r="N197" s="64">
        <f>IF(N(DJ197)&gt;0,DE197,CX197)</f>
        <v/>
      </c>
      <c r="O197" s="64">
        <f>IF(N(DJ197)&gt;0,DF197,CY197)</f>
        <v/>
      </c>
      <c r="P197" s="64">
        <f>IF(N(DJ197)&gt;0,DG197,CZ197)</f>
        <v/>
      </c>
      <c r="Q197" s="64">
        <f>IF(N(DJ197)&gt;0,DH197,DA197)</f>
        <v/>
      </c>
      <c r="R197" s="64">
        <f>IF(N(DJ197)&gt;0,DI197,DB197)</f>
        <v/>
      </c>
      <c r="S197" s="64">
        <f>IF(N(DJ197)&gt;0,DJ197,DC197)</f>
        <v/>
      </c>
      <c r="T197" s="64">
        <f>INDEX(Projects[Currency],196)&amp;""</f>
        <v/>
      </c>
      <c r="U197" s="65">
        <f>INDEX(Projects[Sold Value (M)],196)</f>
        <v/>
      </c>
      <c r="V197" s="64">
        <f>IF('Smart Search'!B13=1,IFERROR(1/'Smart Search'!H13,0),0)</f>
        <v/>
      </c>
      <c r="W197" s="64">
        <f>IF('Smart Search'!B13=1,IFERROR(1/'Smart Search'!H13,0),0)</f>
        <v/>
      </c>
      <c r="X197" s="64">
        <f>IF('Smart Search'!C13=1,IFERROR(1/'Smart Search'!H13,0),0)</f>
        <v/>
      </c>
      <c r="Y197" s="64">
        <f>IF('Smart Search'!C13=1,IFERROR(1/'Smart Search'!H13,0),0)</f>
        <v/>
      </c>
      <c r="Z197" s="64">
        <f>IF('Smart Search'!D13=1,IFERROR(1/'Smart Search'!H13,0),0)</f>
        <v/>
      </c>
      <c r="AA197" s="64">
        <f>IF('Smart Search'!D13=1,IFERROR(1/'Smart Search'!H13,0),0)</f>
        <v/>
      </c>
      <c r="AB197" s="64">
        <f>IF('Smart Search'!E13=1,IFERROR(1/'Smart Search'!H13,0),0)</f>
        <v/>
      </c>
      <c r="AC197" s="64">
        <f>IF('Smart Search'!E13=1,IFERROR(1/'Smart Search'!H13,0),0)</f>
        <v/>
      </c>
      <c r="AD197" s="64">
        <f>IF('Smart Search'!F13=1,IFERROR(1/'Smart Search'!H13,0),0)</f>
        <v/>
      </c>
      <c r="AE197" s="64">
        <f>IF('Smart Search'!F13=1,IFERROR(1/'Smart Search'!H13,0),0)</f>
        <v/>
      </c>
      <c r="AF197" s="64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4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4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4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4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4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4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4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4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4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4">
        <f>AF197*V197</f>
        <v/>
      </c>
      <c r="AQ197" s="64">
        <f>AG197*W197</f>
        <v/>
      </c>
      <c r="AR197" s="64">
        <f>AH197*X197</f>
        <v/>
      </c>
      <c r="AS197" s="64">
        <f>AI197*Y197</f>
        <v/>
      </c>
      <c r="AT197" s="64">
        <f>AJ197*Z197</f>
        <v/>
      </c>
      <c r="AU197" s="64">
        <f>AK197*AA197</f>
        <v/>
      </c>
      <c r="AV197" s="64">
        <f>AL197*AB197</f>
        <v/>
      </c>
      <c r="AW197" s="64">
        <f>AM197*AC197</f>
        <v/>
      </c>
      <c r="AX197" s="64">
        <f>AN197*AD197</f>
        <v/>
      </c>
      <c r="AY197" s="64">
        <f>AO197*AE197</f>
        <v/>
      </c>
      <c r="AZ197" s="64">
        <f>INDEX(Projects[Automation Equipment],196)&amp;""</f>
        <v/>
      </c>
      <c r="BA197" s="64">
        <f>IF(OR(A197="",'Smart Search'!H13=0),"",MAX(0,BE197*BF197*MAX(0,1-BG197)))</f>
        <v/>
      </c>
      <c r="BB197" s="64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4">
        <f>IF('Smart Search'!G13=1,IFERROR(1/'Smart Search'!H13,0),0)</f>
        <v/>
      </c>
      <c r="BD197" s="64">
        <f>BB197*BC197</f>
        <v/>
      </c>
      <c r="BE197" s="64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IF(A197="","",N(INDEX(Projects[Act Mech Inst],196)))</f>
        <v/>
      </c>
      <c r="BK197" s="5">
        <f>IF(A197="","",N(INDEX(Projects[Act Elec Inst],196)))</f>
        <v/>
      </c>
      <c r="BL197" s="5">
        <f>IF(A197="","",N(INDEX(Projects[Act Project Management],196)))</f>
        <v/>
      </c>
      <c r="BM197" s="5">
        <f>IF(A197="","",N(INDEX(Projects[Act Systems Eng],196)))</f>
        <v/>
      </c>
      <c r="BN197" s="5">
        <f>IF(A197="","",N(INDEX(Projects[Act Mechanical Eng],196)))</f>
        <v/>
      </c>
      <c r="BO197" s="5">
        <f>IF(A197="","",N(INDEX(Projects[Act Structural Engineering],196)))</f>
        <v/>
      </c>
      <c r="BP197" s="5">
        <f>IF(A197="","",N(INDEX(Projects[Act Site Sup],196)))</f>
        <v/>
      </c>
      <c r="BQ197" s="5">
        <f>IF(A197="","",N(INDEX(Projects[Act Controls Commissioning],196)))</f>
        <v/>
      </c>
      <c r="BR197" s="5">
        <f>IF(A197="","",N(INDEX(Projects[Act Systems Commissioning],196)))</f>
        <v/>
      </c>
      <c r="BS197" s="5">
        <f>IF(A197="","",N(INDEX(Projects[Act Service Commissioning],196)))</f>
        <v/>
      </c>
      <c r="BT197" s="5">
        <f>IF(A197="","",N(INDEX(Projects[Act Controls Eng],196)))</f>
        <v/>
      </c>
      <c r="BU197" s="5">
        <f>IF(A197="","",N(INDEX(Projects[Act Controls Purchase],196)))</f>
        <v/>
      </c>
      <c r="BV197" s="5">
        <f>IF(A197="","",N(INDEX(Projects[Act Software Eng],196)))</f>
        <v/>
      </c>
      <c r="BW197" s="5">
        <f>IF(A197="","",N(INDEX(Projects[Act 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INDEX(Projects[Sold Value (USD M)],196)</f>
        <v/>
      </c>
      <c r="CE197" s="5" t="n"/>
      <c r="CF197" s="5">
        <f>IF(A197="","",N(INDEX(Projects[Est Mech Inst],196)))</f>
        <v/>
      </c>
      <c r="CG197" s="5">
        <f>IF(A197="","",N(INDEX(Projects[Est Elec Inst],196)))</f>
        <v/>
      </c>
      <c r="CH197" s="5">
        <f>IF(A197="","",N(INDEX(Projects[Est Project Management],196)))</f>
        <v/>
      </c>
      <c r="CI197" s="5">
        <f>IF(A197="","",N(INDEX(Projects[Est Systems Eng],196)))</f>
        <v/>
      </c>
      <c r="CJ197" s="5">
        <f>IF(A197="","",N(INDEX(Projects[Est Mechanical Eng],196)))</f>
        <v/>
      </c>
      <c r="CK197" s="5">
        <f>IF(A197="","",N(INDEX(Projects[Est Structural Engineering],196)))</f>
        <v/>
      </c>
      <c r="CL197" s="5">
        <f>IF(A197="","",N(INDEX(Projects[Est Site Sup],196)))</f>
        <v/>
      </c>
      <c r="CM197" s="5">
        <f>IF(A197="","",N(INDEX(Projects[Est Controls Commissioning],196)))</f>
        <v/>
      </c>
      <c r="CN197" s="5">
        <f>IF(A197="","",N(INDEX(Projects[Est Systems Commissioning],196)))</f>
        <v/>
      </c>
      <c r="CO197" s="5">
        <f>IF(A197="","",N(INDEX(Projects[Est Service Commissioning],196)))</f>
        <v/>
      </c>
      <c r="CP197" s="5">
        <f>IF(A197="","",N(INDEX(Projects[Est Controls Eng],196)))</f>
        <v/>
      </c>
      <c r="CQ197" s="5">
        <f>IF(A197="","",N(INDEX(Projects[Est Controls Purchase],196)))</f>
        <v/>
      </c>
      <c r="CR197" s="5">
        <f>IF(A197="","",N(INDEX(Projects[Est Software Eng],196)))</f>
        <v/>
      </c>
      <c r="CS197" s="5">
        <f>IF(A197="","",N(INDEX(Projects[Est Misc],196)))</f>
        <v/>
      </c>
      <c r="CT197" s="5">
        <f>IF(A197="","",SUM(CF197:CS197))</f>
        <v/>
      </c>
      <c r="CU197" s="5">
        <f>INDEX(Projects[Est Cost (M)],196)</f>
        <v/>
      </c>
      <c r="CV197" s="5">
        <f>INDEX(Projects[Act Cost (M)],196)</f>
        <v/>
      </c>
      <c r="CW197" s="5">
        <f>INDEX(Projects[Plan Mech Eng (wks)],196)</f>
        <v/>
      </c>
      <c r="CX197" s="5">
        <f>INDEX(Projects[Plan Controls Eng (wks)],196)</f>
        <v/>
      </c>
      <c r="CY197" s="5">
        <f>INDEX(Projects[Plan Systems Eng (wks)],196)</f>
        <v/>
      </c>
      <c r="CZ197" s="5">
        <f>INDEX(Projects[Plan Software Eng (wks)],196)</f>
        <v/>
      </c>
      <c r="DA197" s="5">
        <f>INDEX(Projects[Plan M&amp;E Installation (wks)],196)</f>
        <v/>
      </c>
      <c r="DB197" s="5">
        <f>INDEX(Projects[Plan Commissioning (wks)],196)</f>
        <v/>
      </c>
      <c r="DC197" s="5">
        <f>INDEX(Projects[Plan Total (wks)],196)</f>
        <v/>
      </c>
      <c r="DD197" s="5">
        <f>INDEX(Projects[Act Mech Eng (wks)],196)</f>
        <v/>
      </c>
      <c r="DE197" s="5">
        <f>INDEX(Projects[Act Controls Eng (wks)],196)</f>
        <v/>
      </c>
      <c r="DF197" s="5">
        <f>INDEX(Projects[Act Systems Eng (wks)],196)</f>
        <v/>
      </c>
      <c r="DG197" s="5">
        <f>INDEX(Projects[Act Software Eng (wks)],196)</f>
        <v/>
      </c>
      <c r="DH197" s="5">
        <f>INDEX(Projects[Act M&amp;E Installation (wks)],196)</f>
        <v/>
      </c>
      <c r="DI197" s="5">
        <f>INDEX(Projects[Act Commissioning (wks)],196)</f>
        <v/>
      </c>
      <c r="DJ197" s="5">
        <f>INDEX(Projects[Act Total (wks)],196)</f>
        <v/>
      </c>
    </row>
    <row r="198" ht="15" customHeight="1" s="82">
      <c r="A198" s="64">
        <f>INDEX(Projects[Project ID *],197)&amp;""</f>
        <v/>
      </c>
      <c r="B198" s="64">
        <f>INDEX(Projects[Project Name *],197)&amp;""</f>
        <v/>
      </c>
      <c r="C198" s="64">
        <f>INDEX(Projects[MS Shuttles],197)</f>
        <v/>
      </c>
      <c r="D198" s="64">
        <f>INDEX(Projects[MS Tote Locations],197)</f>
        <v/>
      </c>
      <c r="E198" s="64">
        <f>INDEX(Projects[AS Robots],197)</f>
        <v/>
      </c>
      <c r="F198" s="64">
        <f>INDEX(Projects[AS Tote Locations],197)</f>
        <v/>
      </c>
      <c r="G198" s="64">
        <f>INDEX(Projects[PS Shuttles],197)</f>
        <v/>
      </c>
      <c r="H198" s="64">
        <f>INDEX(Projects[PS Pallet Locations],197)</f>
        <v/>
      </c>
      <c r="I198" s="64">
        <f>INDEX(Projects[SRM Cranes],197)</f>
        <v/>
      </c>
      <c r="J198" s="64">
        <f>INDEX(Projects[SRM Pallet Locations],197)</f>
        <v/>
      </c>
      <c r="K198" s="64">
        <f>INDEX(Projects[Case Conv (m)],197)</f>
        <v/>
      </c>
      <c r="L198" s="64">
        <f>INDEX(Projects[Pallet Conv (m)],197)</f>
        <v/>
      </c>
      <c r="M198" s="64">
        <f>IF(N(DJ198)&gt;0,DD198,CW198)</f>
        <v/>
      </c>
      <c r="N198" s="64">
        <f>IF(N(DJ198)&gt;0,DE198,CX198)</f>
        <v/>
      </c>
      <c r="O198" s="64">
        <f>IF(N(DJ198)&gt;0,DF198,CY198)</f>
        <v/>
      </c>
      <c r="P198" s="64">
        <f>IF(N(DJ198)&gt;0,DG198,CZ198)</f>
        <v/>
      </c>
      <c r="Q198" s="64">
        <f>IF(N(DJ198)&gt;0,DH198,DA198)</f>
        <v/>
      </c>
      <c r="R198" s="64">
        <f>IF(N(DJ198)&gt;0,DI198,DB198)</f>
        <v/>
      </c>
      <c r="S198" s="64">
        <f>IF(N(DJ198)&gt;0,DJ198,DC198)</f>
        <v/>
      </c>
      <c r="T198" s="64">
        <f>INDEX(Projects[Currency],197)&amp;""</f>
        <v/>
      </c>
      <c r="U198" s="65">
        <f>INDEX(Projects[Sold Value (M)],197)</f>
        <v/>
      </c>
      <c r="V198" s="64">
        <f>IF('Smart Search'!B13=1,IFERROR(1/'Smart Search'!H13,0),0)</f>
        <v/>
      </c>
      <c r="W198" s="64">
        <f>IF('Smart Search'!B13=1,IFERROR(1/'Smart Search'!H13,0),0)</f>
        <v/>
      </c>
      <c r="X198" s="64">
        <f>IF('Smart Search'!C13=1,IFERROR(1/'Smart Search'!H13,0),0)</f>
        <v/>
      </c>
      <c r="Y198" s="64">
        <f>IF('Smart Search'!C13=1,IFERROR(1/'Smart Search'!H13,0),0)</f>
        <v/>
      </c>
      <c r="Z198" s="64">
        <f>IF('Smart Search'!D13=1,IFERROR(1/'Smart Search'!H13,0),0)</f>
        <v/>
      </c>
      <c r="AA198" s="64">
        <f>IF('Smart Search'!D13=1,IFERROR(1/'Smart Search'!H13,0),0)</f>
        <v/>
      </c>
      <c r="AB198" s="64">
        <f>IF('Smart Search'!E13=1,IFERROR(1/'Smart Search'!H13,0),0)</f>
        <v/>
      </c>
      <c r="AC198" s="64">
        <f>IF('Smart Search'!E13=1,IFERROR(1/'Smart Search'!H13,0),0)</f>
        <v/>
      </c>
      <c r="AD198" s="64">
        <f>IF('Smart Search'!F13=1,IFERROR(1/'Smart Search'!H13,0),0)</f>
        <v/>
      </c>
      <c r="AE198" s="64">
        <f>IF('Smart Search'!F13=1,IFERROR(1/'Smart Search'!H13,0),0)</f>
        <v/>
      </c>
      <c r="AF198" s="64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4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4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4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4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4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4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4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4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4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4">
        <f>AF198*V198</f>
        <v/>
      </c>
      <c r="AQ198" s="64">
        <f>AG198*W198</f>
        <v/>
      </c>
      <c r="AR198" s="64">
        <f>AH198*X198</f>
        <v/>
      </c>
      <c r="AS198" s="64">
        <f>AI198*Y198</f>
        <v/>
      </c>
      <c r="AT198" s="64">
        <f>AJ198*Z198</f>
        <v/>
      </c>
      <c r="AU198" s="64">
        <f>AK198*AA198</f>
        <v/>
      </c>
      <c r="AV198" s="64">
        <f>AL198*AB198</f>
        <v/>
      </c>
      <c r="AW198" s="64">
        <f>AM198*AC198</f>
        <v/>
      </c>
      <c r="AX198" s="64">
        <f>AN198*AD198</f>
        <v/>
      </c>
      <c r="AY198" s="64">
        <f>AO198*AE198</f>
        <v/>
      </c>
      <c r="AZ198" s="64">
        <f>INDEX(Projects[Automation Equipment],197)&amp;""</f>
        <v/>
      </c>
      <c r="BA198" s="64">
        <f>IF(OR(A198="",'Smart Search'!H13=0),"",MAX(0,BE198*BF198*MAX(0,1-BG198)))</f>
        <v/>
      </c>
      <c r="BB198" s="64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4">
        <f>IF('Smart Search'!G13=1,IFERROR(1/'Smart Search'!H13,0),0)</f>
        <v/>
      </c>
      <c r="BD198" s="64">
        <f>BB198*BC198</f>
        <v/>
      </c>
      <c r="BE198" s="64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IF(A198="","",N(INDEX(Projects[Act Mech Inst],197)))</f>
        <v/>
      </c>
      <c r="BK198" s="5">
        <f>IF(A198="","",N(INDEX(Projects[Act Elec Inst],197)))</f>
        <v/>
      </c>
      <c r="BL198" s="5">
        <f>IF(A198="","",N(INDEX(Projects[Act Project Management],197)))</f>
        <v/>
      </c>
      <c r="BM198" s="5">
        <f>IF(A198="","",N(INDEX(Projects[Act Systems Eng],197)))</f>
        <v/>
      </c>
      <c r="BN198" s="5">
        <f>IF(A198="","",N(INDEX(Projects[Act Mechanical Eng],197)))</f>
        <v/>
      </c>
      <c r="BO198" s="5">
        <f>IF(A198="","",N(INDEX(Projects[Act Structural Engineering],197)))</f>
        <v/>
      </c>
      <c r="BP198" s="5">
        <f>IF(A198="","",N(INDEX(Projects[Act Site Sup],197)))</f>
        <v/>
      </c>
      <c r="BQ198" s="5">
        <f>IF(A198="","",N(INDEX(Projects[Act Controls Commissioning],197)))</f>
        <v/>
      </c>
      <c r="BR198" s="5">
        <f>IF(A198="","",N(INDEX(Projects[Act Systems Commissioning],197)))</f>
        <v/>
      </c>
      <c r="BS198" s="5">
        <f>IF(A198="","",N(INDEX(Projects[Act Service Commissioning],197)))</f>
        <v/>
      </c>
      <c r="BT198" s="5">
        <f>IF(A198="","",N(INDEX(Projects[Act Controls Eng],197)))</f>
        <v/>
      </c>
      <c r="BU198" s="5">
        <f>IF(A198="","",N(INDEX(Projects[Act Controls Purchase],197)))</f>
        <v/>
      </c>
      <c r="BV198" s="5">
        <f>IF(A198="","",N(INDEX(Projects[Act Software Eng],197)))</f>
        <v/>
      </c>
      <c r="BW198" s="5">
        <f>IF(A198="","",N(INDEX(Projects[Act 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INDEX(Projects[Sold Value (USD M)],197)</f>
        <v/>
      </c>
      <c r="CE198" s="5" t="n"/>
      <c r="CF198" s="5">
        <f>IF(A198="","",N(INDEX(Projects[Est Mech Inst],197)))</f>
        <v/>
      </c>
      <c r="CG198" s="5">
        <f>IF(A198="","",N(INDEX(Projects[Est Elec Inst],197)))</f>
        <v/>
      </c>
      <c r="CH198" s="5">
        <f>IF(A198="","",N(INDEX(Projects[Est Project Management],197)))</f>
        <v/>
      </c>
      <c r="CI198" s="5">
        <f>IF(A198="","",N(INDEX(Projects[Est Systems Eng],197)))</f>
        <v/>
      </c>
      <c r="CJ198" s="5">
        <f>IF(A198="","",N(INDEX(Projects[Est Mechanical Eng],197)))</f>
        <v/>
      </c>
      <c r="CK198" s="5">
        <f>IF(A198="","",N(INDEX(Projects[Est Structural Engineering],197)))</f>
        <v/>
      </c>
      <c r="CL198" s="5">
        <f>IF(A198="","",N(INDEX(Projects[Est Site Sup],197)))</f>
        <v/>
      </c>
      <c r="CM198" s="5">
        <f>IF(A198="","",N(INDEX(Projects[Est Controls Commissioning],197)))</f>
        <v/>
      </c>
      <c r="CN198" s="5">
        <f>IF(A198="","",N(INDEX(Projects[Est Systems Commissioning],197)))</f>
        <v/>
      </c>
      <c r="CO198" s="5">
        <f>IF(A198="","",N(INDEX(Projects[Est Service Commissioning],197)))</f>
        <v/>
      </c>
      <c r="CP198" s="5">
        <f>IF(A198="","",N(INDEX(Projects[Est Controls Eng],197)))</f>
        <v/>
      </c>
      <c r="CQ198" s="5">
        <f>IF(A198="","",N(INDEX(Projects[Est Controls Purchase],197)))</f>
        <v/>
      </c>
      <c r="CR198" s="5">
        <f>IF(A198="","",N(INDEX(Projects[Est Software Eng],197)))</f>
        <v/>
      </c>
      <c r="CS198" s="5">
        <f>IF(A198="","",N(INDEX(Projects[Est Misc],197)))</f>
        <v/>
      </c>
      <c r="CT198" s="5">
        <f>IF(A198="","",SUM(CF198:CS198))</f>
        <v/>
      </c>
      <c r="CU198" s="5">
        <f>INDEX(Projects[Est Cost (M)],197)</f>
        <v/>
      </c>
      <c r="CV198" s="5">
        <f>INDEX(Projects[Act Cost (M)],197)</f>
        <v/>
      </c>
      <c r="CW198" s="5">
        <f>INDEX(Projects[Plan Mech Eng (wks)],197)</f>
        <v/>
      </c>
      <c r="CX198" s="5">
        <f>INDEX(Projects[Plan Controls Eng (wks)],197)</f>
        <v/>
      </c>
      <c r="CY198" s="5">
        <f>INDEX(Projects[Plan Systems Eng (wks)],197)</f>
        <v/>
      </c>
      <c r="CZ198" s="5">
        <f>INDEX(Projects[Plan Software Eng (wks)],197)</f>
        <v/>
      </c>
      <c r="DA198" s="5">
        <f>INDEX(Projects[Plan M&amp;E Installation (wks)],197)</f>
        <v/>
      </c>
      <c r="DB198" s="5">
        <f>INDEX(Projects[Plan Commissioning (wks)],197)</f>
        <v/>
      </c>
      <c r="DC198" s="5">
        <f>INDEX(Projects[Plan Total (wks)],197)</f>
        <v/>
      </c>
      <c r="DD198" s="5">
        <f>INDEX(Projects[Act Mech Eng (wks)],197)</f>
        <v/>
      </c>
      <c r="DE198" s="5">
        <f>INDEX(Projects[Act Controls Eng (wks)],197)</f>
        <v/>
      </c>
      <c r="DF198" s="5">
        <f>INDEX(Projects[Act Systems Eng (wks)],197)</f>
        <v/>
      </c>
      <c r="DG198" s="5">
        <f>INDEX(Projects[Act Software Eng (wks)],197)</f>
        <v/>
      </c>
      <c r="DH198" s="5">
        <f>INDEX(Projects[Act M&amp;E Installation (wks)],197)</f>
        <v/>
      </c>
      <c r="DI198" s="5">
        <f>INDEX(Projects[Act Commissioning (wks)],197)</f>
        <v/>
      </c>
      <c r="DJ198" s="5">
        <f>INDEX(Projects[Act Total (wks)],197)</f>
        <v/>
      </c>
    </row>
    <row r="199" ht="15" customHeight="1" s="82">
      <c r="A199" s="64">
        <f>INDEX(Projects[Project ID *],198)&amp;""</f>
        <v/>
      </c>
      <c r="B199" s="64">
        <f>INDEX(Projects[Project Name *],198)&amp;""</f>
        <v/>
      </c>
      <c r="C199" s="64">
        <f>INDEX(Projects[MS Shuttles],198)</f>
        <v/>
      </c>
      <c r="D199" s="64">
        <f>INDEX(Projects[MS Tote Locations],198)</f>
        <v/>
      </c>
      <c r="E199" s="64">
        <f>INDEX(Projects[AS Robots],198)</f>
        <v/>
      </c>
      <c r="F199" s="64">
        <f>INDEX(Projects[AS Tote Locations],198)</f>
        <v/>
      </c>
      <c r="G199" s="64">
        <f>INDEX(Projects[PS Shuttles],198)</f>
        <v/>
      </c>
      <c r="H199" s="64">
        <f>INDEX(Projects[PS Pallet Locations],198)</f>
        <v/>
      </c>
      <c r="I199" s="64">
        <f>INDEX(Projects[SRM Cranes],198)</f>
        <v/>
      </c>
      <c r="J199" s="64">
        <f>INDEX(Projects[SRM Pallet Locations],198)</f>
        <v/>
      </c>
      <c r="K199" s="64">
        <f>INDEX(Projects[Case Conv (m)],198)</f>
        <v/>
      </c>
      <c r="L199" s="64">
        <f>INDEX(Projects[Pallet Conv (m)],198)</f>
        <v/>
      </c>
      <c r="M199" s="64">
        <f>IF(N(DJ199)&gt;0,DD199,CW199)</f>
        <v/>
      </c>
      <c r="N199" s="64">
        <f>IF(N(DJ199)&gt;0,DE199,CX199)</f>
        <v/>
      </c>
      <c r="O199" s="64">
        <f>IF(N(DJ199)&gt;0,DF199,CY199)</f>
        <v/>
      </c>
      <c r="P199" s="64">
        <f>IF(N(DJ199)&gt;0,DG199,CZ199)</f>
        <v/>
      </c>
      <c r="Q199" s="64">
        <f>IF(N(DJ199)&gt;0,DH199,DA199)</f>
        <v/>
      </c>
      <c r="R199" s="64">
        <f>IF(N(DJ199)&gt;0,DI199,DB199)</f>
        <v/>
      </c>
      <c r="S199" s="64">
        <f>IF(N(DJ199)&gt;0,DJ199,DC199)</f>
        <v/>
      </c>
      <c r="T199" s="64">
        <f>INDEX(Projects[Currency],198)&amp;""</f>
        <v/>
      </c>
      <c r="U199" s="65">
        <f>INDEX(Projects[Sold Value (M)],198)</f>
        <v/>
      </c>
      <c r="V199" s="64">
        <f>IF('Smart Search'!B13=1,IFERROR(1/'Smart Search'!H13,0),0)</f>
        <v/>
      </c>
      <c r="W199" s="64">
        <f>IF('Smart Search'!B13=1,IFERROR(1/'Smart Search'!H13,0),0)</f>
        <v/>
      </c>
      <c r="X199" s="64">
        <f>IF('Smart Search'!C13=1,IFERROR(1/'Smart Search'!H13,0),0)</f>
        <v/>
      </c>
      <c r="Y199" s="64">
        <f>IF('Smart Search'!C13=1,IFERROR(1/'Smart Search'!H13,0),0)</f>
        <v/>
      </c>
      <c r="Z199" s="64">
        <f>IF('Smart Search'!D13=1,IFERROR(1/'Smart Search'!H13,0),0)</f>
        <v/>
      </c>
      <c r="AA199" s="64">
        <f>IF('Smart Search'!D13=1,IFERROR(1/'Smart Search'!H13,0),0)</f>
        <v/>
      </c>
      <c r="AB199" s="64">
        <f>IF('Smart Search'!E13=1,IFERROR(1/'Smart Search'!H13,0),0)</f>
        <v/>
      </c>
      <c r="AC199" s="64">
        <f>IF('Smart Search'!E13=1,IFERROR(1/'Smart Search'!H13,0),0)</f>
        <v/>
      </c>
      <c r="AD199" s="64">
        <f>IF('Smart Search'!F13=1,IFERROR(1/'Smart Search'!H13,0),0)</f>
        <v/>
      </c>
      <c r="AE199" s="64">
        <f>IF('Smart Search'!F13=1,IFERROR(1/'Smart Search'!H13,0),0)</f>
        <v/>
      </c>
      <c r="AF199" s="64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4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4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4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4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4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4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4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4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4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4">
        <f>AF199*V199</f>
        <v/>
      </c>
      <c r="AQ199" s="64">
        <f>AG199*W199</f>
        <v/>
      </c>
      <c r="AR199" s="64">
        <f>AH199*X199</f>
        <v/>
      </c>
      <c r="AS199" s="64">
        <f>AI199*Y199</f>
        <v/>
      </c>
      <c r="AT199" s="64">
        <f>AJ199*Z199</f>
        <v/>
      </c>
      <c r="AU199" s="64">
        <f>AK199*AA199</f>
        <v/>
      </c>
      <c r="AV199" s="64">
        <f>AL199*AB199</f>
        <v/>
      </c>
      <c r="AW199" s="64">
        <f>AM199*AC199</f>
        <v/>
      </c>
      <c r="AX199" s="64">
        <f>AN199*AD199</f>
        <v/>
      </c>
      <c r="AY199" s="64">
        <f>AO199*AE199</f>
        <v/>
      </c>
      <c r="AZ199" s="64">
        <f>INDEX(Projects[Automation Equipment],198)&amp;""</f>
        <v/>
      </c>
      <c r="BA199" s="64">
        <f>IF(OR(A199="",'Smart Search'!H13=0),"",MAX(0,BE199*BF199*MAX(0,1-BG199)))</f>
        <v/>
      </c>
      <c r="BB199" s="64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4">
        <f>IF('Smart Search'!G13=1,IFERROR(1/'Smart Search'!H13,0),0)</f>
        <v/>
      </c>
      <c r="BD199" s="64">
        <f>BB199*BC199</f>
        <v/>
      </c>
      <c r="BE199" s="64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IF(A199="","",N(INDEX(Projects[Act Mech Inst],198)))</f>
        <v/>
      </c>
      <c r="BK199" s="5">
        <f>IF(A199="","",N(INDEX(Projects[Act Elec Inst],198)))</f>
        <v/>
      </c>
      <c r="BL199" s="5">
        <f>IF(A199="","",N(INDEX(Projects[Act Project Management],198)))</f>
        <v/>
      </c>
      <c r="BM199" s="5">
        <f>IF(A199="","",N(INDEX(Projects[Act Systems Eng],198)))</f>
        <v/>
      </c>
      <c r="BN199" s="5">
        <f>IF(A199="","",N(INDEX(Projects[Act Mechanical Eng],198)))</f>
        <v/>
      </c>
      <c r="BO199" s="5">
        <f>IF(A199="","",N(INDEX(Projects[Act Structural Engineering],198)))</f>
        <v/>
      </c>
      <c r="BP199" s="5">
        <f>IF(A199="","",N(INDEX(Projects[Act Site Sup],198)))</f>
        <v/>
      </c>
      <c r="BQ199" s="5">
        <f>IF(A199="","",N(INDEX(Projects[Act Controls Commissioning],198)))</f>
        <v/>
      </c>
      <c r="BR199" s="5">
        <f>IF(A199="","",N(INDEX(Projects[Act Systems Commissioning],198)))</f>
        <v/>
      </c>
      <c r="BS199" s="5">
        <f>IF(A199="","",N(INDEX(Projects[Act Service Commissioning],198)))</f>
        <v/>
      </c>
      <c r="BT199" s="5">
        <f>IF(A199="","",N(INDEX(Projects[Act Controls Eng],198)))</f>
        <v/>
      </c>
      <c r="BU199" s="5">
        <f>IF(A199="","",N(INDEX(Projects[Act Controls Purchase],198)))</f>
        <v/>
      </c>
      <c r="BV199" s="5">
        <f>IF(A199="","",N(INDEX(Projects[Act Software Eng],198)))</f>
        <v/>
      </c>
      <c r="BW199" s="5">
        <f>IF(A199="","",N(INDEX(Projects[Act 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INDEX(Projects[Sold Value (USD M)],198)</f>
        <v/>
      </c>
      <c r="CE199" s="5" t="n"/>
      <c r="CF199" s="5">
        <f>IF(A199="","",N(INDEX(Projects[Est Mech Inst],198)))</f>
        <v/>
      </c>
      <c r="CG199" s="5">
        <f>IF(A199="","",N(INDEX(Projects[Est Elec Inst],198)))</f>
        <v/>
      </c>
      <c r="CH199" s="5">
        <f>IF(A199="","",N(INDEX(Projects[Est Project Management],198)))</f>
        <v/>
      </c>
      <c r="CI199" s="5">
        <f>IF(A199="","",N(INDEX(Projects[Est Systems Eng],198)))</f>
        <v/>
      </c>
      <c r="CJ199" s="5">
        <f>IF(A199="","",N(INDEX(Projects[Est Mechanical Eng],198)))</f>
        <v/>
      </c>
      <c r="CK199" s="5">
        <f>IF(A199="","",N(INDEX(Projects[Est Structural Engineering],198)))</f>
        <v/>
      </c>
      <c r="CL199" s="5">
        <f>IF(A199="","",N(INDEX(Projects[Est Site Sup],198)))</f>
        <v/>
      </c>
      <c r="CM199" s="5">
        <f>IF(A199="","",N(INDEX(Projects[Est Controls Commissioning],198)))</f>
        <v/>
      </c>
      <c r="CN199" s="5">
        <f>IF(A199="","",N(INDEX(Projects[Est Systems Commissioning],198)))</f>
        <v/>
      </c>
      <c r="CO199" s="5">
        <f>IF(A199="","",N(INDEX(Projects[Est Service Commissioning],198)))</f>
        <v/>
      </c>
      <c r="CP199" s="5">
        <f>IF(A199="","",N(INDEX(Projects[Est Controls Eng],198)))</f>
        <v/>
      </c>
      <c r="CQ199" s="5">
        <f>IF(A199="","",N(INDEX(Projects[Est Controls Purchase],198)))</f>
        <v/>
      </c>
      <c r="CR199" s="5">
        <f>IF(A199="","",N(INDEX(Projects[Est Software Eng],198)))</f>
        <v/>
      </c>
      <c r="CS199" s="5">
        <f>IF(A199="","",N(INDEX(Projects[Est Misc],198)))</f>
        <v/>
      </c>
      <c r="CT199" s="5">
        <f>IF(A199="","",SUM(CF199:CS199))</f>
        <v/>
      </c>
      <c r="CU199" s="5">
        <f>INDEX(Projects[Est Cost (M)],198)</f>
        <v/>
      </c>
      <c r="CV199" s="5">
        <f>INDEX(Projects[Act Cost (M)],198)</f>
        <v/>
      </c>
      <c r="CW199" s="5">
        <f>INDEX(Projects[Plan Mech Eng (wks)],198)</f>
        <v/>
      </c>
      <c r="CX199" s="5">
        <f>INDEX(Projects[Plan Controls Eng (wks)],198)</f>
        <v/>
      </c>
      <c r="CY199" s="5">
        <f>INDEX(Projects[Plan Systems Eng (wks)],198)</f>
        <v/>
      </c>
      <c r="CZ199" s="5">
        <f>INDEX(Projects[Plan Software Eng (wks)],198)</f>
        <v/>
      </c>
      <c r="DA199" s="5">
        <f>INDEX(Projects[Plan M&amp;E Installation (wks)],198)</f>
        <v/>
      </c>
      <c r="DB199" s="5">
        <f>INDEX(Projects[Plan Commissioning (wks)],198)</f>
        <v/>
      </c>
      <c r="DC199" s="5">
        <f>INDEX(Projects[Plan Total (wks)],198)</f>
        <v/>
      </c>
      <c r="DD199" s="5">
        <f>INDEX(Projects[Act Mech Eng (wks)],198)</f>
        <v/>
      </c>
      <c r="DE199" s="5">
        <f>INDEX(Projects[Act Controls Eng (wks)],198)</f>
        <v/>
      </c>
      <c r="DF199" s="5">
        <f>INDEX(Projects[Act Systems Eng (wks)],198)</f>
        <v/>
      </c>
      <c r="DG199" s="5">
        <f>INDEX(Projects[Act Software Eng (wks)],198)</f>
        <v/>
      </c>
      <c r="DH199" s="5">
        <f>INDEX(Projects[Act M&amp;E Installation (wks)],198)</f>
        <v/>
      </c>
      <c r="DI199" s="5">
        <f>INDEX(Projects[Act Commissioning (wks)],198)</f>
        <v/>
      </c>
      <c r="DJ199" s="5">
        <f>INDEX(Projects[Act Total (wks)],198)</f>
        <v/>
      </c>
    </row>
    <row r="200" ht="15" customHeight="1" s="82">
      <c r="A200" s="64">
        <f>INDEX(Projects[Project ID *],199)&amp;""</f>
        <v/>
      </c>
      <c r="B200" s="64">
        <f>INDEX(Projects[Project Name *],199)&amp;""</f>
        <v/>
      </c>
      <c r="C200" s="64">
        <f>INDEX(Projects[MS Shuttles],199)</f>
        <v/>
      </c>
      <c r="D200" s="64">
        <f>INDEX(Projects[MS Tote Locations],199)</f>
        <v/>
      </c>
      <c r="E200" s="64">
        <f>INDEX(Projects[AS Robots],199)</f>
        <v/>
      </c>
      <c r="F200" s="64">
        <f>INDEX(Projects[AS Tote Locations],199)</f>
        <v/>
      </c>
      <c r="G200" s="64">
        <f>INDEX(Projects[PS Shuttles],199)</f>
        <v/>
      </c>
      <c r="H200" s="64">
        <f>INDEX(Projects[PS Pallet Locations],199)</f>
        <v/>
      </c>
      <c r="I200" s="64">
        <f>INDEX(Projects[SRM Cranes],199)</f>
        <v/>
      </c>
      <c r="J200" s="64">
        <f>INDEX(Projects[SRM Pallet Locations],199)</f>
        <v/>
      </c>
      <c r="K200" s="64">
        <f>INDEX(Projects[Case Conv (m)],199)</f>
        <v/>
      </c>
      <c r="L200" s="64">
        <f>INDEX(Projects[Pallet Conv (m)],199)</f>
        <v/>
      </c>
      <c r="M200" s="64">
        <f>IF(N(DJ200)&gt;0,DD200,CW200)</f>
        <v/>
      </c>
      <c r="N200" s="64">
        <f>IF(N(DJ200)&gt;0,DE200,CX200)</f>
        <v/>
      </c>
      <c r="O200" s="64">
        <f>IF(N(DJ200)&gt;0,DF200,CY200)</f>
        <v/>
      </c>
      <c r="P200" s="64">
        <f>IF(N(DJ200)&gt;0,DG200,CZ200)</f>
        <v/>
      </c>
      <c r="Q200" s="64">
        <f>IF(N(DJ200)&gt;0,DH200,DA200)</f>
        <v/>
      </c>
      <c r="R200" s="64">
        <f>IF(N(DJ200)&gt;0,DI200,DB200)</f>
        <v/>
      </c>
      <c r="S200" s="64">
        <f>IF(N(DJ200)&gt;0,DJ200,DC200)</f>
        <v/>
      </c>
      <c r="T200" s="64">
        <f>INDEX(Projects[Currency],199)&amp;""</f>
        <v/>
      </c>
      <c r="U200" s="65">
        <f>INDEX(Projects[Sold Value (M)],199)</f>
        <v/>
      </c>
      <c r="V200" s="64">
        <f>IF('Smart Search'!B13=1,IFERROR(1/'Smart Search'!H13,0),0)</f>
        <v/>
      </c>
      <c r="W200" s="64">
        <f>IF('Smart Search'!B13=1,IFERROR(1/'Smart Search'!H13,0),0)</f>
        <v/>
      </c>
      <c r="X200" s="64">
        <f>IF('Smart Search'!C13=1,IFERROR(1/'Smart Search'!H13,0),0)</f>
        <v/>
      </c>
      <c r="Y200" s="64">
        <f>IF('Smart Search'!C13=1,IFERROR(1/'Smart Search'!H13,0),0)</f>
        <v/>
      </c>
      <c r="Z200" s="64">
        <f>IF('Smart Search'!D13=1,IFERROR(1/'Smart Search'!H13,0),0)</f>
        <v/>
      </c>
      <c r="AA200" s="64">
        <f>IF('Smart Search'!D13=1,IFERROR(1/'Smart Search'!H13,0),0)</f>
        <v/>
      </c>
      <c r="AB200" s="64">
        <f>IF('Smart Search'!E13=1,IFERROR(1/'Smart Search'!H13,0),0)</f>
        <v/>
      </c>
      <c r="AC200" s="64">
        <f>IF('Smart Search'!E13=1,IFERROR(1/'Smart Search'!H13,0),0)</f>
        <v/>
      </c>
      <c r="AD200" s="64">
        <f>IF('Smart Search'!F13=1,IFERROR(1/'Smart Search'!H13,0),0)</f>
        <v/>
      </c>
      <c r="AE200" s="64">
        <f>IF('Smart Search'!F13=1,IFERROR(1/'Smart Search'!H13,0),0)</f>
        <v/>
      </c>
      <c r="AF200" s="64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4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4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4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4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4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4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4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4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4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4">
        <f>AF200*V200</f>
        <v/>
      </c>
      <c r="AQ200" s="64">
        <f>AG200*W200</f>
        <v/>
      </c>
      <c r="AR200" s="64">
        <f>AH200*X200</f>
        <v/>
      </c>
      <c r="AS200" s="64">
        <f>AI200*Y200</f>
        <v/>
      </c>
      <c r="AT200" s="64">
        <f>AJ200*Z200</f>
        <v/>
      </c>
      <c r="AU200" s="64">
        <f>AK200*AA200</f>
        <v/>
      </c>
      <c r="AV200" s="64">
        <f>AL200*AB200</f>
        <v/>
      </c>
      <c r="AW200" s="64">
        <f>AM200*AC200</f>
        <v/>
      </c>
      <c r="AX200" s="64">
        <f>AN200*AD200</f>
        <v/>
      </c>
      <c r="AY200" s="64">
        <f>AO200*AE200</f>
        <v/>
      </c>
      <c r="AZ200" s="64">
        <f>INDEX(Projects[Automation Equipment],199)&amp;""</f>
        <v/>
      </c>
      <c r="BA200" s="64">
        <f>IF(OR(A200="",'Smart Search'!H13=0),"",MAX(0,BE200*BF200*MAX(0,1-BG200)))</f>
        <v/>
      </c>
      <c r="BB200" s="64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4">
        <f>IF('Smart Search'!G13=1,IFERROR(1/'Smart Search'!H13,0),0)</f>
        <v/>
      </c>
      <c r="BD200" s="64">
        <f>BB200*BC200</f>
        <v/>
      </c>
      <c r="BE200" s="64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IF(A200="","",N(INDEX(Projects[Act Mech Inst],199)))</f>
        <v/>
      </c>
      <c r="BK200" s="5">
        <f>IF(A200="","",N(INDEX(Projects[Act Elec Inst],199)))</f>
        <v/>
      </c>
      <c r="BL200" s="5">
        <f>IF(A200="","",N(INDEX(Projects[Act Project Management],199)))</f>
        <v/>
      </c>
      <c r="BM200" s="5">
        <f>IF(A200="","",N(INDEX(Projects[Act Systems Eng],199)))</f>
        <v/>
      </c>
      <c r="BN200" s="5">
        <f>IF(A200="","",N(INDEX(Projects[Act Mechanical Eng],199)))</f>
        <v/>
      </c>
      <c r="BO200" s="5">
        <f>IF(A200="","",N(INDEX(Projects[Act Structural Engineering],199)))</f>
        <v/>
      </c>
      <c r="BP200" s="5">
        <f>IF(A200="","",N(INDEX(Projects[Act Site Sup],199)))</f>
        <v/>
      </c>
      <c r="BQ200" s="5">
        <f>IF(A200="","",N(INDEX(Projects[Act Controls Commissioning],199)))</f>
        <v/>
      </c>
      <c r="BR200" s="5">
        <f>IF(A200="","",N(INDEX(Projects[Act Systems Commissioning],199)))</f>
        <v/>
      </c>
      <c r="BS200" s="5">
        <f>IF(A200="","",N(INDEX(Projects[Act Service Commissioning],199)))</f>
        <v/>
      </c>
      <c r="BT200" s="5">
        <f>IF(A200="","",N(INDEX(Projects[Act Controls Eng],199)))</f>
        <v/>
      </c>
      <c r="BU200" s="5">
        <f>IF(A200="","",N(INDEX(Projects[Act Controls Purchase],199)))</f>
        <v/>
      </c>
      <c r="BV200" s="5">
        <f>IF(A200="","",N(INDEX(Projects[Act Software Eng],199)))</f>
        <v/>
      </c>
      <c r="BW200" s="5">
        <f>IF(A200="","",N(INDEX(Projects[Act 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INDEX(Projects[Sold Value (USD M)],199)</f>
        <v/>
      </c>
      <c r="CE200" s="5" t="n"/>
      <c r="CF200" s="5">
        <f>IF(A200="","",N(INDEX(Projects[Est Mech Inst],199)))</f>
        <v/>
      </c>
      <c r="CG200" s="5">
        <f>IF(A200="","",N(INDEX(Projects[Est Elec Inst],199)))</f>
        <v/>
      </c>
      <c r="CH200" s="5">
        <f>IF(A200="","",N(INDEX(Projects[Est Project Management],199)))</f>
        <v/>
      </c>
      <c r="CI200" s="5">
        <f>IF(A200="","",N(INDEX(Projects[Est Systems Eng],199)))</f>
        <v/>
      </c>
      <c r="CJ200" s="5">
        <f>IF(A200="","",N(INDEX(Projects[Est Mechanical Eng],199)))</f>
        <v/>
      </c>
      <c r="CK200" s="5">
        <f>IF(A200="","",N(INDEX(Projects[Est Structural Engineering],199)))</f>
        <v/>
      </c>
      <c r="CL200" s="5">
        <f>IF(A200="","",N(INDEX(Projects[Est Site Sup],199)))</f>
        <v/>
      </c>
      <c r="CM200" s="5">
        <f>IF(A200="","",N(INDEX(Projects[Est Controls Commissioning],199)))</f>
        <v/>
      </c>
      <c r="CN200" s="5">
        <f>IF(A200="","",N(INDEX(Projects[Est Systems Commissioning],199)))</f>
        <v/>
      </c>
      <c r="CO200" s="5">
        <f>IF(A200="","",N(INDEX(Projects[Est Service Commissioning],199)))</f>
        <v/>
      </c>
      <c r="CP200" s="5">
        <f>IF(A200="","",N(INDEX(Projects[Est Controls Eng],199)))</f>
        <v/>
      </c>
      <c r="CQ200" s="5">
        <f>IF(A200="","",N(INDEX(Projects[Est Controls Purchase],199)))</f>
        <v/>
      </c>
      <c r="CR200" s="5">
        <f>IF(A200="","",N(INDEX(Projects[Est Software Eng],199)))</f>
        <v/>
      </c>
      <c r="CS200" s="5">
        <f>IF(A200="","",N(INDEX(Projects[Est Misc],199)))</f>
        <v/>
      </c>
      <c r="CT200" s="5">
        <f>IF(A200="","",SUM(CF200:CS200))</f>
        <v/>
      </c>
      <c r="CU200" s="5">
        <f>INDEX(Projects[Est Cost (M)],199)</f>
        <v/>
      </c>
      <c r="CV200" s="5">
        <f>INDEX(Projects[Act Cost (M)],199)</f>
        <v/>
      </c>
      <c r="CW200" s="5">
        <f>INDEX(Projects[Plan Mech Eng (wks)],199)</f>
        <v/>
      </c>
      <c r="CX200" s="5">
        <f>INDEX(Projects[Plan Controls Eng (wks)],199)</f>
        <v/>
      </c>
      <c r="CY200" s="5">
        <f>INDEX(Projects[Plan Systems Eng (wks)],199)</f>
        <v/>
      </c>
      <c r="CZ200" s="5">
        <f>INDEX(Projects[Plan Software Eng (wks)],199)</f>
        <v/>
      </c>
      <c r="DA200" s="5">
        <f>INDEX(Projects[Plan M&amp;E Installation (wks)],199)</f>
        <v/>
      </c>
      <c r="DB200" s="5">
        <f>INDEX(Projects[Plan Commissioning (wks)],199)</f>
        <v/>
      </c>
      <c r="DC200" s="5">
        <f>INDEX(Projects[Plan Total (wks)],199)</f>
        <v/>
      </c>
      <c r="DD200" s="5">
        <f>INDEX(Projects[Act Mech Eng (wks)],199)</f>
        <v/>
      </c>
      <c r="DE200" s="5">
        <f>INDEX(Projects[Act Controls Eng (wks)],199)</f>
        <v/>
      </c>
      <c r="DF200" s="5">
        <f>INDEX(Projects[Act Systems Eng (wks)],199)</f>
        <v/>
      </c>
      <c r="DG200" s="5">
        <f>INDEX(Projects[Act Software Eng (wks)],199)</f>
        <v/>
      </c>
      <c r="DH200" s="5">
        <f>INDEX(Projects[Act M&amp;E Installation (wks)],199)</f>
        <v/>
      </c>
      <c r="DI200" s="5">
        <f>INDEX(Projects[Act Commissioning (wks)],199)</f>
        <v/>
      </c>
      <c r="DJ200" s="5">
        <f>INDEX(Projects[Act Total (wks)],199)</f>
        <v/>
      </c>
    </row>
    <row r="201" ht="15" customHeight="1" s="82">
      <c r="A201" s="64">
        <f>INDEX(Projects[Project ID *],200)&amp;""</f>
        <v/>
      </c>
      <c r="B201" s="64">
        <f>INDEX(Projects[Project Name *],200)&amp;""</f>
        <v/>
      </c>
      <c r="C201" s="64">
        <f>INDEX(Projects[MS Shuttles],200)</f>
        <v/>
      </c>
      <c r="D201" s="64">
        <f>INDEX(Projects[MS Tote Locations],200)</f>
        <v/>
      </c>
      <c r="E201" s="64">
        <f>INDEX(Projects[AS Robots],200)</f>
        <v/>
      </c>
      <c r="F201" s="64">
        <f>INDEX(Projects[AS Tote Locations],200)</f>
        <v/>
      </c>
      <c r="G201" s="64">
        <f>INDEX(Projects[PS Shuttles],200)</f>
        <v/>
      </c>
      <c r="H201" s="64">
        <f>INDEX(Projects[PS Pallet Locations],200)</f>
        <v/>
      </c>
      <c r="I201" s="64">
        <f>INDEX(Projects[SRM Cranes],200)</f>
        <v/>
      </c>
      <c r="J201" s="64">
        <f>INDEX(Projects[SRM Pallet Locations],200)</f>
        <v/>
      </c>
      <c r="K201" s="64">
        <f>INDEX(Projects[Case Conv (m)],200)</f>
        <v/>
      </c>
      <c r="L201" s="64">
        <f>INDEX(Projects[Pallet Conv (m)],200)</f>
        <v/>
      </c>
      <c r="M201" s="64">
        <f>IF(N(DJ201)&gt;0,DD201,CW201)</f>
        <v/>
      </c>
      <c r="N201" s="64">
        <f>IF(N(DJ201)&gt;0,DE201,CX201)</f>
        <v/>
      </c>
      <c r="O201" s="64">
        <f>IF(N(DJ201)&gt;0,DF201,CY201)</f>
        <v/>
      </c>
      <c r="P201" s="64">
        <f>IF(N(DJ201)&gt;0,DG201,CZ201)</f>
        <v/>
      </c>
      <c r="Q201" s="64">
        <f>IF(N(DJ201)&gt;0,DH201,DA201)</f>
        <v/>
      </c>
      <c r="R201" s="64">
        <f>IF(N(DJ201)&gt;0,DI201,DB201)</f>
        <v/>
      </c>
      <c r="S201" s="64">
        <f>IF(N(DJ201)&gt;0,DJ201,DC201)</f>
        <v/>
      </c>
      <c r="T201" s="64">
        <f>INDEX(Projects[Currency],200)&amp;""</f>
        <v/>
      </c>
      <c r="U201" s="65">
        <f>INDEX(Projects[Sold Value (M)],200)</f>
        <v/>
      </c>
      <c r="V201" s="64">
        <f>IF('Smart Search'!B13=1,IFERROR(1/'Smart Search'!H13,0),0)</f>
        <v/>
      </c>
      <c r="W201" s="64">
        <f>IF('Smart Search'!B13=1,IFERROR(1/'Smart Search'!H13,0),0)</f>
        <v/>
      </c>
      <c r="X201" s="64">
        <f>IF('Smart Search'!C13=1,IFERROR(1/'Smart Search'!H13,0),0)</f>
        <v/>
      </c>
      <c r="Y201" s="64">
        <f>IF('Smart Search'!C13=1,IFERROR(1/'Smart Search'!H13,0),0)</f>
        <v/>
      </c>
      <c r="Z201" s="64">
        <f>IF('Smart Search'!D13=1,IFERROR(1/'Smart Search'!H13,0),0)</f>
        <v/>
      </c>
      <c r="AA201" s="64">
        <f>IF('Smart Search'!D13=1,IFERROR(1/'Smart Search'!H13,0),0)</f>
        <v/>
      </c>
      <c r="AB201" s="64">
        <f>IF('Smart Search'!E13=1,IFERROR(1/'Smart Search'!H13,0),0)</f>
        <v/>
      </c>
      <c r="AC201" s="64">
        <f>IF('Smart Search'!E13=1,IFERROR(1/'Smart Search'!H13,0),0)</f>
        <v/>
      </c>
      <c r="AD201" s="64">
        <f>IF('Smart Search'!F13=1,IFERROR(1/'Smart Search'!H13,0),0)</f>
        <v/>
      </c>
      <c r="AE201" s="64">
        <f>IF('Smart Search'!F13=1,IFERROR(1/'Smart Search'!H13,0),0)</f>
        <v/>
      </c>
      <c r="AF201" s="64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4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4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4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4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4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4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4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4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4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4">
        <f>AF201*V201</f>
        <v/>
      </c>
      <c r="AQ201" s="64">
        <f>AG201*W201</f>
        <v/>
      </c>
      <c r="AR201" s="64">
        <f>AH201*X201</f>
        <v/>
      </c>
      <c r="AS201" s="64">
        <f>AI201*Y201</f>
        <v/>
      </c>
      <c r="AT201" s="64">
        <f>AJ201*Z201</f>
        <v/>
      </c>
      <c r="AU201" s="64">
        <f>AK201*AA201</f>
        <v/>
      </c>
      <c r="AV201" s="64">
        <f>AL201*AB201</f>
        <v/>
      </c>
      <c r="AW201" s="64">
        <f>AM201*AC201</f>
        <v/>
      </c>
      <c r="AX201" s="64">
        <f>AN201*AD201</f>
        <v/>
      </c>
      <c r="AY201" s="64">
        <f>AO201*AE201</f>
        <v/>
      </c>
      <c r="AZ201" s="64">
        <f>INDEX(Projects[Automation Equipment],200)&amp;""</f>
        <v/>
      </c>
      <c r="BA201" s="64">
        <f>IF(OR(A201="",'Smart Search'!H13=0),"",MAX(0,BE201*BF201*MAX(0,1-BG201)))</f>
        <v/>
      </c>
      <c r="BB201" s="64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4">
        <f>IF('Smart Search'!G13=1,IFERROR(1/'Smart Search'!H13,0),0)</f>
        <v/>
      </c>
      <c r="BD201" s="64">
        <f>BB201*BC201</f>
        <v/>
      </c>
      <c r="BE201" s="64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IF(A201="","",N(INDEX(Projects[Act Mech Inst],200)))</f>
        <v/>
      </c>
      <c r="BK201" s="5">
        <f>IF(A201="","",N(INDEX(Projects[Act Elec Inst],200)))</f>
        <v/>
      </c>
      <c r="BL201" s="5">
        <f>IF(A201="","",N(INDEX(Projects[Act Project Management],200)))</f>
        <v/>
      </c>
      <c r="BM201" s="5">
        <f>IF(A201="","",N(INDEX(Projects[Act Systems Eng],200)))</f>
        <v/>
      </c>
      <c r="BN201" s="5">
        <f>IF(A201="","",N(INDEX(Projects[Act Mechanical Eng],200)))</f>
        <v/>
      </c>
      <c r="BO201" s="5">
        <f>IF(A201="","",N(INDEX(Projects[Act Structural Engineering],200)))</f>
        <v/>
      </c>
      <c r="BP201" s="5">
        <f>IF(A201="","",N(INDEX(Projects[Act Site Sup],200)))</f>
        <v/>
      </c>
      <c r="BQ201" s="5">
        <f>IF(A201="","",N(INDEX(Projects[Act Controls Commissioning],200)))</f>
        <v/>
      </c>
      <c r="BR201" s="5">
        <f>IF(A201="","",N(INDEX(Projects[Act Systems Commissioning],200)))</f>
        <v/>
      </c>
      <c r="BS201" s="5">
        <f>IF(A201="","",N(INDEX(Projects[Act Service Commissioning],200)))</f>
        <v/>
      </c>
      <c r="BT201" s="5">
        <f>IF(A201="","",N(INDEX(Projects[Act Controls Eng],200)))</f>
        <v/>
      </c>
      <c r="BU201" s="5">
        <f>IF(A201="","",N(INDEX(Projects[Act Controls Purchase],200)))</f>
        <v/>
      </c>
      <c r="BV201" s="5">
        <f>IF(A201="","",N(INDEX(Projects[Act Software Eng],200)))</f>
        <v/>
      </c>
      <c r="BW201" s="5">
        <f>IF(A201="","",N(INDEX(Projects[Act 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INDEX(Projects[Sold Value (USD M)],200)</f>
        <v/>
      </c>
      <c r="CE201" s="5" t="n"/>
      <c r="CF201" s="5">
        <f>IF(A201="","",N(INDEX(Projects[Est Mech Inst],200)))</f>
        <v/>
      </c>
      <c r="CG201" s="5">
        <f>IF(A201="","",N(INDEX(Projects[Est Elec Inst],200)))</f>
        <v/>
      </c>
      <c r="CH201" s="5">
        <f>IF(A201="","",N(INDEX(Projects[Est Project Management],200)))</f>
        <v/>
      </c>
      <c r="CI201" s="5">
        <f>IF(A201="","",N(INDEX(Projects[Est Systems Eng],200)))</f>
        <v/>
      </c>
      <c r="CJ201" s="5">
        <f>IF(A201="","",N(INDEX(Projects[Est Mechanical Eng],200)))</f>
        <v/>
      </c>
      <c r="CK201" s="5">
        <f>IF(A201="","",N(INDEX(Projects[Est Structural Engineering],200)))</f>
        <v/>
      </c>
      <c r="CL201" s="5">
        <f>IF(A201="","",N(INDEX(Projects[Est Site Sup],200)))</f>
        <v/>
      </c>
      <c r="CM201" s="5">
        <f>IF(A201="","",N(INDEX(Projects[Est Controls Commissioning],200)))</f>
        <v/>
      </c>
      <c r="CN201" s="5">
        <f>IF(A201="","",N(INDEX(Projects[Est Systems Commissioning],200)))</f>
        <v/>
      </c>
      <c r="CO201" s="5">
        <f>IF(A201="","",N(INDEX(Projects[Est Service Commissioning],200)))</f>
        <v/>
      </c>
      <c r="CP201" s="5">
        <f>IF(A201="","",N(INDEX(Projects[Est Controls Eng],200)))</f>
        <v/>
      </c>
      <c r="CQ201" s="5">
        <f>IF(A201="","",N(INDEX(Projects[Est Controls Purchase],200)))</f>
        <v/>
      </c>
      <c r="CR201" s="5">
        <f>IF(A201="","",N(INDEX(Projects[Est Software Eng],200)))</f>
        <v/>
      </c>
      <c r="CS201" s="5">
        <f>IF(A201="","",N(INDEX(Projects[Est Misc],200)))</f>
        <v/>
      </c>
      <c r="CT201" s="5">
        <f>IF(A201="","",SUM(CF201:CS201))</f>
        <v/>
      </c>
      <c r="CU201" s="5">
        <f>INDEX(Projects[Est Cost (M)],200)</f>
        <v/>
      </c>
      <c r="CV201" s="5">
        <f>INDEX(Projects[Act Cost (M)],200)</f>
        <v/>
      </c>
      <c r="CW201" s="5">
        <f>INDEX(Projects[Plan Mech Eng (wks)],200)</f>
        <v/>
      </c>
      <c r="CX201" s="5">
        <f>INDEX(Projects[Plan Controls Eng (wks)],200)</f>
        <v/>
      </c>
      <c r="CY201" s="5">
        <f>INDEX(Projects[Plan Systems Eng (wks)],200)</f>
        <v/>
      </c>
      <c r="CZ201" s="5">
        <f>INDEX(Projects[Plan Software Eng (wks)],200)</f>
        <v/>
      </c>
      <c r="DA201" s="5">
        <f>INDEX(Projects[Plan M&amp;E Installation (wks)],200)</f>
        <v/>
      </c>
      <c r="DB201" s="5">
        <f>INDEX(Projects[Plan Commissioning (wks)],200)</f>
        <v/>
      </c>
      <c r="DC201" s="5">
        <f>INDEX(Projects[Plan Total (wks)],200)</f>
        <v/>
      </c>
      <c r="DD201" s="5">
        <f>INDEX(Projects[Act Mech Eng (wks)],200)</f>
        <v/>
      </c>
      <c r="DE201" s="5">
        <f>INDEX(Projects[Act Controls Eng (wks)],200)</f>
        <v/>
      </c>
      <c r="DF201" s="5">
        <f>INDEX(Projects[Act Systems Eng (wks)],200)</f>
        <v/>
      </c>
      <c r="DG201" s="5">
        <f>INDEX(Projects[Act Software Eng (wks)],200)</f>
        <v/>
      </c>
      <c r="DH201" s="5">
        <f>INDEX(Projects[Act M&amp;E Installation (wks)],200)</f>
        <v/>
      </c>
      <c r="DI201" s="5">
        <f>INDEX(Projects[Act Commissioning (wks)],200)</f>
        <v/>
      </c>
      <c r="DJ201" s="5">
        <f>INDEX(Projects[Act Total (wks)],200)</f>
        <v/>
      </c>
    </row>
    <row r="202" ht="15" customHeight="1" s="82">
      <c r="A202" s="64">
        <f>INDEX(Projects[Project ID *],201)&amp;""</f>
        <v/>
      </c>
      <c r="B202" s="64">
        <f>INDEX(Projects[Project Name *],201)&amp;""</f>
        <v/>
      </c>
      <c r="C202" s="64">
        <f>INDEX(Projects[MS Shuttles],201)</f>
        <v/>
      </c>
      <c r="D202" s="64">
        <f>INDEX(Projects[MS Tote Locations],201)</f>
        <v/>
      </c>
      <c r="E202" s="64">
        <f>INDEX(Projects[AS Robots],201)</f>
        <v/>
      </c>
      <c r="F202" s="64">
        <f>INDEX(Projects[AS Tote Locations],201)</f>
        <v/>
      </c>
      <c r="G202" s="64">
        <f>INDEX(Projects[PS Shuttles],201)</f>
        <v/>
      </c>
      <c r="H202" s="64">
        <f>INDEX(Projects[PS Pallet Locations],201)</f>
        <v/>
      </c>
      <c r="I202" s="64">
        <f>INDEX(Projects[SRM Cranes],201)</f>
        <v/>
      </c>
      <c r="J202" s="64">
        <f>INDEX(Projects[SRM Pallet Locations],201)</f>
        <v/>
      </c>
      <c r="K202" s="64">
        <f>INDEX(Projects[Case Conv (m)],201)</f>
        <v/>
      </c>
      <c r="L202" s="64">
        <f>INDEX(Projects[Pallet Conv (m)],201)</f>
        <v/>
      </c>
      <c r="M202" s="64">
        <f>IF(N(DJ202)&gt;0,DD202,CW202)</f>
        <v/>
      </c>
      <c r="N202" s="64">
        <f>IF(N(DJ202)&gt;0,DE202,CX202)</f>
        <v/>
      </c>
      <c r="O202" s="64">
        <f>IF(N(DJ202)&gt;0,DF202,CY202)</f>
        <v/>
      </c>
      <c r="P202" s="64">
        <f>IF(N(DJ202)&gt;0,DG202,CZ202)</f>
        <v/>
      </c>
      <c r="Q202" s="64">
        <f>IF(N(DJ202)&gt;0,DH202,DA202)</f>
        <v/>
      </c>
      <c r="R202" s="64">
        <f>IF(N(DJ202)&gt;0,DI202,DB202)</f>
        <v/>
      </c>
      <c r="S202" s="64">
        <f>IF(N(DJ202)&gt;0,DJ202,DC202)</f>
        <v/>
      </c>
      <c r="T202" s="64">
        <f>INDEX(Projects[Currency],201)&amp;""</f>
        <v/>
      </c>
      <c r="U202" s="65">
        <f>INDEX(Projects[Sold Value (M)],201)</f>
        <v/>
      </c>
      <c r="V202" s="64">
        <f>IF('Smart Search'!B13=1,IFERROR(1/'Smart Search'!H13,0),0)</f>
        <v/>
      </c>
      <c r="W202" s="64">
        <f>IF('Smart Search'!B13=1,IFERROR(1/'Smart Search'!H13,0),0)</f>
        <v/>
      </c>
      <c r="X202" s="64">
        <f>IF('Smart Search'!C13=1,IFERROR(1/'Smart Search'!H13,0),0)</f>
        <v/>
      </c>
      <c r="Y202" s="64">
        <f>IF('Smart Search'!C13=1,IFERROR(1/'Smart Search'!H13,0),0)</f>
        <v/>
      </c>
      <c r="Z202" s="64">
        <f>IF('Smart Search'!D13=1,IFERROR(1/'Smart Search'!H13,0),0)</f>
        <v/>
      </c>
      <c r="AA202" s="64">
        <f>IF('Smart Search'!D13=1,IFERROR(1/'Smart Search'!H13,0),0)</f>
        <v/>
      </c>
      <c r="AB202" s="64">
        <f>IF('Smart Search'!E13=1,IFERROR(1/'Smart Search'!H13,0),0)</f>
        <v/>
      </c>
      <c r="AC202" s="64">
        <f>IF('Smart Search'!E13=1,IFERROR(1/'Smart Search'!H13,0),0)</f>
        <v/>
      </c>
      <c r="AD202" s="64">
        <f>IF('Smart Search'!F13=1,IFERROR(1/'Smart Search'!H13,0),0)</f>
        <v/>
      </c>
      <c r="AE202" s="64">
        <f>IF('Smart Search'!F13=1,IFERROR(1/'Smart Search'!H13,0),0)</f>
        <v/>
      </c>
      <c r="AF202" s="64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4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4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4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4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4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4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4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4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4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4">
        <f>AF202*V202</f>
        <v/>
      </c>
      <c r="AQ202" s="64">
        <f>AG202*W202</f>
        <v/>
      </c>
      <c r="AR202" s="64">
        <f>AH202*X202</f>
        <v/>
      </c>
      <c r="AS202" s="64">
        <f>AI202*Y202</f>
        <v/>
      </c>
      <c r="AT202" s="64">
        <f>AJ202*Z202</f>
        <v/>
      </c>
      <c r="AU202" s="64">
        <f>AK202*AA202</f>
        <v/>
      </c>
      <c r="AV202" s="64">
        <f>AL202*AB202</f>
        <v/>
      </c>
      <c r="AW202" s="64">
        <f>AM202*AC202</f>
        <v/>
      </c>
      <c r="AX202" s="64">
        <f>AN202*AD202</f>
        <v/>
      </c>
      <c r="AY202" s="64">
        <f>AO202*AE202</f>
        <v/>
      </c>
      <c r="AZ202" s="64">
        <f>INDEX(Projects[Automation Equipment],201)&amp;""</f>
        <v/>
      </c>
      <c r="BA202" s="64">
        <f>IF(OR(A202="",'Smart Search'!H13=0),"",MAX(0,BE202*BF202*MAX(0,1-BG202)))</f>
        <v/>
      </c>
      <c r="BB202" s="64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4">
        <f>IF('Smart Search'!G13=1,IFERROR(1/'Smart Search'!H13,0),0)</f>
        <v/>
      </c>
      <c r="BD202" s="64">
        <f>BB202*BC202</f>
        <v/>
      </c>
      <c r="BE202" s="64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IF(A202="","",N(INDEX(Projects[Act Mech Inst],201)))</f>
        <v/>
      </c>
      <c r="BK202" s="5">
        <f>IF(A202="","",N(INDEX(Projects[Act Elec Inst],201)))</f>
        <v/>
      </c>
      <c r="BL202" s="5">
        <f>IF(A202="","",N(INDEX(Projects[Act Project Management],201)))</f>
        <v/>
      </c>
      <c r="BM202" s="5">
        <f>IF(A202="","",N(INDEX(Projects[Act Systems Eng],201)))</f>
        <v/>
      </c>
      <c r="BN202" s="5">
        <f>IF(A202="","",N(INDEX(Projects[Act Mechanical Eng],201)))</f>
        <v/>
      </c>
      <c r="BO202" s="5">
        <f>IF(A202="","",N(INDEX(Projects[Act Structural Engineering],201)))</f>
        <v/>
      </c>
      <c r="BP202" s="5">
        <f>IF(A202="","",N(INDEX(Projects[Act Site Sup],201)))</f>
        <v/>
      </c>
      <c r="BQ202" s="5">
        <f>IF(A202="","",N(INDEX(Projects[Act Controls Commissioning],201)))</f>
        <v/>
      </c>
      <c r="BR202" s="5">
        <f>IF(A202="","",N(INDEX(Projects[Act Systems Commissioning],201)))</f>
        <v/>
      </c>
      <c r="BS202" s="5">
        <f>IF(A202="","",N(INDEX(Projects[Act Service Commissioning],201)))</f>
        <v/>
      </c>
      <c r="BT202" s="5">
        <f>IF(A202="","",N(INDEX(Projects[Act Controls Eng],201)))</f>
        <v/>
      </c>
      <c r="BU202" s="5">
        <f>IF(A202="","",N(INDEX(Projects[Act Controls Purchase],201)))</f>
        <v/>
      </c>
      <c r="BV202" s="5">
        <f>IF(A202="","",N(INDEX(Projects[Act Software Eng],201)))</f>
        <v/>
      </c>
      <c r="BW202" s="5">
        <f>IF(A202="","",N(INDEX(Projects[Act 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INDEX(Projects[Sold Value (USD M)],201)</f>
        <v/>
      </c>
      <c r="CE202" s="5" t="n"/>
      <c r="CF202" s="5">
        <f>IF(A202="","",N(INDEX(Projects[Est Mech Inst],201)))</f>
        <v/>
      </c>
      <c r="CG202" s="5">
        <f>IF(A202="","",N(INDEX(Projects[Est Elec Inst],201)))</f>
        <v/>
      </c>
      <c r="CH202" s="5">
        <f>IF(A202="","",N(INDEX(Projects[Est Project Management],201)))</f>
        <v/>
      </c>
      <c r="CI202" s="5">
        <f>IF(A202="","",N(INDEX(Projects[Est Systems Eng],201)))</f>
        <v/>
      </c>
      <c r="CJ202" s="5">
        <f>IF(A202="","",N(INDEX(Projects[Est Mechanical Eng],201)))</f>
        <v/>
      </c>
      <c r="CK202" s="5">
        <f>IF(A202="","",N(INDEX(Projects[Est Structural Engineering],201)))</f>
        <v/>
      </c>
      <c r="CL202" s="5">
        <f>IF(A202="","",N(INDEX(Projects[Est Site Sup],201)))</f>
        <v/>
      </c>
      <c r="CM202" s="5">
        <f>IF(A202="","",N(INDEX(Projects[Est Controls Commissioning],201)))</f>
        <v/>
      </c>
      <c r="CN202" s="5">
        <f>IF(A202="","",N(INDEX(Projects[Est Systems Commissioning],201)))</f>
        <v/>
      </c>
      <c r="CO202" s="5">
        <f>IF(A202="","",N(INDEX(Projects[Est Service Commissioning],201)))</f>
        <v/>
      </c>
      <c r="CP202" s="5">
        <f>IF(A202="","",N(INDEX(Projects[Est Controls Eng],201)))</f>
        <v/>
      </c>
      <c r="CQ202" s="5">
        <f>IF(A202="","",N(INDEX(Projects[Est Controls Purchase],201)))</f>
        <v/>
      </c>
      <c r="CR202" s="5">
        <f>IF(A202="","",N(INDEX(Projects[Est Software Eng],201)))</f>
        <v/>
      </c>
      <c r="CS202" s="5">
        <f>IF(A202="","",N(INDEX(Projects[Est Misc],201)))</f>
        <v/>
      </c>
      <c r="CT202" s="5">
        <f>IF(A202="","",SUM(CF202:CS202))</f>
        <v/>
      </c>
      <c r="CU202" s="5">
        <f>INDEX(Projects[Est Cost (M)],201)</f>
        <v/>
      </c>
      <c r="CV202" s="5">
        <f>INDEX(Projects[Act Cost (M)],201)</f>
        <v/>
      </c>
      <c r="CW202" s="5">
        <f>INDEX(Projects[Plan Mech Eng (wks)],201)</f>
        <v/>
      </c>
      <c r="CX202" s="5">
        <f>INDEX(Projects[Plan Controls Eng (wks)],201)</f>
        <v/>
      </c>
      <c r="CY202" s="5">
        <f>INDEX(Projects[Plan Systems Eng (wks)],201)</f>
        <v/>
      </c>
      <c r="CZ202" s="5">
        <f>INDEX(Projects[Plan Software Eng (wks)],201)</f>
        <v/>
      </c>
      <c r="DA202" s="5">
        <f>INDEX(Projects[Plan M&amp;E Installation (wks)],201)</f>
        <v/>
      </c>
      <c r="DB202" s="5">
        <f>INDEX(Projects[Plan Commissioning (wks)],201)</f>
        <v/>
      </c>
      <c r="DC202" s="5">
        <f>INDEX(Projects[Plan Total (wks)],201)</f>
        <v/>
      </c>
      <c r="DD202" s="5">
        <f>INDEX(Projects[Act Mech Eng (wks)],201)</f>
        <v/>
      </c>
      <c r="DE202" s="5">
        <f>INDEX(Projects[Act Controls Eng (wks)],201)</f>
        <v/>
      </c>
      <c r="DF202" s="5">
        <f>INDEX(Projects[Act Systems Eng (wks)],201)</f>
        <v/>
      </c>
      <c r="DG202" s="5">
        <f>INDEX(Projects[Act Software Eng (wks)],201)</f>
        <v/>
      </c>
      <c r="DH202" s="5">
        <f>INDEX(Projects[Act M&amp;E Installation (wks)],201)</f>
        <v/>
      </c>
      <c r="DI202" s="5">
        <f>INDEX(Projects[Act Commissioning (wks)],201)</f>
        <v/>
      </c>
      <c r="DJ202" s="5">
        <f>INDEX(Projects[Act Total (wks)],201)</f>
        <v/>
      </c>
    </row>
    <row r="203" ht="15" customHeight="1" s="82">
      <c r="A203" s="64">
        <f>INDEX(Projects[Project ID *],202)&amp;""</f>
        <v/>
      </c>
      <c r="B203" s="64">
        <f>INDEX(Projects[Project Name *],202)&amp;""</f>
        <v/>
      </c>
      <c r="C203" s="64">
        <f>INDEX(Projects[MS Shuttles],202)</f>
        <v/>
      </c>
      <c r="D203" s="64">
        <f>INDEX(Projects[MS Tote Locations],202)</f>
        <v/>
      </c>
      <c r="E203" s="64">
        <f>INDEX(Projects[AS Robots],202)</f>
        <v/>
      </c>
      <c r="F203" s="64">
        <f>INDEX(Projects[AS Tote Locations],202)</f>
        <v/>
      </c>
      <c r="G203" s="64">
        <f>INDEX(Projects[PS Shuttles],202)</f>
        <v/>
      </c>
      <c r="H203" s="64">
        <f>INDEX(Projects[PS Pallet Locations],202)</f>
        <v/>
      </c>
      <c r="I203" s="64">
        <f>INDEX(Projects[SRM Cranes],202)</f>
        <v/>
      </c>
      <c r="J203" s="64">
        <f>INDEX(Projects[SRM Pallet Locations],202)</f>
        <v/>
      </c>
      <c r="K203" s="64">
        <f>INDEX(Projects[Case Conv (m)],202)</f>
        <v/>
      </c>
      <c r="L203" s="64">
        <f>INDEX(Projects[Pallet Conv (m)],202)</f>
        <v/>
      </c>
      <c r="M203" s="64">
        <f>IF(N(DJ203)&gt;0,DD203,CW203)</f>
        <v/>
      </c>
      <c r="N203" s="64">
        <f>IF(N(DJ203)&gt;0,DE203,CX203)</f>
        <v/>
      </c>
      <c r="O203" s="64">
        <f>IF(N(DJ203)&gt;0,DF203,CY203)</f>
        <v/>
      </c>
      <c r="P203" s="64">
        <f>IF(N(DJ203)&gt;0,DG203,CZ203)</f>
        <v/>
      </c>
      <c r="Q203" s="64">
        <f>IF(N(DJ203)&gt;0,DH203,DA203)</f>
        <v/>
      </c>
      <c r="R203" s="64">
        <f>IF(N(DJ203)&gt;0,DI203,DB203)</f>
        <v/>
      </c>
      <c r="S203" s="64">
        <f>IF(N(DJ203)&gt;0,DJ203,DC203)</f>
        <v/>
      </c>
      <c r="T203" s="64">
        <f>INDEX(Projects[Currency],202)&amp;""</f>
        <v/>
      </c>
      <c r="U203" s="65">
        <f>INDEX(Projects[Sold Value (M)],202)</f>
        <v/>
      </c>
      <c r="V203" s="64">
        <f>IF('Smart Search'!B13=1,IFERROR(1/'Smart Search'!H13,0),0)</f>
        <v/>
      </c>
      <c r="W203" s="64">
        <f>IF('Smart Search'!B13=1,IFERROR(1/'Smart Search'!H13,0),0)</f>
        <v/>
      </c>
      <c r="X203" s="64">
        <f>IF('Smart Search'!C13=1,IFERROR(1/'Smart Search'!H13,0),0)</f>
        <v/>
      </c>
      <c r="Y203" s="64">
        <f>IF('Smart Search'!C13=1,IFERROR(1/'Smart Search'!H13,0),0)</f>
        <v/>
      </c>
      <c r="Z203" s="64">
        <f>IF('Smart Search'!D13=1,IFERROR(1/'Smart Search'!H13,0),0)</f>
        <v/>
      </c>
      <c r="AA203" s="64">
        <f>IF('Smart Search'!D13=1,IFERROR(1/'Smart Search'!H13,0),0)</f>
        <v/>
      </c>
      <c r="AB203" s="64">
        <f>IF('Smart Search'!E13=1,IFERROR(1/'Smart Search'!H13,0),0)</f>
        <v/>
      </c>
      <c r="AC203" s="64">
        <f>IF('Smart Search'!E13=1,IFERROR(1/'Smart Search'!H13,0),0)</f>
        <v/>
      </c>
      <c r="AD203" s="64">
        <f>IF('Smart Search'!F13=1,IFERROR(1/'Smart Search'!H13,0),0)</f>
        <v/>
      </c>
      <c r="AE203" s="64">
        <f>IF('Smart Search'!F13=1,IFERROR(1/'Smart Search'!H13,0),0)</f>
        <v/>
      </c>
      <c r="AF203" s="64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4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4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4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4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4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4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4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4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4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4">
        <f>AF203*V203</f>
        <v/>
      </c>
      <c r="AQ203" s="64">
        <f>AG203*W203</f>
        <v/>
      </c>
      <c r="AR203" s="64">
        <f>AH203*X203</f>
        <v/>
      </c>
      <c r="AS203" s="64">
        <f>AI203*Y203</f>
        <v/>
      </c>
      <c r="AT203" s="64">
        <f>AJ203*Z203</f>
        <v/>
      </c>
      <c r="AU203" s="64">
        <f>AK203*AA203</f>
        <v/>
      </c>
      <c r="AV203" s="64">
        <f>AL203*AB203</f>
        <v/>
      </c>
      <c r="AW203" s="64">
        <f>AM203*AC203</f>
        <v/>
      </c>
      <c r="AX203" s="64">
        <f>AN203*AD203</f>
        <v/>
      </c>
      <c r="AY203" s="64">
        <f>AO203*AE203</f>
        <v/>
      </c>
      <c r="AZ203" s="64">
        <f>INDEX(Projects[Automation Equipment],202)&amp;""</f>
        <v/>
      </c>
      <c r="BA203" s="64">
        <f>IF(OR(A203="",'Smart Search'!H13=0),"",MAX(0,BE203*BF203*MAX(0,1-BG203)))</f>
        <v/>
      </c>
      <c r="BB203" s="64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4">
        <f>IF('Smart Search'!G13=1,IFERROR(1/'Smart Search'!H13,0),0)</f>
        <v/>
      </c>
      <c r="BD203" s="64">
        <f>BB203*BC203</f>
        <v/>
      </c>
      <c r="BE203" s="64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IF(A203="","",N(INDEX(Projects[Act Mech Inst],202)))</f>
        <v/>
      </c>
      <c r="BK203" s="5">
        <f>IF(A203="","",N(INDEX(Projects[Act Elec Inst],202)))</f>
        <v/>
      </c>
      <c r="BL203" s="5">
        <f>IF(A203="","",N(INDEX(Projects[Act Project Management],202)))</f>
        <v/>
      </c>
      <c r="BM203" s="5">
        <f>IF(A203="","",N(INDEX(Projects[Act Systems Eng],202)))</f>
        <v/>
      </c>
      <c r="BN203" s="5">
        <f>IF(A203="","",N(INDEX(Projects[Act Mechanical Eng],202)))</f>
        <v/>
      </c>
      <c r="BO203" s="5">
        <f>IF(A203="","",N(INDEX(Projects[Act Structural Engineering],202)))</f>
        <v/>
      </c>
      <c r="BP203" s="5">
        <f>IF(A203="","",N(INDEX(Projects[Act Site Sup],202)))</f>
        <v/>
      </c>
      <c r="BQ203" s="5">
        <f>IF(A203="","",N(INDEX(Projects[Act Controls Commissioning],202)))</f>
        <v/>
      </c>
      <c r="BR203" s="5">
        <f>IF(A203="","",N(INDEX(Projects[Act Systems Commissioning],202)))</f>
        <v/>
      </c>
      <c r="BS203" s="5">
        <f>IF(A203="","",N(INDEX(Projects[Act Service Commissioning],202)))</f>
        <v/>
      </c>
      <c r="BT203" s="5">
        <f>IF(A203="","",N(INDEX(Projects[Act Controls Eng],202)))</f>
        <v/>
      </c>
      <c r="BU203" s="5">
        <f>IF(A203="","",N(INDEX(Projects[Act Controls Purchase],202)))</f>
        <v/>
      </c>
      <c r="BV203" s="5">
        <f>IF(A203="","",N(INDEX(Projects[Act Software Eng],202)))</f>
        <v/>
      </c>
      <c r="BW203" s="5">
        <f>IF(A203="","",N(INDEX(Projects[Act 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INDEX(Projects[Sold Value (USD M)],202)</f>
        <v/>
      </c>
      <c r="CE203" s="5" t="n"/>
      <c r="CF203" s="5">
        <f>IF(A203="","",N(INDEX(Projects[Est Mech Inst],202)))</f>
        <v/>
      </c>
      <c r="CG203" s="5">
        <f>IF(A203="","",N(INDEX(Projects[Est Elec Inst],202)))</f>
        <v/>
      </c>
      <c r="CH203" s="5">
        <f>IF(A203="","",N(INDEX(Projects[Est Project Management],202)))</f>
        <v/>
      </c>
      <c r="CI203" s="5">
        <f>IF(A203="","",N(INDEX(Projects[Est Systems Eng],202)))</f>
        <v/>
      </c>
      <c r="CJ203" s="5">
        <f>IF(A203="","",N(INDEX(Projects[Est Mechanical Eng],202)))</f>
        <v/>
      </c>
      <c r="CK203" s="5">
        <f>IF(A203="","",N(INDEX(Projects[Est Structural Engineering],202)))</f>
        <v/>
      </c>
      <c r="CL203" s="5">
        <f>IF(A203="","",N(INDEX(Projects[Est Site Sup],202)))</f>
        <v/>
      </c>
      <c r="CM203" s="5">
        <f>IF(A203="","",N(INDEX(Projects[Est Controls Commissioning],202)))</f>
        <v/>
      </c>
      <c r="CN203" s="5">
        <f>IF(A203="","",N(INDEX(Projects[Est Systems Commissioning],202)))</f>
        <v/>
      </c>
      <c r="CO203" s="5">
        <f>IF(A203="","",N(INDEX(Projects[Est Service Commissioning],202)))</f>
        <v/>
      </c>
      <c r="CP203" s="5">
        <f>IF(A203="","",N(INDEX(Projects[Est Controls Eng],202)))</f>
        <v/>
      </c>
      <c r="CQ203" s="5">
        <f>IF(A203="","",N(INDEX(Projects[Est Controls Purchase],202)))</f>
        <v/>
      </c>
      <c r="CR203" s="5">
        <f>IF(A203="","",N(INDEX(Projects[Est Software Eng],202)))</f>
        <v/>
      </c>
      <c r="CS203" s="5">
        <f>IF(A203="","",N(INDEX(Projects[Est Misc],202)))</f>
        <v/>
      </c>
      <c r="CT203" s="5">
        <f>IF(A203="","",SUM(CF203:CS203))</f>
        <v/>
      </c>
      <c r="CU203" s="5">
        <f>INDEX(Projects[Est Cost (M)],202)</f>
        <v/>
      </c>
      <c r="CV203" s="5">
        <f>INDEX(Projects[Act Cost (M)],202)</f>
        <v/>
      </c>
      <c r="CW203" s="5">
        <f>INDEX(Projects[Plan Mech Eng (wks)],202)</f>
        <v/>
      </c>
      <c r="CX203" s="5">
        <f>INDEX(Projects[Plan Controls Eng (wks)],202)</f>
        <v/>
      </c>
      <c r="CY203" s="5">
        <f>INDEX(Projects[Plan Systems Eng (wks)],202)</f>
        <v/>
      </c>
      <c r="CZ203" s="5">
        <f>INDEX(Projects[Plan Software Eng (wks)],202)</f>
        <v/>
      </c>
      <c r="DA203" s="5">
        <f>INDEX(Projects[Plan M&amp;E Installation (wks)],202)</f>
        <v/>
      </c>
      <c r="DB203" s="5">
        <f>INDEX(Projects[Plan Commissioning (wks)],202)</f>
        <v/>
      </c>
      <c r="DC203" s="5">
        <f>INDEX(Projects[Plan Total (wks)],202)</f>
        <v/>
      </c>
      <c r="DD203" s="5">
        <f>INDEX(Projects[Act Mech Eng (wks)],202)</f>
        <v/>
      </c>
      <c r="DE203" s="5">
        <f>INDEX(Projects[Act Controls Eng (wks)],202)</f>
        <v/>
      </c>
      <c r="DF203" s="5">
        <f>INDEX(Projects[Act Systems Eng (wks)],202)</f>
        <v/>
      </c>
      <c r="DG203" s="5">
        <f>INDEX(Projects[Act Software Eng (wks)],202)</f>
        <v/>
      </c>
      <c r="DH203" s="5">
        <f>INDEX(Projects[Act M&amp;E Installation (wks)],202)</f>
        <v/>
      </c>
      <c r="DI203" s="5">
        <f>INDEX(Projects[Act Commissioning (wks)],202)</f>
        <v/>
      </c>
      <c r="DJ203" s="5">
        <f>INDEX(Projects[Act Total (wks)],202)</f>
        <v/>
      </c>
    </row>
    <row r="204" ht="15" customHeight="1" s="82">
      <c r="A204" s="64">
        <f>INDEX(Projects[Project ID *],203)&amp;""</f>
        <v/>
      </c>
      <c r="B204" s="64">
        <f>INDEX(Projects[Project Name *],203)&amp;""</f>
        <v/>
      </c>
      <c r="C204" s="64">
        <f>INDEX(Projects[MS Shuttles],203)</f>
        <v/>
      </c>
      <c r="D204" s="64">
        <f>INDEX(Projects[MS Tote Locations],203)</f>
        <v/>
      </c>
      <c r="E204" s="64">
        <f>INDEX(Projects[AS Robots],203)</f>
        <v/>
      </c>
      <c r="F204" s="64">
        <f>INDEX(Projects[AS Tote Locations],203)</f>
        <v/>
      </c>
      <c r="G204" s="64">
        <f>INDEX(Projects[PS Shuttles],203)</f>
        <v/>
      </c>
      <c r="H204" s="64">
        <f>INDEX(Projects[PS Pallet Locations],203)</f>
        <v/>
      </c>
      <c r="I204" s="64">
        <f>INDEX(Projects[SRM Cranes],203)</f>
        <v/>
      </c>
      <c r="J204" s="64">
        <f>INDEX(Projects[SRM Pallet Locations],203)</f>
        <v/>
      </c>
      <c r="K204" s="64">
        <f>INDEX(Projects[Case Conv (m)],203)</f>
        <v/>
      </c>
      <c r="L204" s="64">
        <f>INDEX(Projects[Pallet Conv (m)],203)</f>
        <v/>
      </c>
      <c r="M204" s="64">
        <f>IF(N(DJ204)&gt;0,DD204,CW204)</f>
        <v/>
      </c>
      <c r="N204" s="64">
        <f>IF(N(DJ204)&gt;0,DE204,CX204)</f>
        <v/>
      </c>
      <c r="O204" s="64">
        <f>IF(N(DJ204)&gt;0,DF204,CY204)</f>
        <v/>
      </c>
      <c r="P204" s="64">
        <f>IF(N(DJ204)&gt;0,DG204,CZ204)</f>
        <v/>
      </c>
      <c r="Q204" s="64">
        <f>IF(N(DJ204)&gt;0,DH204,DA204)</f>
        <v/>
      </c>
      <c r="R204" s="64">
        <f>IF(N(DJ204)&gt;0,DI204,DB204)</f>
        <v/>
      </c>
      <c r="S204" s="64">
        <f>IF(N(DJ204)&gt;0,DJ204,DC204)</f>
        <v/>
      </c>
      <c r="T204" s="64">
        <f>INDEX(Projects[Currency],203)&amp;""</f>
        <v/>
      </c>
      <c r="U204" s="65">
        <f>INDEX(Projects[Sold Value (M)],203)</f>
        <v/>
      </c>
      <c r="V204" s="64">
        <f>IF('Smart Search'!B13=1,IFERROR(1/'Smart Search'!H13,0),0)</f>
        <v/>
      </c>
      <c r="W204" s="64">
        <f>IF('Smart Search'!B13=1,IFERROR(1/'Smart Search'!H13,0),0)</f>
        <v/>
      </c>
      <c r="X204" s="64">
        <f>IF('Smart Search'!C13=1,IFERROR(1/'Smart Search'!H13,0),0)</f>
        <v/>
      </c>
      <c r="Y204" s="64">
        <f>IF('Smart Search'!C13=1,IFERROR(1/'Smart Search'!H13,0),0)</f>
        <v/>
      </c>
      <c r="Z204" s="64">
        <f>IF('Smart Search'!D13=1,IFERROR(1/'Smart Search'!H13,0),0)</f>
        <v/>
      </c>
      <c r="AA204" s="64">
        <f>IF('Smart Search'!D13=1,IFERROR(1/'Smart Search'!H13,0),0)</f>
        <v/>
      </c>
      <c r="AB204" s="64">
        <f>IF('Smart Search'!E13=1,IFERROR(1/'Smart Search'!H13,0),0)</f>
        <v/>
      </c>
      <c r="AC204" s="64">
        <f>IF('Smart Search'!E13=1,IFERROR(1/'Smart Search'!H13,0),0)</f>
        <v/>
      </c>
      <c r="AD204" s="64">
        <f>IF('Smart Search'!F13=1,IFERROR(1/'Smart Search'!H13,0),0)</f>
        <v/>
      </c>
      <c r="AE204" s="64">
        <f>IF('Smart Search'!F13=1,IFERROR(1/'Smart Search'!H13,0),0)</f>
        <v/>
      </c>
      <c r="AF204" s="64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4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4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4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4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4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4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4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4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4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4">
        <f>AF204*V204</f>
        <v/>
      </c>
      <c r="AQ204" s="64">
        <f>AG204*W204</f>
        <v/>
      </c>
      <c r="AR204" s="64">
        <f>AH204*X204</f>
        <v/>
      </c>
      <c r="AS204" s="64">
        <f>AI204*Y204</f>
        <v/>
      </c>
      <c r="AT204" s="64">
        <f>AJ204*Z204</f>
        <v/>
      </c>
      <c r="AU204" s="64">
        <f>AK204*AA204</f>
        <v/>
      </c>
      <c r="AV204" s="64">
        <f>AL204*AB204</f>
        <v/>
      </c>
      <c r="AW204" s="64">
        <f>AM204*AC204</f>
        <v/>
      </c>
      <c r="AX204" s="64">
        <f>AN204*AD204</f>
        <v/>
      </c>
      <c r="AY204" s="64">
        <f>AO204*AE204</f>
        <v/>
      </c>
      <c r="AZ204" s="64">
        <f>INDEX(Projects[Automation Equipment],203)&amp;""</f>
        <v/>
      </c>
      <c r="BA204" s="64">
        <f>IF(OR(A204="",'Smart Search'!H13=0),"",MAX(0,BE204*BF204*MAX(0,1-BG204)))</f>
        <v/>
      </c>
      <c r="BB204" s="64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4">
        <f>IF('Smart Search'!G13=1,IFERROR(1/'Smart Search'!H13,0),0)</f>
        <v/>
      </c>
      <c r="BD204" s="64">
        <f>BB204*BC204</f>
        <v/>
      </c>
      <c r="BE204" s="64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IF(A204="","",N(INDEX(Projects[Act Mech Inst],203)))</f>
        <v/>
      </c>
      <c r="BK204" s="5">
        <f>IF(A204="","",N(INDEX(Projects[Act Elec Inst],203)))</f>
        <v/>
      </c>
      <c r="BL204" s="5">
        <f>IF(A204="","",N(INDEX(Projects[Act Project Management],203)))</f>
        <v/>
      </c>
      <c r="BM204" s="5">
        <f>IF(A204="","",N(INDEX(Projects[Act Systems Eng],203)))</f>
        <v/>
      </c>
      <c r="BN204" s="5">
        <f>IF(A204="","",N(INDEX(Projects[Act Mechanical Eng],203)))</f>
        <v/>
      </c>
      <c r="BO204" s="5">
        <f>IF(A204="","",N(INDEX(Projects[Act Structural Engineering],203)))</f>
        <v/>
      </c>
      <c r="BP204" s="5">
        <f>IF(A204="","",N(INDEX(Projects[Act Site Sup],203)))</f>
        <v/>
      </c>
      <c r="BQ204" s="5">
        <f>IF(A204="","",N(INDEX(Projects[Act Controls Commissioning],203)))</f>
        <v/>
      </c>
      <c r="BR204" s="5">
        <f>IF(A204="","",N(INDEX(Projects[Act Systems Commissioning],203)))</f>
        <v/>
      </c>
      <c r="BS204" s="5">
        <f>IF(A204="","",N(INDEX(Projects[Act Service Commissioning],203)))</f>
        <v/>
      </c>
      <c r="BT204" s="5">
        <f>IF(A204="","",N(INDEX(Projects[Act Controls Eng],203)))</f>
        <v/>
      </c>
      <c r="BU204" s="5">
        <f>IF(A204="","",N(INDEX(Projects[Act Controls Purchase],203)))</f>
        <v/>
      </c>
      <c r="BV204" s="5">
        <f>IF(A204="","",N(INDEX(Projects[Act Software Eng],203)))</f>
        <v/>
      </c>
      <c r="BW204" s="5">
        <f>IF(A204="","",N(INDEX(Projects[Act 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INDEX(Projects[Sold Value (USD M)],203)</f>
        <v/>
      </c>
      <c r="CE204" s="5" t="n"/>
      <c r="CF204" s="5">
        <f>IF(A204="","",N(INDEX(Projects[Est Mech Inst],203)))</f>
        <v/>
      </c>
      <c r="CG204" s="5">
        <f>IF(A204="","",N(INDEX(Projects[Est Elec Inst],203)))</f>
        <v/>
      </c>
      <c r="CH204" s="5">
        <f>IF(A204="","",N(INDEX(Projects[Est Project Management],203)))</f>
        <v/>
      </c>
      <c r="CI204" s="5">
        <f>IF(A204="","",N(INDEX(Projects[Est Systems Eng],203)))</f>
        <v/>
      </c>
      <c r="CJ204" s="5">
        <f>IF(A204="","",N(INDEX(Projects[Est Mechanical Eng],203)))</f>
        <v/>
      </c>
      <c r="CK204" s="5">
        <f>IF(A204="","",N(INDEX(Projects[Est Structural Engineering],203)))</f>
        <v/>
      </c>
      <c r="CL204" s="5">
        <f>IF(A204="","",N(INDEX(Projects[Est Site Sup],203)))</f>
        <v/>
      </c>
      <c r="CM204" s="5">
        <f>IF(A204="","",N(INDEX(Projects[Est Controls Commissioning],203)))</f>
        <v/>
      </c>
      <c r="CN204" s="5">
        <f>IF(A204="","",N(INDEX(Projects[Est Systems Commissioning],203)))</f>
        <v/>
      </c>
      <c r="CO204" s="5">
        <f>IF(A204="","",N(INDEX(Projects[Est Service Commissioning],203)))</f>
        <v/>
      </c>
      <c r="CP204" s="5">
        <f>IF(A204="","",N(INDEX(Projects[Est Controls Eng],203)))</f>
        <v/>
      </c>
      <c r="CQ204" s="5">
        <f>IF(A204="","",N(INDEX(Projects[Est Controls Purchase],203)))</f>
        <v/>
      </c>
      <c r="CR204" s="5">
        <f>IF(A204="","",N(INDEX(Projects[Est Software Eng],203)))</f>
        <v/>
      </c>
      <c r="CS204" s="5">
        <f>IF(A204="","",N(INDEX(Projects[Est Misc],203)))</f>
        <v/>
      </c>
      <c r="CT204" s="5">
        <f>IF(A204="","",SUM(CF204:CS204))</f>
        <v/>
      </c>
      <c r="CU204" s="5">
        <f>INDEX(Projects[Est Cost (M)],203)</f>
        <v/>
      </c>
      <c r="CV204" s="5">
        <f>INDEX(Projects[Act Cost (M)],203)</f>
        <v/>
      </c>
      <c r="CW204" s="5">
        <f>INDEX(Projects[Plan Mech Eng (wks)],203)</f>
        <v/>
      </c>
      <c r="CX204" s="5">
        <f>INDEX(Projects[Plan Controls Eng (wks)],203)</f>
        <v/>
      </c>
      <c r="CY204" s="5">
        <f>INDEX(Projects[Plan Systems Eng (wks)],203)</f>
        <v/>
      </c>
      <c r="CZ204" s="5">
        <f>INDEX(Projects[Plan Software Eng (wks)],203)</f>
        <v/>
      </c>
      <c r="DA204" s="5">
        <f>INDEX(Projects[Plan M&amp;E Installation (wks)],203)</f>
        <v/>
      </c>
      <c r="DB204" s="5">
        <f>INDEX(Projects[Plan Commissioning (wks)],203)</f>
        <v/>
      </c>
      <c r="DC204" s="5">
        <f>INDEX(Projects[Plan Total (wks)],203)</f>
        <v/>
      </c>
      <c r="DD204" s="5">
        <f>INDEX(Projects[Act Mech Eng (wks)],203)</f>
        <v/>
      </c>
      <c r="DE204" s="5">
        <f>INDEX(Projects[Act Controls Eng (wks)],203)</f>
        <v/>
      </c>
      <c r="DF204" s="5">
        <f>INDEX(Projects[Act Systems Eng (wks)],203)</f>
        <v/>
      </c>
      <c r="DG204" s="5">
        <f>INDEX(Projects[Act Software Eng (wks)],203)</f>
        <v/>
      </c>
      <c r="DH204" s="5">
        <f>INDEX(Projects[Act M&amp;E Installation (wks)],203)</f>
        <v/>
      </c>
      <c r="DI204" s="5">
        <f>INDEX(Projects[Act Commissioning (wks)],203)</f>
        <v/>
      </c>
      <c r="DJ204" s="5">
        <f>INDEX(Projects[Act Total (wks)],203)</f>
        <v/>
      </c>
    </row>
    <row r="205" ht="15" customHeight="1" s="82">
      <c r="A205" s="64">
        <f>INDEX(Projects[Project ID *],204)&amp;""</f>
        <v/>
      </c>
      <c r="B205" s="64">
        <f>INDEX(Projects[Project Name *],204)&amp;""</f>
        <v/>
      </c>
      <c r="C205" s="64">
        <f>INDEX(Projects[MS Shuttles],204)</f>
        <v/>
      </c>
      <c r="D205" s="64">
        <f>INDEX(Projects[MS Tote Locations],204)</f>
        <v/>
      </c>
      <c r="E205" s="64">
        <f>INDEX(Projects[AS Robots],204)</f>
        <v/>
      </c>
      <c r="F205" s="64">
        <f>INDEX(Projects[AS Tote Locations],204)</f>
        <v/>
      </c>
      <c r="G205" s="64">
        <f>INDEX(Projects[PS Shuttles],204)</f>
        <v/>
      </c>
      <c r="H205" s="64">
        <f>INDEX(Projects[PS Pallet Locations],204)</f>
        <v/>
      </c>
      <c r="I205" s="64">
        <f>INDEX(Projects[SRM Cranes],204)</f>
        <v/>
      </c>
      <c r="J205" s="64">
        <f>INDEX(Projects[SRM Pallet Locations],204)</f>
        <v/>
      </c>
      <c r="K205" s="64">
        <f>INDEX(Projects[Case Conv (m)],204)</f>
        <v/>
      </c>
      <c r="L205" s="64">
        <f>INDEX(Projects[Pallet Conv (m)],204)</f>
        <v/>
      </c>
      <c r="M205" s="64">
        <f>IF(N(DJ205)&gt;0,DD205,CW205)</f>
        <v/>
      </c>
      <c r="N205" s="64">
        <f>IF(N(DJ205)&gt;0,DE205,CX205)</f>
        <v/>
      </c>
      <c r="O205" s="64">
        <f>IF(N(DJ205)&gt;0,DF205,CY205)</f>
        <v/>
      </c>
      <c r="P205" s="64">
        <f>IF(N(DJ205)&gt;0,DG205,CZ205)</f>
        <v/>
      </c>
      <c r="Q205" s="64">
        <f>IF(N(DJ205)&gt;0,DH205,DA205)</f>
        <v/>
      </c>
      <c r="R205" s="64">
        <f>IF(N(DJ205)&gt;0,DI205,DB205)</f>
        <v/>
      </c>
      <c r="S205" s="64">
        <f>IF(N(DJ205)&gt;0,DJ205,DC205)</f>
        <v/>
      </c>
      <c r="T205" s="64">
        <f>INDEX(Projects[Currency],204)&amp;""</f>
        <v/>
      </c>
      <c r="U205" s="65">
        <f>INDEX(Projects[Sold Value (M)],204)</f>
        <v/>
      </c>
      <c r="V205" s="64">
        <f>IF('Smart Search'!B13=1,IFERROR(1/'Smart Search'!H13,0),0)</f>
        <v/>
      </c>
      <c r="W205" s="64">
        <f>IF('Smart Search'!B13=1,IFERROR(1/'Smart Search'!H13,0),0)</f>
        <v/>
      </c>
      <c r="X205" s="64">
        <f>IF('Smart Search'!C13=1,IFERROR(1/'Smart Search'!H13,0),0)</f>
        <v/>
      </c>
      <c r="Y205" s="64">
        <f>IF('Smart Search'!C13=1,IFERROR(1/'Smart Search'!H13,0),0)</f>
        <v/>
      </c>
      <c r="Z205" s="64">
        <f>IF('Smart Search'!D13=1,IFERROR(1/'Smart Search'!H13,0),0)</f>
        <v/>
      </c>
      <c r="AA205" s="64">
        <f>IF('Smart Search'!D13=1,IFERROR(1/'Smart Search'!H13,0),0)</f>
        <v/>
      </c>
      <c r="AB205" s="64">
        <f>IF('Smart Search'!E13=1,IFERROR(1/'Smart Search'!H13,0),0)</f>
        <v/>
      </c>
      <c r="AC205" s="64">
        <f>IF('Smart Search'!E13=1,IFERROR(1/'Smart Search'!H13,0),0)</f>
        <v/>
      </c>
      <c r="AD205" s="64">
        <f>IF('Smart Search'!F13=1,IFERROR(1/'Smart Search'!H13,0),0)</f>
        <v/>
      </c>
      <c r="AE205" s="64">
        <f>IF('Smart Search'!F13=1,IFERROR(1/'Smart Search'!H13,0),0)</f>
        <v/>
      </c>
      <c r="AF205" s="64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4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4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4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4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4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4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4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4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4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4">
        <f>AF205*V205</f>
        <v/>
      </c>
      <c r="AQ205" s="64">
        <f>AG205*W205</f>
        <v/>
      </c>
      <c r="AR205" s="64">
        <f>AH205*X205</f>
        <v/>
      </c>
      <c r="AS205" s="64">
        <f>AI205*Y205</f>
        <v/>
      </c>
      <c r="AT205" s="64">
        <f>AJ205*Z205</f>
        <v/>
      </c>
      <c r="AU205" s="64">
        <f>AK205*AA205</f>
        <v/>
      </c>
      <c r="AV205" s="64">
        <f>AL205*AB205</f>
        <v/>
      </c>
      <c r="AW205" s="64">
        <f>AM205*AC205</f>
        <v/>
      </c>
      <c r="AX205" s="64">
        <f>AN205*AD205</f>
        <v/>
      </c>
      <c r="AY205" s="64">
        <f>AO205*AE205</f>
        <v/>
      </c>
      <c r="AZ205" s="64">
        <f>INDEX(Projects[Automation Equipment],204)&amp;""</f>
        <v/>
      </c>
      <c r="BA205" s="64">
        <f>IF(OR(A205="",'Smart Search'!H13=0),"",MAX(0,BE205*BF205*MAX(0,1-BG205)))</f>
        <v/>
      </c>
      <c r="BB205" s="64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4">
        <f>IF('Smart Search'!G13=1,IFERROR(1/'Smart Search'!H13,0),0)</f>
        <v/>
      </c>
      <c r="BD205" s="64">
        <f>BB205*BC205</f>
        <v/>
      </c>
      <c r="BE205" s="64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IF(A205="","",N(INDEX(Projects[Act Mech Inst],204)))</f>
        <v/>
      </c>
      <c r="BK205" s="5">
        <f>IF(A205="","",N(INDEX(Projects[Act Elec Inst],204)))</f>
        <v/>
      </c>
      <c r="BL205" s="5">
        <f>IF(A205="","",N(INDEX(Projects[Act Project Management],204)))</f>
        <v/>
      </c>
      <c r="BM205" s="5">
        <f>IF(A205="","",N(INDEX(Projects[Act Systems Eng],204)))</f>
        <v/>
      </c>
      <c r="BN205" s="5">
        <f>IF(A205="","",N(INDEX(Projects[Act Mechanical Eng],204)))</f>
        <v/>
      </c>
      <c r="BO205" s="5">
        <f>IF(A205="","",N(INDEX(Projects[Act Structural Engineering],204)))</f>
        <v/>
      </c>
      <c r="BP205" s="5">
        <f>IF(A205="","",N(INDEX(Projects[Act Site Sup],204)))</f>
        <v/>
      </c>
      <c r="BQ205" s="5">
        <f>IF(A205="","",N(INDEX(Projects[Act Controls Commissioning],204)))</f>
        <v/>
      </c>
      <c r="BR205" s="5">
        <f>IF(A205="","",N(INDEX(Projects[Act Systems Commissioning],204)))</f>
        <v/>
      </c>
      <c r="BS205" s="5">
        <f>IF(A205="","",N(INDEX(Projects[Act Service Commissioning],204)))</f>
        <v/>
      </c>
      <c r="BT205" s="5">
        <f>IF(A205="","",N(INDEX(Projects[Act Controls Eng],204)))</f>
        <v/>
      </c>
      <c r="BU205" s="5">
        <f>IF(A205="","",N(INDEX(Projects[Act Controls Purchase],204)))</f>
        <v/>
      </c>
      <c r="BV205" s="5">
        <f>IF(A205="","",N(INDEX(Projects[Act Software Eng],204)))</f>
        <v/>
      </c>
      <c r="BW205" s="5">
        <f>IF(A205="","",N(INDEX(Projects[Act 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INDEX(Projects[Sold Value (USD M)],204)</f>
        <v/>
      </c>
      <c r="CE205" s="5" t="n"/>
      <c r="CF205" s="5">
        <f>IF(A205="","",N(INDEX(Projects[Est Mech Inst],204)))</f>
        <v/>
      </c>
      <c r="CG205" s="5">
        <f>IF(A205="","",N(INDEX(Projects[Est Elec Inst],204)))</f>
        <v/>
      </c>
      <c r="CH205" s="5">
        <f>IF(A205="","",N(INDEX(Projects[Est Project Management],204)))</f>
        <v/>
      </c>
      <c r="CI205" s="5">
        <f>IF(A205="","",N(INDEX(Projects[Est Systems Eng],204)))</f>
        <v/>
      </c>
      <c r="CJ205" s="5">
        <f>IF(A205="","",N(INDEX(Projects[Est Mechanical Eng],204)))</f>
        <v/>
      </c>
      <c r="CK205" s="5">
        <f>IF(A205="","",N(INDEX(Projects[Est Structural Engineering],204)))</f>
        <v/>
      </c>
      <c r="CL205" s="5">
        <f>IF(A205="","",N(INDEX(Projects[Est Site Sup],204)))</f>
        <v/>
      </c>
      <c r="CM205" s="5">
        <f>IF(A205="","",N(INDEX(Projects[Est Controls Commissioning],204)))</f>
        <v/>
      </c>
      <c r="CN205" s="5">
        <f>IF(A205="","",N(INDEX(Projects[Est Systems Commissioning],204)))</f>
        <v/>
      </c>
      <c r="CO205" s="5">
        <f>IF(A205="","",N(INDEX(Projects[Est Service Commissioning],204)))</f>
        <v/>
      </c>
      <c r="CP205" s="5">
        <f>IF(A205="","",N(INDEX(Projects[Est Controls Eng],204)))</f>
        <v/>
      </c>
      <c r="CQ205" s="5">
        <f>IF(A205="","",N(INDEX(Projects[Est Controls Purchase],204)))</f>
        <v/>
      </c>
      <c r="CR205" s="5">
        <f>IF(A205="","",N(INDEX(Projects[Est Software Eng],204)))</f>
        <v/>
      </c>
      <c r="CS205" s="5">
        <f>IF(A205="","",N(INDEX(Projects[Est Misc],204)))</f>
        <v/>
      </c>
      <c r="CT205" s="5">
        <f>IF(A205="","",SUM(CF205:CS205))</f>
        <v/>
      </c>
      <c r="CU205" s="5">
        <f>INDEX(Projects[Est Cost (M)],204)</f>
        <v/>
      </c>
      <c r="CV205" s="5">
        <f>INDEX(Projects[Act Cost (M)],204)</f>
        <v/>
      </c>
      <c r="CW205" s="5">
        <f>INDEX(Projects[Plan Mech Eng (wks)],204)</f>
        <v/>
      </c>
      <c r="CX205" s="5">
        <f>INDEX(Projects[Plan Controls Eng (wks)],204)</f>
        <v/>
      </c>
      <c r="CY205" s="5">
        <f>INDEX(Projects[Plan Systems Eng (wks)],204)</f>
        <v/>
      </c>
      <c r="CZ205" s="5">
        <f>INDEX(Projects[Plan Software Eng (wks)],204)</f>
        <v/>
      </c>
      <c r="DA205" s="5">
        <f>INDEX(Projects[Plan M&amp;E Installation (wks)],204)</f>
        <v/>
      </c>
      <c r="DB205" s="5">
        <f>INDEX(Projects[Plan Commissioning (wks)],204)</f>
        <v/>
      </c>
      <c r="DC205" s="5">
        <f>INDEX(Projects[Plan Total (wks)],204)</f>
        <v/>
      </c>
      <c r="DD205" s="5">
        <f>INDEX(Projects[Act Mech Eng (wks)],204)</f>
        <v/>
      </c>
      <c r="DE205" s="5">
        <f>INDEX(Projects[Act Controls Eng (wks)],204)</f>
        <v/>
      </c>
      <c r="DF205" s="5">
        <f>INDEX(Projects[Act Systems Eng (wks)],204)</f>
        <v/>
      </c>
      <c r="DG205" s="5">
        <f>INDEX(Projects[Act Software Eng (wks)],204)</f>
        <v/>
      </c>
      <c r="DH205" s="5">
        <f>INDEX(Projects[Act M&amp;E Installation (wks)],204)</f>
        <v/>
      </c>
      <c r="DI205" s="5">
        <f>INDEX(Projects[Act Commissioning (wks)],204)</f>
        <v/>
      </c>
      <c r="DJ205" s="5">
        <f>INDEX(Projects[Act Total (wks)],204)</f>
        <v/>
      </c>
    </row>
    <row r="206" ht="15" customHeight="1" s="82">
      <c r="A206" s="64">
        <f>INDEX(Projects[Project ID *],205)&amp;""</f>
        <v/>
      </c>
      <c r="B206" s="64">
        <f>INDEX(Projects[Project Name *],205)&amp;""</f>
        <v/>
      </c>
      <c r="C206" s="64">
        <f>INDEX(Projects[MS Shuttles],205)</f>
        <v/>
      </c>
      <c r="D206" s="64">
        <f>INDEX(Projects[MS Tote Locations],205)</f>
        <v/>
      </c>
      <c r="E206" s="64">
        <f>INDEX(Projects[AS Robots],205)</f>
        <v/>
      </c>
      <c r="F206" s="64">
        <f>INDEX(Projects[AS Tote Locations],205)</f>
        <v/>
      </c>
      <c r="G206" s="64">
        <f>INDEX(Projects[PS Shuttles],205)</f>
        <v/>
      </c>
      <c r="H206" s="64">
        <f>INDEX(Projects[PS Pallet Locations],205)</f>
        <v/>
      </c>
      <c r="I206" s="64">
        <f>INDEX(Projects[SRM Cranes],205)</f>
        <v/>
      </c>
      <c r="J206" s="64">
        <f>INDEX(Projects[SRM Pallet Locations],205)</f>
        <v/>
      </c>
      <c r="K206" s="64">
        <f>INDEX(Projects[Case Conv (m)],205)</f>
        <v/>
      </c>
      <c r="L206" s="64">
        <f>INDEX(Projects[Pallet Conv (m)],205)</f>
        <v/>
      </c>
      <c r="M206" s="64">
        <f>IF(N(DJ206)&gt;0,DD206,CW206)</f>
        <v/>
      </c>
      <c r="N206" s="64">
        <f>IF(N(DJ206)&gt;0,DE206,CX206)</f>
        <v/>
      </c>
      <c r="O206" s="64">
        <f>IF(N(DJ206)&gt;0,DF206,CY206)</f>
        <v/>
      </c>
      <c r="P206" s="64">
        <f>IF(N(DJ206)&gt;0,DG206,CZ206)</f>
        <v/>
      </c>
      <c r="Q206" s="64">
        <f>IF(N(DJ206)&gt;0,DH206,DA206)</f>
        <v/>
      </c>
      <c r="R206" s="64">
        <f>IF(N(DJ206)&gt;0,DI206,DB206)</f>
        <v/>
      </c>
      <c r="S206" s="64">
        <f>IF(N(DJ206)&gt;0,DJ206,DC206)</f>
        <v/>
      </c>
      <c r="T206" s="64">
        <f>INDEX(Projects[Currency],205)&amp;""</f>
        <v/>
      </c>
      <c r="U206" s="65">
        <f>INDEX(Projects[Sold Value (M)],205)</f>
        <v/>
      </c>
      <c r="V206" s="64">
        <f>IF('Smart Search'!B13=1,IFERROR(1/'Smart Search'!H13,0),0)</f>
        <v/>
      </c>
      <c r="W206" s="64">
        <f>IF('Smart Search'!B13=1,IFERROR(1/'Smart Search'!H13,0),0)</f>
        <v/>
      </c>
      <c r="X206" s="64">
        <f>IF('Smart Search'!C13=1,IFERROR(1/'Smart Search'!H13,0),0)</f>
        <v/>
      </c>
      <c r="Y206" s="64">
        <f>IF('Smart Search'!C13=1,IFERROR(1/'Smart Search'!H13,0),0)</f>
        <v/>
      </c>
      <c r="Z206" s="64">
        <f>IF('Smart Search'!D13=1,IFERROR(1/'Smart Search'!H13,0),0)</f>
        <v/>
      </c>
      <c r="AA206" s="64">
        <f>IF('Smart Search'!D13=1,IFERROR(1/'Smart Search'!H13,0),0)</f>
        <v/>
      </c>
      <c r="AB206" s="64">
        <f>IF('Smart Search'!E13=1,IFERROR(1/'Smart Search'!H13,0),0)</f>
        <v/>
      </c>
      <c r="AC206" s="64">
        <f>IF('Smart Search'!E13=1,IFERROR(1/'Smart Search'!H13,0),0)</f>
        <v/>
      </c>
      <c r="AD206" s="64">
        <f>IF('Smart Search'!F13=1,IFERROR(1/'Smart Search'!H13,0),0)</f>
        <v/>
      </c>
      <c r="AE206" s="64">
        <f>IF('Smart Search'!F13=1,IFERROR(1/'Smart Search'!H13,0),0)</f>
        <v/>
      </c>
      <c r="AF206" s="64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4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4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4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4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4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4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4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4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4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4">
        <f>AF206*V206</f>
        <v/>
      </c>
      <c r="AQ206" s="64">
        <f>AG206*W206</f>
        <v/>
      </c>
      <c r="AR206" s="64">
        <f>AH206*X206</f>
        <v/>
      </c>
      <c r="AS206" s="64">
        <f>AI206*Y206</f>
        <v/>
      </c>
      <c r="AT206" s="64">
        <f>AJ206*Z206</f>
        <v/>
      </c>
      <c r="AU206" s="64">
        <f>AK206*AA206</f>
        <v/>
      </c>
      <c r="AV206" s="64">
        <f>AL206*AB206</f>
        <v/>
      </c>
      <c r="AW206" s="64">
        <f>AM206*AC206</f>
        <v/>
      </c>
      <c r="AX206" s="64">
        <f>AN206*AD206</f>
        <v/>
      </c>
      <c r="AY206" s="64">
        <f>AO206*AE206</f>
        <v/>
      </c>
      <c r="AZ206" s="64">
        <f>INDEX(Projects[Automation Equipment],205)&amp;""</f>
        <v/>
      </c>
      <c r="BA206" s="64">
        <f>IF(OR(A206="",'Smart Search'!H13=0),"",MAX(0,BE206*BF206*MAX(0,1-BG206)))</f>
        <v/>
      </c>
      <c r="BB206" s="64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4">
        <f>IF('Smart Search'!G13=1,IFERROR(1/'Smart Search'!H13,0),0)</f>
        <v/>
      </c>
      <c r="BD206" s="64">
        <f>BB206*BC206</f>
        <v/>
      </c>
      <c r="BE206" s="64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IF(A206="","",N(INDEX(Projects[Act Mech Inst],205)))</f>
        <v/>
      </c>
      <c r="BK206" s="5">
        <f>IF(A206="","",N(INDEX(Projects[Act Elec Inst],205)))</f>
        <v/>
      </c>
      <c r="BL206" s="5">
        <f>IF(A206="","",N(INDEX(Projects[Act Project Management],205)))</f>
        <v/>
      </c>
      <c r="BM206" s="5">
        <f>IF(A206="","",N(INDEX(Projects[Act Systems Eng],205)))</f>
        <v/>
      </c>
      <c r="BN206" s="5">
        <f>IF(A206="","",N(INDEX(Projects[Act Mechanical Eng],205)))</f>
        <v/>
      </c>
      <c r="BO206" s="5">
        <f>IF(A206="","",N(INDEX(Projects[Act Structural Engineering],205)))</f>
        <v/>
      </c>
      <c r="BP206" s="5">
        <f>IF(A206="","",N(INDEX(Projects[Act Site Sup],205)))</f>
        <v/>
      </c>
      <c r="BQ206" s="5">
        <f>IF(A206="","",N(INDEX(Projects[Act Controls Commissioning],205)))</f>
        <v/>
      </c>
      <c r="BR206" s="5">
        <f>IF(A206="","",N(INDEX(Projects[Act Systems Commissioning],205)))</f>
        <v/>
      </c>
      <c r="BS206" s="5">
        <f>IF(A206="","",N(INDEX(Projects[Act Service Commissioning],205)))</f>
        <v/>
      </c>
      <c r="BT206" s="5">
        <f>IF(A206="","",N(INDEX(Projects[Act Controls Eng],205)))</f>
        <v/>
      </c>
      <c r="BU206" s="5">
        <f>IF(A206="","",N(INDEX(Projects[Act Controls Purchase],205)))</f>
        <v/>
      </c>
      <c r="BV206" s="5">
        <f>IF(A206="","",N(INDEX(Projects[Act Software Eng],205)))</f>
        <v/>
      </c>
      <c r="BW206" s="5">
        <f>IF(A206="","",N(INDEX(Projects[Act 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INDEX(Projects[Sold Value (USD M)],205)</f>
        <v/>
      </c>
      <c r="CE206" s="5" t="n"/>
      <c r="CF206" s="5">
        <f>IF(A206="","",N(INDEX(Projects[Est Mech Inst],205)))</f>
        <v/>
      </c>
      <c r="CG206" s="5">
        <f>IF(A206="","",N(INDEX(Projects[Est Elec Inst],205)))</f>
        <v/>
      </c>
      <c r="CH206" s="5">
        <f>IF(A206="","",N(INDEX(Projects[Est Project Management],205)))</f>
        <v/>
      </c>
      <c r="CI206" s="5">
        <f>IF(A206="","",N(INDEX(Projects[Est Systems Eng],205)))</f>
        <v/>
      </c>
      <c r="CJ206" s="5">
        <f>IF(A206="","",N(INDEX(Projects[Est Mechanical Eng],205)))</f>
        <v/>
      </c>
      <c r="CK206" s="5">
        <f>IF(A206="","",N(INDEX(Projects[Est Structural Engineering],205)))</f>
        <v/>
      </c>
      <c r="CL206" s="5">
        <f>IF(A206="","",N(INDEX(Projects[Est Site Sup],205)))</f>
        <v/>
      </c>
      <c r="CM206" s="5">
        <f>IF(A206="","",N(INDEX(Projects[Est Controls Commissioning],205)))</f>
        <v/>
      </c>
      <c r="CN206" s="5">
        <f>IF(A206="","",N(INDEX(Projects[Est Systems Commissioning],205)))</f>
        <v/>
      </c>
      <c r="CO206" s="5">
        <f>IF(A206="","",N(INDEX(Projects[Est Service Commissioning],205)))</f>
        <v/>
      </c>
      <c r="CP206" s="5">
        <f>IF(A206="","",N(INDEX(Projects[Est Controls Eng],205)))</f>
        <v/>
      </c>
      <c r="CQ206" s="5">
        <f>IF(A206="","",N(INDEX(Projects[Est Controls Purchase],205)))</f>
        <v/>
      </c>
      <c r="CR206" s="5">
        <f>IF(A206="","",N(INDEX(Projects[Est Software Eng],205)))</f>
        <v/>
      </c>
      <c r="CS206" s="5">
        <f>IF(A206="","",N(INDEX(Projects[Est Misc],205)))</f>
        <v/>
      </c>
      <c r="CT206" s="5">
        <f>IF(A206="","",SUM(CF206:CS206))</f>
        <v/>
      </c>
      <c r="CU206" s="5">
        <f>INDEX(Projects[Est Cost (M)],205)</f>
        <v/>
      </c>
      <c r="CV206" s="5">
        <f>INDEX(Projects[Act Cost (M)],205)</f>
        <v/>
      </c>
      <c r="CW206" s="5">
        <f>INDEX(Projects[Plan Mech Eng (wks)],205)</f>
        <v/>
      </c>
      <c r="CX206" s="5">
        <f>INDEX(Projects[Plan Controls Eng (wks)],205)</f>
        <v/>
      </c>
      <c r="CY206" s="5">
        <f>INDEX(Projects[Plan Systems Eng (wks)],205)</f>
        <v/>
      </c>
      <c r="CZ206" s="5">
        <f>INDEX(Projects[Plan Software Eng (wks)],205)</f>
        <v/>
      </c>
      <c r="DA206" s="5">
        <f>INDEX(Projects[Plan M&amp;E Installation (wks)],205)</f>
        <v/>
      </c>
      <c r="DB206" s="5">
        <f>INDEX(Projects[Plan Commissioning (wks)],205)</f>
        <v/>
      </c>
      <c r="DC206" s="5">
        <f>INDEX(Projects[Plan Total (wks)],205)</f>
        <v/>
      </c>
      <c r="DD206" s="5">
        <f>INDEX(Projects[Act Mech Eng (wks)],205)</f>
        <v/>
      </c>
      <c r="DE206" s="5">
        <f>INDEX(Projects[Act Controls Eng (wks)],205)</f>
        <v/>
      </c>
      <c r="DF206" s="5">
        <f>INDEX(Projects[Act Systems Eng (wks)],205)</f>
        <v/>
      </c>
      <c r="DG206" s="5">
        <f>INDEX(Projects[Act Software Eng (wks)],205)</f>
        <v/>
      </c>
      <c r="DH206" s="5">
        <f>INDEX(Projects[Act M&amp;E Installation (wks)],205)</f>
        <v/>
      </c>
      <c r="DI206" s="5">
        <f>INDEX(Projects[Act Commissioning (wks)],205)</f>
        <v/>
      </c>
      <c r="DJ206" s="5">
        <f>INDEX(Projects[Act Total (wks)],205)</f>
        <v/>
      </c>
    </row>
    <row r="207" ht="15" customHeight="1" s="82">
      <c r="A207" s="64">
        <f>INDEX(Projects[Project ID *],206)&amp;""</f>
        <v/>
      </c>
      <c r="B207" s="64">
        <f>INDEX(Projects[Project Name *],206)&amp;""</f>
        <v/>
      </c>
      <c r="C207" s="64">
        <f>INDEX(Projects[MS Shuttles],206)</f>
        <v/>
      </c>
      <c r="D207" s="64">
        <f>INDEX(Projects[MS Tote Locations],206)</f>
        <v/>
      </c>
      <c r="E207" s="64">
        <f>INDEX(Projects[AS Robots],206)</f>
        <v/>
      </c>
      <c r="F207" s="64">
        <f>INDEX(Projects[AS Tote Locations],206)</f>
        <v/>
      </c>
      <c r="G207" s="64">
        <f>INDEX(Projects[PS Shuttles],206)</f>
        <v/>
      </c>
      <c r="H207" s="64">
        <f>INDEX(Projects[PS Pallet Locations],206)</f>
        <v/>
      </c>
      <c r="I207" s="64">
        <f>INDEX(Projects[SRM Cranes],206)</f>
        <v/>
      </c>
      <c r="J207" s="64">
        <f>INDEX(Projects[SRM Pallet Locations],206)</f>
        <v/>
      </c>
      <c r="K207" s="64">
        <f>INDEX(Projects[Case Conv (m)],206)</f>
        <v/>
      </c>
      <c r="L207" s="64">
        <f>INDEX(Projects[Pallet Conv (m)],206)</f>
        <v/>
      </c>
      <c r="M207" s="64">
        <f>IF(N(DJ207)&gt;0,DD207,CW207)</f>
        <v/>
      </c>
      <c r="N207" s="64">
        <f>IF(N(DJ207)&gt;0,DE207,CX207)</f>
        <v/>
      </c>
      <c r="O207" s="64">
        <f>IF(N(DJ207)&gt;0,DF207,CY207)</f>
        <v/>
      </c>
      <c r="P207" s="64">
        <f>IF(N(DJ207)&gt;0,DG207,CZ207)</f>
        <v/>
      </c>
      <c r="Q207" s="64">
        <f>IF(N(DJ207)&gt;0,DH207,DA207)</f>
        <v/>
      </c>
      <c r="R207" s="64">
        <f>IF(N(DJ207)&gt;0,DI207,DB207)</f>
        <v/>
      </c>
      <c r="S207" s="64">
        <f>IF(N(DJ207)&gt;0,DJ207,DC207)</f>
        <v/>
      </c>
      <c r="T207" s="64">
        <f>INDEX(Projects[Currency],206)&amp;""</f>
        <v/>
      </c>
      <c r="U207" s="65">
        <f>INDEX(Projects[Sold Value (M)],206)</f>
        <v/>
      </c>
      <c r="V207" s="64">
        <f>IF('Smart Search'!B13=1,IFERROR(1/'Smart Search'!H13,0),0)</f>
        <v/>
      </c>
      <c r="W207" s="64">
        <f>IF('Smart Search'!B13=1,IFERROR(1/'Smart Search'!H13,0),0)</f>
        <v/>
      </c>
      <c r="X207" s="64">
        <f>IF('Smart Search'!C13=1,IFERROR(1/'Smart Search'!H13,0),0)</f>
        <v/>
      </c>
      <c r="Y207" s="64">
        <f>IF('Smart Search'!C13=1,IFERROR(1/'Smart Search'!H13,0),0)</f>
        <v/>
      </c>
      <c r="Z207" s="64">
        <f>IF('Smart Search'!D13=1,IFERROR(1/'Smart Search'!H13,0),0)</f>
        <v/>
      </c>
      <c r="AA207" s="64">
        <f>IF('Smart Search'!D13=1,IFERROR(1/'Smart Search'!H13,0),0)</f>
        <v/>
      </c>
      <c r="AB207" s="64">
        <f>IF('Smart Search'!E13=1,IFERROR(1/'Smart Search'!H13,0),0)</f>
        <v/>
      </c>
      <c r="AC207" s="64">
        <f>IF('Smart Search'!E13=1,IFERROR(1/'Smart Search'!H13,0),0)</f>
        <v/>
      </c>
      <c r="AD207" s="64">
        <f>IF('Smart Search'!F13=1,IFERROR(1/'Smart Search'!H13,0),0)</f>
        <v/>
      </c>
      <c r="AE207" s="64">
        <f>IF('Smart Search'!F13=1,IFERROR(1/'Smart Search'!H13,0),0)</f>
        <v/>
      </c>
      <c r="AF207" s="64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4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4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4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4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4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4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4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4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4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4">
        <f>AF207*V207</f>
        <v/>
      </c>
      <c r="AQ207" s="64">
        <f>AG207*W207</f>
        <v/>
      </c>
      <c r="AR207" s="64">
        <f>AH207*X207</f>
        <v/>
      </c>
      <c r="AS207" s="64">
        <f>AI207*Y207</f>
        <v/>
      </c>
      <c r="AT207" s="64">
        <f>AJ207*Z207</f>
        <v/>
      </c>
      <c r="AU207" s="64">
        <f>AK207*AA207</f>
        <v/>
      </c>
      <c r="AV207" s="64">
        <f>AL207*AB207</f>
        <v/>
      </c>
      <c r="AW207" s="64">
        <f>AM207*AC207</f>
        <v/>
      </c>
      <c r="AX207" s="64">
        <f>AN207*AD207</f>
        <v/>
      </c>
      <c r="AY207" s="64">
        <f>AO207*AE207</f>
        <v/>
      </c>
      <c r="AZ207" s="64">
        <f>INDEX(Projects[Automation Equipment],206)&amp;""</f>
        <v/>
      </c>
      <c r="BA207" s="64">
        <f>IF(OR(A207="",'Smart Search'!H13=0),"",MAX(0,BE207*BF207*MAX(0,1-BG207)))</f>
        <v/>
      </c>
      <c r="BB207" s="64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4">
        <f>IF('Smart Search'!G13=1,IFERROR(1/'Smart Search'!H13,0),0)</f>
        <v/>
      </c>
      <c r="BD207" s="64">
        <f>BB207*BC207</f>
        <v/>
      </c>
      <c r="BE207" s="64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IF(A207="","",N(INDEX(Projects[Act Mech Inst],206)))</f>
        <v/>
      </c>
      <c r="BK207" s="5">
        <f>IF(A207="","",N(INDEX(Projects[Act Elec Inst],206)))</f>
        <v/>
      </c>
      <c r="BL207" s="5">
        <f>IF(A207="","",N(INDEX(Projects[Act Project Management],206)))</f>
        <v/>
      </c>
      <c r="BM207" s="5">
        <f>IF(A207="","",N(INDEX(Projects[Act Systems Eng],206)))</f>
        <v/>
      </c>
      <c r="BN207" s="5">
        <f>IF(A207="","",N(INDEX(Projects[Act Mechanical Eng],206)))</f>
        <v/>
      </c>
      <c r="BO207" s="5">
        <f>IF(A207="","",N(INDEX(Projects[Act Structural Engineering],206)))</f>
        <v/>
      </c>
      <c r="BP207" s="5">
        <f>IF(A207="","",N(INDEX(Projects[Act Site Sup],206)))</f>
        <v/>
      </c>
      <c r="BQ207" s="5">
        <f>IF(A207="","",N(INDEX(Projects[Act Controls Commissioning],206)))</f>
        <v/>
      </c>
      <c r="BR207" s="5">
        <f>IF(A207="","",N(INDEX(Projects[Act Systems Commissioning],206)))</f>
        <v/>
      </c>
      <c r="BS207" s="5">
        <f>IF(A207="","",N(INDEX(Projects[Act Service Commissioning],206)))</f>
        <v/>
      </c>
      <c r="BT207" s="5">
        <f>IF(A207="","",N(INDEX(Projects[Act Controls Eng],206)))</f>
        <v/>
      </c>
      <c r="BU207" s="5">
        <f>IF(A207="","",N(INDEX(Projects[Act Controls Purchase],206)))</f>
        <v/>
      </c>
      <c r="BV207" s="5">
        <f>IF(A207="","",N(INDEX(Projects[Act Software Eng],206)))</f>
        <v/>
      </c>
      <c r="BW207" s="5">
        <f>IF(A207="","",N(INDEX(Projects[Act 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INDEX(Projects[Sold Value (USD M)],206)</f>
        <v/>
      </c>
      <c r="CE207" s="5" t="n"/>
      <c r="CF207" s="5">
        <f>IF(A207="","",N(INDEX(Projects[Est Mech Inst],206)))</f>
        <v/>
      </c>
      <c r="CG207" s="5">
        <f>IF(A207="","",N(INDEX(Projects[Est Elec Inst],206)))</f>
        <v/>
      </c>
      <c r="CH207" s="5">
        <f>IF(A207="","",N(INDEX(Projects[Est Project Management],206)))</f>
        <v/>
      </c>
      <c r="CI207" s="5">
        <f>IF(A207="","",N(INDEX(Projects[Est Systems Eng],206)))</f>
        <v/>
      </c>
      <c r="CJ207" s="5">
        <f>IF(A207="","",N(INDEX(Projects[Est Mechanical Eng],206)))</f>
        <v/>
      </c>
      <c r="CK207" s="5">
        <f>IF(A207="","",N(INDEX(Projects[Est Structural Engineering],206)))</f>
        <v/>
      </c>
      <c r="CL207" s="5">
        <f>IF(A207="","",N(INDEX(Projects[Est Site Sup],206)))</f>
        <v/>
      </c>
      <c r="CM207" s="5">
        <f>IF(A207="","",N(INDEX(Projects[Est Controls Commissioning],206)))</f>
        <v/>
      </c>
      <c r="CN207" s="5">
        <f>IF(A207="","",N(INDEX(Projects[Est Systems Commissioning],206)))</f>
        <v/>
      </c>
      <c r="CO207" s="5">
        <f>IF(A207="","",N(INDEX(Projects[Est Service Commissioning],206)))</f>
        <v/>
      </c>
      <c r="CP207" s="5">
        <f>IF(A207="","",N(INDEX(Projects[Est Controls Eng],206)))</f>
        <v/>
      </c>
      <c r="CQ207" s="5">
        <f>IF(A207="","",N(INDEX(Projects[Est Controls Purchase],206)))</f>
        <v/>
      </c>
      <c r="CR207" s="5">
        <f>IF(A207="","",N(INDEX(Projects[Est Software Eng],206)))</f>
        <v/>
      </c>
      <c r="CS207" s="5">
        <f>IF(A207="","",N(INDEX(Projects[Est Misc],206)))</f>
        <v/>
      </c>
      <c r="CT207" s="5">
        <f>IF(A207="","",SUM(CF207:CS207))</f>
        <v/>
      </c>
      <c r="CU207" s="5">
        <f>INDEX(Projects[Est Cost (M)],206)</f>
        <v/>
      </c>
      <c r="CV207" s="5">
        <f>INDEX(Projects[Act Cost (M)],206)</f>
        <v/>
      </c>
      <c r="CW207" s="5">
        <f>INDEX(Projects[Plan Mech Eng (wks)],206)</f>
        <v/>
      </c>
      <c r="CX207" s="5">
        <f>INDEX(Projects[Plan Controls Eng (wks)],206)</f>
        <v/>
      </c>
      <c r="CY207" s="5">
        <f>INDEX(Projects[Plan Systems Eng (wks)],206)</f>
        <v/>
      </c>
      <c r="CZ207" s="5">
        <f>INDEX(Projects[Plan Software Eng (wks)],206)</f>
        <v/>
      </c>
      <c r="DA207" s="5">
        <f>INDEX(Projects[Plan M&amp;E Installation (wks)],206)</f>
        <v/>
      </c>
      <c r="DB207" s="5">
        <f>INDEX(Projects[Plan Commissioning (wks)],206)</f>
        <v/>
      </c>
      <c r="DC207" s="5">
        <f>INDEX(Projects[Plan Total (wks)],206)</f>
        <v/>
      </c>
      <c r="DD207" s="5">
        <f>INDEX(Projects[Act Mech Eng (wks)],206)</f>
        <v/>
      </c>
      <c r="DE207" s="5">
        <f>INDEX(Projects[Act Controls Eng (wks)],206)</f>
        <v/>
      </c>
      <c r="DF207" s="5">
        <f>INDEX(Projects[Act Systems Eng (wks)],206)</f>
        <v/>
      </c>
      <c r="DG207" s="5">
        <f>INDEX(Projects[Act Software Eng (wks)],206)</f>
        <v/>
      </c>
      <c r="DH207" s="5">
        <f>INDEX(Projects[Act M&amp;E Installation (wks)],206)</f>
        <v/>
      </c>
      <c r="DI207" s="5">
        <f>INDEX(Projects[Act Commissioning (wks)],206)</f>
        <v/>
      </c>
      <c r="DJ207" s="5">
        <f>INDEX(Projects[Act Total (wks)],206)</f>
        <v/>
      </c>
    </row>
    <row r="208" ht="15" customHeight="1" s="82">
      <c r="A208" s="64">
        <f>INDEX(Projects[Project ID *],207)&amp;""</f>
        <v/>
      </c>
      <c r="B208" s="64">
        <f>INDEX(Projects[Project Name *],207)&amp;""</f>
        <v/>
      </c>
      <c r="C208" s="64">
        <f>INDEX(Projects[MS Shuttles],207)</f>
        <v/>
      </c>
      <c r="D208" s="64">
        <f>INDEX(Projects[MS Tote Locations],207)</f>
        <v/>
      </c>
      <c r="E208" s="64">
        <f>INDEX(Projects[AS Robots],207)</f>
        <v/>
      </c>
      <c r="F208" s="64">
        <f>INDEX(Projects[AS Tote Locations],207)</f>
        <v/>
      </c>
      <c r="G208" s="64">
        <f>INDEX(Projects[PS Shuttles],207)</f>
        <v/>
      </c>
      <c r="H208" s="64">
        <f>INDEX(Projects[PS Pallet Locations],207)</f>
        <v/>
      </c>
      <c r="I208" s="64">
        <f>INDEX(Projects[SRM Cranes],207)</f>
        <v/>
      </c>
      <c r="J208" s="64">
        <f>INDEX(Projects[SRM Pallet Locations],207)</f>
        <v/>
      </c>
      <c r="K208" s="64">
        <f>INDEX(Projects[Case Conv (m)],207)</f>
        <v/>
      </c>
      <c r="L208" s="64">
        <f>INDEX(Projects[Pallet Conv (m)],207)</f>
        <v/>
      </c>
      <c r="M208" s="64">
        <f>IF(N(DJ208)&gt;0,DD208,CW208)</f>
        <v/>
      </c>
      <c r="N208" s="64">
        <f>IF(N(DJ208)&gt;0,DE208,CX208)</f>
        <v/>
      </c>
      <c r="O208" s="64">
        <f>IF(N(DJ208)&gt;0,DF208,CY208)</f>
        <v/>
      </c>
      <c r="P208" s="64">
        <f>IF(N(DJ208)&gt;0,DG208,CZ208)</f>
        <v/>
      </c>
      <c r="Q208" s="64">
        <f>IF(N(DJ208)&gt;0,DH208,DA208)</f>
        <v/>
      </c>
      <c r="R208" s="64">
        <f>IF(N(DJ208)&gt;0,DI208,DB208)</f>
        <v/>
      </c>
      <c r="S208" s="64">
        <f>IF(N(DJ208)&gt;0,DJ208,DC208)</f>
        <v/>
      </c>
      <c r="T208" s="64">
        <f>INDEX(Projects[Currency],207)&amp;""</f>
        <v/>
      </c>
      <c r="U208" s="65">
        <f>INDEX(Projects[Sold Value (M)],207)</f>
        <v/>
      </c>
      <c r="V208" s="64">
        <f>IF('Smart Search'!B13=1,IFERROR(1/'Smart Search'!H13,0),0)</f>
        <v/>
      </c>
      <c r="W208" s="64">
        <f>IF('Smart Search'!B13=1,IFERROR(1/'Smart Search'!H13,0),0)</f>
        <v/>
      </c>
      <c r="X208" s="64">
        <f>IF('Smart Search'!C13=1,IFERROR(1/'Smart Search'!H13,0),0)</f>
        <v/>
      </c>
      <c r="Y208" s="64">
        <f>IF('Smart Search'!C13=1,IFERROR(1/'Smart Search'!H13,0),0)</f>
        <v/>
      </c>
      <c r="Z208" s="64">
        <f>IF('Smart Search'!D13=1,IFERROR(1/'Smart Search'!H13,0),0)</f>
        <v/>
      </c>
      <c r="AA208" s="64">
        <f>IF('Smart Search'!D13=1,IFERROR(1/'Smart Search'!H13,0),0)</f>
        <v/>
      </c>
      <c r="AB208" s="64">
        <f>IF('Smart Search'!E13=1,IFERROR(1/'Smart Search'!H13,0),0)</f>
        <v/>
      </c>
      <c r="AC208" s="64">
        <f>IF('Smart Search'!E13=1,IFERROR(1/'Smart Search'!H13,0),0)</f>
        <v/>
      </c>
      <c r="AD208" s="64">
        <f>IF('Smart Search'!F13=1,IFERROR(1/'Smart Search'!H13,0),0)</f>
        <v/>
      </c>
      <c r="AE208" s="64">
        <f>IF('Smart Search'!F13=1,IFERROR(1/'Smart Search'!H13,0),0)</f>
        <v/>
      </c>
      <c r="AF208" s="64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4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4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4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4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4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4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4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4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4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4">
        <f>AF208*V208</f>
        <v/>
      </c>
      <c r="AQ208" s="64">
        <f>AG208*W208</f>
        <v/>
      </c>
      <c r="AR208" s="64">
        <f>AH208*X208</f>
        <v/>
      </c>
      <c r="AS208" s="64">
        <f>AI208*Y208</f>
        <v/>
      </c>
      <c r="AT208" s="64">
        <f>AJ208*Z208</f>
        <v/>
      </c>
      <c r="AU208" s="64">
        <f>AK208*AA208</f>
        <v/>
      </c>
      <c r="AV208" s="64">
        <f>AL208*AB208</f>
        <v/>
      </c>
      <c r="AW208" s="64">
        <f>AM208*AC208</f>
        <v/>
      </c>
      <c r="AX208" s="64">
        <f>AN208*AD208</f>
        <v/>
      </c>
      <c r="AY208" s="64">
        <f>AO208*AE208</f>
        <v/>
      </c>
      <c r="AZ208" s="64">
        <f>INDEX(Projects[Automation Equipment],207)&amp;""</f>
        <v/>
      </c>
      <c r="BA208" s="64">
        <f>IF(OR(A208="",'Smart Search'!H13=0),"",MAX(0,BE208*BF208*MAX(0,1-BG208)))</f>
        <v/>
      </c>
      <c r="BB208" s="64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4">
        <f>IF('Smart Search'!G13=1,IFERROR(1/'Smart Search'!H13,0),0)</f>
        <v/>
      </c>
      <c r="BD208" s="64">
        <f>BB208*BC208</f>
        <v/>
      </c>
      <c r="BE208" s="64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IF(A208="","",N(INDEX(Projects[Act Mech Inst],207)))</f>
        <v/>
      </c>
      <c r="BK208" s="5">
        <f>IF(A208="","",N(INDEX(Projects[Act Elec Inst],207)))</f>
        <v/>
      </c>
      <c r="BL208" s="5">
        <f>IF(A208="","",N(INDEX(Projects[Act Project Management],207)))</f>
        <v/>
      </c>
      <c r="BM208" s="5">
        <f>IF(A208="","",N(INDEX(Projects[Act Systems Eng],207)))</f>
        <v/>
      </c>
      <c r="BN208" s="5">
        <f>IF(A208="","",N(INDEX(Projects[Act Mechanical Eng],207)))</f>
        <v/>
      </c>
      <c r="BO208" s="5">
        <f>IF(A208="","",N(INDEX(Projects[Act Structural Engineering],207)))</f>
        <v/>
      </c>
      <c r="BP208" s="5">
        <f>IF(A208="","",N(INDEX(Projects[Act Site Sup],207)))</f>
        <v/>
      </c>
      <c r="BQ208" s="5">
        <f>IF(A208="","",N(INDEX(Projects[Act Controls Commissioning],207)))</f>
        <v/>
      </c>
      <c r="BR208" s="5">
        <f>IF(A208="","",N(INDEX(Projects[Act Systems Commissioning],207)))</f>
        <v/>
      </c>
      <c r="BS208" s="5">
        <f>IF(A208="","",N(INDEX(Projects[Act Service Commissioning],207)))</f>
        <v/>
      </c>
      <c r="BT208" s="5">
        <f>IF(A208="","",N(INDEX(Projects[Act Controls Eng],207)))</f>
        <v/>
      </c>
      <c r="BU208" s="5">
        <f>IF(A208="","",N(INDEX(Projects[Act Controls Purchase],207)))</f>
        <v/>
      </c>
      <c r="BV208" s="5">
        <f>IF(A208="","",N(INDEX(Projects[Act Software Eng],207)))</f>
        <v/>
      </c>
      <c r="BW208" s="5">
        <f>IF(A208="","",N(INDEX(Projects[Act 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INDEX(Projects[Sold Value (USD M)],207)</f>
        <v/>
      </c>
      <c r="CE208" s="5" t="n"/>
      <c r="CF208" s="5">
        <f>IF(A208="","",N(INDEX(Projects[Est Mech Inst],207)))</f>
        <v/>
      </c>
      <c r="CG208" s="5">
        <f>IF(A208="","",N(INDEX(Projects[Est Elec Inst],207)))</f>
        <v/>
      </c>
      <c r="CH208" s="5">
        <f>IF(A208="","",N(INDEX(Projects[Est Project Management],207)))</f>
        <v/>
      </c>
      <c r="CI208" s="5">
        <f>IF(A208="","",N(INDEX(Projects[Est Systems Eng],207)))</f>
        <v/>
      </c>
      <c r="CJ208" s="5">
        <f>IF(A208="","",N(INDEX(Projects[Est Mechanical Eng],207)))</f>
        <v/>
      </c>
      <c r="CK208" s="5">
        <f>IF(A208="","",N(INDEX(Projects[Est Structural Engineering],207)))</f>
        <v/>
      </c>
      <c r="CL208" s="5">
        <f>IF(A208="","",N(INDEX(Projects[Est Site Sup],207)))</f>
        <v/>
      </c>
      <c r="CM208" s="5">
        <f>IF(A208="","",N(INDEX(Projects[Est Controls Commissioning],207)))</f>
        <v/>
      </c>
      <c r="CN208" s="5">
        <f>IF(A208="","",N(INDEX(Projects[Est Systems Commissioning],207)))</f>
        <v/>
      </c>
      <c r="CO208" s="5">
        <f>IF(A208="","",N(INDEX(Projects[Est Service Commissioning],207)))</f>
        <v/>
      </c>
      <c r="CP208" s="5">
        <f>IF(A208="","",N(INDEX(Projects[Est Controls Eng],207)))</f>
        <v/>
      </c>
      <c r="CQ208" s="5">
        <f>IF(A208="","",N(INDEX(Projects[Est Controls Purchase],207)))</f>
        <v/>
      </c>
      <c r="CR208" s="5">
        <f>IF(A208="","",N(INDEX(Projects[Est Software Eng],207)))</f>
        <v/>
      </c>
      <c r="CS208" s="5">
        <f>IF(A208="","",N(INDEX(Projects[Est Misc],207)))</f>
        <v/>
      </c>
      <c r="CT208" s="5">
        <f>IF(A208="","",SUM(CF208:CS208))</f>
        <v/>
      </c>
      <c r="CU208" s="5">
        <f>INDEX(Projects[Est Cost (M)],207)</f>
        <v/>
      </c>
      <c r="CV208" s="5">
        <f>INDEX(Projects[Act Cost (M)],207)</f>
        <v/>
      </c>
      <c r="CW208" s="5">
        <f>INDEX(Projects[Plan Mech Eng (wks)],207)</f>
        <v/>
      </c>
      <c r="CX208" s="5">
        <f>INDEX(Projects[Plan Controls Eng (wks)],207)</f>
        <v/>
      </c>
      <c r="CY208" s="5">
        <f>INDEX(Projects[Plan Systems Eng (wks)],207)</f>
        <v/>
      </c>
      <c r="CZ208" s="5">
        <f>INDEX(Projects[Plan Software Eng (wks)],207)</f>
        <v/>
      </c>
      <c r="DA208" s="5">
        <f>INDEX(Projects[Plan M&amp;E Installation (wks)],207)</f>
        <v/>
      </c>
      <c r="DB208" s="5">
        <f>INDEX(Projects[Plan Commissioning (wks)],207)</f>
        <v/>
      </c>
      <c r="DC208" s="5">
        <f>INDEX(Projects[Plan Total (wks)],207)</f>
        <v/>
      </c>
      <c r="DD208" s="5">
        <f>INDEX(Projects[Act Mech Eng (wks)],207)</f>
        <v/>
      </c>
      <c r="DE208" s="5">
        <f>INDEX(Projects[Act Controls Eng (wks)],207)</f>
        <v/>
      </c>
      <c r="DF208" s="5">
        <f>INDEX(Projects[Act Systems Eng (wks)],207)</f>
        <v/>
      </c>
      <c r="DG208" s="5">
        <f>INDEX(Projects[Act Software Eng (wks)],207)</f>
        <v/>
      </c>
      <c r="DH208" s="5">
        <f>INDEX(Projects[Act M&amp;E Installation (wks)],207)</f>
        <v/>
      </c>
      <c r="DI208" s="5">
        <f>INDEX(Projects[Act Commissioning (wks)],207)</f>
        <v/>
      </c>
      <c r="DJ208" s="5">
        <f>INDEX(Projects[Act Total (wks)],207)</f>
        <v/>
      </c>
    </row>
    <row r="209" ht="15" customHeight="1" s="82">
      <c r="A209" s="64">
        <f>INDEX(Projects[Project ID *],208)&amp;""</f>
        <v/>
      </c>
      <c r="B209" s="64">
        <f>INDEX(Projects[Project Name *],208)&amp;""</f>
        <v/>
      </c>
      <c r="C209" s="64">
        <f>INDEX(Projects[MS Shuttles],208)</f>
        <v/>
      </c>
      <c r="D209" s="64">
        <f>INDEX(Projects[MS Tote Locations],208)</f>
        <v/>
      </c>
      <c r="E209" s="64">
        <f>INDEX(Projects[AS Robots],208)</f>
        <v/>
      </c>
      <c r="F209" s="64">
        <f>INDEX(Projects[AS Tote Locations],208)</f>
        <v/>
      </c>
      <c r="G209" s="64">
        <f>INDEX(Projects[PS Shuttles],208)</f>
        <v/>
      </c>
      <c r="H209" s="64">
        <f>INDEX(Projects[PS Pallet Locations],208)</f>
        <v/>
      </c>
      <c r="I209" s="64">
        <f>INDEX(Projects[SRM Cranes],208)</f>
        <v/>
      </c>
      <c r="J209" s="64">
        <f>INDEX(Projects[SRM Pallet Locations],208)</f>
        <v/>
      </c>
      <c r="K209" s="64">
        <f>INDEX(Projects[Case Conv (m)],208)</f>
        <v/>
      </c>
      <c r="L209" s="64">
        <f>INDEX(Projects[Pallet Conv (m)],208)</f>
        <v/>
      </c>
      <c r="M209" s="64">
        <f>IF(N(DJ209)&gt;0,DD209,CW209)</f>
        <v/>
      </c>
      <c r="N209" s="64">
        <f>IF(N(DJ209)&gt;0,DE209,CX209)</f>
        <v/>
      </c>
      <c r="O209" s="64">
        <f>IF(N(DJ209)&gt;0,DF209,CY209)</f>
        <v/>
      </c>
      <c r="P209" s="64">
        <f>IF(N(DJ209)&gt;0,DG209,CZ209)</f>
        <v/>
      </c>
      <c r="Q209" s="64">
        <f>IF(N(DJ209)&gt;0,DH209,DA209)</f>
        <v/>
      </c>
      <c r="R209" s="64">
        <f>IF(N(DJ209)&gt;0,DI209,DB209)</f>
        <v/>
      </c>
      <c r="S209" s="64">
        <f>IF(N(DJ209)&gt;0,DJ209,DC209)</f>
        <v/>
      </c>
      <c r="T209" s="64">
        <f>INDEX(Projects[Currency],208)&amp;""</f>
        <v/>
      </c>
      <c r="U209" s="65">
        <f>INDEX(Projects[Sold Value (M)],208)</f>
        <v/>
      </c>
      <c r="V209" s="64">
        <f>IF('Smart Search'!B13=1,IFERROR(1/'Smart Search'!H13,0),0)</f>
        <v/>
      </c>
      <c r="W209" s="64">
        <f>IF('Smart Search'!B13=1,IFERROR(1/'Smart Search'!H13,0),0)</f>
        <v/>
      </c>
      <c r="X209" s="64">
        <f>IF('Smart Search'!C13=1,IFERROR(1/'Smart Search'!H13,0),0)</f>
        <v/>
      </c>
      <c r="Y209" s="64">
        <f>IF('Smart Search'!C13=1,IFERROR(1/'Smart Search'!H13,0),0)</f>
        <v/>
      </c>
      <c r="Z209" s="64">
        <f>IF('Smart Search'!D13=1,IFERROR(1/'Smart Search'!H13,0),0)</f>
        <v/>
      </c>
      <c r="AA209" s="64">
        <f>IF('Smart Search'!D13=1,IFERROR(1/'Smart Search'!H13,0),0)</f>
        <v/>
      </c>
      <c r="AB209" s="64">
        <f>IF('Smart Search'!E13=1,IFERROR(1/'Smart Search'!H13,0),0)</f>
        <v/>
      </c>
      <c r="AC209" s="64">
        <f>IF('Smart Search'!E13=1,IFERROR(1/'Smart Search'!H13,0),0)</f>
        <v/>
      </c>
      <c r="AD209" s="64">
        <f>IF('Smart Search'!F13=1,IFERROR(1/'Smart Search'!H13,0),0)</f>
        <v/>
      </c>
      <c r="AE209" s="64">
        <f>IF('Smart Search'!F13=1,IFERROR(1/'Smart Search'!H13,0),0)</f>
        <v/>
      </c>
      <c r="AF209" s="64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4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4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4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4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4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4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4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4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4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4">
        <f>AF209*V209</f>
        <v/>
      </c>
      <c r="AQ209" s="64">
        <f>AG209*W209</f>
        <v/>
      </c>
      <c r="AR209" s="64">
        <f>AH209*X209</f>
        <v/>
      </c>
      <c r="AS209" s="64">
        <f>AI209*Y209</f>
        <v/>
      </c>
      <c r="AT209" s="64">
        <f>AJ209*Z209</f>
        <v/>
      </c>
      <c r="AU209" s="64">
        <f>AK209*AA209</f>
        <v/>
      </c>
      <c r="AV209" s="64">
        <f>AL209*AB209</f>
        <v/>
      </c>
      <c r="AW209" s="64">
        <f>AM209*AC209</f>
        <v/>
      </c>
      <c r="AX209" s="64">
        <f>AN209*AD209</f>
        <v/>
      </c>
      <c r="AY209" s="64">
        <f>AO209*AE209</f>
        <v/>
      </c>
      <c r="AZ209" s="64">
        <f>INDEX(Projects[Automation Equipment],208)&amp;""</f>
        <v/>
      </c>
      <c r="BA209" s="64">
        <f>IF(OR(A209="",'Smart Search'!H13=0),"",MAX(0,BE209*BF209*MAX(0,1-BG209)))</f>
        <v/>
      </c>
      <c r="BB209" s="64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4">
        <f>IF('Smart Search'!G13=1,IFERROR(1/'Smart Search'!H13,0),0)</f>
        <v/>
      </c>
      <c r="BD209" s="64">
        <f>BB209*BC209</f>
        <v/>
      </c>
      <c r="BE209" s="64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IF(A209="","",N(INDEX(Projects[Act Mech Inst],208)))</f>
        <v/>
      </c>
      <c r="BK209" s="5">
        <f>IF(A209="","",N(INDEX(Projects[Act Elec Inst],208)))</f>
        <v/>
      </c>
      <c r="BL209" s="5">
        <f>IF(A209="","",N(INDEX(Projects[Act Project Management],208)))</f>
        <v/>
      </c>
      <c r="BM209" s="5">
        <f>IF(A209="","",N(INDEX(Projects[Act Systems Eng],208)))</f>
        <v/>
      </c>
      <c r="BN209" s="5">
        <f>IF(A209="","",N(INDEX(Projects[Act Mechanical Eng],208)))</f>
        <v/>
      </c>
      <c r="BO209" s="5">
        <f>IF(A209="","",N(INDEX(Projects[Act Structural Engineering],208)))</f>
        <v/>
      </c>
      <c r="BP209" s="5">
        <f>IF(A209="","",N(INDEX(Projects[Act Site Sup],208)))</f>
        <v/>
      </c>
      <c r="BQ209" s="5">
        <f>IF(A209="","",N(INDEX(Projects[Act Controls Commissioning],208)))</f>
        <v/>
      </c>
      <c r="BR209" s="5">
        <f>IF(A209="","",N(INDEX(Projects[Act Systems Commissioning],208)))</f>
        <v/>
      </c>
      <c r="BS209" s="5">
        <f>IF(A209="","",N(INDEX(Projects[Act Service Commissioning],208)))</f>
        <v/>
      </c>
      <c r="BT209" s="5">
        <f>IF(A209="","",N(INDEX(Projects[Act Controls Eng],208)))</f>
        <v/>
      </c>
      <c r="BU209" s="5">
        <f>IF(A209="","",N(INDEX(Projects[Act Controls Purchase],208)))</f>
        <v/>
      </c>
      <c r="BV209" s="5">
        <f>IF(A209="","",N(INDEX(Projects[Act Software Eng],208)))</f>
        <v/>
      </c>
      <c r="BW209" s="5">
        <f>IF(A209="","",N(INDEX(Projects[Act 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INDEX(Projects[Sold Value (USD M)],208)</f>
        <v/>
      </c>
      <c r="CE209" s="5" t="n"/>
      <c r="CF209" s="5">
        <f>IF(A209="","",N(INDEX(Projects[Est Mech Inst],208)))</f>
        <v/>
      </c>
      <c r="CG209" s="5">
        <f>IF(A209="","",N(INDEX(Projects[Est Elec Inst],208)))</f>
        <v/>
      </c>
      <c r="CH209" s="5">
        <f>IF(A209="","",N(INDEX(Projects[Est Project Management],208)))</f>
        <v/>
      </c>
      <c r="CI209" s="5">
        <f>IF(A209="","",N(INDEX(Projects[Est Systems Eng],208)))</f>
        <v/>
      </c>
      <c r="CJ209" s="5">
        <f>IF(A209="","",N(INDEX(Projects[Est Mechanical Eng],208)))</f>
        <v/>
      </c>
      <c r="CK209" s="5">
        <f>IF(A209="","",N(INDEX(Projects[Est Structural Engineering],208)))</f>
        <v/>
      </c>
      <c r="CL209" s="5">
        <f>IF(A209="","",N(INDEX(Projects[Est Site Sup],208)))</f>
        <v/>
      </c>
      <c r="CM209" s="5">
        <f>IF(A209="","",N(INDEX(Projects[Est Controls Commissioning],208)))</f>
        <v/>
      </c>
      <c r="CN209" s="5">
        <f>IF(A209="","",N(INDEX(Projects[Est Systems Commissioning],208)))</f>
        <v/>
      </c>
      <c r="CO209" s="5">
        <f>IF(A209="","",N(INDEX(Projects[Est Service Commissioning],208)))</f>
        <v/>
      </c>
      <c r="CP209" s="5">
        <f>IF(A209="","",N(INDEX(Projects[Est Controls Eng],208)))</f>
        <v/>
      </c>
      <c r="CQ209" s="5">
        <f>IF(A209="","",N(INDEX(Projects[Est Controls Purchase],208)))</f>
        <v/>
      </c>
      <c r="CR209" s="5">
        <f>IF(A209="","",N(INDEX(Projects[Est Software Eng],208)))</f>
        <v/>
      </c>
      <c r="CS209" s="5">
        <f>IF(A209="","",N(INDEX(Projects[Est Misc],208)))</f>
        <v/>
      </c>
      <c r="CT209" s="5">
        <f>IF(A209="","",SUM(CF209:CS209))</f>
        <v/>
      </c>
      <c r="CU209" s="5">
        <f>INDEX(Projects[Est Cost (M)],208)</f>
        <v/>
      </c>
      <c r="CV209" s="5">
        <f>INDEX(Projects[Act Cost (M)],208)</f>
        <v/>
      </c>
      <c r="CW209" s="5">
        <f>INDEX(Projects[Plan Mech Eng (wks)],208)</f>
        <v/>
      </c>
      <c r="CX209" s="5">
        <f>INDEX(Projects[Plan Controls Eng (wks)],208)</f>
        <v/>
      </c>
      <c r="CY209" s="5">
        <f>INDEX(Projects[Plan Systems Eng (wks)],208)</f>
        <v/>
      </c>
      <c r="CZ209" s="5">
        <f>INDEX(Projects[Plan Software Eng (wks)],208)</f>
        <v/>
      </c>
      <c r="DA209" s="5">
        <f>INDEX(Projects[Plan M&amp;E Installation (wks)],208)</f>
        <v/>
      </c>
      <c r="DB209" s="5">
        <f>INDEX(Projects[Plan Commissioning (wks)],208)</f>
        <v/>
      </c>
      <c r="DC209" s="5">
        <f>INDEX(Projects[Plan Total (wks)],208)</f>
        <v/>
      </c>
      <c r="DD209" s="5">
        <f>INDEX(Projects[Act Mech Eng (wks)],208)</f>
        <v/>
      </c>
      <c r="DE209" s="5">
        <f>INDEX(Projects[Act Controls Eng (wks)],208)</f>
        <v/>
      </c>
      <c r="DF209" s="5">
        <f>INDEX(Projects[Act Systems Eng (wks)],208)</f>
        <v/>
      </c>
      <c r="DG209" s="5">
        <f>INDEX(Projects[Act Software Eng (wks)],208)</f>
        <v/>
      </c>
      <c r="DH209" s="5">
        <f>INDEX(Projects[Act M&amp;E Installation (wks)],208)</f>
        <v/>
      </c>
      <c r="DI209" s="5">
        <f>INDEX(Projects[Act Commissioning (wks)],208)</f>
        <v/>
      </c>
      <c r="DJ209" s="5">
        <f>INDEX(Projects[Act Total (wks)],208)</f>
        <v/>
      </c>
    </row>
    <row r="210" ht="15" customHeight="1" s="82">
      <c r="A210" s="64">
        <f>INDEX(Projects[Project ID *],209)&amp;""</f>
        <v/>
      </c>
      <c r="B210" s="64">
        <f>INDEX(Projects[Project Name *],209)&amp;""</f>
        <v/>
      </c>
      <c r="C210" s="64">
        <f>INDEX(Projects[MS Shuttles],209)</f>
        <v/>
      </c>
      <c r="D210" s="64">
        <f>INDEX(Projects[MS Tote Locations],209)</f>
        <v/>
      </c>
      <c r="E210" s="64">
        <f>INDEX(Projects[AS Robots],209)</f>
        <v/>
      </c>
      <c r="F210" s="64">
        <f>INDEX(Projects[AS Tote Locations],209)</f>
        <v/>
      </c>
      <c r="G210" s="64">
        <f>INDEX(Projects[PS Shuttles],209)</f>
        <v/>
      </c>
      <c r="H210" s="64">
        <f>INDEX(Projects[PS Pallet Locations],209)</f>
        <v/>
      </c>
      <c r="I210" s="64">
        <f>INDEX(Projects[SRM Cranes],209)</f>
        <v/>
      </c>
      <c r="J210" s="64">
        <f>INDEX(Projects[SRM Pallet Locations],209)</f>
        <v/>
      </c>
      <c r="K210" s="64">
        <f>INDEX(Projects[Case Conv (m)],209)</f>
        <v/>
      </c>
      <c r="L210" s="64">
        <f>INDEX(Projects[Pallet Conv (m)],209)</f>
        <v/>
      </c>
      <c r="M210" s="64">
        <f>IF(N(DJ210)&gt;0,DD210,CW210)</f>
        <v/>
      </c>
      <c r="N210" s="64">
        <f>IF(N(DJ210)&gt;0,DE210,CX210)</f>
        <v/>
      </c>
      <c r="O210" s="64">
        <f>IF(N(DJ210)&gt;0,DF210,CY210)</f>
        <v/>
      </c>
      <c r="P210" s="64">
        <f>IF(N(DJ210)&gt;0,DG210,CZ210)</f>
        <v/>
      </c>
      <c r="Q210" s="64">
        <f>IF(N(DJ210)&gt;0,DH210,DA210)</f>
        <v/>
      </c>
      <c r="R210" s="64">
        <f>IF(N(DJ210)&gt;0,DI210,DB210)</f>
        <v/>
      </c>
      <c r="S210" s="64">
        <f>IF(N(DJ210)&gt;0,DJ210,DC210)</f>
        <v/>
      </c>
      <c r="T210" s="64">
        <f>INDEX(Projects[Currency],209)&amp;""</f>
        <v/>
      </c>
      <c r="U210" s="65">
        <f>INDEX(Projects[Sold Value (M)],209)</f>
        <v/>
      </c>
      <c r="V210" s="64">
        <f>IF('Smart Search'!B13=1,IFERROR(1/'Smart Search'!H13,0),0)</f>
        <v/>
      </c>
      <c r="W210" s="64">
        <f>IF('Smart Search'!B13=1,IFERROR(1/'Smart Search'!H13,0),0)</f>
        <v/>
      </c>
      <c r="X210" s="64">
        <f>IF('Smart Search'!C13=1,IFERROR(1/'Smart Search'!H13,0),0)</f>
        <v/>
      </c>
      <c r="Y210" s="64">
        <f>IF('Smart Search'!C13=1,IFERROR(1/'Smart Search'!H13,0),0)</f>
        <v/>
      </c>
      <c r="Z210" s="64">
        <f>IF('Smart Search'!D13=1,IFERROR(1/'Smart Search'!H13,0),0)</f>
        <v/>
      </c>
      <c r="AA210" s="64">
        <f>IF('Smart Search'!D13=1,IFERROR(1/'Smart Search'!H13,0),0)</f>
        <v/>
      </c>
      <c r="AB210" s="64">
        <f>IF('Smart Search'!E13=1,IFERROR(1/'Smart Search'!H13,0),0)</f>
        <v/>
      </c>
      <c r="AC210" s="64">
        <f>IF('Smart Search'!E13=1,IFERROR(1/'Smart Search'!H13,0),0)</f>
        <v/>
      </c>
      <c r="AD210" s="64">
        <f>IF('Smart Search'!F13=1,IFERROR(1/'Smart Search'!H13,0),0)</f>
        <v/>
      </c>
      <c r="AE210" s="64">
        <f>IF('Smart Search'!F13=1,IFERROR(1/'Smart Search'!H13,0),0)</f>
        <v/>
      </c>
      <c r="AF210" s="64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4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4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4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4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4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4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4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4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4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4">
        <f>AF210*V210</f>
        <v/>
      </c>
      <c r="AQ210" s="64">
        <f>AG210*W210</f>
        <v/>
      </c>
      <c r="AR210" s="64">
        <f>AH210*X210</f>
        <v/>
      </c>
      <c r="AS210" s="64">
        <f>AI210*Y210</f>
        <v/>
      </c>
      <c r="AT210" s="64">
        <f>AJ210*Z210</f>
        <v/>
      </c>
      <c r="AU210" s="64">
        <f>AK210*AA210</f>
        <v/>
      </c>
      <c r="AV210" s="64">
        <f>AL210*AB210</f>
        <v/>
      </c>
      <c r="AW210" s="64">
        <f>AM210*AC210</f>
        <v/>
      </c>
      <c r="AX210" s="64">
        <f>AN210*AD210</f>
        <v/>
      </c>
      <c r="AY210" s="64">
        <f>AO210*AE210</f>
        <v/>
      </c>
      <c r="AZ210" s="64">
        <f>INDEX(Projects[Automation Equipment],209)&amp;""</f>
        <v/>
      </c>
      <c r="BA210" s="64">
        <f>IF(OR(A210="",'Smart Search'!H13=0),"",MAX(0,BE210*BF210*MAX(0,1-BG210)))</f>
        <v/>
      </c>
      <c r="BB210" s="64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4">
        <f>IF('Smart Search'!G13=1,IFERROR(1/'Smart Search'!H13,0),0)</f>
        <v/>
      </c>
      <c r="BD210" s="64">
        <f>BB210*BC210</f>
        <v/>
      </c>
      <c r="BE210" s="64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IF(A210="","",N(INDEX(Projects[Act Mech Inst],209)))</f>
        <v/>
      </c>
      <c r="BK210" s="5">
        <f>IF(A210="","",N(INDEX(Projects[Act Elec Inst],209)))</f>
        <v/>
      </c>
      <c r="BL210" s="5">
        <f>IF(A210="","",N(INDEX(Projects[Act Project Management],209)))</f>
        <v/>
      </c>
      <c r="BM210" s="5">
        <f>IF(A210="","",N(INDEX(Projects[Act Systems Eng],209)))</f>
        <v/>
      </c>
      <c r="BN210" s="5">
        <f>IF(A210="","",N(INDEX(Projects[Act Mechanical Eng],209)))</f>
        <v/>
      </c>
      <c r="BO210" s="5">
        <f>IF(A210="","",N(INDEX(Projects[Act Structural Engineering],209)))</f>
        <v/>
      </c>
      <c r="BP210" s="5">
        <f>IF(A210="","",N(INDEX(Projects[Act Site Sup],209)))</f>
        <v/>
      </c>
      <c r="BQ210" s="5">
        <f>IF(A210="","",N(INDEX(Projects[Act Controls Commissioning],209)))</f>
        <v/>
      </c>
      <c r="BR210" s="5">
        <f>IF(A210="","",N(INDEX(Projects[Act Systems Commissioning],209)))</f>
        <v/>
      </c>
      <c r="BS210" s="5">
        <f>IF(A210="","",N(INDEX(Projects[Act Service Commissioning],209)))</f>
        <v/>
      </c>
      <c r="BT210" s="5">
        <f>IF(A210="","",N(INDEX(Projects[Act Controls Eng],209)))</f>
        <v/>
      </c>
      <c r="BU210" s="5">
        <f>IF(A210="","",N(INDEX(Projects[Act Controls Purchase],209)))</f>
        <v/>
      </c>
      <c r="BV210" s="5">
        <f>IF(A210="","",N(INDEX(Projects[Act Software Eng],209)))</f>
        <v/>
      </c>
      <c r="BW210" s="5">
        <f>IF(A210="","",N(INDEX(Projects[Act 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INDEX(Projects[Sold Value (USD M)],209)</f>
        <v/>
      </c>
      <c r="CE210" s="5" t="n"/>
      <c r="CF210" s="5">
        <f>IF(A210="","",N(INDEX(Projects[Est Mech Inst],209)))</f>
        <v/>
      </c>
      <c r="CG210" s="5">
        <f>IF(A210="","",N(INDEX(Projects[Est Elec Inst],209)))</f>
        <v/>
      </c>
      <c r="CH210" s="5">
        <f>IF(A210="","",N(INDEX(Projects[Est Project Management],209)))</f>
        <v/>
      </c>
      <c r="CI210" s="5">
        <f>IF(A210="","",N(INDEX(Projects[Est Systems Eng],209)))</f>
        <v/>
      </c>
      <c r="CJ210" s="5">
        <f>IF(A210="","",N(INDEX(Projects[Est Mechanical Eng],209)))</f>
        <v/>
      </c>
      <c r="CK210" s="5">
        <f>IF(A210="","",N(INDEX(Projects[Est Structural Engineering],209)))</f>
        <v/>
      </c>
      <c r="CL210" s="5">
        <f>IF(A210="","",N(INDEX(Projects[Est Site Sup],209)))</f>
        <v/>
      </c>
      <c r="CM210" s="5">
        <f>IF(A210="","",N(INDEX(Projects[Est Controls Commissioning],209)))</f>
        <v/>
      </c>
      <c r="CN210" s="5">
        <f>IF(A210="","",N(INDEX(Projects[Est Systems Commissioning],209)))</f>
        <v/>
      </c>
      <c r="CO210" s="5">
        <f>IF(A210="","",N(INDEX(Projects[Est Service Commissioning],209)))</f>
        <v/>
      </c>
      <c r="CP210" s="5">
        <f>IF(A210="","",N(INDEX(Projects[Est Controls Eng],209)))</f>
        <v/>
      </c>
      <c r="CQ210" s="5">
        <f>IF(A210="","",N(INDEX(Projects[Est Controls Purchase],209)))</f>
        <v/>
      </c>
      <c r="CR210" s="5">
        <f>IF(A210="","",N(INDEX(Projects[Est Software Eng],209)))</f>
        <v/>
      </c>
      <c r="CS210" s="5">
        <f>IF(A210="","",N(INDEX(Projects[Est Misc],209)))</f>
        <v/>
      </c>
      <c r="CT210" s="5">
        <f>IF(A210="","",SUM(CF210:CS210))</f>
        <v/>
      </c>
      <c r="CU210" s="5">
        <f>INDEX(Projects[Est Cost (M)],209)</f>
        <v/>
      </c>
      <c r="CV210" s="5">
        <f>INDEX(Projects[Act Cost (M)],209)</f>
        <v/>
      </c>
      <c r="CW210" s="5">
        <f>INDEX(Projects[Plan Mech Eng (wks)],209)</f>
        <v/>
      </c>
      <c r="CX210" s="5">
        <f>INDEX(Projects[Plan Controls Eng (wks)],209)</f>
        <v/>
      </c>
      <c r="CY210" s="5">
        <f>INDEX(Projects[Plan Systems Eng (wks)],209)</f>
        <v/>
      </c>
      <c r="CZ210" s="5">
        <f>INDEX(Projects[Plan Software Eng (wks)],209)</f>
        <v/>
      </c>
      <c r="DA210" s="5">
        <f>INDEX(Projects[Plan M&amp;E Installation (wks)],209)</f>
        <v/>
      </c>
      <c r="DB210" s="5">
        <f>INDEX(Projects[Plan Commissioning (wks)],209)</f>
        <v/>
      </c>
      <c r="DC210" s="5">
        <f>INDEX(Projects[Plan Total (wks)],209)</f>
        <v/>
      </c>
      <c r="DD210" s="5">
        <f>INDEX(Projects[Act Mech Eng (wks)],209)</f>
        <v/>
      </c>
      <c r="DE210" s="5">
        <f>INDEX(Projects[Act Controls Eng (wks)],209)</f>
        <v/>
      </c>
      <c r="DF210" s="5">
        <f>INDEX(Projects[Act Systems Eng (wks)],209)</f>
        <v/>
      </c>
      <c r="DG210" s="5">
        <f>INDEX(Projects[Act Software Eng (wks)],209)</f>
        <v/>
      </c>
      <c r="DH210" s="5">
        <f>INDEX(Projects[Act M&amp;E Installation (wks)],209)</f>
        <v/>
      </c>
      <c r="DI210" s="5">
        <f>INDEX(Projects[Act Commissioning (wks)],209)</f>
        <v/>
      </c>
      <c r="DJ210" s="5">
        <f>INDEX(Projects[Act Total (wks)],209)</f>
        <v/>
      </c>
    </row>
    <row r="211" ht="15" customHeight="1" s="82">
      <c r="A211" s="64">
        <f>INDEX(Projects[Project ID *],210)&amp;""</f>
        <v/>
      </c>
      <c r="B211" s="64">
        <f>INDEX(Projects[Project Name *],210)&amp;""</f>
        <v/>
      </c>
      <c r="C211" s="64">
        <f>INDEX(Projects[MS Shuttles],210)</f>
        <v/>
      </c>
      <c r="D211" s="64">
        <f>INDEX(Projects[MS Tote Locations],210)</f>
        <v/>
      </c>
      <c r="E211" s="64">
        <f>INDEX(Projects[AS Robots],210)</f>
        <v/>
      </c>
      <c r="F211" s="64">
        <f>INDEX(Projects[AS Tote Locations],210)</f>
        <v/>
      </c>
      <c r="G211" s="64">
        <f>INDEX(Projects[PS Shuttles],210)</f>
        <v/>
      </c>
      <c r="H211" s="64">
        <f>INDEX(Projects[PS Pallet Locations],210)</f>
        <v/>
      </c>
      <c r="I211" s="64">
        <f>INDEX(Projects[SRM Cranes],210)</f>
        <v/>
      </c>
      <c r="J211" s="64">
        <f>INDEX(Projects[SRM Pallet Locations],210)</f>
        <v/>
      </c>
      <c r="K211" s="64">
        <f>INDEX(Projects[Case Conv (m)],210)</f>
        <v/>
      </c>
      <c r="L211" s="64">
        <f>INDEX(Projects[Pallet Conv (m)],210)</f>
        <v/>
      </c>
      <c r="M211" s="64">
        <f>IF(N(DJ211)&gt;0,DD211,CW211)</f>
        <v/>
      </c>
      <c r="N211" s="64">
        <f>IF(N(DJ211)&gt;0,DE211,CX211)</f>
        <v/>
      </c>
      <c r="O211" s="64">
        <f>IF(N(DJ211)&gt;0,DF211,CY211)</f>
        <v/>
      </c>
      <c r="P211" s="64">
        <f>IF(N(DJ211)&gt;0,DG211,CZ211)</f>
        <v/>
      </c>
      <c r="Q211" s="64">
        <f>IF(N(DJ211)&gt;0,DH211,DA211)</f>
        <v/>
      </c>
      <c r="R211" s="64">
        <f>IF(N(DJ211)&gt;0,DI211,DB211)</f>
        <v/>
      </c>
      <c r="S211" s="64">
        <f>IF(N(DJ211)&gt;0,DJ211,DC211)</f>
        <v/>
      </c>
      <c r="T211" s="64">
        <f>INDEX(Projects[Currency],210)&amp;""</f>
        <v/>
      </c>
      <c r="U211" s="65">
        <f>INDEX(Projects[Sold Value (M)],210)</f>
        <v/>
      </c>
      <c r="V211" s="64">
        <f>IF('Smart Search'!B13=1,IFERROR(1/'Smart Search'!H13,0),0)</f>
        <v/>
      </c>
      <c r="W211" s="64">
        <f>IF('Smart Search'!B13=1,IFERROR(1/'Smart Search'!H13,0),0)</f>
        <v/>
      </c>
      <c r="X211" s="64">
        <f>IF('Smart Search'!C13=1,IFERROR(1/'Smart Search'!H13,0),0)</f>
        <v/>
      </c>
      <c r="Y211" s="64">
        <f>IF('Smart Search'!C13=1,IFERROR(1/'Smart Search'!H13,0),0)</f>
        <v/>
      </c>
      <c r="Z211" s="64">
        <f>IF('Smart Search'!D13=1,IFERROR(1/'Smart Search'!H13,0),0)</f>
        <v/>
      </c>
      <c r="AA211" s="64">
        <f>IF('Smart Search'!D13=1,IFERROR(1/'Smart Search'!H13,0),0)</f>
        <v/>
      </c>
      <c r="AB211" s="64">
        <f>IF('Smart Search'!E13=1,IFERROR(1/'Smart Search'!H13,0),0)</f>
        <v/>
      </c>
      <c r="AC211" s="64">
        <f>IF('Smart Search'!E13=1,IFERROR(1/'Smart Search'!H13,0),0)</f>
        <v/>
      </c>
      <c r="AD211" s="64">
        <f>IF('Smart Search'!F13=1,IFERROR(1/'Smart Search'!H13,0),0)</f>
        <v/>
      </c>
      <c r="AE211" s="64">
        <f>IF('Smart Search'!F13=1,IFERROR(1/'Smart Search'!H13,0),0)</f>
        <v/>
      </c>
      <c r="AF211" s="64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4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4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4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4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4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4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4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4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4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4">
        <f>AF211*V211</f>
        <v/>
      </c>
      <c r="AQ211" s="64">
        <f>AG211*W211</f>
        <v/>
      </c>
      <c r="AR211" s="64">
        <f>AH211*X211</f>
        <v/>
      </c>
      <c r="AS211" s="64">
        <f>AI211*Y211</f>
        <v/>
      </c>
      <c r="AT211" s="64">
        <f>AJ211*Z211</f>
        <v/>
      </c>
      <c r="AU211" s="64">
        <f>AK211*AA211</f>
        <v/>
      </c>
      <c r="AV211" s="64">
        <f>AL211*AB211</f>
        <v/>
      </c>
      <c r="AW211" s="64">
        <f>AM211*AC211</f>
        <v/>
      </c>
      <c r="AX211" s="64">
        <f>AN211*AD211</f>
        <v/>
      </c>
      <c r="AY211" s="64">
        <f>AO211*AE211</f>
        <v/>
      </c>
      <c r="AZ211" s="64">
        <f>INDEX(Projects[Automation Equipment],210)&amp;""</f>
        <v/>
      </c>
      <c r="BA211" s="64">
        <f>IF(OR(A211="",'Smart Search'!H13=0),"",MAX(0,BE211*BF211*MAX(0,1-BG211)))</f>
        <v/>
      </c>
      <c r="BB211" s="64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4">
        <f>IF('Smart Search'!G13=1,IFERROR(1/'Smart Search'!H13,0),0)</f>
        <v/>
      </c>
      <c r="BD211" s="64">
        <f>BB211*BC211</f>
        <v/>
      </c>
      <c r="BE211" s="64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IF(A211="","",N(INDEX(Projects[Act Mech Inst],210)))</f>
        <v/>
      </c>
      <c r="BK211" s="5">
        <f>IF(A211="","",N(INDEX(Projects[Act Elec Inst],210)))</f>
        <v/>
      </c>
      <c r="BL211" s="5">
        <f>IF(A211="","",N(INDEX(Projects[Act Project Management],210)))</f>
        <v/>
      </c>
      <c r="BM211" s="5">
        <f>IF(A211="","",N(INDEX(Projects[Act Systems Eng],210)))</f>
        <v/>
      </c>
      <c r="BN211" s="5">
        <f>IF(A211="","",N(INDEX(Projects[Act Mechanical Eng],210)))</f>
        <v/>
      </c>
      <c r="BO211" s="5">
        <f>IF(A211="","",N(INDEX(Projects[Act Structural Engineering],210)))</f>
        <v/>
      </c>
      <c r="BP211" s="5">
        <f>IF(A211="","",N(INDEX(Projects[Act Site Sup],210)))</f>
        <v/>
      </c>
      <c r="BQ211" s="5">
        <f>IF(A211="","",N(INDEX(Projects[Act Controls Commissioning],210)))</f>
        <v/>
      </c>
      <c r="BR211" s="5">
        <f>IF(A211="","",N(INDEX(Projects[Act Systems Commissioning],210)))</f>
        <v/>
      </c>
      <c r="BS211" s="5">
        <f>IF(A211="","",N(INDEX(Projects[Act Service Commissioning],210)))</f>
        <v/>
      </c>
      <c r="BT211" s="5">
        <f>IF(A211="","",N(INDEX(Projects[Act Controls Eng],210)))</f>
        <v/>
      </c>
      <c r="BU211" s="5">
        <f>IF(A211="","",N(INDEX(Projects[Act Controls Purchase],210)))</f>
        <v/>
      </c>
      <c r="BV211" s="5">
        <f>IF(A211="","",N(INDEX(Projects[Act Software Eng],210)))</f>
        <v/>
      </c>
      <c r="BW211" s="5">
        <f>IF(A211="","",N(INDEX(Projects[Act 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INDEX(Projects[Sold Value (USD M)],210)</f>
        <v/>
      </c>
      <c r="CE211" s="5" t="n"/>
      <c r="CF211" s="5">
        <f>IF(A211="","",N(INDEX(Projects[Est Mech Inst],210)))</f>
        <v/>
      </c>
      <c r="CG211" s="5">
        <f>IF(A211="","",N(INDEX(Projects[Est Elec Inst],210)))</f>
        <v/>
      </c>
      <c r="CH211" s="5">
        <f>IF(A211="","",N(INDEX(Projects[Est Project Management],210)))</f>
        <v/>
      </c>
      <c r="CI211" s="5">
        <f>IF(A211="","",N(INDEX(Projects[Est Systems Eng],210)))</f>
        <v/>
      </c>
      <c r="CJ211" s="5">
        <f>IF(A211="","",N(INDEX(Projects[Est Mechanical Eng],210)))</f>
        <v/>
      </c>
      <c r="CK211" s="5">
        <f>IF(A211="","",N(INDEX(Projects[Est Structural Engineering],210)))</f>
        <v/>
      </c>
      <c r="CL211" s="5">
        <f>IF(A211="","",N(INDEX(Projects[Est Site Sup],210)))</f>
        <v/>
      </c>
      <c r="CM211" s="5">
        <f>IF(A211="","",N(INDEX(Projects[Est Controls Commissioning],210)))</f>
        <v/>
      </c>
      <c r="CN211" s="5">
        <f>IF(A211="","",N(INDEX(Projects[Est Systems Commissioning],210)))</f>
        <v/>
      </c>
      <c r="CO211" s="5">
        <f>IF(A211="","",N(INDEX(Projects[Est Service Commissioning],210)))</f>
        <v/>
      </c>
      <c r="CP211" s="5">
        <f>IF(A211="","",N(INDEX(Projects[Est Controls Eng],210)))</f>
        <v/>
      </c>
      <c r="CQ211" s="5">
        <f>IF(A211="","",N(INDEX(Projects[Est Controls Purchase],210)))</f>
        <v/>
      </c>
      <c r="CR211" s="5">
        <f>IF(A211="","",N(INDEX(Projects[Est Software Eng],210)))</f>
        <v/>
      </c>
      <c r="CS211" s="5">
        <f>IF(A211="","",N(INDEX(Projects[Est Misc],210)))</f>
        <v/>
      </c>
      <c r="CT211" s="5">
        <f>IF(A211="","",SUM(CF211:CS211))</f>
        <v/>
      </c>
      <c r="CU211" s="5">
        <f>INDEX(Projects[Est Cost (M)],210)</f>
        <v/>
      </c>
      <c r="CV211" s="5">
        <f>INDEX(Projects[Act Cost (M)],210)</f>
        <v/>
      </c>
      <c r="CW211" s="5">
        <f>INDEX(Projects[Plan Mech Eng (wks)],210)</f>
        <v/>
      </c>
      <c r="CX211" s="5">
        <f>INDEX(Projects[Plan Controls Eng (wks)],210)</f>
        <v/>
      </c>
      <c r="CY211" s="5">
        <f>INDEX(Projects[Plan Systems Eng (wks)],210)</f>
        <v/>
      </c>
      <c r="CZ211" s="5">
        <f>INDEX(Projects[Plan Software Eng (wks)],210)</f>
        <v/>
      </c>
      <c r="DA211" s="5">
        <f>INDEX(Projects[Plan M&amp;E Installation (wks)],210)</f>
        <v/>
      </c>
      <c r="DB211" s="5">
        <f>INDEX(Projects[Plan Commissioning (wks)],210)</f>
        <v/>
      </c>
      <c r="DC211" s="5">
        <f>INDEX(Projects[Plan Total (wks)],210)</f>
        <v/>
      </c>
      <c r="DD211" s="5">
        <f>INDEX(Projects[Act Mech Eng (wks)],210)</f>
        <v/>
      </c>
      <c r="DE211" s="5">
        <f>INDEX(Projects[Act Controls Eng (wks)],210)</f>
        <v/>
      </c>
      <c r="DF211" s="5">
        <f>INDEX(Projects[Act Systems Eng (wks)],210)</f>
        <v/>
      </c>
      <c r="DG211" s="5">
        <f>INDEX(Projects[Act Software Eng (wks)],210)</f>
        <v/>
      </c>
      <c r="DH211" s="5">
        <f>INDEX(Projects[Act M&amp;E Installation (wks)],210)</f>
        <v/>
      </c>
      <c r="DI211" s="5">
        <f>INDEX(Projects[Act Commissioning (wks)],210)</f>
        <v/>
      </c>
      <c r="DJ211" s="5">
        <f>INDEX(Projects[Act Total (wks)],210)</f>
        <v/>
      </c>
    </row>
    <row r="212" ht="15" customHeight="1" s="82">
      <c r="A212" s="64">
        <f>INDEX(Projects[Project ID *],211)&amp;""</f>
        <v/>
      </c>
      <c r="B212" s="64">
        <f>INDEX(Projects[Project Name *],211)&amp;""</f>
        <v/>
      </c>
      <c r="C212" s="64">
        <f>INDEX(Projects[MS Shuttles],211)</f>
        <v/>
      </c>
      <c r="D212" s="64">
        <f>INDEX(Projects[MS Tote Locations],211)</f>
        <v/>
      </c>
      <c r="E212" s="64">
        <f>INDEX(Projects[AS Robots],211)</f>
        <v/>
      </c>
      <c r="F212" s="64">
        <f>INDEX(Projects[AS Tote Locations],211)</f>
        <v/>
      </c>
      <c r="G212" s="64">
        <f>INDEX(Projects[PS Shuttles],211)</f>
        <v/>
      </c>
      <c r="H212" s="64">
        <f>INDEX(Projects[PS Pallet Locations],211)</f>
        <v/>
      </c>
      <c r="I212" s="64">
        <f>INDEX(Projects[SRM Cranes],211)</f>
        <v/>
      </c>
      <c r="J212" s="64">
        <f>INDEX(Projects[SRM Pallet Locations],211)</f>
        <v/>
      </c>
      <c r="K212" s="64">
        <f>INDEX(Projects[Case Conv (m)],211)</f>
        <v/>
      </c>
      <c r="L212" s="64">
        <f>INDEX(Projects[Pallet Conv (m)],211)</f>
        <v/>
      </c>
      <c r="M212" s="64">
        <f>IF(N(DJ212)&gt;0,DD212,CW212)</f>
        <v/>
      </c>
      <c r="N212" s="64">
        <f>IF(N(DJ212)&gt;0,DE212,CX212)</f>
        <v/>
      </c>
      <c r="O212" s="64">
        <f>IF(N(DJ212)&gt;0,DF212,CY212)</f>
        <v/>
      </c>
      <c r="P212" s="64">
        <f>IF(N(DJ212)&gt;0,DG212,CZ212)</f>
        <v/>
      </c>
      <c r="Q212" s="64">
        <f>IF(N(DJ212)&gt;0,DH212,DA212)</f>
        <v/>
      </c>
      <c r="R212" s="64">
        <f>IF(N(DJ212)&gt;0,DI212,DB212)</f>
        <v/>
      </c>
      <c r="S212" s="64">
        <f>IF(N(DJ212)&gt;0,DJ212,DC212)</f>
        <v/>
      </c>
      <c r="T212" s="64">
        <f>INDEX(Projects[Currency],211)&amp;""</f>
        <v/>
      </c>
      <c r="U212" s="65">
        <f>INDEX(Projects[Sold Value (M)],211)</f>
        <v/>
      </c>
      <c r="V212" s="64">
        <f>IF('Smart Search'!B13=1,IFERROR(1/'Smart Search'!H13,0),0)</f>
        <v/>
      </c>
      <c r="W212" s="64">
        <f>IF('Smart Search'!B13=1,IFERROR(1/'Smart Search'!H13,0),0)</f>
        <v/>
      </c>
      <c r="X212" s="64">
        <f>IF('Smart Search'!C13=1,IFERROR(1/'Smart Search'!H13,0),0)</f>
        <v/>
      </c>
      <c r="Y212" s="64">
        <f>IF('Smart Search'!C13=1,IFERROR(1/'Smart Search'!H13,0),0)</f>
        <v/>
      </c>
      <c r="Z212" s="64">
        <f>IF('Smart Search'!D13=1,IFERROR(1/'Smart Search'!H13,0),0)</f>
        <v/>
      </c>
      <c r="AA212" s="64">
        <f>IF('Smart Search'!D13=1,IFERROR(1/'Smart Search'!H13,0),0)</f>
        <v/>
      </c>
      <c r="AB212" s="64">
        <f>IF('Smart Search'!E13=1,IFERROR(1/'Smart Search'!H13,0),0)</f>
        <v/>
      </c>
      <c r="AC212" s="64">
        <f>IF('Smart Search'!E13=1,IFERROR(1/'Smart Search'!H13,0),0)</f>
        <v/>
      </c>
      <c r="AD212" s="64">
        <f>IF('Smart Search'!F13=1,IFERROR(1/'Smart Search'!H13,0),0)</f>
        <v/>
      </c>
      <c r="AE212" s="64">
        <f>IF('Smart Search'!F13=1,IFERROR(1/'Smart Search'!H13,0),0)</f>
        <v/>
      </c>
      <c r="AF212" s="64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4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4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4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4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4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4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4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4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4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4">
        <f>AF212*V212</f>
        <v/>
      </c>
      <c r="AQ212" s="64">
        <f>AG212*W212</f>
        <v/>
      </c>
      <c r="AR212" s="64">
        <f>AH212*X212</f>
        <v/>
      </c>
      <c r="AS212" s="64">
        <f>AI212*Y212</f>
        <v/>
      </c>
      <c r="AT212" s="64">
        <f>AJ212*Z212</f>
        <v/>
      </c>
      <c r="AU212" s="64">
        <f>AK212*AA212</f>
        <v/>
      </c>
      <c r="AV212" s="64">
        <f>AL212*AB212</f>
        <v/>
      </c>
      <c r="AW212" s="64">
        <f>AM212*AC212</f>
        <v/>
      </c>
      <c r="AX212" s="64">
        <f>AN212*AD212</f>
        <v/>
      </c>
      <c r="AY212" s="64">
        <f>AO212*AE212</f>
        <v/>
      </c>
      <c r="AZ212" s="64">
        <f>INDEX(Projects[Automation Equipment],211)&amp;""</f>
        <v/>
      </c>
      <c r="BA212" s="64">
        <f>IF(OR(A212="",'Smart Search'!H13=0),"",MAX(0,BE212*BF212*MAX(0,1-BG212)))</f>
        <v/>
      </c>
      <c r="BB212" s="64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4">
        <f>IF('Smart Search'!G13=1,IFERROR(1/'Smart Search'!H13,0),0)</f>
        <v/>
      </c>
      <c r="BD212" s="64">
        <f>BB212*BC212</f>
        <v/>
      </c>
      <c r="BE212" s="64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IF(A212="","",N(INDEX(Projects[Act Mech Inst],211)))</f>
        <v/>
      </c>
      <c r="BK212" s="5">
        <f>IF(A212="","",N(INDEX(Projects[Act Elec Inst],211)))</f>
        <v/>
      </c>
      <c r="BL212" s="5">
        <f>IF(A212="","",N(INDEX(Projects[Act Project Management],211)))</f>
        <v/>
      </c>
      <c r="BM212" s="5">
        <f>IF(A212="","",N(INDEX(Projects[Act Systems Eng],211)))</f>
        <v/>
      </c>
      <c r="BN212" s="5">
        <f>IF(A212="","",N(INDEX(Projects[Act Mechanical Eng],211)))</f>
        <v/>
      </c>
      <c r="BO212" s="5">
        <f>IF(A212="","",N(INDEX(Projects[Act Structural Engineering],211)))</f>
        <v/>
      </c>
      <c r="BP212" s="5">
        <f>IF(A212="","",N(INDEX(Projects[Act Site Sup],211)))</f>
        <v/>
      </c>
      <c r="BQ212" s="5">
        <f>IF(A212="","",N(INDEX(Projects[Act Controls Commissioning],211)))</f>
        <v/>
      </c>
      <c r="BR212" s="5">
        <f>IF(A212="","",N(INDEX(Projects[Act Systems Commissioning],211)))</f>
        <v/>
      </c>
      <c r="BS212" s="5">
        <f>IF(A212="","",N(INDEX(Projects[Act Service Commissioning],211)))</f>
        <v/>
      </c>
      <c r="BT212" s="5">
        <f>IF(A212="","",N(INDEX(Projects[Act Controls Eng],211)))</f>
        <v/>
      </c>
      <c r="BU212" s="5">
        <f>IF(A212="","",N(INDEX(Projects[Act Controls Purchase],211)))</f>
        <v/>
      </c>
      <c r="BV212" s="5">
        <f>IF(A212="","",N(INDEX(Projects[Act Software Eng],211)))</f>
        <v/>
      </c>
      <c r="BW212" s="5">
        <f>IF(A212="","",N(INDEX(Projects[Act 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INDEX(Projects[Sold Value (USD M)],211)</f>
        <v/>
      </c>
      <c r="CE212" s="5" t="n"/>
      <c r="CF212" s="5">
        <f>IF(A212="","",N(INDEX(Projects[Est Mech Inst],211)))</f>
        <v/>
      </c>
      <c r="CG212" s="5">
        <f>IF(A212="","",N(INDEX(Projects[Est Elec Inst],211)))</f>
        <v/>
      </c>
      <c r="CH212" s="5">
        <f>IF(A212="","",N(INDEX(Projects[Est Project Management],211)))</f>
        <v/>
      </c>
      <c r="CI212" s="5">
        <f>IF(A212="","",N(INDEX(Projects[Est Systems Eng],211)))</f>
        <v/>
      </c>
      <c r="CJ212" s="5">
        <f>IF(A212="","",N(INDEX(Projects[Est Mechanical Eng],211)))</f>
        <v/>
      </c>
      <c r="CK212" s="5">
        <f>IF(A212="","",N(INDEX(Projects[Est Structural Engineering],211)))</f>
        <v/>
      </c>
      <c r="CL212" s="5">
        <f>IF(A212="","",N(INDEX(Projects[Est Site Sup],211)))</f>
        <v/>
      </c>
      <c r="CM212" s="5">
        <f>IF(A212="","",N(INDEX(Projects[Est Controls Commissioning],211)))</f>
        <v/>
      </c>
      <c r="CN212" s="5">
        <f>IF(A212="","",N(INDEX(Projects[Est Systems Commissioning],211)))</f>
        <v/>
      </c>
      <c r="CO212" s="5">
        <f>IF(A212="","",N(INDEX(Projects[Est Service Commissioning],211)))</f>
        <v/>
      </c>
      <c r="CP212" s="5">
        <f>IF(A212="","",N(INDEX(Projects[Est Controls Eng],211)))</f>
        <v/>
      </c>
      <c r="CQ212" s="5">
        <f>IF(A212="","",N(INDEX(Projects[Est Controls Purchase],211)))</f>
        <v/>
      </c>
      <c r="CR212" s="5">
        <f>IF(A212="","",N(INDEX(Projects[Est Software Eng],211)))</f>
        <v/>
      </c>
      <c r="CS212" s="5">
        <f>IF(A212="","",N(INDEX(Projects[Est Misc],211)))</f>
        <v/>
      </c>
      <c r="CT212" s="5">
        <f>IF(A212="","",SUM(CF212:CS212))</f>
        <v/>
      </c>
      <c r="CU212" s="5">
        <f>INDEX(Projects[Est Cost (M)],211)</f>
        <v/>
      </c>
      <c r="CV212" s="5">
        <f>INDEX(Projects[Act Cost (M)],211)</f>
        <v/>
      </c>
      <c r="CW212" s="5">
        <f>INDEX(Projects[Plan Mech Eng (wks)],211)</f>
        <v/>
      </c>
      <c r="CX212" s="5">
        <f>INDEX(Projects[Plan Controls Eng (wks)],211)</f>
        <v/>
      </c>
      <c r="CY212" s="5">
        <f>INDEX(Projects[Plan Systems Eng (wks)],211)</f>
        <v/>
      </c>
      <c r="CZ212" s="5">
        <f>INDEX(Projects[Plan Software Eng (wks)],211)</f>
        <v/>
      </c>
      <c r="DA212" s="5">
        <f>INDEX(Projects[Plan M&amp;E Installation (wks)],211)</f>
        <v/>
      </c>
      <c r="DB212" s="5">
        <f>INDEX(Projects[Plan Commissioning (wks)],211)</f>
        <v/>
      </c>
      <c r="DC212" s="5">
        <f>INDEX(Projects[Plan Total (wks)],211)</f>
        <v/>
      </c>
      <c r="DD212" s="5">
        <f>INDEX(Projects[Act Mech Eng (wks)],211)</f>
        <v/>
      </c>
      <c r="DE212" s="5">
        <f>INDEX(Projects[Act Controls Eng (wks)],211)</f>
        <v/>
      </c>
      <c r="DF212" s="5">
        <f>INDEX(Projects[Act Systems Eng (wks)],211)</f>
        <v/>
      </c>
      <c r="DG212" s="5">
        <f>INDEX(Projects[Act Software Eng (wks)],211)</f>
        <v/>
      </c>
      <c r="DH212" s="5">
        <f>INDEX(Projects[Act M&amp;E Installation (wks)],211)</f>
        <v/>
      </c>
      <c r="DI212" s="5">
        <f>INDEX(Projects[Act Commissioning (wks)],211)</f>
        <v/>
      </c>
      <c r="DJ212" s="5">
        <f>INDEX(Projects[Act Total (wks)],211)</f>
        <v/>
      </c>
    </row>
    <row r="213" ht="15" customHeight="1" s="82">
      <c r="A213" s="64">
        <f>INDEX(Projects[Project ID *],212)&amp;""</f>
        <v/>
      </c>
      <c r="B213" s="64">
        <f>INDEX(Projects[Project Name *],212)&amp;""</f>
        <v/>
      </c>
      <c r="C213" s="64">
        <f>INDEX(Projects[MS Shuttles],212)</f>
        <v/>
      </c>
      <c r="D213" s="64">
        <f>INDEX(Projects[MS Tote Locations],212)</f>
        <v/>
      </c>
      <c r="E213" s="64">
        <f>INDEX(Projects[AS Robots],212)</f>
        <v/>
      </c>
      <c r="F213" s="64">
        <f>INDEX(Projects[AS Tote Locations],212)</f>
        <v/>
      </c>
      <c r="G213" s="64">
        <f>INDEX(Projects[PS Shuttles],212)</f>
        <v/>
      </c>
      <c r="H213" s="64">
        <f>INDEX(Projects[PS Pallet Locations],212)</f>
        <v/>
      </c>
      <c r="I213" s="64">
        <f>INDEX(Projects[SRM Cranes],212)</f>
        <v/>
      </c>
      <c r="J213" s="64">
        <f>INDEX(Projects[SRM Pallet Locations],212)</f>
        <v/>
      </c>
      <c r="K213" s="64">
        <f>INDEX(Projects[Case Conv (m)],212)</f>
        <v/>
      </c>
      <c r="L213" s="64">
        <f>INDEX(Projects[Pallet Conv (m)],212)</f>
        <v/>
      </c>
      <c r="M213" s="64">
        <f>IF(N(DJ213)&gt;0,DD213,CW213)</f>
        <v/>
      </c>
      <c r="N213" s="64">
        <f>IF(N(DJ213)&gt;0,DE213,CX213)</f>
        <v/>
      </c>
      <c r="O213" s="64">
        <f>IF(N(DJ213)&gt;0,DF213,CY213)</f>
        <v/>
      </c>
      <c r="P213" s="64">
        <f>IF(N(DJ213)&gt;0,DG213,CZ213)</f>
        <v/>
      </c>
      <c r="Q213" s="64">
        <f>IF(N(DJ213)&gt;0,DH213,DA213)</f>
        <v/>
      </c>
      <c r="R213" s="64">
        <f>IF(N(DJ213)&gt;0,DI213,DB213)</f>
        <v/>
      </c>
      <c r="S213" s="64">
        <f>IF(N(DJ213)&gt;0,DJ213,DC213)</f>
        <v/>
      </c>
      <c r="T213" s="64">
        <f>INDEX(Projects[Currency],212)&amp;""</f>
        <v/>
      </c>
      <c r="U213" s="65">
        <f>INDEX(Projects[Sold Value (M)],212)</f>
        <v/>
      </c>
      <c r="V213" s="64">
        <f>IF('Smart Search'!B13=1,IFERROR(1/'Smart Search'!H13,0),0)</f>
        <v/>
      </c>
      <c r="W213" s="64">
        <f>IF('Smart Search'!B13=1,IFERROR(1/'Smart Search'!H13,0),0)</f>
        <v/>
      </c>
      <c r="X213" s="64">
        <f>IF('Smart Search'!C13=1,IFERROR(1/'Smart Search'!H13,0),0)</f>
        <v/>
      </c>
      <c r="Y213" s="64">
        <f>IF('Smart Search'!C13=1,IFERROR(1/'Smart Search'!H13,0),0)</f>
        <v/>
      </c>
      <c r="Z213" s="64">
        <f>IF('Smart Search'!D13=1,IFERROR(1/'Smart Search'!H13,0),0)</f>
        <v/>
      </c>
      <c r="AA213" s="64">
        <f>IF('Smart Search'!D13=1,IFERROR(1/'Smart Search'!H13,0),0)</f>
        <v/>
      </c>
      <c r="AB213" s="64">
        <f>IF('Smart Search'!E13=1,IFERROR(1/'Smart Search'!H13,0),0)</f>
        <v/>
      </c>
      <c r="AC213" s="64">
        <f>IF('Smart Search'!E13=1,IFERROR(1/'Smart Search'!H13,0),0)</f>
        <v/>
      </c>
      <c r="AD213" s="64">
        <f>IF('Smart Search'!F13=1,IFERROR(1/'Smart Search'!H13,0),0)</f>
        <v/>
      </c>
      <c r="AE213" s="64">
        <f>IF('Smart Search'!F13=1,IFERROR(1/'Smart Search'!H13,0),0)</f>
        <v/>
      </c>
      <c r="AF213" s="64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4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4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4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4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4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4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4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4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4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4">
        <f>AF213*V213</f>
        <v/>
      </c>
      <c r="AQ213" s="64">
        <f>AG213*W213</f>
        <v/>
      </c>
      <c r="AR213" s="64">
        <f>AH213*X213</f>
        <v/>
      </c>
      <c r="AS213" s="64">
        <f>AI213*Y213</f>
        <v/>
      </c>
      <c r="AT213" s="64">
        <f>AJ213*Z213</f>
        <v/>
      </c>
      <c r="AU213" s="64">
        <f>AK213*AA213</f>
        <v/>
      </c>
      <c r="AV213" s="64">
        <f>AL213*AB213</f>
        <v/>
      </c>
      <c r="AW213" s="64">
        <f>AM213*AC213</f>
        <v/>
      </c>
      <c r="AX213" s="64">
        <f>AN213*AD213</f>
        <v/>
      </c>
      <c r="AY213" s="64">
        <f>AO213*AE213</f>
        <v/>
      </c>
      <c r="AZ213" s="64">
        <f>INDEX(Projects[Automation Equipment],212)&amp;""</f>
        <v/>
      </c>
      <c r="BA213" s="64">
        <f>IF(OR(A213="",'Smart Search'!H13=0),"",MAX(0,BE213*BF213*MAX(0,1-BG213)))</f>
        <v/>
      </c>
      <c r="BB213" s="64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4">
        <f>IF('Smart Search'!G13=1,IFERROR(1/'Smart Search'!H13,0),0)</f>
        <v/>
      </c>
      <c r="BD213" s="64">
        <f>BB213*BC213</f>
        <v/>
      </c>
      <c r="BE213" s="64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IF(A213="","",N(INDEX(Projects[Act Mech Inst],212)))</f>
        <v/>
      </c>
      <c r="BK213" s="5">
        <f>IF(A213="","",N(INDEX(Projects[Act Elec Inst],212)))</f>
        <v/>
      </c>
      <c r="BL213" s="5">
        <f>IF(A213="","",N(INDEX(Projects[Act Project Management],212)))</f>
        <v/>
      </c>
      <c r="BM213" s="5">
        <f>IF(A213="","",N(INDEX(Projects[Act Systems Eng],212)))</f>
        <v/>
      </c>
      <c r="BN213" s="5">
        <f>IF(A213="","",N(INDEX(Projects[Act Mechanical Eng],212)))</f>
        <v/>
      </c>
      <c r="BO213" s="5">
        <f>IF(A213="","",N(INDEX(Projects[Act Structural Engineering],212)))</f>
        <v/>
      </c>
      <c r="BP213" s="5">
        <f>IF(A213="","",N(INDEX(Projects[Act Site Sup],212)))</f>
        <v/>
      </c>
      <c r="BQ213" s="5">
        <f>IF(A213="","",N(INDEX(Projects[Act Controls Commissioning],212)))</f>
        <v/>
      </c>
      <c r="BR213" s="5">
        <f>IF(A213="","",N(INDEX(Projects[Act Systems Commissioning],212)))</f>
        <v/>
      </c>
      <c r="BS213" s="5">
        <f>IF(A213="","",N(INDEX(Projects[Act Service Commissioning],212)))</f>
        <v/>
      </c>
      <c r="BT213" s="5">
        <f>IF(A213="","",N(INDEX(Projects[Act Controls Eng],212)))</f>
        <v/>
      </c>
      <c r="BU213" s="5">
        <f>IF(A213="","",N(INDEX(Projects[Act Controls Purchase],212)))</f>
        <v/>
      </c>
      <c r="BV213" s="5">
        <f>IF(A213="","",N(INDEX(Projects[Act Software Eng],212)))</f>
        <v/>
      </c>
      <c r="BW213" s="5">
        <f>IF(A213="","",N(INDEX(Projects[Act 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INDEX(Projects[Sold Value (USD M)],212)</f>
        <v/>
      </c>
      <c r="CE213" s="5" t="n"/>
      <c r="CF213" s="5">
        <f>IF(A213="","",N(INDEX(Projects[Est Mech Inst],212)))</f>
        <v/>
      </c>
      <c r="CG213" s="5">
        <f>IF(A213="","",N(INDEX(Projects[Est Elec Inst],212)))</f>
        <v/>
      </c>
      <c r="CH213" s="5">
        <f>IF(A213="","",N(INDEX(Projects[Est Project Management],212)))</f>
        <v/>
      </c>
      <c r="CI213" s="5">
        <f>IF(A213="","",N(INDEX(Projects[Est Systems Eng],212)))</f>
        <v/>
      </c>
      <c r="CJ213" s="5">
        <f>IF(A213="","",N(INDEX(Projects[Est Mechanical Eng],212)))</f>
        <v/>
      </c>
      <c r="CK213" s="5">
        <f>IF(A213="","",N(INDEX(Projects[Est Structural Engineering],212)))</f>
        <v/>
      </c>
      <c r="CL213" s="5">
        <f>IF(A213="","",N(INDEX(Projects[Est Site Sup],212)))</f>
        <v/>
      </c>
      <c r="CM213" s="5">
        <f>IF(A213="","",N(INDEX(Projects[Est Controls Commissioning],212)))</f>
        <v/>
      </c>
      <c r="CN213" s="5">
        <f>IF(A213="","",N(INDEX(Projects[Est Systems Commissioning],212)))</f>
        <v/>
      </c>
      <c r="CO213" s="5">
        <f>IF(A213="","",N(INDEX(Projects[Est Service Commissioning],212)))</f>
        <v/>
      </c>
      <c r="CP213" s="5">
        <f>IF(A213="","",N(INDEX(Projects[Est Controls Eng],212)))</f>
        <v/>
      </c>
      <c r="CQ213" s="5">
        <f>IF(A213="","",N(INDEX(Projects[Est Controls Purchase],212)))</f>
        <v/>
      </c>
      <c r="CR213" s="5">
        <f>IF(A213="","",N(INDEX(Projects[Est Software Eng],212)))</f>
        <v/>
      </c>
      <c r="CS213" s="5">
        <f>IF(A213="","",N(INDEX(Projects[Est Misc],212)))</f>
        <v/>
      </c>
      <c r="CT213" s="5">
        <f>IF(A213="","",SUM(CF213:CS213))</f>
        <v/>
      </c>
      <c r="CU213" s="5">
        <f>INDEX(Projects[Est Cost (M)],212)</f>
        <v/>
      </c>
      <c r="CV213" s="5">
        <f>INDEX(Projects[Act Cost (M)],212)</f>
        <v/>
      </c>
      <c r="CW213" s="5">
        <f>INDEX(Projects[Plan Mech Eng (wks)],212)</f>
        <v/>
      </c>
      <c r="CX213" s="5">
        <f>INDEX(Projects[Plan Controls Eng (wks)],212)</f>
        <v/>
      </c>
      <c r="CY213" s="5">
        <f>INDEX(Projects[Plan Systems Eng (wks)],212)</f>
        <v/>
      </c>
      <c r="CZ213" s="5">
        <f>INDEX(Projects[Plan Software Eng (wks)],212)</f>
        <v/>
      </c>
      <c r="DA213" s="5">
        <f>INDEX(Projects[Plan M&amp;E Installation (wks)],212)</f>
        <v/>
      </c>
      <c r="DB213" s="5">
        <f>INDEX(Projects[Plan Commissioning (wks)],212)</f>
        <v/>
      </c>
      <c r="DC213" s="5">
        <f>INDEX(Projects[Plan Total (wks)],212)</f>
        <v/>
      </c>
      <c r="DD213" s="5">
        <f>INDEX(Projects[Act Mech Eng (wks)],212)</f>
        <v/>
      </c>
      <c r="DE213" s="5">
        <f>INDEX(Projects[Act Controls Eng (wks)],212)</f>
        <v/>
      </c>
      <c r="DF213" s="5">
        <f>INDEX(Projects[Act Systems Eng (wks)],212)</f>
        <v/>
      </c>
      <c r="DG213" s="5">
        <f>INDEX(Projects[Act Software Eng (wks)],212)</f>
        <v/>
      </c>
      <c r="DH213" s="5">
        <f>INDEX(Projects[Act M&amp;E Installation (wks)],212)</f>
        <v/>
      </c>
      <c r="DI213" s="5">
        <f>INDEX(Projects[Act Commissioning (wks)],212)</f>
        <v/>
      </c>
      <c r="DJ213" s="5">
        <f>INDEX(Projects[Act Total (wks)],212)</f>
        <v/>
      </c>
    </row>
    <row r="214" ht="15" customHeight="1" s="82">
      <c r="A214" s="64">
        <f>INDEX(Projects[Project ID *],213)&amp;""</f>
        <v/>
      </c>
      <c r="B214" s="64">
        <f>INDEX(Projects[Project Name *],213)&amp;""</f>
        <v/>
      </c>
      <c r="C214" s="64">
        <f>INDEX(Projects[MS Shuttles],213)</f>
        <v/>
      </c>
      <c r="D214" s="64">
        <f>INDEX(Projects[MS Tote Locations],213)</f>
        <v/>
      </c>
      <c r="E214" s="64">
        <f>INDEX(Projects[AS Robots],213)</f>
        <v/>
      </c>
      <c r="F214" s="64">
        <f>INDEX(Projects[AS Tote Locations],213)</f>
        <v/>
      </c>
      <c r="G214" s="64">
        <f>INDEX(Projects[PS Shuttles],213)</f>
        <v/>
      </c>
      <c r="H214" s="64">
        <f>INDEX(Projects[PS Pallet Locations],213)</f>
        <v/>
      </c>
      <c r="I214" s="64">
        <f>INDEX(Projects[SRM Cranes],213)</f>
        <v/>
      </c>
      <c r="J214" s="64">
        <f>INDEX(Projects[SRM Pallet Locations],213)</f>
        <v/>
      </c>
      <c r="K214" s="64">
        <f>INDEX(Projects[Case Conv (m)],213)</f>
        <v/>
      </c>
      <c r="L214" s="64">
        <f>INDEX(Projects[Pallet Conv (m)],213)</f>
        <v/>
      </c>
      <c r="M214" s="64">
        <f>IF(N(DJ214)&gt;0,DD214,CW214)</f>
        <v/>
      </c>
      <c r="N214" s="64">
        <f>IF(N(DJ214)&gt;0,DE214,CX214)</f>
        <v/>
      </c>
      <c r="O214" s="64">
        <f>IF(N(DJ214)&gt;0,DF214,CY214)</f>
        <v/>
      </c>
      <c r="P214" s="64">
        <f>IF(N(DJ214)&gt;0,DG214,CZ214)</f>
        <v/>
      </c>
      <c r="Q214" s="64">
        <f>IF(N(DJ214)&gt;0,DH214,DA214)</f>
        <v/>
      </c>
      <c r="R214" s="64">
        <f>IF(N(DJ214)&gt;0,DI214,DB214)</f>
        <v/>
      </c>
      <c r="S214" s="64">
        <f>IF(N(DJ214)&gt;0,DJ214,DC214)</f>
        <v/>
      </c>
      <c r="T214" s="64">
        <f>INDEX(Projects[Currency],213)&amp;""</f>
        <v/>
      </c>
      <c r="U214" s="65">
        <f>INDEX(Projects[Sold Value (M)],213)</f>
        <v/>
      </c>
      <c r="V214" s="64">
        <f>IF('Smart Search'!B13=1,IFERROR(1/'Smart Search'!H13,0),0)</f>
        <v/>
      </c>
      <c r="W214" s="64">
        <f>IF('Smart Search'!B13=1,IFERROR(1/'Smart Search'!H13,0),0)</f>
        <v/>
      </c>
      <c r="X214" s="64">
        <f>IF('Smart Search'!C13=1,IFERROR(1/'Smart Search'!H13,0),0)</f>
        <v/>
      </c>
      <c r="Y214" s="64">
        <f>IF('Smart Search'!C13=1,IFERROR(1/'Smart Search'!H13,0),0)</f>
        <v/>
      </c>
      <c r="Z214" s="64">
        <f>IF('Smart Search'!D13=1,IFERROR(1/'Smart Search'!H13,0),0)</f>
        <v/>
      </c>
      <c r="AA214" s="64">
        <f>IF('Smart Search'!D13=1,IFERROR(1/'Smart Search'!H13,0),0)</f>
        <v/>
      </c>
      <c r="AB214" s="64">
        <f>IF('Smart Search'!E13=1,IFERROR(1/'Smart Search'!H13,0),0)</f>
        <v/>
      </c>
      <c r="AC214" s="64">
        <f>IF('Smart Search'!E13=1,IFERROR(1/'Smart Search'!H13,0),0)</f>
        <v/>
      </c>
      <c r="AD214" s="64">
        <f>IF('Smart Search'!F13=1,IFERROR(1/'Smart Search'!H13,0),0)</f>
        <v/>
      </c>
      <c r="AE214" s="64">
        <f>IF('Smart Search'!F13=1,IFERROR(1/'Smart Search'!H13,0),0)</f>
        <v/>
      </c>
      <c r="AF214" s="64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4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4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4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4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4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4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4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4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4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4">
        <f>AF214*V214</f>
        <v/>
      </c>
      <c r="AQ214" s="64">
        <f>AG214*W214</f>
        <v/>
      </c>
      <c r="AR214" s="64">
        <f>AH214*X214</f>
        <v/>
      </c>
      <c r="AS214" s="64">
        <f>AI214*Y214</f>
        <v/>
      </c>
      <c r="AT214" s="64">
        <f>AJ214*Z214</f>
        <v/>
      </c>
      <c r="AU214" s="64">
        <f>AK214*AA214</f>
        <v/>
      </c>
      <c r="AV214" s="64">
        <f>AL214*AB214</f>
        <v/>
      </c>
      <c r="AW214" s="64">
        <f>AM214*AC214</f>
        <v/>
      </c>
      <c r="AX214" s="64">
        <f>AN214*AD214</f>
        <v/>
      </c>
      <c r="AY214" s="64">
        <f>AO214*AE214</f>
        <v/>
      </c>
      <c r="AZ214" s="64">
        <f>INDEX(Projects[Automation Equipment],213)&amp;""</f>
        <v/>
      </c>
      <c r="BA214" s="64">
        <f>IF(OR(A214="",'Smart Search'!H13=0),"",MAX(0,BE214*BF214*MAX(0,1-BG214)))</f>
        <v/>
      </c>
      <c r="BB214" s="64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4">
        <f>IF('Smart Search'!G13=1,IFERROR(1/'Smart Search'!H13,0),0)</f>
        <v/>
      </c>
      <c r="BD214" s="64">
        <f>BB214*BC214</f>
        <v/>
      </c>
      <c r="BE214" s="64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IF(A214="","",N(INDEX(Projects[Act Mech Inst],213)))</f>
        <v/>
      </c>
      <c r="BK214" s="5">
        <f>IF(A214="","",N(INDEX(Projects[Act Elec Inst],213)))</f>
        <v/>
      </c>
      <c r="BL214" s="5">
        <f>IF(A214="","",N(INDEX(Projects[Act Project Management],213)))</f>
        <v/>
      </c>
      <c r="BM214" s="5">
        <f>IF(A214="","",N(INDEX(Projects[Act Systems Eng],213)))</f>
        <v/>
      </c>
      <c r="BN214" s="5">
        <f>IF(A214="","",N(INDEX(Projects[Act Mechanical Eng],213)))</f>
        <v/>
      </c>
      <c r="BO214" s="5">
        <f>IF(A214="","",N(INDEX(Projects[Act Structural Engineering],213)))</f>
        <v/>
      </c>
      <c r="BP214" s="5">
        <f>IF(A214="","",N(INDEX(Projects[Act Site Sup],213)))</f>
        <v/>
      </c>
      <c r="BQ214" s="5">
        <f>IF(A214="","",N(INDEX(Projects[Act Controls Commissioning],213)))</f>
        <v/>
      </c>
      <c r="BR214" s="5">
        <f>IF(A214="","",N(INDEX(Projects[Act Systems Commissioning],213)))</f>
        <v/>
      </c>
      <c r="BS214" s="5">
        <f>IF(A214="","",N(INDEX(Projects[Act Service Commissioning],213)))</f>
        <v/>
      </c>
      <c r="BT214" s="5">
        <f>IF(A214="","",N(INDEX(Projects[Act Controls Eng],213)))</f>
        <v/>
      </c>
      <c r="BU214" s="5">
        <f>IF(A214="","",N(INDEX(Projects[Act Controls Purchase],213)))</f>
        <v/>
      </c>
      <c r="BV214" s="5">
        <f>IF(A214="","",N(INDEX(Projects[Act Software Eng],213)))</f>
        <v/>
      </c>
      <c r="BW214" s="5">
        <f>IF(A214="","",N(INDEX(Projects[Act 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INDEX(Projects[Sold Value (USD M)],213)</f>
        <v/>
      </c>
      <c r="CE214" s="5" t="n"/>
      <c r="CF214" s="5">
        <f>IF(A214="","",N(INDEX(Projects[Est Mech Inst],213)))</f>
        <v/>
      </c>
      <c r="CG214" s="5">
        <f>IF(A214="","",N(INDEX(Projects[Est Elec Inst],213)))</f>
        <v/>
      </c>
      <c r="CH214" s="5">
        <f>IF(A214="","",N(INDEX(Projects[Est Project Management],213)))</f>
        <v/>
      </c>
      <c r="CI214" s="5">
        <f>IF(A214="","",N(INDEX(Projects[Est Systems Eng],213)))</f>
        <v/>
      </c>
      <c r="CJ214" s="5">
        <f>IF(A214="","",N(INDEX(Projects[Est Mechanical Eng],213)))</f>
        <v/>
      </c>
      <c r="CK214" s="5">
        <f>IF(A214="","",N(INDEX(Projects[Est Structural Engineering],213)))</f>
        <v/>
      </c>
      <c r="CL214" s="5">
        <f>IF(A214="","",N(INDEX(Projects[Est Site Sup],213)))</f>
        <v/>
      </c>
      <c r="CM214" s="5">
        <f>IF(A214="","",N(INDEX(Projects[Est Controls Commissioning],213)))</f>
        <v/>
      </c>
      <c r="CN214" s="5">
        <f>IF(A214="","",N(INDEX(Projects[Est Systems Commissioning],213)))</f>
        <v/>
      </c>
      <c r="CO214" s="5">
        <f>IF(A214="","",N(INDEX(Projects[Est Service Commissioning],213)))</f>
        <v/>
      </c>
      <c r="CP214" s="5">
        <f>IF(A214="","",N(INDEX(Projects[Est Controls Eng],213)))</f>
        <v/>
      </c>
      <c r="CQ214" s="5">
        <f>IF(A214="","",N(INDEX(Projects[Est Controls Purchase],213)))</f>
        <v/>
      </c>
      <c r="CR214" s="5">
        <f>IF(A214="","",N(INDEX(Projects[Est Software Eng],213)))</f>
        <v/>
      </c>
      <c r="CS214" s="5">
        <f>IF(A214="","",N(INDEX(Projects[Est Misc],213)))</f>
        <v/>
      </c>
      <c r="CT214" s="5">
        <f>IF(A214="","",SUM(CF214:CS214))</f>
        <v/>
      </c>
      <c r="CU214" s="5">
        <f>INDEX(Projects[Est Cost (M)],213)</f>
        <v/>
      </c>
      <c r="CV214" s="5">
        <f>INDEX(Projects[Act Cost (M)],213)</f>
        <v/>
      </c>
      <c r="CW214" s="5">
        <f>INDEX(Projects[Plan Mech Eng (wks)],213)</f>
        <v/>
      </c>
      <c r="CX214" s="5">
        <f>INDEX(Projects[Plan Controls Eng (wks)],213)</f>
        <v/>
      </c>
      <c r="CY214" s="5">
        <f>INDEX(Projects[Plan Systems Eng (wks)],213)</f>
        <v/>
      </c>
      <c r="CZ214" s="5">
        <f>INDEX(Projects[Plan Software Eng (wks)],213)</f>
        <v/>
      </c>
      <c r="DA214" s="5">
        <f>INDEX(Projects[Plan M&amp;E Installation (wks)],213)</f>
        <v/>
      </c>
      <c r="DB214" s="5">
        <f>INDEX(Projects[Plan Commissioning (wks)],213)</f>
        <v/>
      </c>
      <c r="DC214" s="5">
        <f>INDEX(Projects[Plan Total (wks)],213)</f>
        <v/>
      </c>
      <c r="DD214" s="5">
        <f>INDEX(Projects[Act Mech Eng (wks)],213)</f>
        <v/>
      </c>
      <c r="DE214" s="5">
        <f>INDEX(Projects[Act Controls Eng (wks)],213)</f>
        <v/>
      </c>
      <c r="DF214" s="5">
        <f>INDEX(Projects[Act Systems Eng (wks)],213)</f>
        <v/>
      </c>
      <c r="DG214" s="5">
        <f>INDEX(Projects[Act Software Eng (wks)],213)</f>
        <v/>
      </c>
      <c r="DH214" s="5">
        <f>INDEX(Projects[Act M&amp;E Installation (wks)],213)</f>
        <v/>
      </c>
      <c r="DI214" s="5">
        <f>INDEX(Projects[Act Commissioning (wks)],213)</f>
        <v/>
      </c>
      <c r="DJ214" s="5">
        <f>INDEX(Projects[Act Total (wks)],213)</f>
        <v/>
      </c>
    </row>
    <row r="215" ht="15" customHeight="1" s="82">
      <c r="A215" s="64">
        <f>INDEX(Projects[Project ID *],214)&amp;""</f>
        <v/>
      </c>
      <c r="B215" s="64">
        <f>INDEX(Projects[Project Name *],214)&amp;""</f>
        <v/>
      </c>
      <c r="C215" s="64">
        <f>INDEX(Projects[MS Shuttles],214)</f>
        <v/>
      </c>
      <c r="D215" s="64">
        <f>INDEX(Projects[MS Tote Locations],214)</f>
        <v/>
      </c>
      <c r="E215" s="64">
        <f>INDEX(Projects[AS Robots],214)</f>
        <v/>
      </c>
      <c r="F215" s="64">
        <f>INDEX(Projects[AS Tote Locations],214)</f>
        <v/>
      </c>
      <c r="G215" s="64">
        <f>INDEX(Projects[PS Shuttles],214)</f>
        <v/>
      </c>
      <c r="H215" s="64">
        <f>INDEX(Projects[PS Pallet Locations],214)</f>
        <v/>
      </c>
      <c r="I215" s="64">
        <f>INDEX(Projects[SRM Cranes],214)</f>
        <v/>
      </c>
      <c r="J215" s="64">
        <f>INDEX(Projects[SRM Pallet Locations],214)</f>
        <v/>
      </c>
      <c r="K215" s="64">
        <f>INDEX(Projects[Case Conv (m)],214)</f>
        <v/>
      </c>
      <c r="L215" s="64">
        <f>INDEX(Projects[Pallet Conv (m)],214)</f>
        <v/>
      </c>
      <c r="M215" s="64">
        <f>IF(N(DJ215)&gt;0,DD215,CW215)</f>
        <v/>
      </c>
      <c r="N215" s="64">
        <f>IF(N(DJ215)&gt;0,DE215,CX215)</f>
        <v/>
      </c>
      <c r="O215" s="64">
        <f>IF(N(DJ215)&gt;0,DF215,CY215)</f>
        <v/>
      </c>
      <c r="P215" s="64">
        <f>IF(N(DJ215)&gt;0,DG215,CZ215)</f>
        <v/>
      </c>
      <c r="Q215" s="64">
        <f>IF(N(DJ215)&gt;0,DH215,DA215)</f>
        <v/>
      </c>
      <c r="R215" s="64">
        <f>IF(N(DJ215)&gt;0,DI215,DB215)</f>
        <v/>
      </c>
      <c r="S215" s="64">
        <f>IF(N(DJ215)&gt;0,DJ215,DC215)</f>
        <v/>
      </c>
      <c r="T215" s="64">
        <f>INDEX(Projects[Currency],214)&amp;""</f>
        <v/>
      </c>
      <c r="U215" s="65">
        <f>INDEX(Projects[Sold Value (M)],214)</f>
        <v/>
      </c>
      <c r="V215" s="64">
        <f>IF('Smart Search'!B13=1,IFERROR(1/'Smart Search'!H13,0),0)</f>
        <v/>
      </c>
      <c r="W215" s="64">
        <f>IF('Smart Search'!B13=1,IFERROR(1/'Smart Search'!H13,0),0)</f>
        <v/>
      </c>
      <c r="X215" s="64">
        <f>IF('Smart Search'!C13=1,IFERROR(1/'Smart Search'!H13,0),0)</f>
        <v/>
      </c>
      <c r="Y215" s="64">
        <f>IF('Smart Search'!C13=1,IFERROR(1/'Smart Search'!H13,0),0)</f>
        <v/>
      </c>
      <c r="Z215" s="64">
        <f>IF('Smart Search'!D13=1,IFERROR(1/'Smart Search'!H13,0),0)</f>
        <v/>
      </c>
      <c r="AA215" s="64">
        <f>IF('Smart Search'!D13=1,IFERROR(1/'Smart Search'!H13,0),0)</f>
        <v/>
      </c>
      <c r="AB215" s="64">
        <f>IF('Smart Search'!E13=1,IFERROR(1/'Smart Search'!H13,0),0)</f>
        <v/>
      </c>
      <c r="AC215" s="64">
        <f>IF('Smart Search'!E13=1,IFERROR(1/'Smart Search'!H13,0),0)</f>
        <v/>
      </c>
      <c r="AD215" s="64">
        <f>IF('Smart Search'!F13=1,IFERROR(1/'Smart Search'!H13,0),0)</f>
        <v/>
      </c>
      <c r="AE215" s="64">
        <f>IF('Smart Search'!F13=1,IFERROR(1/'Smart Search'!H13,0),0)</f>
        <v/>
      </c>
      <c r="AF215" s="64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4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4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4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4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4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4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4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4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4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4">
        <f>AF215*V215</f>
        <v/>
      </c>
      <c r="AQ215" s="64">
        <f>AG215*W215</f>
        <v/>
      </c>
      <c r="AR215" s="64">
        <f>AH215*X215</f>
        <v/>
      </c>
      <c r="AS215" s="64">
        <f>AI215*Y215</f>
        <v/>
      </c>
      <c r="AT215" s="64">
        <f>AJ215*Z215</f>
        <v/>
      </c>
      <c r="AU215" s="64">
        <f>AK215*AA215</f>
        <v/>
      </c>
      <c r="AV215" s="64">
        <f>AL215*AB215</f>
        <v/>
      </c>
      <c r="AW215" s="64">
        <f>AM215*AC215</f>
        <v/>
      </c>
      <c r="AX215" s="64">
        <f>AN215*AD215</f>
        <v/>
      </c>
      <c r="AY215" s="64">
        <f>AO215*AE215</f>
        <v/>
      </c>
      <c r="AZ215" s="64">
        <f>INDEX(Projects[Automation Equipment],214)&amp;""</f>
        <v/>
      </c>
      <c r="BA215" s="64">
        <f>IF(OR(A215="",'Smart Search'!H13=0),"",MAX(0,BE215*BF215*MAX(0,1-BG215)))</f>
        <v/>
      </c>
      <c r="BB215" s="64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4">
        <f>IF('Smart Search'!G13=1,IFERROR(1/'Smart Search'!H13,0),0)</f>
        <v/>
      </c>
      <c r="BD215" s="64">
        <f>BB215*BC215</f>
        <v/>
      </c>
      <c r="BE215" s="64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IF(A215="","",N(INDEX(Projects[Act Mech Inst],214)))</f>
        <v/>
      </c>
      <c r="BK215" s="5">
        <f>IF(A215="","",N(INDEX(Projects[Act Elec Inst],214)))</f>
        <v/>
      </c>
      <c r="BL215" s="5">
        <f>IF(A215="","",N(INDEX(Projects[Act Project Management],214)))</f>
        <v/>
      </c>
      <c r="BM215" s="5">
        <f>IF(A215="","",N(INDEX(Projects[Act Systems Eng],214)))</f>
        <v/>
      </c>
      <c r="BN215" s="5">
        <f>IF(A215="","",N(INDEX(Projects[Act Mechanical Eng],214)))</f>
        <v/>
      </c>
      <c r="BO215" s="5">
        <f>IF(A215="","",N(INDEX(Projects[Act Structural Engineering],214)))</f>
        <v/>
      </c>
      <c r="BP215" s="5">
        <f>IF(A215="","",N(INDEX(Projects[Act Site Sup],214)))</f>
        <v/>
      </c>
      <c r="BQ215" s="5">
        <f>IF(A215="","",N(INDEX(Projects[Act Controls Commissioning],214)))</f>
        <v/>
      </c>
      <c r="BR215" s="5">
        <f>IF(A215="","",N(INDEX(Projects[Act Systems Commissioning],214)))</f>
        <v/>
      </c>
      <c r="BS215" s="5">
        <f>IF(A215="","",N(INDEX(Projects[Act Service Commissioning],214)))</f>
        <v/>
      </c>
      <c r="BT215" s="5">
        <f>IF(A215="","",N(INDEX(Projects[Act Controls Eng],214)))</f>
        <v/>
      </c>
      <c r="BU215" s="5">
        <f>IF(A215="","",N(INDEX(Projects[Act Controls Purchase],214)))</f>
        <v/>
      </c>
      <c r="BV215" s="5">
        <f>IF(A215="","",N(INDEX(Projects[Act Software Eng],214)))</f>
        <v/>
      </c>
      <c r="BW215" s="5">
        <f>IF(A215="","",N(INDEX(Projects[Act 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INDEX(Projects[Sold Value (USD M)],214)</f>
        <v/>
      </c>
      <c r="CE215" s="5" t="n"/>
      <c r="CF215" s="5">
        <f>IF(A215="","",N(INDEX(Projects[Est Mech Inst],214)))</f>
        <v/>
      </c>
      <c r="CG215" s="5">
        <f>IF(A215="","",N(INDEX(Projects[Est Elec Inst],214)))</f>
        <v/>
      </c>
      <c r="CH215" s="5">
        <f>IF(A215="","",N(INDEX(Projects[Est Project Management],214)))</f>
        <v/>
      </c>
      <c r="CI215" s="5">
        <f>IF(A215="","",N(INDEX(Projects[Est Systems Eng],214)))</f>
        <v/>
      </c>
      <c r="CJ215" s="5">
        <f>IF(A215="","",N(INDEX(Projects[Est Mechanical Eng],214)))</f>
        <v/>
      </c>
      <c r="CK215" s="5">
        <f>IF(A215="","",N(INDEX(Projects[Est Structural Engineering],214)))</f>
        <v/>
      </c>
      <c r="CL215" s="5">
        <f>IF(A215="","",N(INDEX(Projects[Est Site Sup],214)))</f>
        <v/>
      </c>
      <c r="CM215" s="5">
        <f>IF(A215="","",N(INDEX(Projects[Est Controls Commissioning],214)))</f>
        <v/>
      </c>
      <c r="CN215" s="5">
        <f>IF(A215="","",N(INDEX(Projects[Est Systems Commissioning],214)))</f>
        <v/>
      </c>
      <c r="CO215" s="5">
        <f>IF(A215="","",N(INDEX(Projects[Est Service Commissioning],214)))</f>
        <v/>
      </c>
      <c r="CP215" s="5">
        <f>IF(A215="","",N(INDEX(Projects[Est Controls Eng],214)))</f>
        <v/>
      </c>
      <c r="CQ215" s="5">
        <f>IF(A215="","",N(INDEX(Projects[Est Controls Purchase],214)))</f>
        <v/>
      </c>
      <c r="CR215" s="5">
        <f>IF(A215="","",N(INDEX(Projects[Est Software Eng],214)))</f>
        <v/>
      </c>
      <c r="CS215" s="5">
        <f>IF(A215="","",N(INDEX(Projects[Est Misc],214)))</f>
        <v/>
      </c>
      <c r="CT215" s="5">
        <f>IF(A215="","",SUM(CF215:CS215))</f>
        <v/>
      </c>
      <c r="CU215" s="5">
        <f>INDEX(Projects[Est Cost (M)],214)</f>
        <v/>
      </c>
      <c r="CV215" s="5">
        <f>INDEX(Projects[Act Cost (M)],214)</f>
        <v/>
      </c>
      <c r="CW215" s="5">
        <f>INDEX(Projects[Plan Mech Eng (wks)],214)</f>
        <v/>
      </c>
      <c r="CX215" s="5">
        <f>INDEX(Projects[Plan Controls Eng (wks)],214)</f>
        <v/>
      </c>
      <c r="CY215" s="5">
        <f>INDEX(Projects[Plan Systems Eng (wks)],214)</f>
        <v/>
      </c>
      <c r="CZ215" s="5">
        <f>INDEX(Projects[Plan Software Eng (wks)],214)</f>
        <v/>
      </c>
      <c r="DA215" s="5">
        <f>INDEX(Projects[Plan M&amp;E Installation (wks)],214)</f>
        <v/>
      </c>
      <c r="DB215" s="5">
        <f>INDEX(Projects[Plan Commissioning (wks)],214)</f>
        <v/>
      </c>
      <c r="DC215" s="5">
        <f>INDEX(Projects[Plan Total (wks)],214)</f>
        <v/>
      </c>
      <c r="DD215" s="5">
        <f>INDEX(Projects[Act Mech Eng (wks)],214)</f>
        <v/>
      </c>
      <c r="DE215" s="5">
        <f>INDEX(Projects[Act Controls Eng (wks)],214)</f>
        <v/>
      </c>
      <c r="DF215" s="5">
        <f>INDEX(Projects[Act Systems Eng (wks)],214)</f>
        <v/>
      </c>
      <c r="DG215" s="5">
        <f>INDEX(Projects[Act Software Eng (wks)],214)</f>
        <v/>
      </c>
      <c r="DH215" s="5">
        <f>INDEX(Projects[Act M&amp;E Installation (wks)],214)</f>
        <v/>
      </c>
      <c r="DI215" s="5">
        <f>INDEX(Projects[Act Commissioning (wks)],214)</f>
        <v/>
      </c>
      <c r="DJ215" s="5">
        <f>INDEX(Projects[Act Total (wks)],214)</f>
        <v/>
      </c>
    </row>
    <row r="216" ht="15" customHeight="1" s="82">
      <c r="A216" s="64">
        <f>INDEX(Projects[Project ID *],215)&amp;""</f>
        <v/>
      </c>
      <c r="B216" s="64">
        <f>INDEX(Projects[Project Name *],215)&amp;""</f>
        <v/>
      </c>
      <c r="C216" s="64">
        <f>INDEX(Projects[MS Shuttles],215)</f>
        <v/>
      </c>
      <c r="D216" s="64">
        <f>INDEX(Projects[MS Tote Locations],215)</f>
        <v/>
      </c>
      <c r="E216" s="64">
        <f>INDEX(Projects[AS Robots],215)</f>
        <v/>
      </c>
      <c r="F216" s="64">
        <f>INDEX(Projects[AS Tote Locations],215)</f>
        <v/>
      </c>
      <c r="G216" s="64">
        <f>INDEX(Projects[PS Shuttles],215)</f>
        <v/>
      </c>
      <c r="H216" s="64">
        <f>INDEX(Projects[PS Pallet Locations],215)</f>
        <v/>
      </c>
      <c r="I216" s="64">
        <f>INDEX(Projects[SRM Cranes],215)</f>
        <v/>
      </c>
      <c r="J216" s="64">
        <f>INDEX(Projects[SRM Pallet Locations],215)</f>
        <v/>
      </c>
      <c r="K216" s="64">
        <f>INDEX(Projects[Case Conv (m)],215)</f>
        <v/>
      </c>
      <c r="L216" s="64">
        <f>INDEX(Projects[Pallet Conv (m)],215)</f>
        <v/>
      </c>
      <c r="M216" s="64">
        <f>IF(N(DJ216)&gt;0,DD216,CW216)</f>
        <v/>
      </c>
      <c r="N216" s="64">
        <f>IF(N(DJ216)&gt;0,DE216,CX216)</f>
        <v/>
      </c>
      <c r="O216" s="64">
        <f>IF(N(DJ216)&gt;0,DF216,CY216)</f>
        <v/>
      </c>
      <c r="P216" s="64">
        <f>IF(N(DJ216)&gt;0,DG216,CZ216)</f>
        <v/>
      </c>
      <c r="Q216" s="64">
        <f>IF(N(DJ216)&gt;0,DH216,DA216)</f>
        <v/>
      </c>
      <c r="R216" s="64">
        <f>IF(N(DJ216)&gt;0,DI216,DB216)</f>
        <v/>
      </c>
      <c r="S216" s="64">
        <f>IF(N(DJ216)&gt;0,DJ216,DC216)</f>
        <v/>
      </c>
      <c r="T216" s="64">
        <f>INDEX(Projects[Currency],215)&amp;""</f>
        <v/>
      </c>
      <c r="U216" s="65">
        <f>INDEX(Projects[Sold Value (M)],215)</f>
        <v/>
      </c>
      <c r="V216" s="64">
        <f>IF('Smart Search'!B13=1,IFERROR(1/'Smart Search'!H13,0),0)</f>
        <v/>
      </c>
      <c r="W216" s="64">
        <f>IF('Smart Search'!B13=1,IFERROR(1/'Smart Search'!H13,0),0)</f>
        <v/>
      </c>
      <c r="X216" s="64">
        <f>IF('Smart Search'!C13=1,IFERROR(1/'Smart Search'!H13,0),0)</f>
        <v/>
      </c>
      <c r="Y216" s="64">
        <f>IF('Smart Search'!C13=1,IFERROR(1/'Smart Search'!H13,0),0)</f>
        <v/>
      </c>
      <c r="Z216" s="64">
        <f>IF('Smart Search'!D13=1,IFERROR(1/'Smart Search'!H13,0),0)</f>
        <v/>
      </c>
      <c r="AA216" s="64">
        <f>IF('Smart Search'!D13=1,IFERROR(1/'Smart Search'!H13,0),0)</f>
        <v/>
      </c>
      <c r="AB216" s="64">
        <f>IF('Smart Search'!E13=1,IFERROR(1/'Smart Search'!H13,0),0)</f>
        <v/>
      </c>
      <c r="AC216" s="64">
        <f>IF('Smart Search'!E13=1,IFERROR(1/'Smart Search'!H13,0),0)</f>
        <v/>
      </c>
      <c r="AD216" s="64">
        <f>IF('Smart Search'!F13=1,IFERROR(1/'Smart Search'!H13,0),0)</f>
        <v/>
      </c>
      <c r="AE216" s="64">
        <f>IF('Smart Search'!F13=1,IFERROR(1/'Smart Search'!H13,0),0)</f>
        <v/>
      </c>
      <c r="AF216" s="64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4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4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4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4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4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4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4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4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4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4">
        <f>AF216*V216</f>
        <v/>
      </c>
      <c r="AQ216" s="64">
        <f>AG216*W216</f>
        <v/>
      </c>
      <c r="AR216" s="64">
        <f>AH216*X216</f>
        <v/>
      </c>
      <c r="AS216" s="64">
        <f>AI216*Y216</f>
        <v/>
      </c>
      <c r="AT216" s="64">
        <f>AJ216*Z216</f>
        <v/>
      </c>
      <c r="AU216" s="64">
        <f>AK216*AA216</f>
        <v/>
      </c>
      <c r="AV216" s="64">
        <f>AL216*AB216</f>
        <v/>
      </c>
      <c r="AW216" s="64">
        <f>AM216*AC216</f>
        <v/>
      </c>
      <c r="AX216" s="64">
        <f>AN216*AD216</f>
        <v/>
      </c>
      <c r="AY216" s="64">
        <f>AO216*AE216</f>
        <v/>
      </c>
      <c r="AZ216" s="64">
        <f>INDEX(Projects[Automation Equipment],215)&amp;""</f>
        <v/>
      </c>
      <c r="BA216" s="64">
        <f>IF(OR(A216="",'Smart Search'!H13=0),"",MAX(0,BE216*BF216*MAX(0,1-BG216)))</f>
        <v/>
      </c>
      <c r="BB216" s="64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4">
        <f>IF('Smart Search'!G13=1,IFERROR(1/'Smart Search'!H13,0),0)</f>
        <v/>
      </c>
      <c r="BD216" s="64">
        <f>BB216*BC216</f>
        <v/>
      </c>
      <c r="BE216" s="64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IF(A216="","",N(INDEX(Projects[Act Mech Inst],215)))</f>
        <v/>
      </c>
      <c r="BK216" s="5">
        <f>IF(A216="","",N(INDEX(Projects[Act Elec Inst],215)))</f>
        <v/>
      </c>
      <c r="BL216" s="5">
        <f>IF(A216="","",N(INDEX(Projects[Act Project Management],215)))</f>
        <v/>
      </c>
      <c r="BM216" s="5">
        <f>IF(A216="","",N(INDEX(Projects[Act Systems Eng],215)))</f>
        <v/>
      </c>
      <c r="BN216" s="5">
        <f>IF(A216="","",N(INDEX(Projects[Act Mechanical Eng],215)))</f>
        <v/>
      </c>
      <c r="BO216" s="5">
        <f>IF(A216="","",N(INDEX(Projects[Act Structural Engineering],215)))</f>
        <v/>
      </c>
      <c r="BP216" s="5">
        <f>IF(A216="","",N(INDEX(Projects[Act Site Sup],215)))</f>
        <v/>
      </c>
      <c r="BQ216" s="5">
        <f>IF(A216="","",N(INDEX(Projects[Act Controls Commissioning],215)))</f>
        <v/>
      </c>
      <c r="BR216" s="5">
        <f>IF(A216="","",N(INDEX(Projects[Act Systems Commissioning],215)))</f>
        <v/>
      </c>
      <c r="BS216" s="5">
        <f>IF(A216="","",N(INDEX(Projects[Act Service Commissioning],215)))</f>
        <v/>
      </c>
      <c r="BT216" s="5">
        <f>IF(A216="","",N(INDEX(Projects[Act Controls Eng],215)))</f>
        <v/>
      </c>
      <c r="BU216" s="5">
        <f>IF(A216="","",N(INDEX(Projects[Act Controls Purchase],215)))</f>
        <v/>
      </c>
      <c r="BV216" s="5">
        <f>IF(A216="","",N(INDEX(Projects[Act Software Eng],215)))</f>
        <v/>
      </c>
      <c r="BW216" s="5">
        <f>IF(A216="","",N(INDEX(Projects[Act 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INDEX(Projects[Sold Value (USD M)],215)</f>
        <v/>
      </c>
      <c r="CE216" s="5" t="n"/>
      <c r="CF216" s="5">
        <f>IF(A216="","",N(INDEX(Projects[Est Mech Inst],215)))</f>
        <v/>
      </c>
      <c r="CG216" s="5">
        <f>IF(A216="","",N(INDEX(Projects[Est Elec Inst],215)))</f>
        <v/>
      </c>
      <c r="CH216" s="5">
        <f>IF(A216="","",N(INDEX(Projects[Est Project Management],215)))</f>
        <v/>
      </c>
      <c r="CI216" s="5">
        <f>IF(A216="","",N(INDEX(Projects[Est Systems Eng],215)))</f>
        <v/>
      </c>
      <c r="CJ216" s="5">
        <f>IF(A216="","",N(INDEX(Projects[Est Mechanical Eng],215)))</f>
        <v/>
      </c>
      <c r="CK216" s="5">
        <f>IF(A216="","",N(INDEX(Projects[Est Structural Engineering],215)))</f>
        <v/>
      </c>
      <c r="CL216" s="5">
        <f>IF(A216="","",N(INDEX(Projects[Est Site Sup],215)))</f>
        <v/>
      </c>
      <c r="CM216" s="5">
        <f>IF(A216="","",N(INDEX(Projects[Est Controls Commissioning],215)))</f>
        <v/>
      </c>
      <c r="CN216" s="5">
        <f>IF(A216="","",N(INDEX(Projects[Est Systems Commissioning],215)))</f>
        <v/>
      </c>
      <c r="CO216" s="5">
        <f>IF(A216="","",N(INDEX(Projects[Est Service Commissioning],215)))</f>
        <v/>
      </c>
      <c r="CP216" s="5">
        <f>IF(A216="","",N(INDEX(Projects[Est Controls Eng],215)))</f>
        <v/>
      </c>
      <c r="CQ216" s="5">
        <f>IF(A216="","",N(INDEX(Projects[Est Controls Purchase],215)))</f>
        <v/>
      </c>
      <c r="CR216" s="5">
        <f>IF(A216="","",N(INDEX(Projects[Est Software Eng],215)))</f>
        <v/>
      </c>
      <c r="CS216" s="5">
        <f>IF(A216="","",N(INDEX(Projects[Est Misc],215)))</f>
        <v/>
      </c>
      <c r="CT216" s="5">
        <f>IF(A216="","",SUM(CF216:CS216))</f>
        <v/>
      </c>
      <c r="CU216" s="5">
        <f>INDEX(Projects[Est Cost (M)],215)</f>
        <v/>
      </c>
      <c r="CV216" s="5">
        <f>INDEX(Projects[Act Cost (M)],215)</f>
        <v/>
      </c>
      <c r="CW216" s="5">
        <f>INDEX(Projects[Plan Mech Eng (wks)],215)</f>
        <v/>
      </c>
      <c r="CX216" s="5">
        <f>INDEX(Projects[Plan Controls Eng (wks)],215)</f>
        <v/>
      </c>
      <c r="CY216" s="5">
        <f>INDEX(Projects[Plan Systems Eng (wks)],215)</f>
        <v/>
      </c>
      <c r="CZ216" s="5">
        <f>INDEX(Projects[Plan Software Eng (wks)],215)</f>
        <v/>
      </c>
      <c r="DA216" s="5">
        <f>INDEX(Projects[Plan M&amp;E Installation (wks)],215)</f>
        <v/>
      </c>
      <c r="DB216" s="5">
        <f>INDEX(Projects[Plan Commissioning (wks)],215)</f>
        <v/>
      </c>
      <c r="DC216" s="5">
        <f>INDEX(Projects[Plan Total (wks)],215)</f>
        <v/>
      </c>
      <c r="DD216" s="5">
        <f>INDEX(Projects[Act Mech Eng (wks)],215)</f>
        <v/>
      </c>
      <c r="DE216" s="5">
        <f>INDEX(Projects[Act Controls Eng (wks)],215)</f>
        <v/>
      </c>
      <c r="DF216" s="5">
        <f>INDEX(Projects[Act Systems Eng (wks)],215)</f>
        <v/>
      </c>
      <c r="DG216" s="5">
        <f>INDEX(Projects[Act Software Eng (wks)],215)</f>
        <v/>
      </c>
      <c r="DH216" s="5">
        <f>INDEX(Projects[Act M&amp;E Installation (wks)],215)</f>
        <v/>
      </c>
      <c r="DI216" s="5">
        <f>INDEX(Projects[Act Commissioning (wks)],215)</f>
        <v/>
      </c>
      <c r="DJ216" s="5">
        <f>INDEX(Projects[Act Total (wks)],215)</f>
        <v/>
      </c>
    </row>
    <row r="217" ht="15" customHeight="1" s="82">
      <c r="A217" s="64">
        <f>INDEX(Projects[Project ID *],216)&amp;""</f>
        <v/>
      </c>
      <c r="B217" s="64">
        <f>INDEX(Projects[Project Name *],216)&amp;""</f>
        <v/>
      </c>
      <c r="C217" s="64">
        <f>INDEX(Projects[MS Shuttles],216)</f>
        <v/>
      </c>
      <c r="D217" s="64">
        <f>INDEX(Projects[MS Tote Locations],216)</f>
        <v/>
      </c>
      <c r="E217" s="64">
        <f>INDEX(Projects[AS Robots],216)</f>
        <v/>
      </c>
      <c r="F217" s="64">
        <f>INDEX(Projects[AS Tote Locations],216)</f>
        <v/>
      </c>
      <c r="G217" s="64">
        <f>INDEX(Projects[PS Shuttles],216)</f>
        <v/>
      </c>
      <c r="H217" s="64">
        <f>INDEX(Projects[PS Pallet Locations],216)</f>
        <v/>
      </c>
      <c r="I217" s="64">
        <f>INDEX(Projects[SRM Cranes],216)</f>
        <v/>
      </c>
      <c r="J217" s="64">
        <f>INDEX(Projects[SRM Pallet Locations],216)</f>
        <v/>
      </c>
      <c r="K217" s="64">
        <f>INDEX(Projects[Case Conv (m)],216)</f>
        <v/>
      </c>
      <c r="L217" s="64">
        <f>INDEX(Projects[Pallet Conv (m)],216)</f>
        <v/>
      </c>
      <c r="M217" s="64">
        <f>IF(N(DJ217)&gt;0,DD217,CW217)</f>
        <v/>
      </c>
      <c r="N217" s="64">
        <f>IF(N(DJ217)&gt;0,DE217,CX217)</f>
        <v/>
      </c>
      <c r="O217" s="64">
        <f>IF(N(DJ217)&gt;0,DF217,CY217)</f>
        <v/>
      </c>
      <c r="P217" s="64">
        <f>IF(N(DJ217)&gt;0,DG217,CZ217)</f>
        <v/>
      </c>
      <c r="Q217" s="64">
        <f>IF(N(DJ217)&gt;0,DH217,DA217)</f>
        <v/>
      </c>
      <c r="R217" s="64">
        <f>IF(N(DJ217)&gt;0,DI217,DB217)</f>
        <v/>
      </c>
      <c r="S217" s="64">
        <f>IF(N(DJ217)&gt;0,DJ217,DC217)</f>
        <v/>
      </c>
      <c r="T217" s="64">
        <f>INDEX(Projects[Currency],216)&amp;""</f>
        <v/>
      </c>
      <c r="U217" s="65">
        <f>INDEX(Projects[Sold Value (M)],216)</f>
        <v/>
      </c>
      <c r="V217" s="64">
        <f>IF('Smart Search'!B13=1,IFERROR(1/'Smart Search'!H13,0),0)</f>
        <v/>
      </c>
      <c r="W217" s="64">
        <f>IF('Smart Search'!B13=1,IFERROR(1/'Smart Search'!H13,0),0)</f>
        <v/>
      </c>
      <c r="X217" s="64">
        <f>IF('Smart Search'!C13=1,IFERROR(1/'Smart Search'!H13,0),0)</f>
        <v/>
      </c>
      <c r="Y217" s="64">
        <f>IF('Smart Search'!C13=1,IFERROR(1/'Smart Search'!H13,0),0)</f>
        <v/>
      </c>
      <c r="Z217" s="64">
        <f>IF('Smart Search'!D13=1,IFERROR(1/'Smart Search'!H13,0),0)</f>
        <v/>
      </c>
      <c r="AA217" s="64">
        <f>IF('Smart Search'!D13=1,IFERROR(1/'Smart Search'!H13,0),0)</f>
        <v/>
      </c>
      <c r="AB217" s="64">
        <f>IF('Smart Search'!E13=1,IFERROR(1/'Smart Search'!H13,0),0)</f>
        <v/>
      </c>
      <c r="AC217" s="64">
        <f>IF('Smart Search'!E13=1,IFERROR(1/'Smart Search'!H13,0),0)</f>
        <v/>
      </c>
      <c r="AD217" s="64">
        <f>IF('Smart Search'!F13=1,IFERROR(1/'Smart Search'!H13,0),0)</f>
        <v/>
      </c>
      <c r="AE217" s="64">
        <f>IF('Smart Search'!F13=1,IFERROR(1/'Smart Search'!H13,0),0)</f>
        <v/>
      </c>
      <c r="AF217" s="64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4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4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4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4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4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4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4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4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4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4">
        <f>AF217*V217</f>
        <v/>
      </c>
      <c r="AQ217" s="64">
        <f>AG217*W217</f>
        <v/>
      </c>
      <c r="AR217" s="64">
        <f>AH217*X217</f>
        <v/>
      </c>
      <c r="AS217" s="64">
        <f>AI217*Y217</f>
        <v/>
      </c>
      <c r="AT217" s="64">
        <f>AJ217*Z217</f>
        <v/>
      </c>
      <c r="AU217" s="64">
        <f>AK217*AA217</f>
        <v/>
      </c>
      <c r="AV217" s="64">
        <f>AL217*AB217</f>
        <v/>
      </c>
      <c r="AW217" s="64">
        <f>AM217*AC217</f>
        <v/>
      </c>
      <c r="AX217" s="64">
        <f>AN217*AD217</f>
        <v/>
      </c>
      <c r="AY217" s="64">
        <f>AO217*AE217</f>
        <v/>
      </c>
      <c r="AZ217" s="64">
        <f>INDEX(Projects[Automation Equipment],216)&amp;""</f>
        <v/>
      </c>
      <c r="BA217" s="64">
        <f>IF(OR(A217="",'Smart Search'!H13=0),"",MAX(0,BE217*BF217*MAX(0,1-BG217)))</f>
        <v/>
      </c>
      <c r="BB217" s="64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4">
        <f>IF('Smart Search'!G13=1,IFERROR(1/'Smart Search'!H13,0),0)</f>
        <v/>
      </c>
      <c r="BD217" s="64">
        <f>BB217*BC217</f>
        <v/>
      </c>
      <c r="BE217" s="64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IF(A217="","",N(INDEX(Projects[Act Mech Inst],216)))</f>
        <v/>
      </c>
      <c r="BK217" s="5">
        <f>IF(A217="","",N(INDEX(Projects[Act Elec Inst],216)))</f>
        <v/>
      </c>
      <c r="BL217" s="5">
        <f>IF(A217="","",N(INDEX(Projects[Act Project Management],216)))</f>
        <v/>
      </c>
      <c r="BM217" s="5">
        <f>IF(A217="","",N(INDEX(Projects[Act Systems Eng],216)))</f>
        <v/>
      </c>
      <c r="BN217" s="5">
        <f>IF(A217="","",N(INDEX(Projects[Act Mechanical Eng],216)))</f>
        <v/>
      </c>
      <c r="BO217" s="5">
        <f>IF(A217="","",N(INDEX(Projects[Act Structural Engineering],216)))</f>
        <v/>
      </c>
      <c r="BP217" s="5">
        <f>IF(A217="","",N(INDEX(Projects[Act Site Sup],216)))</f>
        <v/>
      </c>
      <c r="BQ217" s="5">
        <f>IF(A217="","",N(INDEX(Projects[Act Controls Commissioning],216)))</f>
        <v/>
      </c>
      <c r="BR217" s="5">
        <f>IF(A217="","",N(INDEX(Projects[Act Systems Commissioning],216)))</f>
        <v/>
      </c>
      <c r="BS217" s="5">
        <f>IF(A217="","",N(INDEX(Projects[Act Service Commissioning],216)))</f>
        <v/>
      </c>
      <c r="BT217" s="5">
        <f>IF(A217="","",N(INDEX(Projects[Act Controls Eng],216)))</f>
        <v/>
      </c>
      <c r="BU217" s="5">
        <f>IF(A217="","",N(INDEX(Projects[Act Controls Purchase],216)))</f>
        <v/>
      </c>
      <c r="BV217" s="5">
        <f>IF(A217="","",N(INDEX(Projects[Act Software Eng],216)))</f>
        <v/>
      </c>
      <c r="BW217" s="5">
        <f>IF(A217="","",N(INDEX(Projects[Act 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INDEX(Projects[Sold Value (USD M)],216)</f>
        <v/>
      </c>
      <c r="CE217" s="5" t="n"/>
      <c r="CF217" s="5">
        <f>IF(A217="","",N(INDEX(Projects[Est Mech Inst],216)))</f>
        <v/>
      </c>
      <c r="CG217" s="5">
        <f>IF(A217="","",N(INDEX(Projects[Est Elec Inst],216)))</f>
        <v/>
      </c>
      <c r="CH217" s="5">
        <f>IF(A217="","",N(INDEX(Projects[Est Project Management],216)))</f>
        <v/>
      </c>
      <c r="CI217" s="5">
        <f>IF(A217="","",N(INDEX(Projects[Est Systems Eng],216)))</f>
        <v/>
      </c>
      <c r="CJ217" s="5">
        <f>IF(A217="","",N(INDEX(Projects[Est Mechanical Eng],216)))</f>
        <v/>
      </c>
      <c r="CK217" s="5">
        <f>IF(A217="","",N(INDEX(Projects[Est Structural Engineering],216)))</f>
        <v/>
      </c>
      <c r="CL217" s="5">
        <f>IF(A217="","",N(INDEX(Projects[Est Site Sup],216)))</f>
        <v/>
      </c>
      <c r="CM217" s="5">
        <f>IF(A217="","",N(INDEX(Projects[Est Controls Commissioning],216)))</f>
        <v/>
      </c>
      <c r="CN217" s="5">
        <f>IF(A217="","",N(INDEX(Projects[Est Systems Commissioning],216)))</f>
        <v/>
      </c>
      <c r="CO217" s="5">
        <f>IF(A217="","",N(INDEX(Projects[Est Service Commissioning],216)))</f>
        <v/>
      </c>
      <c r="CP217" s="5">
        <f>IF(A217="","",N(INDEX(Projects[Est Controls Eng],216)))</f>
        <v/>
      </c>
      <c r="CQ217" s="5">
        <f>IF(A217="","",N(INDEX(Projects[Est Controls Purchase],216)))</f>
        <v/>
      </c>
      <c r="CR217" s="5">
        <f>IF(A217="","",N(INDEX(Projects[Est Software Eng],216)))</f>
        <v/>
      </c>
      <c r="CS217" s="5">
        <f>IF(A217="","",N(INDEX(Projects[Est Misc],216)))</f>
        <v/>
      </c>
      <c r="CT217" s="5">
        <f>IF(A217="","",SUM(CF217:CS217))</f>
        <v/>
      </c>
      <c r="CU217" s="5">
        <f>INDEX(Projects[Est Cost (M)],216)</f>
        <v/>
      </c>
      <c r="CV217" s="5">
        <f>INDEX(Projects[Act Cost (M)],216)</f>
        <v/>
      </c>
      <c r="CW217" s="5">
        <f>INDEX(Projects[Plan Mech Eng (wks)],216)</f>
        <v/>
      </c>
      <c r="CX217" s="5">
        <f>INDEX(Projects[Plan Controls Eng (wks)],216)</f>
        <v/>
      </c>
      <c r="CY217" s="5">
        <f>INDEX(Projects[Plan Systems Eng (wks)],216)</f>
        <v/>
      </c>
      <c r="CZ217" s="5">
        <f>INDEX(Projects[Plan Software Eng (wks)],216)</f>
        <v/>
      </c>
      <c r="DA217" s="5">
        <f>INDEX(Projects[Plan M&amp;E Installation (wks)],216)</f>
        <v/>
      </c>
      <c r="DB217" s="5">
        <f>INDEX(Projects[Plan Commissioning (wks)],216)</f>
        <v/>
      </c>
      <c r="DC217" s="5">
        <f>INDEX(Projects[Plan Total (wks)],216)</f>
        <v/>
      </c>
      <c r="DD217" s="5">
        <f>INDEX(Projects[Act Mech Eng (wks)],216)</f>
        <v/>
      </c>
      <c r="DE217" s="5">
        <f>INDEX(Projects[Act Controls Eng (wks)],216)</f>
        <v/>
      </c>
      <c r="DF217" s="5">
        <f>INDEX(Projects[Act Systems Eng (wks)],216)</f>
        <v/>
      </c>
      <c r="DG217" s="5">
        <f>INDEX(Projects[Act Software Eng (wks)],216)</f>
        <v/>
      </c>
      <c r="DH217" s="5">
        <f>INDEX(Projects[Act M&amp;E Installation (wks)],216)</f>
        <v/>
      </c>
      <c r="DI217" s="5">
        <f>INDEX(Projects[Act Commissioning (wks)],216)</f>
        <v/>
      </c>
      <c r="DJ217" s="5">
        <f>INDEX(Projects[Act Total (wks)],216)</f>
        <v/>
      </c>
    </row>
    <row r="218" ht="15" customHeight="1" s="82">
      <c r="A218" s="64">
        <f>INDEX(Projects[Project ID *],217)&amp;""</f>
        <v/>
      </c>
      <c r="B218" s="64">
        <f>INDEX(Projects[Project Name *],217)&amp;""</f>
        <v/>
      </c>
      <c r="C218" s="64">
        <f>INDEX(Projects[MS Shuttles],217)</f>
        <v/>
      </c>
      <c r="D218" s="64">
        <f>INDEX(Projects[MS Tote Locations],217)</f>
        <v/>
      </c>
      <c r="E218" s="64">
        <f>INDEX(Projects[AS Robots],217)</f>
        <v/>
      </c>
      <c r="F218" s="64">
        <f>INDEX(Projects[AS Tote Locations],217)</f>
        <v/>
      </c>
      <c r="G218" s="64">
        <f>INDEX(Projects[PS Shuttles],217)</f>
        <v/>
      </c>
      <c r="H218" s="64">
        <f>INDEX(Projects[PS Pallet Locations],217)</f>
        <v/>
      </c>
      <c r="I218" s="64">
        <f>INDEX(Projects[SRM Cranes],217)</f>
        <v/>
      </c>
      <c r="J218" s="64">
        <f>INDEX(Projects[SRM Pallet Locations],217)</f>
        <v/>
      </c>
      <c r="K218" s="64">
        <f>INDEX(Projects[Case Conv (m)],217)</f>
        <v/>
      </c>
      <c r="L218" s="64">
        <f>INDEX(Projects[Pallet Conv (m)],217)</f>
        <v/>
      </c>
      <c r="M218" s="64">
        <f>IF(N(DJ218)&gt;0,DD218,CW218)</f>
        <v/>
      </c>
      <c r="N218" s="64">
        <f>IF(N(DJ218)&gt;0,DE218,CX218)</f>
        <v/>
      </c>
      <c r="O218" s="64">
        <f>IF(N(DJ218)&gt;0,DF218,CY218)</f>
        <v/>
      </c>
      <c r="P218" s="64">
        <f>IF(N(DJ218)&gt;0,DG218,CZ218)</f>
        <v/>
      </c>
      <c r="Q218" s="64">
        <f>IF(N(DJ218)&gt;0,DH218,DA218)</f>
        <v/>
      </c>
      <c r="R218" s="64">
        <f>IF(N(DJ218)&gt;0,DI218,DB218)</f>
        <v/>
      </c>
      <c r="S218" s="64">
        <f>IF(N(DJ218)&gt;0,DJ218,DC218)</f>
        <v/>
      </c>
      <c r="T218" s="64">
        <f>INDEX(Projects[Currency],217)&amp;""</f>
        <v/>
      </c>
      <c r="U218" s="65">
        <f>INDEX(Projects[Sold Value (M)],217)</f>
        <v/>
      </c>
      <c r="V218" s="64">
        <f>IF('Smart Search'!B13=1,IFERROR(1/'Smart Search'!H13,0),0)</f>
        <v/>
      </c>
      <c r="W218" s="64">
        <f>IF('Smart Search'!B13=1,IFERROR(1/'Smart Search'!H13,0),0)</f>
        <v/>
      </c>
      <c r="X218" s="64">
        <f>IF('Smart Search'!C13=1,IFERROR(1/'Smart Search'!H13,0),0)</f>
        <v/>
      </c>
      <c r="Y218" s="64">
        <f>IF('Smart Search'!C13=1,IFERROR(1/'Smart Search'!H13,0),0)</f>
        <v/>
      </c>
      <c r="Z218" s="64">
        <f>IF('Smart Search'!D13=1,IFERROR(1/'Smart Search'!H13,0),0)</f>
        <v/>
      </c>
      <c r="AA218" s="64">
        <f>IF('Smart Search'!D13=1,IFERROR(1/'Smart Search'!H13,0),0)</f>
        <v/>
      </c>
      <c r="AB218" s="64">
        <f>IF('Smart Search'!E13=1,IFERROR(1/'Smart Search'!H13,0),0)</f>
        <v/>
      </c>
      <c r="AC218" s="64">
        <f>IF('Smart Search'!E13=1,IFERROR(1/'Smart Search'!H13,0),0)</f>
        <v/>
      </c>
      <c r="AD218" s="64">
        <f>IF('Smart Search'!F13=1,IFERROR(1/'Smart Search'!H13,0),0)</f>
        <v/>
      </c>
      <c r="AE218" s="64">
        <f>IF('Smart Search'!F13=1,IFERROR(1/'Smart Search'!H13,0),0)</f>
        <v/>
      </c>
      <c r="AF218" s="64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4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4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4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4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4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4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4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4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4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4">
        <f>AF218*V218</f>
        <v/>
      </c>
      <c r="AQ218" s="64">
        <f>AG218*W218</f>
        <v/>
      </c>
      <c r="AR218" s="64">
        <f>AH218*X218</f>
        <v/>
      </c>
      <c r="AS218" s="64">
        <f>AI218*Y218</f>
        <v/>
      </c>
      <c r="AT218" s="64">
        <f>AJ218*Z218</f>
        <v/>
      </c>
      <c r="AU218" s="64">
        <f>AK218*AA218</f>
        <v/>
      </c>
      <c r="AV218" s="64">
        <f>AL218*AB218</f>
        <v/>
      </c>
      <c r="AW218" s="64">
        <f>AM218*AC218</f>
        <v/>
      </c>
      <c r="AX218" s="64">
        <f>AN218*AD218</f>
        <v/>
      </c>
      <c r="AY218" s="64">
        <f>AO218*AE218</f>
        <v/>
      </c>
      <c r="AZ218" s="64">
        <f>INDEX(Projects[Automation Equipment],217)&amp;""</f>
        <v/>
      </c>
      <c r="BA218" s="64">
        <f>IF(OR(A218="",'Smart Search'!H13=0),"",MAX(0,BE218*BF218*MAX(0,1-BG218)))</f>
        <v/>
      </c>
      <c r="BB218" s="64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4">
        <f>IF('Smart Search'!G13=1,IFERROR(1/'Smart Search'!H13,0),0)</f>
        <v/>
      </c>
      <c r="BD218" s="64">
        <f>BB218*BC218</f>
        <v/>
      </c>
      <c r="BE218" s="64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IF(A218="","",N(INDEX(Projects[Act Mech Inst],217)))</f>
        <v/>
      </c>
      <c r="BK218" s="5">
        <f>IF(A218="","",N(INDEX(Projects[Act Elec Inst],217)))</f>
        <v/>
      </c>
      <c r="BL218" s="5">
        <f>IF(A218="","",N(INDEX(Projects[Act Project Management],217)))</f>
        <v/>
      </c>
      <c r="BM218" s="5">
        <f>IF(A218="","",N(INDEX(Projects[Act Systems Eng],217)))</f>
        <v/>
      </c>
      <c r="BN218" s="5">
        <f>IF(A218="","",N(INDEX(Projects[Act Mechanical Eng],217)))</f>
        <v/>
      </c>
      <c r="BO218" s="5">
        <f>IF(A218="","",N(INDEX(Projects[Act Structural Engineering],217)))</f>
        <v/>
      </c>
      <c r="BP218" s="5">
        <f>IF(A218="","",N(INDEX(Projects[Act Site Sup],217)))</f>
        <v/>
      </c>
      <c r="BQ218" s="5">
        <f>IF(A218="","",N(INDEX(Projects[Act Controls Commissioning],217)))</f>
        <v/>
      </c>
      <c r="BR218" s="5">
        <f>IF(A218="","",N(INDEX(Projects[Act Systems Commissioning],217)))</f>
        <v/>
      </c>
      <c r="BS218" s="5">
        <f>IF(A218="","",N(INDEX(Projects[Act Service Commissioning],217)))</f>
        <v/>
      </c>
      <c r="BT218" s="5">
        <f>IF(A218="","",N(INDEX(Projects[Act Controls Eng],217)))</f>
        <v/>
      </c>
      <c r="BU218" s="5">
        <f>IF(A218="","",N(INDEX(Projects[Act Controls Purchase],217)))</f>
        <v/>
      </c>
      <c r="BV218" s="5">
        <f>IF(A218="","",N(INDEX(Projects[Act Software Eng],217)))</f>
        <v/>
      </c>
      <c r="BW218" s="5">
        <f>IF(A218="","",N(INDEX(Projects[Act 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INDEX(Projects[Sold Value (USD M)],217)</f>
        <v/>
      </c>
      <c r="CE218" s="5" t="n"/>
      <c r="CF218" s="5">
        <f>IF(A218="","",N(INDEX(Projects[Est Mech Inst],217)))</f>
        <v/>
      </c>
      <c r="CG218" s="5">
        <f>IF(A218="","",N(INDEX(Projects[Est Elec Inst],217)))</f>
        <v/>
      </c>
      <c r="CH218" s="5">
        <f>IF(A218="","",N(INDEX(Projects[Est Project Management],217)))</f>
        <v/>
      </c>
      <c r="CI218" s="5">
        <f>IF(A218="","",N(INDEX(Projects[Est Systems Eng],217)))</f>
        <v/>
      </c>
      <c r="CJ218" s="5">
        <f>IF(A218="","",N(INDEX(Projects[Est Mechanical Eng],217)))</f>
        <v/>
      </c>
      <c r="CK218" s="5">
        <f>IF(A218="","",N(INDEX(Projects[Est Structural Engineering],217)))</f>
        <v/>
      </c>
      <c r="CL218" s="5">
        <f>IF(A218="","",N(INDEX(Projects[Est Site Sup],217)))</f>
        <v/>
      </c>
      <c r="CM218" s="5">
        <f>IF(A218="","",N(INDEX(Projects[Est Controls Commissioning],217)))</f>
        <v/>
      </c>
      <c r="CN218" s="5">
        <f>IF(A218="","",N(INDEX(Projects[Est Systems Commissioning],217)))</f>
        <v/>
      </c>
      <c r="CO218" s="5">
        <f>IF(A218="","",N(INDEX(Projects[Est Service Commissioning],217)))</f>
        <v/>
      </c>
      <c r="CP218" s="5">
        <f>IF(A218="","",N(INDEX(Projects[Est Controls Eng],217)))</f>
        <v/>
      </c>
      <c r="CQ218" s="5">
        <f>IF(A218="","",N(INDEX(Projects[Est Controls Purchase],217)))</f>
        <v/>
      </c>
      <c r="CR218" s="5">
        <f>IF(A218="","",N(INDEX(Projects[Est Software Eng],217)))</f>
        <v/>
      </c>
      <c r="CS218" s="5">
        <f>IF(A218="","",N(INDEX(Projects[Est Misc],217)))</f>
        <v/>
      </c>
      <c r="CT218" s="5">
        <f>IF(A218="","",SUM(CF218:CS218))</f>
        <v/>
      </c>
      <c r="CU218" s="5">
        <f>INDEX(Projects[Est Cost (M)],217)</f>
        <v/>
      </c>
      <c r="CV218" s="5">
        <f>INDEX(Projects[Act Cost (M)],217)</f>
        <v/>
      </c>
      <c r="CW218" s="5">
        <f>INDEX(Projects[Plan Mech Eng (wks)],217)</f>
        <v/>
      </c>
      <c r="CX218" s="5">
        <f>INDEX(Projects[Plan Controls Eng (wks)],217)</f>
        <v/>
      </c>
      <c r="CY218" s="5">
        <f>INDEX(Projects[Plan Systems Eng (wks)],217)</f>
        <v/>
      </c>
      <c r="CZ218" s="5">
        <f>INDEX(Projects[Plan Software Eng (wks)],217)</f>
        <v/>
      </c>
      <c r="DA218" s="5">
        <f>INDEX(Projects[Plan M&amp;E Installation (wks)],217)</f>
        <v/>
      </c>
      <c r="DB218" s="5">
        <f>INDEX(Projects[Plan Commissioning (wks)],217)</f>
        <v/>
      </c>
      <c r="DC218" s="5">
        <f>INDEX(Projects[Plan Total (wks)],217)</f>
        <v/>
      </c>
      <c r="DD218" s="5">
        <f>INDEX(Projects[Act Mech Eng (wks)],217)</f>
        <v/>
      </c>
      <c r="DE218" s="5">
        <f>INDEX(Projects[Act Controls Eng (wks)],217)</f>
        <v/>
      </c>
      <c r="DF218" s="5">
        <f>INDEX(Projects[Act Systems Eng (wks)],217)</f>
        <v/>
      </c>
      <c r="DG218" s="5">
        <f>INDEX(Projects[Act Software Eng (wks)],217)</f>
        <v/>
      </c>
      <c r="DH218" s="5">
        <f>INDEX(Projects[Act M&amp;E Installation (wks)],217)</f>
        <v/>
      </c>
      <c r="DI218" s="5">
        <f>INDEX(Projects[Act Commissioning (wks)],217)</f>
        <v/>
      </c>
      <c r="DJ218" s="5">
        <f>INDEX(Projects[Act Total (wks)],217)</f>
        <v/>
      </c>
    </row>
    <row r="219" ht="15" customHeight="1" s="82">
      <c r="A219" s="64">
        <f>INDEX(Projects[Project ID *],218)&amp;""</f>
        <v/>
      </c>
      <c r="B219" s="64">
        <f>INDEX(Projects[Project Name *],218)&amp;""</f>
        <v/>
      </c>
      <c r="C219" s="64">
        <f>INDEX(Projects[MS Shuttles],218)</f>
        <v/>
      </c>
      <c r="D219" s="64">
        <f>INDEX(Projects[MS Tote Locations],218)</f>
        <v/>
      </c>
      <c r="E219" s="64">
        <f>INDEX(Projects[AS Robots],218)</f>
        <v/>
      </c>
      <c r="F219" s="64">
        <f>INDEX(Projects[AS Tote Locations],218)</f>
        <v/>
      </c>
      <c r="G219" s="64">
        <f>INDEX(Projects[PS Shuttles],218)</f>
        <v/>
      </c>
      <c r="H219" s="64">
        <f>INDEX(Projects[PS Pallet Locations],218)</f>
        <v/>
      </c>
      <c r="I219" s="64">
        <f>INDEX(Projects[SRM Cranes],218)</f>
        <v/>
      </c>
      <c r="J219" s="64">
        <f>INDEX(Projects[SRM Pallet Locations],218)</f>
        <v/>
      </c>
      <c r="K219" s="64">
        <f>INDEX(Projects[Case Conv (m)],218)</f>
        <v/>
      </c>
      <c r="L219" s="64">
        <f>INDEX(Projects[Pallet Conv (m)],218)</f>
        <v/>
      </c>
      <c r="M219" s="64">
        <f>IF(N(DJ219)&gt;0,DD219,CW219)</f>
        <v/>
      </c>
      <c r="N219" s="64">
        <f>IF(N(DJ219)&gt;0,DE219,CX219)</f>
        <v/>
      </c>
      <c r="O219" s="64">
        <f>IF(N(DJ219)&gt;0,DF219,CY219)</f>
        <v/>
      </c>
      <c r="P219" s="64">
        <f>IF(N(DJ219)&gt;0,DG219,CZ219)</f>
        <v/>
      </c>
      <c r="Q219" s="64">
        <f>IF(N(DJ219)&gt;0,DH219,DA219)</f>
        <v/>
      </c>
      <c r="R219" s="64">
        <f>IF(N(DJ219)&gt;0,DI219,DB219)</f>
        <v/>
      </c>
      <c r="S219" s="64">
        <f>IF(N(DJ219)&gt;0,DJ219,DC219)</f>
        <v/>
      </c>
      <c r="T219" s="64">
        <f>INDEX(Projects[Currency],218)&amp;""</f>
        <v/>
      </c>
      <c r="U219" s="65">
        <f>INDEX(Projects[Sold Value (M)],218)</f>
        <v/>
      </c>
      <c r="V219" s="64">
        <f>IF('Smart Search'!B13=1,IFERROR(1/'Smart Search'!H13,0),0)</f>
        <v/>
      </c>
      <c r="W219" s="64">
        <f>IF('Smart Search'!B13=1,IFERROR(1/'Smart Search'!H13,0),0)</f>
        <v/>
      </c>
      <c r="X219" s="64">
        <f>IF('Smart Search'!C13=1,IFERROR(1/'Smart Search'!H13,0),0)</f>
        <v/>
      </c>
      <c r="Y219" s="64">
        <f>IF('Smart Search'!C13=1,IFERROR(1/'Smart Search'!H13,0),0)</f>
        <v/>
      </c>
      <c r="Z219" s="64">
        <f>IF('Smart Search'!D13=1,IFERROR(1/'Smart Search'!H13,0),0)</f>
        <v/>
      </c>
      <c r="AA219" s="64">
        <f>IF('Smart Search'!D13=1,IFERROR(1/'Smart Search'!H13,0),0)</f>
        <v/>
      </c>
      <c r="AB219" s="64">
        <f>IF('Smart Search'!E13=1,IFERROR(1/'Smart Search'!H13,0),0)</f>
        <v/>
      </c>
      <c r="AC219" s="64">
        <f>IF('Smart Search'!E13=1,IFERROR(1/'Smart Search'!H13,0),0)</f>
        <v/>
      </c>
      <c r="AD219" s="64">
        <f>IF('Smart Search'!F13=1,IFERROR(1/'Smart Search'!H13,0),0)</f>
        <v/>
      </c>
      <c r="AE219" s="64">
        <f>IF('Smart Search'!F13=1,IFERROR(1/'Smart Search'!H13,0),0)</f>
        <v/>
      </c>
      <c r="AF219" s="64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4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4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4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4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4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4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4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4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4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4">
        <f>AF219*V219</f>
        <v/>
      </c>
      <c r="AQ219" s="64">
        <f>AG219*W219</f>
        <v/>
      </c>
      <c r="AR219" s="64">
        <f>AH219*X219</f>
        <v/>
      </c>
      <c r="AS219" s="64">
        <f>AI219*Y219</f>
        <v/>
      </c>
      <c r="AT219" s="64">
        <f>AJ219*Z219</f>
        <v/>
      </c>
      <c r="AU219" s="64">
        <f>AK219*AA219</f>
        <v/>
      </c>
      <c r="AV219" s="64">
        <f>AL219*AB219</f>
        <v/>
      </c>
      <c r="AW219" s="64">
        <f>AM219*AC219</f>
        <v/>
      </c>
      <c r="AX219" s="64">
        <f>AN219*AD219</f>
        <v/>
      </c>
      <c r="AY219" s="64">
        <f>AO219*AE219</f>
        <v/>
      </c>
      <c r="AZ219" s="64">
        <f>INDEX(Projects[Automation Equipment],218)&amp;""</f>
        <v/>
      </c>
      <c r="BA219" s="64">
        <f>IF(OR(A219="",'Smart Search'!H13=0),"",MAX(0,BE219*BF219*MAX(0,1-BG219)))</f>
        <v/>
      </c>
      <c r="BB219" s="64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4">
        <f>IF('Smart Search'!G13=1,IFERROR(1/'Smart Search'!H13,0),0)</f>
        <v/>
      </c>
      <c r="BD219" s="64">
        <f>BB219*BC219</f>
        <v/>
      </c>
      <c r="BE219" s="64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IF(A219="","",N(INDEX(Projects[Act Mech Inst],218)))</f>
        <v/>
      </c>
      <c r="BK219" s="5">
        <f>IF(A219="","",N(INDEX(Projects[Act Elec Inst],218)))</f>
        <v/>
      </c>
      <c r="BL219" s="5">
        <f>IF(A219="","",N(INDEX(Projects[Act Project Management],218)))</f>
        <v/>
      </c>
      <c r="BM219" s="5">
        <f>IF(A219="","",N(INDEX(Projects[Act Systems Eng],218)))</f>
        <v/>
      </c>
      <c r="BN219" s="5">
        <f>IF(A219="","",N(INDEX(Projects[Act Mechanical Eng],218)))</f>
        <v/>
      </c>
      <c r="BO219" s="5">
        <f>IF(A219="","",N(INDEX(Projects[Act Structural Engineering],218)))</f>
        <v/>
      </c>
      <c r="BP219" s="5">
        <f>IF(A219="","",N(INDEX(Projects[Act Site Sup],218)))</f>
        <v/>
      </c>
      <c r="BQ219" s="5">
        <f>IF(A219="","",N(INDEX(Projects[Act Controls Commissioning],218)))</f>
        <v/>
      </c>
      <c r="BR219" s="5">
        <f>IF(A219="","",N(INDEX(Projects[Act Systems Commissioning],218)))</f>
        <v/>
      </c>
      <c r="BS219" s="5">
        <f>IF(A219="","",N(INDEX(Projects[Act Service Commissioning],218)))</f>
        <v/>
      </c>
      <c r="BT219" s="5">
        <f>IF(A219="","",N(INDEX(Projects[Act Controls Eng],218)))</f>
        <v/>
      </c>
      <c r="BU219" s="5">
        <f>IF(A219="","",N(INDEX(Projects[Act Controls Purchase],218)))</f>
        <v/>
      </c>
      <c r="BV219" s="5">
        <f>IF(A219="","",N(INDEX(Projects[Act Software Eng],218)))</f>
        <v/>
      </c>
      <c r="BW219" s="5">
        <f>IF(A219="","",N(INDEX(Projects[Act 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INDEX(Projects[Sold Value (USD M)],218)</f>
        <v/>
      </c>
      <c r="CE219" s="5" t="n"/>
      <c r="CF219" s="5">
        <f>IF(A219="","",N(INDEX(Projects[Est Mech Inst],218)))</f>
        <v/>
      </c>
      <c r="CG219" s="5">
        <f>IF(A219="","",N(INDEX(Projects[Est Elec Inst],218)))</f>
        <v/>
      </c>
      <c r="CH219" s="5">
        <f>IF(A219="","",N(INDEX(Projects[Est Project Management],218)))</f>
        <v/>
      </c>
      <c r="CI219" s="5">
        <f>IF(A219="","",N(INDEX(Projects[Est Systems Eng],218)))</f>
        <v/>
      </c>
      <c r="CJ219" s="5">
        <f>IF(A219="","",N(INDEX(Projects[Est Mechanical Eng],218)))</f>
        <v/>
      </c>
      <c r="CK219" s="5">
        <f>IF(A219="","",N(INDEX(Projects[Est Structural Engineering],218)))</f>
        <v/>
      </c>
      <c r="CL219" s="5">
        <f>IF(A219="","",N(INDEX(Projects[Est Site Sup],218)))</f>
        <v/>
      </c>
      <c r="CM219" s="5">
        <f>IF(A219="","",N(INDEX(Projects[Est Controls Commissioning],218)))</f>
        <v/>
      </c>
      <c r="CN219" s="5">
        <f>IF(A219="","",N(INDEX(Projects[Est Systems Commissioning],218)))</f>
        <v/>
      </c>
      <c r="CO219" s="5">
        <f>IF(A219="","",N(INDEX(Projects[Est Service Commissioning],218)))</f>
        <v/>
      </c>
      <c r="CP219" s="5">
        <f>IF(A219="","",N(INDEX(Projects[Est Controls Eng],218)))</f>
        <v/>
      </c>
      <c r="CQ219" s="5">
        <f>IF(A219="","",N(INDEX(Projects[Est Controls Purchase],218)))</f>
        <v/>
      </c>
      <c r="CR219" s="5">
        <f>IF(A219="","",N(INDEX(Projects[Est Software Eng],218)))</f>
        <v/>
      </c>
      <c r="CS219" s="5">
        <f>IF(A219="","",N(INDEX(Projects[Est Misc],218)))</f>
        <v/>
      </c>
      <c r="CT219" s="5">
        <f>IF(A219="","",SUM(CF219:CS219))</f>
        <v/>
      </c>
      <c r="CU219" s="5">
        <f>INDEX(Projects[Est Cost (M)],218)</f>
        <v/>
      </c>
      <c r="CV219" s="5">
        <f>INDEX(Projects[Act Cost (M)],218)</f>
        <v/>
      </c>
      <c r="CW219" s="5">
        <f>INDEX(Projects[Plan Mech Eng (wks)],218)</f>
        <v/>
      </c>
      <c r="CX219" s="5">
        <f>INDEX(Projects[Plan Controls Eng (wks)],218)</f>
        <v/>
      </c>
      <c r="CY219" s="5">
        <f>INDEX(Projects[Plan Systems Eng (wks)],218)</f>
        <v/>
      </c>
      <c r="CZ219" s="5">
        <f>INDEX(Projects[Plan Software Eng (wks)],218)</f>
        <v/>
      </c>
      <c r="DA219" s="5">
        <f>INDEX(Projects[Plan M&amp;E Installation (wks)],218)</f>
        <v/>
      </c>
      <c r="DB219" s="5">
        <f>INDEX(Projects[Plan Commissioning (wks)],218)</f>
        <v/>
      </c>
      <c r="DC219" s="5">
        <f>INDEX(Projects[Plan Total (wks)],218)</f>
        <v/>
      </c>
      <c r="DD219" s="5">
        <f>INDEX(Projects[Act Mech Eng (wks)],218)</f>
        <v/>
      </c>
      <c r="DE219" s="5">
        <f>INDEX(Projects[Act Controls Eng (wks)],218)</f>
        <v/>
      </c>
      <c r="DF219" s="5">
        <f>INDEX(Projects[Act Systems Eng (wks)],218)</f>
        <v/>
      </c>
      <c r="DG219" s="5">
        <f>INDEX(Projects[Act Software Eng (wks)],218)</f>
        <v/>
      </c>
      <c r="DH219" s="5">
        <f>INDEX(Projects[Act M&amp;E Installation (wks)],218)</f>
        <v/>
      </c>
      <c r="DI219" s="5">
        <f>INDEX(Projects[Act Commissioning (wks)],218)</f>
        <v/>
      </c>
      <c r="DJ219" s="5">
        <f>INDEX(Projects[Act Total (wks)],218)</f>
        <v/>
      </c>
    </row>
    <row r="220" ht="15" customHeight="1" s="82">
      <c r="A220" s="64">
        <f>INDEX(Projects[Project ID *],219)&amp;""</f>
        <v/>
      </c>
      <c r="B220" s="64">
        <f>INDEX(Projects[Project Name *],219)&amp;""</f>
        <v/>
      </c>
      <c r="C220" s="64">
        <f>INDEX(Projects[MS Shuttles],219)</f>
        <v/>
      </c>
      <c r="D220" s="64">
        <f>INDEX(Projects[MS Tote Locations],219)</f>
        <v/>
      </c>
      <c r="E220" s="64">
        <f>INDEX(Projects[AS Robots],219)</f>
        <v/>
      </c>
      <c r="F220" s="64">
        <f>INDEX(Projects[AS Tote Locations],219)</f>
        <v/>
      </c>
      <c r="G220" s="64">
        <f>INDEX(Projects[PS Shuttles],219)</f>
        <v/>
      </c>
      <c r="H220" s="64">
        <f>INDEX(Projects[PS Pallet Locations],219)</f>
        <v/>
      </c>
      <c r="I220" s="64">
        <f>INDEX(Projects[SRM Cranes],219)</f>
        <v/>
      </c>
      <c r="J220" s="64">
        <f>INDEX(Projects[SRM Pallet Locations],219)</f>
        <v/>
      </c>
      <c r="K220" s="64">
        <f>INDEX(Projects[Case Conv (m)],219)</f>
        <v/>
      </c>
      <c r="L220" s="64">
        <f>INDEX(Projects[Pallet Conv (m)],219)</f>
        <v/>
      </c>
      <c r="M220" s="64">
        <f>IF(N(DJ220)&gt;0,DD220,CW220)</f>
        <v/>
      </c>
      <c r="N220" s="64">
        <f>IF(N(DJ220)&gt;0,DE220,CX220)</f>
        <v/>
      </c>
      <c r="O220" s="64">
        <f>IF(N(DJ220)&gt;0,DF220,CY220)</f>
        <v/>
      </c>
      <c r="P220" s="64">
        <f>IF(N(DJ220)&gt;0,DG220,CZ220)</f>
        <v/>
      </c>
      <c r="Q220" s="64">
        <f>IF(N(DJ220)&gt;0,DH220,DA220)</f>
        <v/>
      </c>
      <c r="R220" s="64">
        <f>IF(N(DJ220)&gt;0,DI220,DB220)</f>
        <v/>
      </c>
      <c r="S220" s="64">
        <f>IF(N(DJ220)&gt;0,DJ220,DC220)</f>
        <v/>
      </c>
      <c r="T220" s="64">
        <f>INDEX(Projects[Currency],219)&amp;""</f>
        <v/>
      </c>
      <c r="U220" s="65">
        <f>INDEX(Projects[Sold Value (M)],219)</f>
        <v/>
      </c>
      <c r="V220" s="64">
        <f>IF('Smart Search'!B13=1,IFERROR(1/'Smart Search'!H13,0),0)</f>
        <v/>
      </c>
      <c r="W220" s="64">
        <f>IF('Smart Search'!B13=1,IFERROR(1/'Smart Search'!H13,0),0)</f>
        <v/>
      </c>
      <c r="X220" s="64">
        <f>IF('Smart Search'!C13=1,IFERROR(1/'Smart Search'!H13,0),0)</f>
        <v/>
      </c>
      <c r="Y220" s="64">
        <f>IF('Smart Search'!C13=1,IFERROR(1/'Smart Search'!H13,0),0)</f>
        <v/>
      </c>
      <c r="Z220" s="64">
        <f>IF('Smart Search'!D13=1,IFERROR(1/'Smart Search'!H13,0),0)</f>
        <v/>
      </c>
      <c r="AA220" s="64">
        <f>IF('Smart Search'!D13=1,IFERROR(1/'Smart Search'!H13,0),0)</f>
        <v/>
      </c>
      <c r="AB220" s="64">
        <f>IF('Smart Search'!E13=1,IFERROR(1/'Smart Search'!H13,0),0)</f>
        <v/>
      </c>
      <c r="AC220" s="64">
        <f>IF('Smart Search'!E13=1,IFERROR(1/'Smart Search'!H13,0),0)</f>
        <v/>
      </c>
      <c r="AD220" s="64">
        <f>IF('Smart Search'!F13=1,IFERROR(1/'Smart Search'!H13,0),0)</f>
        <v/>
      </c>
      <c r="AE220" s="64">
        <f>IF('Smart Search'!F13=1,IFERROR(1/'Smart Search'!H13,0),0)</f>
        <v/>
      </c>
      <c r="AF220" s="64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4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4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4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4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4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4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4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4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4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4">
        <f>AF220*V220</f>
        <v/>
      </c>
      <c r="AQ220" s="64">
        <f>AG220*W220</f>
        <v/>
      </c>
      <c r="AR220" s="64">
        <f>AH220*X220</f>
        <v/>
      </c>
      <c r="AS220" s="64">
        <f>AI220*Y220</f>
        <v/>
      </c>
      <c r="AT220" s="64">
        <f>AJ220*Z220</f>
        <v/>
      </c>
      <c r="AU220" s="64">
        <f>AK220*AA220</f>
        <v/>
      </c>
      <c r="AV220" s="64">
        <f>AL220*AB220</f>
        <v/>
      </c>
      <c r="AW220" s="64">
        <f>AM220*AC220</f>
        <v/>
      </c>
      <c r="AX220" s="64">
        <f>AN220*AD220</f>
        <v/>
      </c>
      <c r="AY220" s="64">
        <f>AO220*AE220</f>
        <v/>
      </c>
      <c r="AZ220" s="64">
        <f>INDEX(Projects[Automation Equipment],219)&amp;""</f>
        <v/>
      </c>
      <c r="BA220" s="64">
        <f>IF(OR(A220="",'Smart Search'!H13=0),"",MAX(0,BE220*BF220*MAX(0,1-BG220)))</f>
        <v/>
      </c>
      <c r="BB220" s="64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4">
        <f>IF('Smart Search'!G13=1,IFERROR(1/'Smart Search'!H13,0),0)</f>
        <v/>
      </c>
      <c r="BD220" s="64">
        <f>BB220*BC220</f>
        <v/>
      </c>
      <c r="BE220" s="64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IF(A220="","",N(INDEX(Projects[Act Mech Inst],219)))</f>
        <v/>
      </c>
      <c r="BK220" s="5">
        <f>IF(A220="","",N(INDEX(Projects[Act Elec Inst],219)))</f>
        <v/>
      </c>
      <c r="BL220" s="5">
        <f>IF(A220="","",N(INDEX(Projects[Act Project Management],219)))</f>
        <v/>
      </c>
      <c r="BM220" s="5">
        <f>IF(A220="","",N(INDEX(Projects[Act Systems Eng],219)))</f>
        <v/>
      </c>
      <c r="BN220" s="5">
        <f>IF(A220="","",N(INDEX(Projects[Act Mechanical Eng],219)))</f>
        <v/>
      </c>
      <c r="BO220" s="5">
        <f>IF(A220="","",N(INDEX(Projects[Act Structural Engineering],219)))</f>
        <v/>
      </c>
      <c r="BP220" s="5">
        <f>IF(A220="","",N(INDEX(Projects[Act Site Sup],219)))</f>
        <v/>
      </c>
      <c r="BQ220" s="5">
        <f>IF(A220="","",N(INDEX(Projects[Act Controls Commissioning],219)))</f>
        <v/>
      </c>
      <c r="BR220" s="5">
        <f>IF(A220="","",N(INDEX(Projects[Act Systems Commissioning],219)))</f>
        <v/>
      </c>
      <c r="BS220" s="5">
        <f>IF(A220="","",N(INDEX(Projects[Act Service Commissioning],219)))</f>
        <v/>
      </c>
      <c r="BT220" s="5">
        <f>IF(A220="","",N(INDEX(Projects[Act Controls Eng],219)))</f>
        <v/>
      </c>
      <c r="BU220" s="5">
        <f>IF(A220="","",N(INDEX(Projects[Act Controls Purchase],219)))</f>
        <v/>
      </c>
      <c r="BV220" s="5">
        <f>IF(A220="","",N(INDEX(Projects[Act Software Eng],219)))</f>
        <v/>
      </c>
      <c r="BW220" s="5">
        <f>IF(A220="","",N(INDEX(Projects[Act 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INDEX(Projects[Sold Value (USD M)],219)</f>
        <v/>
      </c>
      <c r="CE220" s="5" t="n"/>
      <c r="CF220" s="5">
        <f>IF(A220="","",N(INDEX(Projects[Est Mech Inst],219)))</f>
        <v/>
      </c>
      <c r="CG220" s="5">
        <f>IF(A220="","",N(INDEX(Projects[Est Elec Inst],219)))</f>
        <v/>
      </c>
      <c r="CH220" s="5">
        <f>IF(A220="","",N(INDEX(Projects[Est Project Management],219)))</f>
        <v/>
      </c>
      <c r="CI220" s="5">
        <f>IF(A220="","",N(INDEX(Projects[Est Systems Eng],219)))</f>
        <v/>
      </c>
      <c r="CJ220" s="5">
        <f>IF(A220="","",N(INDEX(Projects[Est Mechanical Eng],219)))</f>
        <v/>
      </c>
      <c r="CK220" s="5">
        <f>IF(A220="","",N(INDEX(Projects[Est Structural Engineering],219)))</f>
        <v/>
      </c>
      <c r="CL220" s="5">
        <f>IF(A220="","",N(INDEX(Projects[Est Site Sup],219)))</f>
        <v/>
      </c>
      <c r="CM220" s="5">
        <f>IF(A220="","",N(INDEX(Projects[Est Controls Commissioning],219)))</f>
        <v/>
      </c>
      <c r="CN220" s="5">
        <f>IF(A220="","",N(INDEX(Projects[Est Systems Commissioning],219)))</f>
        <v/>
      </c>
      <c r="CO220" s="5">
        <f>IF(A220="","",N(INDEX(Projects[Est Service Commissioning],219)))</f>
        <v/>
      </c>
      <c r="CP220" s="5">
        <f>IF(A220="","",N(INDEX(Projects[Est Controls Eng],219)))</f>
        <v/>
      </c>
      <c r="CQ220" s="5">
        <f>IF(A220="","",N(INDEX(Projects[Est Controls Purchase],219)))</f>
        <v/>
      </c>
      <c r="CR220" s="5">
        <f>IF(A220="","",N(INDEX(Projects[Est Software Eng],219)))</f>
        <v/>
      </c>
      <c r="CS220" s="5">
        <f>IF(A220="","",N(INDEX(Projects[Est Misc],219)))</f>
        <v/>
      </c>
      <c r="CT220" s="5">
        <f>IF(A220="","",SUM(CF220:CS220))</f>
        <v/>
      </c>
      <c r="CU220" s="5">
        <f>INDEX(Projects[Est Cost (M)],219)</f>
        <v/>
      </c>
      <c r="CV220" s="5">
        <f>INDEX(Projects[Act Cost (M)],219)</f>
        <v/>
      </c>
      <c r="CW220" s="5">
        <f>INDEX(Projects[Plan Mech Eng (wks)],219)</f>
        <v/>
      </c>
      <c r="CX220" s="5">
        <f>INDEX(Projects[Plan Controls Eng (wks)],219)</f>
        <v/>
      </c>
      <c r="CY220" s="5">
        <f>INDEX(Projects[Plan Systems Eng (wks)],219)</f>
        <v/>
      </c>
      <c r="CZ220" s="5">
        <f>INDEX(Projects[Plan Software Eng (wks)],219)</f>
        <v/>
      </c>
      <c r="DA220" s="5">
        <f>INDEX(Projects[Plan M&amp;E Installation (wks)],219)</f>
        <v/>
      </c>
      <c r="DB220" s="5">
        <f>INDEX(Projects[Plan Commissioning (wks)],219)</f>
        <v/>
      </c>
      <c r="DC220" s="5">
        <f>INDEX(Projects[Plan Total (wks)],219)</f>
        <v/>
      </c>
      <c r="DD220" s="5">
        <f>INDEX(Projects[Act Mech Eng (wks)],219)</f>
        <v/>
      </c>
      <c r="DE220" s="5">
        <f>INDEX(Projects[Act Controls Eng (wks)],219)</f>
        <v/>
      </c>
      <c r="DF220" s="5">
        <f>INDEX(Projects[Act Systems Eng (wks)],219)</f>
        <v/>
      </c>
      <c r="DG220" s="5">
        <f>INDEX(Projects[Act Software Eng (wks)],219)</f>
        <v/>
      </c>
      <c r="DH220" s="5">
        <f>INDEX(Projects[Act M&amp;E Installation (wks)],219)</f>
        <v/>
      </c>
      <c r="DI220" s="5">
        <f>INDEX(Projects[Act Commissioning (wks)],219)</f>
        <v/>
      </c>
      <c r="DJ220" s="5">
        <f>INDEX(Projects[Act Total (wks)],219)</f>
        <v/>
      </c>
    </row>
    <row r="221" ht="15" customHeight="1" s="82">
      <c r="A221" s="64">
        <f>INDEX(Projects[Project ID *],220)&amp;""</f>
        <v/>
      </c>
      <c r="B221" s="64">
        <f>INDEX(Projects[Project Name *],220)&amp;""</f>
        <v/>
      </c>
      <c r="C221" s="64">
        <f>INDEX(Projects[MS Shuttles],220)</f>
        <v/>
      </c>
      <c r="D221" s="64">
        <f>INDEX(Projects[MS Tote Locations],220)</f>
        <v/>
      </c>
      <c r="E221" s="64">
        <f>INDEX(Projects[AS Robots],220)</f>
        <v/>
      </c>
      <c r="F221" s="64">
        <f>INDEX(Projects[AS Tote Locations],220)</f>
        <v/>
      </c>
      <c r="G221" s="64">
        <f>INDEX(Projects[PS Shuttles],220)</f>
        <v/>
      </c>
      <c r="H221" s="64">
        <f>INDEX(Projects[PS Pallet Locations],220)</f>
        <v/>
      </c>
      <c r="I221" s="64">
        <f>INDEX(Projects[SRM Cranes],220)</f>
        <v/>
      </c>
      <c r="J221" s="64">
        <f>INDEX(Projects[SRM Pallet Locations],220)</f>
        <v/>
      </c>
      <c r="K221" s="64">
        <f>INDEX(Projects[Case Conv (m)],220)</f>
        <v/>
      </c>
      <c r="L221" s="64">
        <f>INDEX(Projects[Pallet Conv (m)],220)</f>
        <v/>
      </c>
      <c r="M221" s="64">
        <f>IF(N(DJ221)&gt;0,DD221,CW221)</f>
        <v/>
      </c>
      <c r="N221" s="64">
        <f>IF(N(DJ221)&gt;0,DE221,CX221)</f>
        <v/>
      </c>
      <c r="O221" s="64">
        <f>IF(N(DJ221)&gt;0,DF221,CY221)</f>
        <v/>
      </c>
      <c r="P221" s="64">
        <f>IF(N(DJ221)&gt;0,DG221,CZ221)</f>
        <v/>
      </c>
      <c r="Q221" s="64">
        <f>IF(N(DJ221)&gt;0,DH221,DA221)</f>
        <v/>
      </c>
      <c r="R221" s="64">
        <f>IF(N(DJ221)&gt;0,DI221,DB221)</f>
        <v/>
      </c>
      <c r="S221" s="64">
        <f>IF(N(DJ221)&gt;0,DJ221,DC221)</f>
        <v/>
      </c>
      <c r="T221" s="64">
        <f>INDEX(Projects[Currency],220)&amp;""</f>
        <v/>
      </c>
      <c r="U221" s="65">
        <f>INDEX(Projects[Sold Value (M)],220)</f>
        <v/>
      </c>
      <c r="V221" s="64">
        <f>IF('Smart Search'!B13=1,IFERROR(1/'Smart Search'!H13,0),0)</f>
        <v/>
      </c>
      <c r="W221" s="64">
        <f>IF('Smart Search'!B13=1,IFERROR(1/'Smart Search'!H13,0),0)</f>
        <v/>
      </c>
      <c r="X221" s="64">
        <f>IF('Smart Search'!C13=1,IFERROR(1/'Smart Search'!H13,0),0)</f>
        <v/>
      </c>
      <c r="Y221" s="64">
        <f>IF('Smart Search'!C13=1,IFERROR(1/'Smart Search'!H13,0),0)</f>
        <v/>
      </c>
      <c r="Z221" s="64">
        <f>IF('Smart Search'!D13=1,IFERROR(1/'Smart Search'!H13,0),0)</f>
        <v/>
      </c>
      <c r="AA221" s="64">
        <f>IF('Smart Search'!D13=1,IFERROR(1/'Smart Search'!H13,0),0)</f>
        <v/>
      </c>
      <c r="AB221" s="64">
        <f>IF('Smart Search'!E13=1,IFERROR(1/'Smart Search'!H13,0),0)</f>
        <v/>
      </c>
      <c r="AC221" s="64">
        <f>IF('Smart Search'!E13=1,IFERROR(1/'Smart Search'!H13,0),0)</f>
        <v/>
      </c>
      <c r="AD221" s="64">
        <f>IF('Smart Search'!F13=1,IFERROR(1/'Smart Search'!H13,0),0)</f>
        <v/>
      </c>
      <c r="AE221" s="64">
        <f>IF('Smart Search'!F13=1,IFERROR(1/'Smart Search'!H13,0),0)</f>
        <v/>
      </c>
      <c r="AF221" s="64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4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4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4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4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4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4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4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4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4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4">
        <f>AF221*V221</f>
        <v/>
      </c>
      <c r="AQ221" s="64">
        <f>AG221*W221</f>
        <v/>
      </c>
      <c r="AR221" s="64">
        <f>AH221*X221</f>
        <v/>
      </c>
      <c r="AS221" s="64">
        <f>AI221*Y221</f>
        <v/>
      </c>
      <c r="AT221" s="64">
        <f>AJ221*Z221</f>
        <v/>
      </c>
      <c r="AU221" s="64">
        <f>AK221*AA221</f>
        <v/>
      </c>
      <c r="AV221" s="64">
        <f>AL221*AB221</f>
        <v/>
      </c>
      <c r="AW221" s="64">
        <f>AM221*AC221</f>
        <v/>
      </c>
      <c r="AX221" s="64">
        <f>AN221*AD221</f>
        <v/>
      </c>
      <c r="AY221" s="64">
        <f>AO221*AE221</f>
        <v/>
      </c>
      <c r="AZ221" s="64">
        <f>INDEX(Projects[Automation Equipment],220)&amp;""</f>
        <v/>
      </c>
      <c r="BA221" s="64">
        <f>IF(OR(A221="",'Smart Search'!H13=0),"",MAX(0,BE221*BF221*MAX(0,1-BG221)))</f>
        <v/>
      </c>
      <c r="BB221" s="64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4">
        <f>IF('Smart Search'!G13=1,IFERROR(1/'Smart Search'!H13,0),0)</f>
        <v/>
      </c>
      <c r="BD221" s="64">
        <f>BB221*BC221</f>
        <v/>
      </c>
      <c r="BE221" s="64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IF(A221="","",N(INDEX(Projects[Act Mech Inst],220)))</f>
        <v/>
      </c>
      <c r="BK221" s="5">
        <f>IF(A221="","",N(INDEX(Projects[Act Elec Inst],220)))</f>
        <v/>
      </c>
      <c r="BL221" s="5">
        <f>IF(A221="","",N(INDEX(Projects[Act Project Management],220)))</f>
        <v/>
      </c>
      <c r="BM221" s="5">
        <f>IF(A221="","",N(INDEX(Projects[Act Systems Eng],220)))</f>
        <v/>
      </c>
      <c r="BN221" s="5">
        <f>IF(A221="","",N(INDEX(Projects[Act Mechanical Eng],220)))</f>
        <v/>
      </c>
      <c r="BO221" s="5">
        <f>IF(A221="","",N(INDEX(Projects[Act Structural Engineering],220)))</f>
        <v/>
      </c>
      <c r="BP221" s="5">
        <f>IF(A221="","",N(INDEX(Projects[Act Site Sup],220)))</f>
        <v/>
      </c>
      <c r="BQ221" s="5">
        <f>IF(A221="","",N(INDEX(Projects[Act Controls Commissioning],220)))</f>
        <v/>
      </c>
      <c r="BR221" s="5">
        <f>IF(A221="","",N(INDEX(Projects[Act Systems Commissioning],220)))</f>
        <v/>
      </c>
      <c r="BS221" s="5">
        <f>IF(A221="","",N(INDEX(Projects[Act Service Commissioning],220)))</f>
        <v/>
      </c>
      <c r="BT221" s="5">
        <f>IF(A221="","",N(INDEX(Projects[Act Controls Eng],220)))</f>
        <v/>
      </c>
      <c r="BU221" s="5">
        <f>IF(A221="","",N(INDEX(Projects[Act Controls Purchase],220)))</f>
        <v/>
      </c>
      <c r="BV221" s="5">
        <f>IF(A221="","",N(INDEX(Projects[Act Software Eng],220)))</f>
        <v/>
      </c>
      <c r="BW221" s="5">
        <f>IF(A221="","",N(INDEX(Projects[Act 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INDEX(Projects[Sold Value (USD M)],220)</f>
        <v/>
      </c>
      <c r="CE221" s="5" t="n"/>
      <c r="CF221" s="5">
        <f>IF(A221="","",N(INDEX(Projects[Est Mech Inst],220)))</f>
        <v/>
      </c>
      <c r="CG221" s="5">
        <f>IF(A221="","",N(INDEX(Projects[Est Elec Inst],220)))</f>
        <v/>
      </c>
      <c r="CH221" s="5">
        <f>IF(A221="","",N(INDEX(Projects[Est Project Management],220)))</f>
        <v/>
      </c>
      <c r="CI221" s="5">
        <f>IF(A221="","",N(INDEX(Projects[Est Systems Eng],220)))</f>
        <v/>
      </c>
      <c r="CJ221" s="5">
        <f>IF(A221="","",N(INDEX(Projects[Est Mechanical Eng],220)))</f>
        <v/>
      </c>
      <c r="CK221" s="5">
        <f>IF(A221="","",N(INDEX(Projects[Est Structural Engineering],220)))</f>
        <v/>
      </c>
      <c r="CL221" s="5">
        <f>IF(A221="","",N(INDEX(Projects[Est Site Sup],220)))</f>
        <v/>
      </c>
      <c r="CM221" s="5">
        <f>IF(A221="","",N(INDEX(Projects[Est Controls Commissioning],220)))</f>
        <v/>
      </c>
      <c r="CN221" s="5">
        <f>IF(A221="","",N(INDEX(Projects[Est Systems Commissioning],220)))</f>
        <v/>
      </c>
      <c r="CO221" s="5">
        <f>IF(A221="","",N(INDEX(Projects[Est Service Commissioning],220)))</f>
        <v/>
      </c>
      <c r="CP221" s="5">
        <f>IF(A221="","",N(INDEX(Projects[Est Controls Eng],220)))</f>
        <v/>
      </c>
      <c r="CQ221" s="5">
        <f>IF(A221="","",N(INDEX(Projects[Est Controls Purchase],220)))</f>
        <v/>
      </c>
      <c r="CR221" s="5">
        <f>IF(A221="","",N(INDEX(Projects[Est Software Eng],220)))</f>
        <v/>
      </c>
      <c r="CS221" s="5">
        <f>IF(A221="","",N(INDEX(Projects[Est Misc],220)))</f>
        <v/>
      </c>
      <c r="CT221" s="5">
        <f>IF(A221="","",SUM(CF221:CS221))</f>
        <v/>
      </c>
      <c r="CU221" s="5">
        <f>INDEX(Projects[Est Cost (M)],220)</f>
        <v/>
      </c>
      <c r="CV221" s="5">
        <f>INDEX(Projects[Act Cost (M)],220)</f>
        <v/>
      </c>
      <c r="CW221" s="5">
        <f>INDEX(Projects[Plan Mech Eng (wks)],220)</f>
        <v/>
      </c>
      <c r="CX221" s="5">
        <f>INDEX(Projects[Plan Controls Eng (wks)],220)</f>
        <v/>
      </c>
      <c r="CY221" s="5">
        <f>INDEX(Projects[Plan Systems Eng (wks)],220)</f>
        <v/>
      </c>
      <c r="CZ221" s="5">
        <f>INDEX(Projects[Plan Software Eng (wks)],220)</f>
        <v/>
      </c>
      <c r="DA221" s="5">
        <f>INDEX(Projects[Plan M&amp;E Installation (wks)],220)</f>
        <v/>
      </c>
      <c r="DB221" s="5">
        <f>INDEX(Projects[Plan Commissioning (wks)],220)</f>
        <v/>
      </c>
      <c r="DC221" s="5">
        <f>INDEX(Projects[Plan Total (wks)],220)</f>
        <v/>
      </c>
      <c r="DD221" s="5">
        <f>INDEX(Projects[Act Mech Eng (wks)],220)</f>
        <v/>
      </c>
      <c r="DE221" s="5">
        <f>INDEX(Projects[Act Controls Eng (wks)],220)</f>
        <v/>
      </c>
      <c r="DF221" s="5">
        <f>INDEX(Projects[Act Systems Eng (wks)],220)</f>
        <v/>
      </c>
      <c r="DG221" s="5">
        <f>INDEX(Projects[Act Software Eng (wks)],220)</f>
        <v/>
      </c>
      <c r="DH221" s="5">
        <f>INDEX(Projects[Act M&amp;E Installation (wks)],220)</f>
        <v/>
      </c>
      <c r="DI221" s="5">
        <f>INDEX(Projects[Act Commissioning (wks)],220)</f>
        <v/>
      </c>
      <c r="DJ221" s="5">
        <f>INDEX(Projects[Act Total (wks)],220)</f>
        <v/>
      </c>
    </row>
    <row r="222" ht="15" customHeight="1" s="82">
      <c r="A222" s="64">
        <f>INDEX(Projects[Project ID *],221)&amp;""</f>
        <v/>
      </c>
      <c r="B222" s="64">
        <f>INDEX(Projects[Project Name *],221)&amp;""</f>
        <v/>
      </c>
      <c r="C222" s="64">
        <f>INDEX(Projects[MS Shuttles],221)</f>
        <v/>
      </c>
      <c r="D222" s="64">
        <f>INDEX(Projects[MS Tote Locations],221)</f>
        <v/>
      </c>
      <c r="E222" s="64">
        <f>INDEX(Projects[AS Robots],221)</f>
        <v/>
      </c>
      <c r="F222" s="64">
        <f>INDEX(Projects[AS Tote Locations],221)</f>
        <v/>
      </c>
      <c r="G222" s="64">
        <f>INDEX(Projects[PS Shuttles],221)</f>
        <v/>
      </c>
      <c r="H222" s="64">
        <f>INDEX(Projects[PS Pallet Locations],221)</f>
        <v/>
      </c>
      <c r="I222" s="64">
        <f>INDEX(Projects[SRM Cranes],221)</f>
        <v/>
      </c>
      <c r="J222" s="64">
        <f>INDEX(Projects[SRM Pallet Locations],221)</f>
        <v/>
      </c>
      <c r="K222" s="64">
        <f>INDEX(Projects[Case Conv (m)],221)</f>
        <v/>
      </c>
      <c r="L222" s="64">
        <f>INDEX(Projects[Pallet Conv (m)],221)</f>
        <v/>
      </c>
      <c r="M222" s="64">
        <f>IF(N(DJ222)&gt;0,DD222,CW222)</f>
        <v/>
      </c>
      <c r="N222" s="64">
        <f>IF(N(DJ222)&gt;0,DE222,CX222)</f>
        <v/>
      </c>
      <c r="O222" s="64">
        <f>IF(N(DJ222)&gt;0,DF222,CY222)</f>
        <v/>
      </c>
      <c r="P222" s="64">
        <f>IF(N(DJ222)&gt;0,DG222,CZ222)</f>
        <v/>
      </c>
      <c r="Q222" s="64">
        <f>IF(N(DJ222)&gt;0,DH222,DA222)</f>
        <v/>
      </c>
      <c r="R222" s="64">
        <f>IF(N(DJ222)&gt;0,DI222,DB222)</f>
        <v/>
      </c>
      <c r="S222" s="64">
        <f>IF(N(DJ222)&gt;0,DJ222,DC222)</f>
        <v/>
      </c>
      <c r="T222" s="64">
        <f>INDEX(Projects[Currency],221)&amp;""</f>
        <v/>
      </c>
      <c r="U222" s="65">
        <f>INDEX(Projects[Sold Value (M)],221)</f>
        <v/>
      </c>
      <c r="V222" s="64">
        <f>IF('Smart Search'!B13=1,IFERROR(1/'Smart Search'!H13,0),0)</f>
        <v/>
      </c>
      <c r="W222" s="64">
        <f>IF('Smart Search'!B13=1,IFERROR(1/'Smart Search'!H13,0),0)</f>
        <v/>
      </c>
      <c r="X222" s="64">
        <f>IF('Smart Search'!C13=1,IFERROR(1/'Smart Search'!H13,0),0)</f>
        <v/>
      </c>
      <c r="Y222" s="64">
        <f>IF('Smart Search'!C13=1,IFERROR(1/'Smart Search'!H13,0),0)</f>
        <v/>
      </c>
      <c r="Z222" s="64">
        <f>IF('Smart Search'!D13=1,IFERROR(1/'Smart Search'!H13,0),0)</f>
        <v/>
      </c>
      <c r="AA222" s="64">
        <f>IF('Smart Search'!D13=1,IFERROR(1/'Smart Search'!H13,0),0)</f>
        <v/>
      </c>
      <c r="AB222" s="64">
        <f>IF('Smart Search'!E13=1,IFERROR(1/'Smart Search'!H13,0),0)</f>
        <v/>
      </c>
      <c r="AC222" s="64">
        <f>IF('Smart Search'!E13=1,IFERROR(1/'Smart Search'!H13,0),0)</f>
        <v/>
      </c>
      <c r="AD222" s="64">
        <f>IF('Smart Search'!F13=1,IFERROR(1/'Smart Search'!H13,0),0)</f>
        <v/>
      </c>
      <c r="AE222" s="64">
        <f>IF('Smart Search'!F13=1,IFERROR(1/'Smart Search'!H13,0),0)</f>
        <v/>
      </c>
      <c r="AF222" s="64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4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4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4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4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4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4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4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4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4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4">
        <f>AF222*V222</f>
        <v/>
      </c>
      <c r="AQ222" s="64">
        <f>AG222*W222</f>
        <v/>
      </c>
      <c r="AR222" s="64">
        <f>AH222*X222</f>
        <v/>
      </c>
      <c r="AS222" s="64">
        <f>AI222*Y222</f>
        <v/>
      </c>
      <c r="AT222" s="64">
        <f>AJ222*Z222</f>
        <v/>
      </c>
      <c r="AU222" s="64">
        <f>AK222*AA222</f>
        <v/>
      </c>
      <c r="AV222" s="64">
        <f>AL222*AB222</f>
        <v/>
      </c>
      <c r="AW222" s="64">
        <f>AM222*AC222</f>
        <v/>
      </c>
      <c r="AX222" s="64">
        <f>AN222*AD222</f>
        <v/>
      </c>
      <c r="AY222" s="64">
        <f>AO222*AE222</f>
        <v/>
      </c>
      <c r="AZ222" s="64">
        <f>INDEX(Projects[Automation Equipment],221)&amp;""</f>
        <v/>
      </c>
      <c r="BA222" s="64">
        <f>IF(OR(A222="",'Smart Search'!H13=0),"",MAX(0,BE222*BF222*MAX(0,1-BG222)))</f>
        <v/>
      </c>
      <c r="BB222" s="64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4">
        <f>IF('Smart Search'!G13=1,IFERROR(1/'Smart Search'!H13,0),0)</f>
        <v/>
      </c>
      <c r="BD222" s="64">
        <f>BB222*BC222</f>
        <v/>
      </c>
      <c r="BE222" s="64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IF(A222="","",N(INDEX(Projects[Act Mech Inst],221)))</f>
        <v/>
      </c>
      <c r="BK222" s="5">
        <f>IF(A222="","",N(INDEX(Projects[Act Elec Inst],221)))</f>
        <v/>
      </c>
      <c r="BL222" s="5">
        <f>IF(A222="","",N(INDEX(Projects[Act Project Management],221)))</f>
        <v/>
      </c>
      <c r="BM222" s="5">
        <f>IF(A222="","",N(INDEX(Projects[Act Systems Eng],221)))</f>
        <v/>
      </c>
      <c r="BN222" s="5">
        <f>IF(A222="","",N(INDEX(Projects[Act Mechanical Eng],221)))</f>
        <v/>
      </c>
      <c r="BO222" s="5">
        <f>IF(A222="","",N(INDEX(Projects[Act Structural Engineering],221)))</f>
        <v/>
      </c>
      <c r="BP222" s="5">
        <f>IF(A222="","",N(INDEX(Projects[Act Site Sup],221)))</f>
        <v/>
      </c>
      <c r="BQ222" s="5">
        <f>IF(A222="","",N(INDEX(Projects[Act Controls Commissioning],221)))</f>
        <v/>
      </c>
      <c r="BR222" s="5">
        <f>IF(A222="","",N(INDEX(Projects[Act Systems Commissioning],221)))</f>
        <v/>
      </c>
      <c r="BS222" s="5">
        <f>IF(A222="","",N(INDEX(Projects[Act Service Commissioning],221)))</f>
        <v/>
      </c>
      <c r="BT222" s="5">
        <f>IF(A222="","",N(INDEX(Projects[Act Controls Eng],221)))</f>
        <v/>
      </c>
      <c r="BU222" s="5">
        <f>IF(A222="","",N(INDEX(Projects[Act Controls Purchase],221)))</f>
        <v/>
      </c>
      <c r="BV222" s="5">
        <f>IF(A222="","",N(INDEX(Projects[Act Software Eng],221)))</f>
        <v/>
      </c>
      <c r="BW222" s="5">
        <f>IF(A222="","",N(INDEX(Projects[Act 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INDEX(Projects[Sold Value (USD M)],221)</f>
        <v/>
      </c>
      <c r="CE222" s="5" t="n"/>
      <c r="CF222" s="5">
        <f>IF(A222="","",N(INDEX(Projects[Est Mech Inst],221)))</f>
        <v/>
      </c>
      <c r="CG222" s="5">
        <f>IF(A222="","",N(INDEX(Projects[Est Elec Inst],221)))</f>
        <v/>
      </c>
      <c r="CH222" s="5">
        <f>IF(A222="","",N(INDEX(Projects[Est Project Management],221)))</f>
        <v/>
      </c>
      <c r="CI222" s="5">
        <f>IF(A222="","",N(INDEX(Projects[Est Systems Eng],221)))</f>
        <v/>
      </c>
      <c r="CJ222" s="5">
        <f>IF(A222="","",N(INDEX(Projects[Est Mechanical Eng],221)))</f>
        <v/>
      </c>
      <c r="CK222" s="5">
        <f>IF(A222="","",N(INDEX(Projects[Est Structural Engineering],221)))</f>
        <v/>
      </c>
      <c r="CL222" s="5">
        <f>IF(A222="","",N(INDEX(Projects[Est Site Sup],221)))</f>
        <v/>
      </c>
      <c r="CM222" s="5">
        <f>IF(A222="","",N(INDEX(Projects[Est Controls Commissioning],221)))</f>
        <v/>
      </c>
      <c r="CN222" s="5">
        <f>IF(A222="","",N(INDEX(Projects[Est Systems Commissioning],221)))</f>
        <v/>
      </c>
      <c r="CO222" s="5">
        <f>IF(A222="","",N(INDEX(Projects[Est Service Commissioning],221)))</f>
        <v/>
      </c>
      <c r="CP222" s="5">
        <f>IF(A222="","",N(INDEX(Projects[Est Controls Eng],221)))</f>
        <v/>
      </c>
      <c r="CQ222" s="5">
        <f>IF(A222="","",N(INDEX(Projects[Est Controls Purchase],221)))</f>
        <v/>
      </c>
      <c r="CR222" s="5">
        <f>IF(A222="","",N(INDEX(Projects[Est Software Eng],221)))</f>
        <v/>
      </c>
      <c r="CS222" s="5">
        <f>IF(A222="","",N(INDEX(Projects[Est Misc],221)))</f>
        <v/>
      </c>
      <c r="CT222" s="5">
        <f>IF(A222="","",SUM(CF222:CS222))</f>
        <v/>
      </c>
      <c r="CU222" s="5">
        <f>INDEX(Projects[Est Cost (M)],221)</f>
        <v/>
      </c>
      <c r="CV222" s="5">
        <f>INDEX(Projects[Act Cost (M)],221)</f>
        <v/>
      </c>
      <c r="CW222" s="5">
        <f>INDEX(Projects[Plan Mech Eng (wks)],221)</f>
        <v/>
      </c>
      <c r="CX222" s="5">
        <f>INDEX(Projects[Plan Controls Eng (wks)],221)</f>
        <v/>
      </c>
      <c r="CY222" s="5">
        <f>INDEX(Projects[Plan Systems Eng (wks)],221)</f>
        <v/>
      </c>
      <c r="CZ222" s="5">
        <f>INDEX(Projects[Plan Software Eng (wks)],221)</f>
        <v/>
      </c>
      <c r="DA222" s="5">
        <f>INDEX(Projects[Plan M&amp;E Installation (wks)],221)</f>
        <v/>
      </c>
      <c r="DB222" s="5">
        <f>INDEX(Projects[Plan Commissioning (wks)],221)</f>
        <v/>
      </c>
      <c r="DC222" s="5">
        <f>INDEX(Projects[Plan Total (wks)],221)</f>
        <v/>
      </c>
      <c r="DD222" s="5">
        <f>INDEX(Projects[Act Mech Eng (wks)],221)</f>
        <v/>
      </c>
      <c r="DE222" s="5">
        <f>INDEX(Projects[Act Controls Eng (wks)],221)</f>
        <v/>
      </c>
      <c r="DF222" s="5">
        <f>INDEX(Projects[Act Systems Eng (wks)],221)</f>
        <v/>
      </c>
      <c r="DG222" s="5">
        <f>INDEX(Projects[Act Software Eng (wks)],221)</f>
        <v/>
      </c>
      <c r="DH222" s="5">
        <f>INDEX(Projects[Act M&amp;E Installation (wks)],221)</f>
        <v/>
      </c>
      <c r="DI222" s="5">
        <f>INDEX(Projects[Act Commissioning (wks)],221)</f>
        <v/>
      </c>
      <c r="DJ222" s="5">
        <f>INDEX(Projects[Act Total (wks)],221)</f>
        <v/>
      </c>
    </row>
    <row r="223" ht="15" customHeight="1" s="82">
      <c r="A223" s="64">
        <f>INDEX(Projects[Project ID *],222)&amp;""</f>
        <v/>
      </c>
      <c r="B223" s="64">
        <f>INDEX(Projects[Project Name *],222)&amp;""</f>
        <v/>
      </c>
      <c r="C223" s="64">
        <f>INDEX(Projects[MS Shuttles],222)</f>
        <v/>
      </c>
      <c r="D223" s="64">
        <f>INDEX(Projects[MS Tote Locations],222)</f>
        <v/>
      </c>
      <c r="E223" s="64">
        <f>INDEX(Projects[AS Robots],222)</f>
        <v/>
      </c>
      <c r="F223" s="64">
        <f>INDEX(Projects[AS Tote Locations],222)</f>
        <v/>
      </c>
      <c r="G223" s="64">
        <f>INDEX(Projects[PS Shuttles],222)</f>
        <v/>
      </c>
      <c r="H223" s="64">
        <f>INDEX(Projects[PS Pallet Locations],222)</f>
        <v/>
      </c>
      <c r="I223" s="64">
        <f>INDEX(Projects[SRM Cranes],222)</f>
        <v/>
      </c>
      <c r="J223" s="64">
        <f>INDEX(Projects[SRM Pallet Locations],222)</f>
        <v/>
      </c>
      <c r="K223" s="64">
        <f>INDEX(Projects[Case Conv (m)],222)</f>
        <v/>
      </c>
      <c r="L223" s="64">
        <f>INDEX(Projects[Pallet Conv (m)],222)</f>
        <v/>
      </c>
      <c r="M223" s="64">
        <f>IF(N(DJ223)&gt;0,DD223,CW223)</f>
        <v/>
      </c>
      <c r="N223" s="64">
        <f>IF(N(DJ223)&gt;0,DE223,CX223)</f>
        <v/>
      </c>
      <c r="O223" s="64">
        <f>IF(N(DJ223)&gt;0,DF223,CY223)</f>
        <v/>
      </c>
      <c r="P223" s="64">
        <f>IF(N(DJ223)&gt;0,DG223,CZ223)</f>
        <v/>
      </c>
      <c r="Q223" s="64">
        <f>IF(N(DJ223)&gt;0,DH223,DA223)</f>
        <v/>
      </c>
      <c r="R223" s="64">
        <f>IF(N(DJ223)&gt;0,DI223,DB223)</f>
        <v/>
      </c>
      <c r="S223" s="64">
        <f>IF(N(DJ223)&gt;0,DJ223,DC223)</f>
        <v/>
      </c>
      <c r="T223" s="64">
        <f>INDEX(Projects[Currency],222)&amp;""</f>
        <v/>
      </c>
      <c r="U223" s="65">
        <f>INDEX(Projects[Sold Value (M)],222)</f>
        <v/>
      </c>
      <c r="V223" s="64">
        <f>IF('Smart Search'!B13=1,IFERROR(1/'Smart Search'!H13,0),0)</f>
        <v/>
      </c>
      <c r="W223" s="64">
        <f>IF('Smart Search'!B13=1,IFERROR(1/'Smart Search'!H13,0),0)</f>
        <v/>
      </c>
      <c r="X223" s="64">
        <f>IF('Smart Search'!C13=1,IFERROR(1/'Smart Search'!H13,0),0)</f>
        <v/>
      </c>
      <c r="Y223" s="64">
        <f>IF('Smart Search'!C13=1,IFERROR(1/'Smart Search'!H13,0),0)</f>
        <v/>
      </c>
      <c r="Z223" s="64">
        <f>IF('Smart Search'!D13=1,IFERROR(1/'Smart Search'!H13,0),0)</f>
        <v/>
      </c>
      <c r="AA223" s="64">
        <f>IF('Smart Search'!D13=1,IFERROR(1/'Smart Search'!H13,0),0)</f>
        <v/>
      </c>
      <c r="AB223" s="64">
        <f>IF('Smart Search'!E13=1,IFERROR(1/'Smart Search'!H13,0),0)</f>
        <v/>
      </c>
      <c r="AC223" s="64">
        <f>IF('Smart Search'!E13=1,IFERROR(1/'Smart Search'!H13,0),0)</f>
        <v/>
      </c>
      <c r="AD223" s="64">
        <f>IF('Smart Search'!F13=1,IFERROR(1/'Smart Search'!H13,0),0)</f>
        <v/>
      </c>
      <c r="AE223" s="64">
        <f>IF('Smart Search'!F13=1,IFERROR(1/'Smart Search'!H13,0),0)</f>
        <v/>
      </c>
      <c r="AF223" s="64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4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4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4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4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4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4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4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4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4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4">
        <f>AF223*V223</f>
        <v/>
      </c>
      <c r="AQ223" s="64">
        <f>AG223*W223</f>
        <v/>
      </c>
      <c r="AR223" s="64">
        <f>AH223*X223</f>
        <v/>
      </c>
      <c r="AS223" s="64">
        <f>AI223*Y223</f>
        <v/>
      </c>
      <c r="AT223" s="64">
        <f>AJ223*Z223</f>
        <v/>
      </c>
      <c r="AU223" s="64">
        <f>AK223*AA223</f>
        <v/>
      </c>
      <c r="AV223" s="64">
        <f>AL223*AB223</f>
        <v/>
      </c>
      <c r="AW223" s="64">
        <f>AM223*AC223</f>
        <v/>
      </c>
      <c r="AX223" s="64">
        <f>AN223*AD223</f>
        <v/>
      </c>
      <c r="AY223" s="64">
        <f>AO223*AE223</f>
        <v/>
      </c>
      <c r="AZ223" s="64">
        <f>INDEX(Projects[Automation Equipment],222)&amp;""</f>
        <v/>
      </c>
      <c r="BA223" s="64">
        <f>IF(OR(A223="",'Smart Search'!H13=0),"",MAX(0,BE223*BF223*MAX(0,1-BG223)))</f>
        <v/>
      </c>
      <c r="BB223" s="64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4">
        <f>IF('Smart Search'!G13=1,IFERROR(1/'Smart Search'!H13,0),0)</f>
        <v/>
      </c>
      <c r="BD223" s="64">
        <f>BB223*BC223</f>
        <v/>
      </c>
      <c r="BE223" s="64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IF(A223="","",N(INDEX(Projects[Act Mech Inst],222)))</f>
        <v/>
      </c>
      <c r="BK223" s="5">
        <f>IF(A223="","",N(INDEX(Projects[Act Elec Inst],222)))</f>
        <v/>
      </c>
      <c r="BL223" s="5">
        <f>IF(A223="","",N(INDEX(Projects[Act Project Management],222)))</f>
        <v/>
      </c>
      <c r="BM223" s="5">
        <f>IF(A223="","",N(INDEX(Projects[Act Systems Eng],222)))</f>
        <v/>
      </c>
      <c r="BN223" s="5">
        <f>IF(A223="","",N(INDEX(Projects[Act Mechanical Eng],222)))</f>
        <v/>
      </c>
      <c r="BO223" s="5">
        <f>IF(A223="","",N(INDEX(Projects[Act Structural Engineering],222)))</f>
        <v/>
      </c>
      <c r="BP223" s="5">
        <f>IF(A223="","",N(INDEX(Projects[Act Site Sup],222)))</f>
        <v/>
      </c>
      <c r="BQ223" s="5">
        <f>IF(A223="","",N(INDEX(Projects[Act Controls Commissioning],222)))</f>
        <v/>
      </c>
      <c r="BR223" s="5">
        <f>IF(A223="","",N(INDEX(Projects[Act Systems Commissioning],222)))</f>
        <v/>
      </c>
      <c r="BS223" s="5">
        <f>IF(A223="","",N(INDEX(Projects[Act Service Commissioning],222)))</f>
        <v/>
      </c>
      <c r="BT223" s="5">
        <f>IF(A223="","",N(INDEX(Projects[Act Controls Eng],222)))</f>
        <v/>
      </c>
      <c r="BU223" s="5">
        <f>IF(A223="","",N(INDEX(Projects[Act Controls Purchase],222)))</f>
        <v/>
      </c>
      <c r="BV223" s="5">
        <f>IF(A223="","",N(INDEX(Projects[Act Software Eng],222)))</f>
        <v/>
      </c>
      <c r="BW223" s="5">
        <f>IF(A223="","",N(INDEX(Projects[Act 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INDEX(Projects[Sold Value (USD M)],222)</f>
        <v/>
      </c>
      <c r="CE223" s="5" t="n"/>
      <c r="CF223" s="5">
        <f>IF(A223="","",N(INDEX(Projects[Est Mech Inst],222)))</f>
        <v/>
      </c>
      <c r="CG223" s="5">
        <f>IF(A223="","",N(INDEX(Projects[Est Elec Inst],222)))</f>
        <v/>
      </c>
      <c r="CH223" s="5">
        <f>IF(A223="","",N(INDEX(Projects[Est Project Management],222)))</f>
        <v/>
      </c>
      <c r="CI223" s="5">
        <f>IF(A223="","",N(INDEX(Projects[Est Systems Eng],222)))</f>
        <v/>
      </c>
      <c r="CJ223" s="5">
        <f>IF(A223="","",N(INDEX(Projects[Est Mechanical Eng],222)))</f>
        <v/>
      </c>
      <c r="CK223" s="5">
        <f>IF(A223="","",N(INDEX(Projects[Est Structural Engineering],222)))</f>
        <v/>
      </c>
      <c r="CL223" s="5">
        <f>IF(A223="","",N(INDEX(Projects[Est Site Sup],222)))</f>
        <v/>
      </c>
      <c r="CM223" s="5">
        <f>IF(A223="","",N(INDEX(Projects[Est Controls Commissioning],222)))</f>
        <v/>
      </c>
      <c r="CN223" s="5">
        <f>IF(A223="","",N(INDEX(Projects[Est Systems Commissioning],222)))</f>
        <v/>
      </c>
      <c r="CO223" s="5">
        <f>IF(A223="","",N(INDEX(Projects[Est Service Commissioning],222)))</f>
        <v/>
      </c>
      <c r="CP223" s="5">
        <f>IF(A223="","",N(INDEX(Projects[Est Controls Eng],222)))</f>
        <v/>
      </c>
      <c r="CQ223" s="5">
        <f>IF(A223="","",N(INDEX(Projects[Est Controls Purchase],222)))</f>
        <v/>
      </c>
      <c r="CR223" s="5">
        <f>IF(A223="","",N(INDEX(Projects[Est Software Eng],222)))</f>
        <v/>
      </c>
      <c r="CS223" s="5">
        <f>IF(A223="","",N(INDEX(Projects[Est Misc],222)))</f>
        <v/>
      </c>
      <c r="CT223" s="5">
        <f>IF(A223="","",SUM(CF223:CS223))</f>
        <v/>
      </c>
      <c r="CU223" s="5">
        <f>INDEX(Projects[Est Cost (M)],222)</f>
        <v/>
      </c>
      <c r="CV223" s="5">
        <f>INDEX(Projects[Act Cost (M)],222)</f>
        <v/>
      </c>
      <c r="CW223" s="5">
        <f>INDEX(Projects[Plan Mech Eng (wks)],222)</f>
        <v/>
      </c>
      <c r="CX223" s="5">
        <f>INDEX(Projects[Plan Controls Eng (wks)],222)</f>
        <v/>
      </c>
      <c r="CY223" s="5">
        <f>INDEX(Projects[Plan Systems Eng (wks)],222)</f>
        <v/>
      </c>
      <c r="CZ223" s="5">
        <f>INDEX(Projects[Plan Software Eng (wks)],222)</f>
        <v/>
      </c>
      <c r="DA223" s="5">
        <f>INDEX(Projects[Plan M&amp;E Installation (wks)],222)</f>
        <v/>
      </c>
      <c r="DB223" s="5">
        <f>INDEX(Projects[Plan Commissioning (wks)],222)</f>
        <v/>
      </c>
      <c r="DC223" s="5">
        <f>INDEX(Projects[Plan Total (wks)],222)</f>
        <v/>
      </c>
      <c r="DD223" s="5">
        <f>INDEX(Projects[Act Mech Eng (wks)],222)</f>
        <v/>
      </c>
      <c r="DE223" s="5">
        <f>INDEX(Projects[Act Controls Eng (wks)],222)</f>
        <v/>
      </c>
      <c r="DF223" s="5">
        <f>INDEX(Projects[Act Systems Eng (wks)],222)</f>
        <v/>
      </c>
      <c r="DG223" s="5">
        <f>INDEX(Projects[Act Software Eng (wks)],222)</f>
        <v/>
      </c>
      <c r="DH223" s="5">
        <f>INDEX(Projects[Act M&amp;E Installation (wks)],222)</f>
        <v/>
      </c>
      <c r="DI223" s="5">
        <f>INDEX(Projects[Act Commissioning (wks)],222)</f>
        <v/>
      </c>
      <c r="DJ223" s="5">
        <f>INDEX(Projects[Act Total (wks)],222)</f>
        <v/>
      </c>
    </row>
    <row r="224" ht="15" customHeight="1" s="82">
      <c r="A224" s="64">
        <f>INDEX(Projects[Project ID *],223)&amp;""</f>
        <v/>
      </c>
      <c r="B224" s="64">
        <f>INDEX(Projects[Project Name *],223)&amp;""</f>
        <v/>
      </c>
      <c r="C224" s="64">
        <f>INDEX(Projects[MS Shuttles],223)</f>
        <v/>
      </c>
      <c r="D224" s="64">
        <f>INDEX(Projects[MS Tote Locations],223)</f>
        <v/>
      </c>
      <c r="E224" s="64">
        <f>INDEX(Projects[AS Robots],223)</f>
        <v/>
      </c>
      <c r="F224" s="64">
        <f>INDEX(Projects[AS Tote Locations],223)</f>
        <v/>
      </c>
      <c r="G224" s="64">
        <f>INDEX(Projects[PS Shuttles],223)</f>
        <v/>
      </c>
      <c r="H224" s="64">
        <f>INDEX(Projects[PS Pallet Locations],223)</f>
        <v/>
      </c>
      <c r="I224" s="64">
        <f>INDEX(Projects[SRM Cranes],223)</f>
        <v/>
      </c>
      <c r="J224" s="64">
        <f>INDEX(Projects[SRM Pallet Locations],223)</f>
        <v/>
      </c>
      <c r="K224" s="64">
        <f>INDEX(Projects[Case Conv (m)],223)</f>
        <v/>
      </c>
      <c r="L224" s="64">
        <f>INDEX(Projects[Pallet Conv (m)],223)</f>
        <v/>
      </c>
      <c r="M224" s="64">
        <f>IF(N(DJ224)&gt;0,DD224,CW224)</f>
        <v/>
      </c>
      <c r="N224" s="64">
        <f>IF(N(DJ224)&gt;0,DE224,CX224)</f>
        <v/>
      </c>
      <c r="O224" s="64">
        <f>IF(N(DJ224)&gt;0,DF224,CY224)</f>
        <v/>
      </c>
      <c r="P224" s="64">
        <f>IF(N(DJ224)&gt;0,DG224,CZ224)</f>
        <v/>
      </c>
      <c r="Q224" s="64">
        <f>IF(N(DJ224)&gt;0,DH224,DA224)</f>
        <v/>
      </c>
      <c r="R224" s="64">
        <f>IF(N(DJ224)&gt;0,DI224,DB224)</f>
        <v/>
      </c>
      <c r="S224" s="64">
        <f>IF(N(DJ224)&gt;0,DJ224,DC224)</f>
        <v/>
      </c>
      <c r="T224" s="64">
        <f>INDEX(Projects[Currency],223)&amp;""</f>
        <v/>
      </c>
      <c r="U224" s="65">
        <f>INDEX(Projects[Sold Value (M)],223)</f>
        <v/>
      </c>
      <c r="V224" s="64">
        <f>IF('Smart Search'!B13=1,IFERROR(1/'Smart Search'!H13,0),0)</f>
        <v/>
      </c>
      <c r="W224" s="64">
        <f>IF('Smart Search'!B13=1,IFERROR(1/'Smart Search'!H13,0),0)</f>
        <v/>
      </c>
      <c r="X224" s="64">
        <f>IF('Smart Search'!C13=1,IFERROR(1/'Smart Search'!H13,0),0)</f>
        <v/>
      </c>
      <c r="Y224" s="64">
        <f>IF('Smart Search'!C13=1,IFERROR(1/'Smart Search'!H13,0),0)</f>
        <v/>
      </c>
      <c r="Z224" s="64">
        <f>IF('Smart Search'!D13=1,IFERROR(1/'Smart Search'!H13,0),0)</f>
        <v/>
      </c>
      <c r="AA224" s="64">
        <f>IF('Smart Search'!D13=1,IFERROR(1/'Smart Search'!H13,0),0)</f>
        <v/>
      </c>
      <c r="AB224" s="64">
        <f>IF('Smart Search'!E13=1,IFERROR(1/'Smart Search'!H13,0),0)</f>
        <v/>
      </c>
      <c r="AC224" s="64">
        <f>IF('Smart Search'!E13=1,IFERROR(1/'Smart Search'!H13,0),0)</f>
        <v/>
      </c>
      <c r="AD224" s="64">
        <f>IF('Smart Search'!F13=1,IFERROR(1/'Smart Search'!H13,0),0)</f>
        <v/>
      </c>
      <c r="AE224" s="64">
        <f>IF('Smart Search'!F13=1,IFERROR(1/'Smart Search'!H13,0),0)</f>
        <v/>
      </c>
      <c r="AF224" s="64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4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4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4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4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4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4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4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4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4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4">
        <f>AF224*V224</f>
        <v/>
      </c>
      <c r="AQ224" s="64">
        <f>AG224*W224</f>
        <v/>
      </c>
      <c r="AR224" s="64">
        <f>AH224*X224</f>
        <v/>
      </c>
      <c r="AS224" s="64">
        <f>AI224*Y224</f>
        <v/>
      </c>
      <c r="AT224" s="64">
        <f>AJ224*Z224</f>
        <v/>
      </c>
      <c r="AU224" s="64">
        <f>AK224*AA224</f>
        <v/>
      </c>
      <c r="AV224" s="64">
        <f>AL224*AB224</f>
        <v/>
      </c>
      <c r="AW224" s="64">
        <f>AM224*AC224</f>
        <v/>
      </c>
      <c r="AX224" s="64">
        <f>AN224*AD224</f>
        <v/>
      </c>
      <c r="AY224" s="64">
        <f>AO224*AE224</f>
        <v/>
      </c>
      <c r="AZ224" s="64">
        <f>INDEX(Projects[Automation Equipment],223)&amp;""</f>
        <v/>
      </c>
      <c r="BA224" s="64">
        <f>IF(OR(A224="",'Smart Search'!H13=0),"",MAX(0,BE224*BF224*MAX(0,1-BG224)))</f>
        <v/>
      </c>
      <c r="BB224" s="64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4">
        <f>IF('Smart Search'!G13=1,IFERROR(1/'Smart Search'!H13,0),0)</f>
        <v/>
      </c>
      <c r="BD224" s="64">
        <f>BB224*BC224</f>
        <v/>
      </c>
      <c r="BE224" s="64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IF(A224="","",N(INDEX(Projects[Act Mech Inst],223)))</f>
        <v/>
      </c>
      <c r="BK224" s="5">
        <f>IF(A224="","",N(INDEX(Projects[Act Elec Inst],223)))</f>
        <v/>
      </c>
      <c r="BL224" s="5">
        <f>IF(A224="","",N(INDEX(Projects[Act Project Management],223)))</f>
        <v/>
      </c>
      <c r="BM224" s="5">
        <f>IF(A224="","",N(INDEX(Projects[Act Systems Eng],223)))</f>
        <v/>
      </c>
      <c r="BN224" s="5">
        <f>IF(A224="","",N(INDEX(Projects[Act Mechanical Eng],223)))</f>
        <v/>
      </c>
      <c r="BO224" s="5">
        <f>IF(A224="","",N(INDEX(Projects[Act Structural Engineering],223)))</f>
        <v/>
      </c>
      <c r="BP224" s="5">
        <f>IF(A224="","",N(INDEX(Projects[Act Site Sup],223)))</f>
        <v/>
      </c>
      <c r="BQ224" s="5">
        <f>IF(A224="","",N(INDEX(Projects[Act Controls Commissioning],223)))</f>
        <v/>
      </c>
      <c r="BR224" s="5">
        <f>IF(A224="","",N(INDEX(Projects[Act Systems Commissioning],223)))</f>
        <v/>
      </c>
      <c r="BS224" s="5">
        <f>IF(A224="","",N(INDEX(Projects[Act Service Commissioning],223)))</f>
        <v/>
      </c>
      <c r="BT224" s="5">
        <f>IF(A224="","",N(INDEX(Projects[Act Controls Eng],223)))</f>
        <v/>
      </c>
      <c r="BU224" s="5">
        <f>IF(A224="","",N(INDEX(Projects[Act Controls Purchase],223)))</f>
        <v/>
      </c>
      <c r="BV224" s="5">
        <f>IF(A224="","",N(INDEX(Projects[Act Software Eng],223)))</f>
        <v/>
      </c>
      <c r="BW224" s="5">
        <f>IF(A224="","",N(INDEX(Projects[Act 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INDEX(Projects[Sold Value (USD M)],223)</f>
        <v/>
      </c>
      <c r="CE224" s="5" t="n"/>
      <c r="CF224" s="5">
        <f>IF(A224="","",N(INDEX(Projects[Est Mech Inst],223)))</f>
        <v/>
      </c>
      <c r="CG224" s="5">
        <f>IF(A224="","",N(INDEX(Projects[Est Elec Inst],223)))</f>
        <v/>
      </c>
      <c r="CH224" s="5">
        <f>IF(A224="","",N(INDEX(Projects[Est Project Management],223)))</f>
        <v/>
      </c>
      <c r="CI224" s="5">
        <f>IF(A224="","",N(INDEX(Projects[Est Systems Eng],223)))</f>
        <v/>
      </c>
      <c r="CJ224" s="5">
        <f>IF(A224="","",N(INDEX(Projects[Est Mechanical Eng],223)))</f>
        <v/>
      </c>
      <c r="CK224" s="5">
        <f>IF(A224="","",N(INDEX(Projects[Est Structural Engineering],223)))</f>
        <v/>
      </c>
      <c r="CL224" s="5">
        <f>IF(A224="","",N(INDEX(Projects[Est Site Sup],223)))</f>
        <v/>
      </c>
      <c r="CM224" s="5">
        <f>IF(A224="","",N(INDEX(Projects[Est Controls Commissioning],223)))</f>
        <v/>
      </c>
      <c r="CN224" s="5">
        <f>IF(A224="","",N(INDEX(Projects[Est Systems Commissioning],223)))</f>
        <v/>
      </c>
      <c r="CO224" s="5">
        <f>IF(A224="","",N(INDEX(Projects[Est Service Commissioning],223)))</f>
        <v/>
      </c>
      <c r="CP224" s="5">
        <f>IF(A224="","",N(INDEX(Projects[Est Controls Eng],223)))</f>
        <v/>
      </c>
      <c r="CQ224" s="5">
        <f>IF(A224="","",N(INDEX(Projects[Est Controls Purchase],223)))</f>
        <v/>
      </c>
      <c r="CR224" s="5">
        <f>IF(A224="","",N(INDEX(Projects[Est Software Eng],223)))</f>
        <v/>
      </c>
      <c r="CS224" s="5">
        <f>IF(A224="","",N(INDEX(Projects[Est Misc],223)))</f>
        <v/>
      </c>
      <c r="CT224" s="5">
        <f>IF(A224="","",SUM(CF224:CS224))</f>
        <v/>
      </c>
      <c r="CU224" s="5">
        <f>INDEX(Projects[Est Cost (M)],223)</f>
        <v/>
      </c>
      <c r="CV224" s="5">
        <f>INDEX(Projects[Act Cost (M)],223)</f>
        <v/>
      </c>
      <c r="CW224" s="5">
        <f>INDEX(Projects[Plan Mech Eng (wks)],223)</f>
        <v/>
      </c>
      <c r="CX224" s="5">
        <f>INDEX(Projects[Plan Controls Eng (wks)],223)</f>
        <v/>
      </c>
      <c r="CY224" s="5">
        <f>INDEX(Projects[Plan Systems Eng (wks)],223)</f>
        <v/>
      </c>
      <c r="CZ224" s="5">
        <f>INDEX(Projects[Plan Software Eng (wks)],223)</f>
        <v/>
      </c>
      <c r="DA224" s="5">
        <f>INDEX(Projects[Plan M&amp;E Installation (wks)],223)</f>
        <v/>
      </c>
      <c r="DB224" s="5">
        <f>INDEX(Projects[Plan Commissioning (wks)],223)</f>
        <v/>
      </c>
      <c r="DC224" s="5">
        <f>INDEX(Projects[Plan Total (wks)],223)</f>
        <v/>
      </c>
      <c r="DD224" s="5">
        <f>INDEX(Projects[Act Mech Eng (wks)],223)</f>
        <v/>
      </c>
      <c r="DE224" s="5">
        <f>INDEX(Projects[Act Controls Eng (wks)],223)</f>
        <v/>
      </c>
      <c r="DF224" s="5">
        <f>INDEX(Projects[Act Systems Eng (wks)],223)</f>
        <v/>
      </c>
      <c r="DG224" s="5">
        <f>INDEX(Projects[Act Software Eng (wks)],223)</f>
        <v/>
      </c>
      <c r="DH224" s="5">
        <f>INDEX(Projects[Act M&amp;E Installation (wks)],223)</f>
        <v/>
      </c>
      <c r="DI224" s="5">
        <f>INDEX(Projects[Act Commissioning (wks)],223)</f>
        <v/>
      </c>
      <c r="DJ224" s="5">
        <f>INDEX(Projects[Act Total (wks)],223)</f>
        <v/>
      </c>
    </row>
    <row r="225" ht="15" customHeight="1" s="82">
      <c r="A225" s="64">
        <f>INDEX(Projects[Project ID *],224)&amp;""</f>
        <v/>
      </c>
      <c r="B225" s="64">
        <f>INDEX(Projects[Project Name *],224)&amp;""</f>
        <v/>
      </c>
      <c r="C225" s="64">
        <f>INDEX(Projects[MS Shuttles],224)</f>
        <v/>
      </c>
      <c r="D225" s="64">
        <f>INDEX(Projects[MS Tote Locations],224)</f>
        <v/>
      </c>
      <c r="E225" s="64">
        <f>INDEX(Projects[AS Robots],224)</f>
        <v/>
      </c>
      <c r="F225" s="64">
        <f>INDEX(Projects[AS Tote Locations],224)</f>
        <v/>
      </c>
      <c r="G225" s="64">
        <f>INDEX(Projects[PS Shuttles],224)</f>
        <v/>
      </c>
      <c r="H225" s="64">
        <f>INDEX(Projects[PS Pallet Locations],224)</f>
        <v/>
      </c>
      <c r="I225" s="64">
        <f>INDEX(Projects[SRM Cranes],224)</f>
        <v/>
      </c>
      <c r="J225" s="64">
        <f>INDEX(Projects[SRM Pallet Locations],224)</f>
        <v/>
      </c>
      <c r="K225" s="64">
        <f>INDEX(Projects[Case Conv (m)],224)</f>
        <v/>
      </c>
      <c r="L225" s="64">
        <f>INDEX(Projects[Pallet Conv (m)],224)</f>
        <v/>
      </c>
      <c r="M225" s="64">
        <f>IF(N(DJ225)&gt;0,DD225,CW225)</f>
        <v/>
      </c>
      <c r="N225" s="64">
        <f>IF(N(DJ225)&gt;0,DE225,CX225)</f>
        <v/>
      </c>
      <c r="O225" s="64">
        <f>IF(N(DJ225)&gt;0,DF225,CY225)</f>
        <v/>
      </c>
      <c r="P225" s="64">
        <f>IF(N(DJ225)&gt;0,DG225,CZ225)</f>
        <v/>
      </c>
      <c r="Q225" s="64">
        <f>IF(N(DJ225)&gt;0,DH225,DA225)</f>
        <v/>
      </c>
      <c r="R225" s="64">
        <f>IF(N(DJ225)&gt;0,DI225,DB225)</f>
        <v/>
      </c>
      <c r="S225" s="64">
        <f>IF(N(DJ225)&gt;0,DJ225,DC225)</f>
        <v/>
      </c>
      <c r="T225" s="64">
        <f>INDEX(Projects[Currency],224)&amp;""</f>
        <v/>
      </c>
      <c r="U225" s="65">
        <f>INDEX(Projects[Sold Value (M)],224)</f>
        <v/>
      </c>
      <c r="V225" s="64">
        <f>IF('Smart Search'!B13=1,IFERROR(1/'Smart Search'!H13,0),0)</f>
        <v/>
      </c>
      <c r="W225" s="64">
        <f>IF('Smart Search'!B13=1,IFERROR(1/'Smart Search'!H13,0),0)</f>
        <v/>
      </c>
      <c r="X225" s="64">
        <f>IF('Smart Search'!C13=1,IFERROR(1/'Smart Search'!H13,0),0)</f>
        <v/>
      </c>
      <c r="Y225" s="64">
        <f>IF('Smart Search'!C13=1,IFERROR(1/'Smart Search'!H13,0),0)</f>
        <v/>
      </c>
      <c r="Z225" s="64">
        <f>IF('Smart Search'!D13=1,IFERROR(1/'Smart Search'!H13,0),0)</f>
        <v/>
      </c>
      <c r="AA225" s="64">
        <f>IF('Smart Search'!D13=1,IFERROR(1/'Smart Search'!H13,0),0)</f>
        <v/>
      </c>
      <c r="AB225" s="64">
        <f>IF('Smart Search'!E13=1,IFERROR(1/'Smart Search'!H13,0),0)</f>
        <v/>
      </c>
      <c r="AC225" s="64">
        <f>IF('Smart Search'!E13=1,IFERROR(1/'Smart Search'!H13,0),0)</f>
        <v/>
      </c>
      <c r="AD225" s="64">
        <f>IF('Smart Search'!F13=1,IFERROR(1/'Smart Search'!H13,0),0)</f>
        <v/>
      </c>
      <c r="AE225" s="64">
        <f>IF('Smart Search'!F13=1,IFERROR(1/'Smart Search'!H13,0),0)</f>
        <v/>
      </c>
      <c r="AF225" s="64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4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4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4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4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4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4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4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4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4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4">
        <f>AF225*V225</f>
        <v/>
      </c>
      <c r="AQ225" s="64">
        <f>AG225*W225</f>
        <v/>
      </c>
      <c r="AR225" s="64">
        <f>AH225*X225</f>
        <v/>
      </c>
      <c r="AS225" s="64">
        <f>AI225*Y225</f>
        <v/>
      </c>
      <c r="AT225" s="64">
        <f>AJ225*Z225</f>
        <v/>
      </c>
      <c r="AU225" s="64">
        <f>AK225*AA225</f>
        <v/>
      </c>
      <c r="AV225" s="64">
        <f>AL225*AB225</f>
        <v/>
      </c>
      <c r="AW225" s="64">
        <f>AM225*AC225</f>
        <v/>
      </c>
      <c r="AX225" s="64">
        <f>AN225*AD225</f>
        <v/>
      </c>
      <c r="AY225" s="64">
        <f>AO225*AE225</f>
        <v/>
      </c>
      <c r="AZ225" s="64">
        <f>INDEX(Projects[Automation Equipment],224)&amp;""</f>
        <v/>
      </c>
      <c r="BA225" s="64">
        <f>IF(OR(A225="",'Smart Search'!H13=0),"",MAX(0,BE225*BF225*MAX(0,1-BG225)))</f>
        <v/>
      </c>
      <c r="BB225" s="64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4">
        <f>IF('Smart Search'!G13=1,IFERROR(1/'Smart Search'!H13,0),0)</f>
        <v/>
      </c>
      <c r="BD225" s="64">
        <f>BB225*BC225</f>
        <v/>
      </c>
      <c r="BE225" s="64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IF(A225="","",N(INDEX(Projects[Act Mech Inst],224)))</f>
        <v/>
      </c>
      <c r="BK225" s="5">
        <f>IF(A225="","",N(INDEX(Projects[Act Elec Inst],224)))</f>
        <v/>
      </c>
      <c r="BL225" s="5">
        <f>IF(A225="","",N(INDEX(Projects[Act Project Management],224)))</f>
        <v/>
      </c>
      <c r="BM225" s="5">
        <f>IF(A225="","",N(INDEX(Projects[Act Systems Eng],224)))</f>
        <v/>
      </c>
      <c r="BN225" s="5">
        <f>IF(A225="","",N(INDEX(Projects[Act Mechanical Eng],224)))</f>
        <v/>
      </c>
      <c r="BO225" s="5">
        <f>IF(A225="","",N(INDEX(Projects[Act Structural Engineering],224)))</f>
        <v/>
      </c>
      <c r="BP225" s="5">
        <f>IF(A225="","",N(INDEX(Projects[Act Site Sup],224)))</f>
        <v/>
      </c>
      <c r="BQ225" s="5">
        <f>IF(A225="","",N(INDEX(Projects[Act Controls Commissioning],224)))</f>
        <v/>
      </c>
      <c r="BR225" s="5">
        <f>IF(A225="","",N(INDEX(Projects[Act Systems Commissioning],224)))</f>
        <v/>
      </c>
      <c r="BS225" s="5">
        <f>IF(A225="","",N(INDEX(Projects[Act Service Commissioning],224)))</f>
        <v/>
      </c>
      <c r="BT225" s="5">
        <f>IF(A225="","",N(INDEX(Projects[Act Controls Eng],224)))</f>
        <v/>
      </c>
      <c r="BU225" s="5">
        <f>IF(A225="","",N(INDEX(Projects[Act Controls Purchase],224)))</f>
        <v/>
      </c>
      <c r="BV225" s="5">
        <f>IF(A225="","",N(INDEX(Projects[Act Software Eng],224)))</f>
        <v/>
      </c>
      <c r="BW225" s="5">
        <f>IF(A225="","",N(INDEX(Projects[Act 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INDEX(Projects[Sold Value (USD M)],224)</f>
        <v/>
      </c>
      <c r="CE225" s="5" t="n"/>
      <c r="CF225" s="5">
        <f>IF(A225="","",N(INDEX(Projects[Est Mech Inst],224)))</f>
        <v/>
      </c>
      <c r="CG225" s="5">
        <f>IF(A225="","",N(INDEX(Projects[Est Elec Inst],224)))</f>
        <v/>
      </c>
      <c r="CH225" s="5">
        <f>IF(A225="","",N(INDEX(Projects[Est Project Management],224)))</f>
        <v/>
      </c>
      <c r="CI225" s="5">
        <f>IF(A225="","",N(INDEX(Projects[Est Systems Eng],224)))</f>
        <v/>
      </c>
      <c r="CJ225" s="5">
        <f>IF(A225="","",N(INDEX(Projects[Est Mechanical Eng],224)))</f>
        <v/>
      </c>
      <c r="CK225" s="5">
        <f>IF(A225="","",N(INDEX(Projects[Est Structural Engineering],224)))</f>
        <v/>
      </c>
      <c r="CL225" s="5">
        <f>IF(A225="","",N(INDEX(Projects[Est Site Sup],224)))</f>
        <v/>
      </c>
      <c r="CM225" s="5">
        <f>IF(A225="","",N(INDEX(Projects[Est Controls Commissioning],224)))</f>
        <v/>
      </c>
      <c r="CN225" s="5">
        <f>IF(A225="","",N(INDEX(Projects[Est Systems Commissioning],224)))</f>
        <v/>
      </c>
      <c r="CO225" s="5">
        <f>IF(A225="","",N(INDEX(Projects[Est Service Commissioning],224)))</f>
        <v/>
      </c>
      <c r="CP225" s="5">
        <f>IF(A225="","",N(INDEX(Projects[Est Controls Eng],224)))</f>
        <v/>
      </c>
      <c r="CQ225" s="5">
        <f>IF(A225="","",N(INDEX(Projects[Est Controls Purchase],224)))</f>
        <v/>
      </c>
      <c r="CR225" s="5">
        <f>IF(A225="","",N(INDEX(Projects[Est Software Eng],224)))</f>
        <v/>
      </c>
      <c r="CS225" s="5">
        <f>IF(A225="","",N(INDEX(Projects[Est Misc],224)))</f>
        <v/>
      </c>
      <c r="CT225" s="5">
        <f>IF(A225="","",SUM(CF225:CS225))</f>
        <v/>
      </c>
      <c r="CU225" s="5">
        <f>INDEX(Projects[Est Cost (M)],224)</f>
        <v/>
      </c>
      <c r="CV225" s="5">
        <f>INDEX(Projects[Act Cost (M)],224)</f>
        <v/>
      </c>
      <c r="CW225" s="5">
        <f>INDEX(Projects[Plan Mech Eng (wks)],224)</f>
        <v/>
      </c>
      <c r="CX225" s="5">
        <f>INDEX(Projects[Plan Controls Eng (wks)],224)</f>
        <v/>
      </c>
      <c r="CY225" s="5">
        <f>INDEX(Projects[Plan Systems Eng (wks)],224)</f>
        <v/>
      </c>
      <c r="CZ225" s="5">
        <f>INDEX(Projects[Plan Software Eng (wks)],224)</f>
        <v/>
      </c>
      <c r="DA225" s="5">
        <f>INDEX(Projects[Plan M&amp;E Installation (wks)],224)</f>
        <v/>
      </c>
      <c r="DB225" s="5">
        <f>INDEX(Projects[Plan Commissioning (wks)],224)</f>
        <v/>
      </c>
      <c r="DC225" s="5">
        <f>INDEX(Projects[Plan Total (wks)],224)</f>
        <v/>
      </c>
      <c r="DD225" s="5">
        <f>INDEX(Projects[Act Mech Eng (wks)],224)</f>
        <v/>
      </c>
      <c r="DE225" s="5">
        <f>INDEX(Projects[Act Controls Eng (wks)],224)</f>
        <v/>
      </c>
      <c r="DF225" s="5">
        <f>INDEX(Projects[Act Systems Eng (wks)],224)</f>
        <v/>
      </c>
      <c r="DG225" s="5">
        <f>INDEX(Projects[Act Software Eng (wks)],224)</f>
        <v/>
      </c>
      <c r="DH225" s="5">
        <f>INDEX(Projects[Act M&amp;E Installation (wks)],224)</f>
        <v/>
      </c>
      <c r="DI225" s="5">
        <f>INDEX(Projects[Act Commissioning (wks)],224)</f>
        <v/>
      </c>
      <c r="DJ225" s="5">
        <f>INDEX(Projects[Act Total (wks)],224)</f>
        <v/>
      </c>
    </row>
    <row r="226" ht="15" customHeight="1" s="82">
      <c r="A226" s="64">
        <f>INDEX(Projects[Project ID *],225)&amp;""</f>
        <v/>
      </c>
      <c r="B226" s="64">
        <f>INDEX(Projects[Project Name *],225)&amp;""</f>
        <v/>
      </c>
      <c r="C226" s="64">
        <f>INDEX(Projects[MS Shuttles],225)</f>
        <v/>
      </c>
      <c r="D226" s="64">
        <f>INDEX(Projects[MS Tote Locations],225)</f>
        <v/>
      </c>
      <c r="E226" s="64">
        <f>INDEX(Projects[AS Robots],225)</f>
        <v/>
      </c>
      <c r="F226" s="64">
        <f>INDEX(Projects[AS Tote Locations],225)</f>
        <v/>
      </c>
      <c r="G226" s="64">
        <f>INDEX(Projects[PS Shuttles],225)</f>
        <v/>
      </c>
      <c r="H226" s="64">
        <f>INDEX(Projects[PS Pallet Locations],225)</f>
        <v/>
      </c>
      <c r="I226" s="64">
        <f>INDEX(Projects[SRM Cranes],225)</f>
        <v/>
      </c>
      <c r="J226" s="64">
        <f>INDEX(Projects[SRM Pallet Locations],225)</f>
        <v/>
      </c>
      <c r="K226" s="64">
        <f>INDEX(Projects[Case Conv (m)],225)</f>
        <v/>
      </c>
      <c r="L226" s="64">
        <f>INDEX(Projects[Pallet Conv (m)],225)</f>
        <v/>
      </c>
      <c r="M226" s="64">
        <f>IF(N(DJ226)&gt;0,DD226,CW226)</f>
        <v/>
      </c>
      <c r="N226" s="64">
        <f>IF(N(DJ226)&gt;0,DE226,CX226)</f>
        <v/>
      </c>
      <c r="O226" s="64">
        <f>IF(N(DJ226)&gt;0,DF226,CY226)</f>
        <v/>
      </c>
      <c r="P226" s="64">
        <f>IF(N(DJ226)&gt;0,DG226,CZ226)</f>
        <v/>
      </c>
      <c r="Q226" s="64">
        <f>IF(N(DJ226)&gt;0,DH226,DA226)</f>
        <v/>
      </c>
      <c r="R226" s="64">
        <f>IF(N(DJ226)&gt;0,DI226,DB226)</f>
        <v/>
      </c>
      <c r="S226" s="64">
        <f>IF(N(DJ226)&gt;0,DJ226,DC226)</f>
        <v/>
      </c>
      <c r="T226" s="64">
        <f>INDEX(Projects[Currency],225)&amp;""</f>
        <v/>
      </c>
      <c r="U226" s="65">
        <f>INDEX(Projects[Sold Value (M)],225)</f>
        <v/>
      </c>
      <c r="V226" s="64">
        <f>IF('Smart Search'!B13=1,IFERROR(1/'Smart Search'!H13,0),0)</f>
        <v/>
      </c>
      <c r="W226" s="64">
        <f>IF('Smart Search'!B13=1,IFERROR(1/'Smart Search'!H13,0),0)</f>
        <v/>
      </c>
      <c r="X226" s="64">
        <f>IF('Smart Search'!C13=1,IFERROR(1/'Smart Search'!H13,0),0)</f>
        <v/>
      </c>
      <c r="Y226" s="64">
        <f>IF('Smart Search'!C13=1,IFERROR(1/'Smart Search'!H13,0),0)</f>
        <v/>
      </c>
      <c r="Z226" s="64">
        <f>IF('Smart Search'!D13=1,IFERROR(1/'Smart Search'!H13,0),0)</f>
        <v/>
      </c>
      <c r="AA226" s="64">
        <f>IF('Smart Search'!D13=1,IFERROR(1/'Smart Search'!H13,0),0)</f>
        <v/>
      </c>
      <c r="AB226" s="64">
        <f>IF('Smart Search'!E13=1,IFERROR(1/'Smart Search'!H13,0),0)</f>
        <v/>
      </c>
      <c r="AC226" s="64">
        <f>IF('Smart Search'!E13=1,IFERROR(1/'Smart Search'!H13,0),0)</f>
        <v/>
      </c>
      <c r="AD226" s="64">
        <f>IF('Smart Search'!F13=1,IFERROR(1/'Smart Search'!H13,0),0)</f>
        <v/>
      </c>
      <c r="AE226" s="64">
        <f>IF('Smart Search'!F13=1,IFERROR(1/'Smart Search'!H13,0),0)</f>
        <v/>
      </c>
      <c r="AF226" s="64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4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4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4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4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4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4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4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4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4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4">
        <f>AF226*V226</f>
        <v/>
      </c>
      <c r="AQ226" s="64">
        <f>AG226*W226</f>
        <v/>
      </c>
      <c r="AR226" s="64">
        <f>AH226*X226</f>
        <v/>
      </c>
      <c r="AS226" s="64">
        <f>AI226*Y226</f>
        <v/>
      </c>
      <c r="AT226" s="64">
        <f>AJ226*Z226</f>
        <v/>
      </c>
      <c r="AU226" s="64">
        <f>AK226*AA226</f>
        <v/>
      </c>
      <c r="AV226" s="64">
        <f>AL226*AB226</f>
        <v/>
      </c>
      <c r="AW226" s="64">
        <f>AM226*AC226</f>
        <v/>
      </c>
      <c r="AX226" s="64">
        <f>AN226*AD226</f>
        <v/>
      </c>
      <c r="AY226" s="64">
        <f>AO226*AE226</f>
        <v/>
      </c>
      <c r="AZ226" s="64">
        <f>INDEX(Projects[Automation Equipment],225)&amp;""</f>
        <v/>
      </c>
      <c r="BA226" s="64">
        <f>IF(OR(A226="",'Smart Search'!H13=0),"",MAX(0,BE226*BF226*MAX(0,1-BG226)))</f>
        <v/>
      </c>
      <c r="BB226" s="64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4">
        <f>IF('Smart Search'!G13=1,IFERROR(1/'Smart Search'!H13,0),0)</f>
        <v/>
      </c>
      <c r="BD226" s="64">
        <f>BB226*BC226</f>
        <v/>
      </c>
      <c r="BE226" s="64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IF(A226="","",N(INDEX(Projects[Act Mech Inst],225)))</f>
        <v/>
      </c>
      <c r="BK226" s="5">
        <f>IF(A226="","",N(INDEX(Projects[Act Elec Inst],225)))</f>
        <v/>
      </c>
      <c r="BL226" s="5">
        <f>IF(A226="","",N(INDEX(Projects[Act Project Management],225)))</f>
        <v/>
      </c>
      <c r="BM226" s="5">
        <f>IF(A226="","",N(INDEX(Projects[Act Systems Eng],225)))</f>
        <v/>
      </c>
      <c r="BN226" s="5">
        <f>IF(A226="","",N(INDEX(Projects[Act Mechanical Eng],225)))</f>
        <v/>
      </c>
      <c r="BO226" s="5">
        <f>IF(A226="","",N(INDEX(Projects[Act Structural Engineering],225)))</f>
        <v/>
      </c>
      <c r="BP226" s="5">
        <f>IF(A226="","",N(INDEX(Projects[Act Site Sup],225)))</f>
        <v/>
      </c>
      <c r="BQ226" s="5">
        <f>IF(A226="","",N(INDEX(Projects[Act Controls Commissioning],225)))</f>
        <v/>
      </c>
      <c r="BR226" s="5">
        <f>IF(A226="","",N(INDEX(Projects[Act Systems Commissioning],225)))</f>
        <v/>
      </c>
      <c r="BS226" s="5">
        <f>IF(A226="","",N(INDEX(Projects[Act Service Commissioning],225)))</f>
        <v/>
      </c>
      <c r="BT226" s="5">
        <f>IF(A226="","",N(INDEX(Projects[Act Controls Eng],225)))</f>
        <v/>
      </c>
      <c r="BU226" s="5">
        <f>IF(A226="","",N(INDEX(Projects[Act Controls Purchase],225)))</f>
        <v/>
      </c>
      <c r="BV226" s="5">
        <f>IF(A226="","",N(INDEX(Projects[Act Software Eng],225)))</f>
        <v/>
      </c>
      <c r="BW226" s="5">
        <f>IF(A226="","",N(INDEX(Projects[Act 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INDEX(Projects[Sold Value (USD M)],225)</f>
        <v/>
      </c>
      <c r="CE226" s="5" t="n"/>
      <c r="CF226" s="5">
        <f>IF(A226="","",N(INDEX(Projects[Est Mech Inst],225)))</f>
        <v/>
      </c>
      <c r="CG226" s="5">
        <f>IF(A226="","",N(INDEX(Projects[Est Elec Inst],225)))</f>
        <v/>
      </c>
      <c r="CH226" s="5">
        <f>IF(A226="","",N(INDEX(Projects[Est Project Management],225)))</f>
        <v/>
      </c>
      <c r="CI226" s="5">
        <f>IF(A226="","",N(INDEX(Projects[Est Systems Eng],225)))</f>
        <v/>
      </c>
      <c r="CJ226" s="5">
        <f>IF(A226="","",N(INDEX(Projects[Est Mechanical Eng],225)))</f>
        <v/>
      </c>
      <c r="CK226" s="5">
        <f>IF(A226="","",N(INDEX(Projects[Est Structural Engineering],225)))</f>
        <v/>
      </c>
      <c r="CL226" s="5">
        <f>IF(A226="","",N(INDEX(Projects[Est Site Sup],225)))</f>
        <v/>
      </c>
      <c r="CM226" s="5">
        <f>IF(A226="","",N(INDEX(Projects[Est Controls Commissioning],225)))</f>
        <v/>
      </c>
      <c r="CN226" s="5">
        <f>IF(A226="","",N(INDEX(Projects[Est Systems Commissioning],225)))</f>
        <v/>
      </c>
      <c r="CO226" s="5">
        <f>IF(A226="","",N(INDEX(Projects[Est Service Commissioning],225)))</f>
        <v/>
      </c>
      <c r="CP226" s="5">
        <f>IF(A226="","",N(INDEX(Projects[Est Controls Eng],225)))</f>
        <v/>
      </c>
      <c r="CQ226" s="5">
        <f>IF(A226="","",N(INDEX(Projects[Est Controls Purchase],225)))</f>
        <v/>
      </c>
      <c r="CR226" s="5">
        <f>IF(A226="","",N(INDEX(Projects[Est Software Eng],225)))</f>
        <v/>
      </c>
      <c r="CS226" s="5">
        <f>IF(A226="","",N(INDEX(Projects[Est Misc],225)))</f>
        <v/>
      </c>
      <c r="CT226" s="5">
        <f>IF(A226="","",SUM(CF226:CS226))</f>
        <v/>
      </c>
      <c r="CU226" s="5">
        <f>INDEX(Projects[Est Cost (M)],225)</f>
        <v/>
      </c>
      <c r="CV226" s="5">
        <f>INDEX(Projects[Act Cost (M)],225)</f>
        <v/>
      </c>
      <c r="CW226" s="5">
        <f>INDEX(Projects[Plan Mech Eng (wks)],225)</f>
        <v/>
      </c>
      <c r="CX226" s="5">
        <f>INDEX(Projects[Plan Controls Eng (wks)],225)</f>
        <v/>
      </c>
      <c r="CY226" s="5">
        <f>INDEX(Projects[Plan Systems Eng (wks)],225)</f>
        <v/>
      </c>
      <c r="CZ226" s="5">
        <f>INDEX(Projects[Plan Software Eng (wks)],225)</f>
        <v/>
      </c>
      <c r="DA226" s="5">
        <f>INDEX(Projects[Plan M&amp;E Installation (wks)],225)</f>
        <v/>
      </c>
      <c r="DB226" s="5">
        <f>INDEX(Projects[Plan Commissioning (wks)],225)</f>
        <v/>
      </c>
      <c r="DC226" s="5">
        <f>INDEX(Projects[Plan Total (wks)],225)</f>
        <v/>
      </c>
      <c r="DD226" s="5">
        <f>INDEX(Projects[Act Mech Eng (wks)],225)</f>
        <v/>
      </c>
      <c r="DE226" s="5">
        <f>INDEX(Projects[Act Controls Eng (wks)],225)</f>
        <v/>
      </c>
      <c r="DF226" s="5">
        <f>INDEX(Projects[Act Systems Eng (wks)],225)</f>
        <v/>
      </c>
      <c r="DG226" s="5">
        <f>INDEX(Projects[Act Software Eng (wks)],225)</f>
        <v/>
      </c>
      <c r="DH226" s="5">
        <f>INDEX(Projects[Act M&amp;E Installation (wks)],225)</f>
        <v/>
      </c>
      <c r="DI226" s="5">
        <f>INDEX(Projects[Act Commissioning (wks)],225)</f>
        <v/>
      </c>
      <c r="DJ226" s="5">
        <f>INDEX(Projects[Act Total (wks)],225)</f>
        <v/>
      </c>
    </row>
    <row r="227" ht="15" customHeight="1" s="82">
      <c r="A227" s="64">
        <f>INDEX(Projects[Project ID *],226)&amp;""</f>
        <v/>
      </c>
      <c r="B227" s="64">
        <f>INDEX(Projects[Project Name *],226)&amp;""</f>
        <v/>
      </c>
      <c r="C227" s="64">
        <f>INDEX(Projects[MS Shuttles],226)</f>
        <v/>
      </c>
      <c r="D227" s="64">
        <f>INDEX(Projects[MS Tote Locations],226)</f>
        <v/>
      </c>
      <c r="E227" s="64">
        <f>INDEX(Projects[AS Robots],226)</f>
        <v/>
      </c>
      <c r="F227" s="64">
        <f>INDEX(Projects[AS Tote Locations],226)</f>
        <v/>
      </c>
      <c r="G227" s="64">
        <f>INDEX(Projects[PS Shuttles],226)</f>
        <v/>
      </c>
      <c r="H227" s="64">
        <f>INDEX(Projects[PS Pallet Locations],226)</f>
        <v/>
      </c>
      <c r="I227" s="64">
        <f>INDEX(Projects[SRM Cranes],226)</f>
        <v/>
      </c>
      <c r="J227" s="64">
        <f>INDEX(Projects[SRM Pallet Locations],226)</f>
        <v/>
      </c>
      <c r="K227" s="64">
        <f>INDEX(Projects[Case Conv (m)],226)</f>
        <v/>
      </c>
      <c r="L227" s="64">
        <f>INDEX(Projects[Pallet Conv (m)],226)</f>
        <v/>
      </c>
      <c r="M227" s="64">
        <f>IF(N(DJ227)&gt;0,DD227,CW227)</f>
        <v/>
      </c>
      <c r="N227" s="64">
        <f>IF(N(DJ227)&gt;0,DE227,CX227)</f>
        <v/>
      </c>
      <c r="O227" s="64">
        <f>IF(N(DJ227)&gt;0,DF227,CY227)</f>
        <v/>
      </c>
      <c r="P227" s="64">
        <f>IF(N(DJ227)&gt;0,DG227,CZ227)</f>
        <v/>
      </c>
      <c r="Q227" s="64">
        <f>IF(N(DJ227)&gt;0,DH227,DA227)</f>
        <v/>
      </c>
      <c r="R227" s="64">
        <f>IF(N(DJ227)&gt;0,DI227,DB227)</f>
        <v/>
      </c>
      <c r="S227" s="64">
        <f>IF(N(DJ227)&gt;0,DJ227,DC227)</f>
        <v/>
      </c>
      <c r="T227" s="64">
        <f>INDEX(Projects[Currency],226)&amp;""</f>
        <v/>
      </c>
      <c r="U227" s="65">
        <f>INDEX(Projects[Sold Value (M)],226)</f>
        <v/>
      </c>
      <c r="V227" s="64">
        <f>IF('Smart Search'!B13=1,IFERROR(1/'Smart Search'!H13,0),0)</f>
        <v/>
      </c>
      <c r="W227" s="64">
        <f>IF('Smart Search'!B13=1,IFERROR(1/'Smart Search'!H13,0),0)</f>
        <v/>
      </c>
      <c r="X227" s="64">
        <f>IF('Smart Search'!C13=1,IFERROR(1/'Smart Search'!H13,0),0)</f>
        <v/>
      </c>
      <c r="Y227" s="64">
        <f>IF('Smart Search'!C13=1,IFERROR(1/'Smart Search'!H13,0),0)</f>
        <v/>
      </c>
      <c r="Z227" s="64">
        <f>IF('Smart Search'!D13=1,IFERROR(1/'Smart Search'!H13,0),0)</f>
        <v/>
      </c>
      <c r="AA227" s="64">
        <f>IF('Smart Search'!D13=1,IFERROR(1/'Smart Search'!H13,0),0)</f>
        <v/>
      </c>
      <c r="AB227" s="64">
        <f>IF('Smart Search'!E13=1,IFERROR(1/'Smart Search'!H13,0),0)</f>
        <v/>
      </c>
      <c r="AC227" s="64">
        <f>IF('Smart Search'!E13=1,IFERROR(1/'Smart Search'!H13,0),0)</f>
        <v/>
      </c>
      <c r="AD227" s="64">
        <f>IF('Smart Search'!F13=1,IFERROR(1/'Smart Search'!H13,0),0)</f>
        <v/>
      </c>
      <c r="AE227" s="64">
        <f>IF('Smart Search'!F13=1,IFERROR(1/'Smart Search'!H13,0),0)</f>
        <v/>
      </c>
      <c r="AF227" s="64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4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4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4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4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4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4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4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4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4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4">
        <f>AF227*V227</f>
        <v/>
      </c>
      <c r="AQ227" s="64">
        <f>AG227*W227</f>
        <v/>
      </c>
      <c r="AR227" s="64">
        <f>AH227*X227</f>
        <v/>
      </c>
      <c r="AS227" s="64">
        <f>AI227*Y227</f>
        <v/>
      </c>
      <c r="AT227" s="64">
        <f>AJ227*Z227</f>
        <v/>
      </c>
      <c r="AU227" s="64">
        <f>AK227*AA227</f>
        <v/>
      </c>
      <c r="AV227" s="64">
        <f>AL227*AB227</f>
        <v/>
      </c>
      <c r="AW227" s="64">
        <f>AM227*AC227</f>
        <v/>
      </c>
      <c r="AX227" s="64">
        <f>AN227*AD227</f>
        <v/>
      </c>
      <c r="AY227" s="64">
        <f>AO227*AE227</f>
        <v/>
      </c>
      <c r="AZ227" s="64">
        <f>INDEX(Projects[Automation Equipment],226)&amp;""</f>
        <v/>
      </c>
      <c r="BA227" s="64">
        <f>IF(OR(A227="",'Smart Search'!H13=0),"",MAX(0,BE227*BF227*MAX(0,1-BG227)))</f>
        <v/>
      </c>
      <c r="BB227" s="64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4">
        <f>IF('Smart Search'!G13=1,IFERROR(1/'Smart Search'!H13,0),0)</f>
        <v/>
      </c>
      <c r="BD227" s="64">
        <f>BB227*BC227</f>
        <v/>
      </c>
      <c r="BE227" s="64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IF(A227="","",N(INDEX(Projects[Act Mech Inst],226)))</f>
        <v/>
      </c>
      <c r="BK227" s="5">
        <f>IF(A227="","",N(INDEX(Projects[Act Elec Inst],226)))</f>
        <v/>
      </c>
      <c r="BL227" s="5">
        <f>IF(A227="","",N(INDEX(Projects[Act Project Management],226)))</f>
        <v/>
      </c>
      <c r="BM227" s="5">
        <f>IF(A227="","",N(INDEX(Projects[Act Systems Eng],226)))</f>
        <v/>
      </c>
      <c r="BN227" s="5">
        <f>IF(A227="","",N(INDEX(Projects[Act Mechanical Eng],226)))</f>
        <v/>
      </c>
      <c r="BO227" s="5">
        <f>IF(A227="","",N(INDEX(Projects[Act Structural Engineering],226)))</f>
        <v/>
      </c>
      <c r="BP227" s="5">
        <f>IF(A227="","",N(INDEX(Projects[Act Site Sup],226)))</f>
        <v/>
      </c>
      <c r="BQ227" s="5">
        <f>IF(A227="","",N(INDEX(Projects[Act Controls Commissioning],226)))</f>
        <v/>
      </c>
      <c r="BR227" s="5">
        <f>IF(A227="","",N(INDEX(Projects[Act Systems Commissioning],226)))</f>
        <v/>
      </c>
      <c r="BS227" s="5">
        <f>IF(A227="","",N(INDEX(Projects[Act Service Commissioning],226)))</f>
        <v/>
      </c>
      <c r="BT227" s="5">
        <f>IF(A227="","",N(INDEX(Projects[Act Controls Eng],226)))</f>
        <v/>
      </c>
      <c r="BU227" s="5">
        <f>IF(A227="","",N(INDEX(Projects[Act Controls Purchase],226)))</f>
        <v/>
      </c>
      <c r="BV227" s="5">
        <f>IF(A227="","",N(INDEX(Projects[Act Software Eng],226)))</f>
        <v/>
      </c>
      <c r="BW227" s="5">
        <f>IF(A227="","",N(INDEX(Projects[Act 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INDEX(Projects[Sold Value (USD M)],226)</f>
        <v/>
      </c>
      <c r="CE227" s="5" t="n"/>
      <c r="CF227" s="5">
        <f>IF(A227="","",N(INDEX(Projects[Est Mech Inst],226)))</f>
        <v/>
      </c>
      <c r="CG227" s="5">
        <f>IF(A227="","",N(INDEX(Projects[Est Elec Inst],226)))</f>
        <v/>
      </c>
      <c r="CH227" s="5">
        <f>IF(A227="","",N(INDEX(Projects[Est Project Management],226)))</f>
        <v/>
      </c>
      <c r="CI227" s="5">
        <f>IF(A227="","",N(INDEX(Projects[Est Systems Eng],226)))</f>
        <v/>
      </c>
      <c r="CJ227" s="5">
        <f>IF(A227="","",N(INDEX(Projects[Est Mechanical Eng],226)))</f>
        <v/>
      </c>
      <c r="CK227" s="5">
        <f>IF(A227="","",N(INDEX(Projects[Est Structural Engineering],226)))</f>
        <v/>
      </c>
      <c r="CL227" s="5">
        <f>IF(A227="","",N(INDEX(Projects[Est Site Sup],226)))</f>
        <v/>
      </c>
      <c r="CM227" s="5">
        <f>IF(A227="","",N(INDEX(Projects[Est Controls Commissioning],226)))</f>
        <v/>
      </c>
      <c r="CN227" s="5">
        <f>IF(A227="","",N(INDEX(Projects[Est Systems Commissioning],226)))</f>
        <v/>
      </c>
      <c r="CO227" s="5">
        <f>IF(A227="","",N(INDEX(Projects[Est Service Commissioning],226)))</f>
        <v/>
      </c>
      <c r="CP227" s="5">
        <f>IF(A227="","",N(INDEX(Projects[Est Controls Eng],226)))</f>
        <v/>
      </c>
      <c r="CQ227" s="5">
        <f>IF(A227="","",N(INDEX(Projects[Est Controls Purchase],226)))</f>
        <v/>
      </c>
      <c r="CR227" s="5">
        <f>IF(A227="","",N(INDEX(Projects[Est Software Eng],226)))</f>
        <v/>
      </c>
      <c r="CS227" s="5">
        <f>IF(A227="","",N(INDEX(Projects[Est Misc],226)))</f>
        <v/>
      </c>
      <c r="CT227" s="5">
        <f>IF(A227="","",SUM(CF227:CS227))</f>
        <v/>
      </c>
      <c r="CU227" s="5">
        <f>INDEX(Projects[Est Cost (M)],226)</f>
        <v/>
      </c>
      <c r="CV227" s="5">
        <f>INDEX(Projects[Act Cost (M)],226)</f>
        <v/>
      </c>
      <c r="CW227" s="5">
        <f>INDEX(Projects[Plan Mech Eng (wks)],226)</f>
        <v/>
      </c>
      <c r="CX227" s="5">
        <f>INDEX(Projects[Plan Controls Eng (wks)],226)</f>
        <v/>
      </c>
      <c r="CY227" s="5">
        <f>INDEX(Projects[Plan Systems Eng (wks)],226)</f>
        <v/>
      </c>
      <c r="CZ227" s="5">
        <f>INDEX(Projects[Plan Software Eng (wks)],226)</f>
        <v/>
      </c>
      <c r="DA227" s="5">
        <f>INDEX(Projects[Plan M&amp;E Installation (wks)],226)</f>
        <v/>
      </c>
      <c r="DB227" s="5">
        <f>INDEX(Projects[Plan Commissioning (wks)],226)</f>
        <v/>
      </c>
      <c r="DC227" s="5">
        <f>INDEX(Projects[Plan Total (wks)],226)</f>
        <v/>
      </c>
      <c r="DD227" s="5">
        <f>INDEX(Projects[Act Mech Eng (wks)],226)</f>
        <v/>
      </c>
      <c r="DE227" s="5">
        <f>INDEX(Projects[Act Controls Eng (wks)],226)</f>
        <v/>
      </c>
      <c r="DF227" s="5">
        <f>INDEX(Projects[Act Systems Eng (wks)],226)</f>
        <v/>
      </c>
      <c r="DG227" s="5">
        <f>INDEX(Projects[Act Software Eng (wks)],226)</f>
        <v/>
      </c>
      <c r="DH227" s="5">
        <f>INDEX(Projects[Act M&amp;E Installation (wks)],226)</f>
        <v/>
      </c>
      <c r="DI227" s="5">
        <f>INDEX(Projects[Act Commissioning (wks)],226)</f>
        <v/>
      </c>
      <c r="DJ227" s="5">
        <f>INDEX(Projects[Act Total (wks)],226)</f>
        <v/>
      </c>
    </row>
    <row r="228" ht="15" customHeight="1" s="82">
      <c r="A228" s="64">
        <f>INDEX(Projects[Project ID *],227)&amp;""</f>
        <v/>
      </c>
      <c r="B228" s="64">
        <f>INDEX(Projects[Project Name *],227)&amp;""</f>
        <v/>
      </c>
      <c r="C228" s="64">
        <f>INDEX(Projects[MS Shuttles],227)</f>
        <v/>
      </c>
      <c r="D228" s="64">
        <f>INDEX(Projects[MS Tote Locations],227)</f>
        <v/>
      </c>
      <c r="E228" s="64">
        <f>INDEX(Projects[AS Robots],227)</f>
        <v/>
      </c>
      <c r="F228" s="64">
        <f>INDEX(Projects[AS Tote Locations],227)</f>
        <v/>
      </c>
      <c r="G228" s="64">
        <f>INDEX(Projects[PS Shuttles],227)</f>
        <v/>
      </c>
      <c r="H228" s="64">
        <f>INDEX(Projects[PS Pallet Locations],227)</f>
        <v/>
      </c>
      <c r="I228" s="64">
        <f>INDEX(Projects[SRM Cranes],227)</f>
        <v/>
      </c>
      <c r="J228" s="64">
        <f>INDEX(Projects[SRM Pallet Locations],227)</f>
        <v/>
      </c>
      <c r="K228" s="64">
        <f>INDEX(Projects[Case Conv (m)],227)</f>
        <v/>
      </c>
      <c r="L228" s="64">
        <f>INDEX(Projects[Pallet Conv (m)],227)</f>
        <v/>
      </c>
      <c r="M228" s="64">
        <f>IF(N(DJ228)&gt;0,DD228,CW228)</f>
        <v/>
      </c>
      <c r="N228" s="64">
        <f>IF(N(DJ228)&gt;0,DE228,CX228)</f>
        <v/>
      </c>
      <c r="O228" s="64">
        <f>IF(N(DJ228)&gt;0,DF228,CY228)</f>
        <v/>
      </c>
      <c r="P228" s="64">
        <f>IF(N(DJ228)&gt;0,DG228,CZ228)</f>
        <v/>
      </c>
      <c r="Q228" s="64">
        <f>IF(N(DJ228)&gt;0,DH228,DA228)</f>
        <v/>
      </c>
      <c r="R228" s="64">
        <f>IF(N(DJ228)&gt;0,DI228,DB228)</f>
        <v/>
      </c>
      <c r="S228" s="64">
        <f>IF(N(DJ228)&gt;0,DJ228,DC228)</f>
        <v/>
      </c>
      <c r="T228" s="64">
        <f>INDEX(Projects[Currency],227)&amp;""</f>
        <v/>
      </c>
      <c r="U228" s="65">
        <f>INDEX(Projects[Sold Value (M)],227)</f>
        <v/>
      </c>
      <c r="V228" s="64">
        <f>IF('Smart Search'!B13=1,IFERROR(1/'Smart Search'!H13,0),0)</f>
        <v/>
      </c>
      <c r="W228" s="64">
        <f>IF('Smart Search'!B13=1,IFERROR(1/'Smart Search'!H13,0),0)</f>
        <v/>
      </c>
      <c r="X228" s="64">
        <f>IF('Smart Search'!C13=1,IFERROR(1/'Smart Search'!H13,0),0)</f>
        <v/>
      </c>
      <c r="Y228" s="64">
        <f>IF('Smart Search'!C13=1,IFERROR(1/'Smart Search'!H13,0),0)</f>
        <v/>
      </c>
      <c r="Z228" s="64">
        <f>IF('Smart Search'!D13=1,IFERROR(1/'Smart Search'!H13,0),0)</f>
        <v/>
      </c>
      <c r="AA228" s="64">
        <f>IF('Smart Search'!D13=1,IFERROR(1/'Smart Search'!H13,0),0)</f>
        <v/>
      </c>
      <c r="AB228" s="64">
        <f>IF('Smart Search'!E13=1,IFERROR(1/'Smart Search'!H13,0),0)</f>
        <v/>
      </c>
      <c r="AC228" s="64">
        <f>IF('Smart Search'!E13=1,IFERROR(1/'Smart Search'!H13,0),0)</f>
        <v/>
      </c>
      <c r="AD228" s="64">
        <f>IF('Smart Search'!F13=1,IFERROR(1/'Smart Search'!H13,0),0)</f>
        <v/>
      </c>
      <c r="AE228" s="64">
        <f>IF('Smart Search'!F13=1,IFERROR(1/'Smart Search'!H13,0),0)</f>
        <v/>
      </c>
      <c r="AF228" s="64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4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4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4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4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4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4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4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4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4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4">
        <f>AF228*V228</f>
        <v/>
      </c>
      <c r="AQ228" s="64">
        <f>AG228*W228</f>
        <v/>
      </c>
      <c r="AR228" s="64">
        <f>AH228*X228</f>
        <v/>
      </c>
      <c r="AS228" s="64">
        <f>AI228*Y228</f>
        <v/>
      </c>
      <c r="AT228" s="64">
        <f>AJ228*Z228</f>
        <v/>
      </c>
      <c r="AU228" s="64">
        <f>AK228*AA228</f>
        <v/>
      </c>
      <c r="AV228" s="64">
        <f>AL228*AB228</f>
        <v/>
      </c>
      <c r="AW228" s="64">
        <f>AM228*AC228</f>
        <v/>
      </c>
      <c r="AX228" s="64">
        <f>AN228*AD228</f>
        <v/>
      </c>
      <c r="AY228" s="64">
        <f>AO228*AE228</f>
        <v/>
      </c>
      <c r="AZ228" s="64">
        <f>INDEX(Projects[Automation Equipment],227)&amp;""</f>
        <v/>
      </c>
      <c r="BA228" s="64">
        <f>IF(OR(A228="",'Smart Search'!H13=0),"",MAX(0,BE228*BF228*MAX(0,1-BG228)))</f>
        <v/>
      </c>
      <c r="BB228" s="64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4">
        <f>IF('Smart Search'!G13=1,IFERROR(1/'Smart Search'!H13,0),0)</f>
        <v/>
      </c>
      <c r="BD228" s="64">
        <f>BB228*BC228</f>
        <v/>
      </c>
      <c r="BE228" s="64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IF(A228="","",N(INDEX(Projects[Act Mech Inst],227)))</f>
        <v/>
      </c>
      <c r="BK228" s="5">
        <f>IF(A228="","",N(INDEX(Projects[Act Elec Inst],227)))</f>
        <v/>
      </c>
      <c r="BL228" s="5">
        <f>IF(A228="","",N(INDEX(Projects[Act Project Management],227)))</f>
        <v/>
      </c>
      <c r="BM228" s="5">
        <f>IF(A228="","",N(INDEX(Projects[Act Systems Eng],227)))</f>
        <v/>
      </c>
      <c r="BN228" s="5">
        <f>IF(A228="","",N(INDEX(Projects[Act Mechanical Eng],227)))</f>
        <v/>
      </c>
      <c r="BO228" s="5">
        <f>IF(A228="","",N(INDEX(Projects[Act Structural Engineering],227)))</f>
        <v/>
      </c>
      <c r="BP228" s="5">
        <f>IF(A228="","",N(INDEX(Projects[Act Site Sup],227)))</f>
        <v/>
      </c>
      <c r="BQ228" s="5">
        <f>IF(A228="","",N(INDEX(Projects[Act Controls Commissioning],227)))</f>
        <v/>
      </c>
      <c r="BR228" s="5">
        <f>IF(A228="","",N(INDEX(Projects[Act Systems Commissioning],227)))</f>
        <v/>
      </c>
      <c r="BS228" s="5">
        <f>IF(A228="","",N(INDEX(Projects[Act Service Commissioning],227)))</f>
        <v/>
      </c>
      <c r="BT228" s="5">
        <f>IF(A228="","",N(INDEX(Projects[Act Controls Eng],227)))</f>
        <v/>
      </c>
      <c r="BU228" s="5">
        <f>IF(A228="","",N(INDEX(Projects[Act Controls Purchase],227)))</f>
        <v/>
      </c>
      <c r="BV228" s="5">
        <f>IF(A228="","",N(INDEX(Projects[Act Software Eng],227)))</f>
        <v/>
      </c>
      <c r="BW228" s="5">
        <f>IF(A228="","",N(INDEX(Projects[Act 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INDEX(Projects[Sold Value (USD M)],227)</f>
        <v/>
      </c>
      <c r="CE228" s="5" t="n"/>
      <c r="CF228" s="5">
        <f>IF(A228="","",N(INDEX(Projects[Est Mech Inst],227)))</f>
        <v/>
      </c>
      <c r="CG228" s="5">
        <f>IF(A228="","",N(INDEX(Projects[Est Elec Inst],227)))</f>
        <v/>
      </c>
      <c r="CH228" s="5">
        <f>IF(A228="","",N(INDEX(Projects[Est Project Management],227)))</f>
        <v/>
      </c>
      <c r="CI228" s="5">
        <f>IF(A228="","",N(INDEX(Projects[Est Systems Eng],227)))</f>
        <v/>
      </c>
      <c r="CJ228" s="5">
        <f>IF(A228="","",N(INDEX(Projects[Est Mechanical Eng],227)))</f>
        <v/>
      </c>
      <c r="CK228" s="5">
        <f>IF(A228="","",N(INDEX(Projects[Est Structural Engineering],227)))</f>
        <v/>
      </c>
      <c r="CL228" s="5">
        <f>IF(A228="","",N(INDEX(Projects[Est Site Sup],227)))</f>
        <v/>
      </c>
      <c r="CM228" s="5">
        <f>IF(A228="","",N(INDEX(Projects[Est Controls Commissioning],227)))</f>
        <v/>
      </c>
      <c r="CN228" s="5">
        <f>IF(A228="","",N(INDEX(Projects[Est Systems Commissioning],227)))</f>
        <v/>
      </c>
      <c r="CO228" s="5">
        <f>IF(A228="","",N(INDEX(Projects[Est Service Commissioning],227)))</f>
        <v/>
      </c>
      <c r="CP228" s="5">
        <f>IF(A228="","",N(INDEX(Projects[Est Controls Eng],227)))</f>
        <v/>
      </c>
      <c r="CQ228" s="5">
        <f>IF(A228="","",N(INDEX(Projects[Est Controls Purchase],227)))</f>
        <v/>
      </c>
      <c r="CR228" s="5">
        <f>IF(A228="","",N(INDEX(Projects[Est Software Eng],227)))</f>
        <v/>
      </c>
      <c r="CS228" s="5">
        <f>IF(A228="","",N(INDEX(Projects[Est Misc],227)))</f>
        <v/>
      </c>
      <c r="CT228" s="5">
        <f>IF(A228="","",SUM(CF228:CS228))</f>
        <v/>
      </c>
      <c r="CU228" s="5">
        <f>INDEX(Projects[Est Cost (M)],227)</f>
        <v/>
      </c>
      <c r="CV228" s="5">
        <f>INDEX(Projects[Act Cost (M)],227)</f>
        <v/>
      </c>
      <c r="CW228" s="5">
        <f>INDEX(Projects[Plan Mech Eng (wks)],227)</f>
        <v/>
      </c>
      <c r="CX228" s="5">
        <f>INDEX(Projects[Plan Controls Eng (wks)],227)</f>
        <v/>
      </c>
      <c r="CY228" s="5">
        <f>INDEX(Projects[Plan Systems Eng (wks)],227)</f>
        <v/>
      </c>
      <c r="CZ228" s="5">
        <f>INDEX(Projects[Plan Software Eng (wks)],227)</f>
        <v/>
      </c>
      <c r="DA228" s="5">
        <f>INDEX(Projects[Plan M&amp;E Installation (wks)],227)</f>
        <v/>
      </c>
      <c r="DB228" s="5">
        <f>INDEX(Projects[Plan Commissioning (wks)],227)</f>
        <v/>
      </c>
      <c r="DC228" s="5">
        <f>INDEX(Projects[Plan Total (wks)],227)</f>
        <v/>
      </c>
      <c r="DD228" s="5">
        <f>INDEX(Projects[Act Mech Eng (wks)],227)</f>
        <v/>
      </c>
      <c r="DE228" s="5">
        <f>INDEX(Projects[Act Controls Eng (wks)],227)</f>
        <v/>
      </c>
      <c r="DF228" s="5">
        <f>INDEX(Projects[Act Systems Eng (wks)],227)</f>
        <v/>
      </c>
      <c r="DG228" s="5">
        <f>INDEX(Projects[Act Software Eng (wks)],227)</f>
        <v/>
      </c>
      <c r="DH228" s="5">
        <f>INDEX(Projects[Act M&amp;E Installation (wks)],227)</f>
        <v/>
      </c>
      <c r="DI228" s="5">
        <f>INDEX(Projects[Act Commissioning (wks)],227)</f>
        <v/>
      </c>
      <c r="DJ228" s="5">
        <f>INDEX(Projects[Act Total (wks)],227)</f>
        <v/>
      </c>
    </row>
    <row r="229" ht="15" customHeight="1" s="82">
      <c r="A229" s="64">
        <f>INDEX(Projects[Project ID *],228)&amp;""</f>
        <v/>
      </c>
      <c r="B229" s="64">
        <f>INDEX(Projects[Project Name *],228)&amp;""</f>
        <v/>
      </c>
      <c r="C229" s="64">
        <f>INDEX(Projects[MS Shuttles],228)</f>
        <v/>
      </c>
      <c r="D229" s="64">
        <f>INDEX(Projects[MS Tote Locations],228)</f>
        <v/>
      </c>
      <c r="E229" s="64">
        <f>INDEX(Projects[AS Robots],228)</f>
        <v/>
      </c>
      <c r="F229" s="64">
        <f>INDEX(Projects[AS Tote Locations],228)</f>
        <v/>
      </c>
      <c r="G229" s="64">
        <f>INDEX(Projects[PS Shuttles],228)</f>
        <v/>
      </c>
      <c r="H229" s="64">
        <f>INDEX(Projects[PS Pallet Locations],228)</f>
        <v/>
      </c>
      <c r="I229" s="64">
        <f>INDEX(Projects[SRM Cranes],228)</f>
        <v/>
      </c>
      <c r="J229" s="64">
        <f>INDEX(Projects[SRM Pallet Locations],228)</f>
        <v/>
      </c>
      <c r="K229" s="64">
        <f>INDEX(Projects[Case Conv (m)],228)</f>
        <v/>
      </c>
      <c r="L229" s="64">
        <f>INDEX(Projects[Pallet Conv (m)],228)</f>
        <v/>
      </c>
      <c r="M229" s="64">
        <f>IF(N(DJ229)&gt;0,DD229,CW229)</f>
        <v/>
      </c>
      <c r="N229" s="64">
        <f>IF(N(DJ229)&gt;0,DE229,CX229)</f>
        <v/>
      </c>
      <c r="O229" s="64">
        <f>IF(N(DJ229)&gt;0,DF229,CY229)</f>
        <v/>
      </c>
      <c r="P229" s="64">
        <f>IF(N(DJ229)&gt;0,DG229,CZ229)</f>
        <v/>
      </c>
      <c r="Q229" s="64">
        <f>IF(N(DJ229)&gt;0,DH229,DA229)</f>
        <v/>
      </c>
      <c r="R229" s="64">
        <f>IF(N(DJ229)&gt;0,DI229,DB229)</f>
        <v/>
      </c>
      <c r="S229" s="64">
        <f>IF(N(DJ229)&gt;0,DJ229,DC229)</f>
        <v/>
      </c>
      <c r="T229" s="64">
        <f>INDEX(Projects[Currency],228)&amp;""</f>
        <v/>
      </c>
      <c r="U229" s="65">
        <f>INDEX(Projects[Sold Value (M)],228)</f>
        <v/>
      </c>
      <c r="V229" s="64">
        <f>IF('Smart Search'!B13=1,IFERROR(1/'Smart Search'!H13,0),0)</f>
        <v/>
      </c>
      <c r="W229" s="64">
        <f>IF('Smart Search'!B13=1,IFERROR(1/'Smart Search'!H13,0),0)</f>
        <v/>
      </c>
      <c r="X229" s="64">
        <f>IF('Smart Search'!C13=1,IFERROR(1/'Smart Search'!H13,0),0)</f>
        <v/>
      </c>
      <c r="Y229" s="64">
        <f>IF('Smart Search'!C13=1,IFERROR(1/'Smart Search'!H13,0),0)</f>
        <v/>
      </c>
      <c r="Z229" s="64">
        <f>IF('Smart Search'!D13=1,IFERROR(1/'Smart Search'!H13,0),0)</f>
        <v/>
      </c>
      <c r="AA229" s="64">
        <f>IF('Smart Search'!D13=1,IFERROR(1/'Smart Search'!H13,0),0)</f>
        <v/>
      </c>
      <c r="AB229" s="64">
        <f>IF('Smart Search'!E13=1,IFERROR(1/'Smart Search'!H13,0),0)</f>
        <v/>
      </c>
      <c r="AC229" s="64">
        <f>IF('Smart Search'!E13=1,IFERROR(1/'Smart Search'!H13,0),0)</f>
        <v/>
      </c>
      <c r="AD229" s="64">
        <f>IF('Smart Search'!F13=1,IFERROR(1/'Smart Search'!H13,0),0)</f>
        <v/>
      </c>
      <c r="AE229" s="64">
        <f>IF('Smart Search'!F13=1,IFERROR(1/'Smart Search'!H13,0),0)</f>
        <v/>
      </c>
      <c r="AF229" s="64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4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4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4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4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4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4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4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4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4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4">
        <f>AF229*V229</f>
        <v/>
      </c>
      <c r="AQ229" s="64">
        <f>AG229*W229</f>
        <v/>
      </c>
      <c r="AR229" s="64">
        <f>AH229*X229</f>
        <v/>
      </c>
      <c r="AS229" s="64">
        <f>AI229*Y229</f>
        <v/>
      </c>
      <c r="AT229" s="64">
        <f>AJ229*Z229</f>
        <v/>
      </c>
      <c r="AU229" s="64">
        <f>AK229*AA229</f>
        <v/>
      </c>
      <c r="AV229" s="64">
        <f>AL229*AB229</f>
        <v/>
      </c>
      <c r="AW229" s="64">
        <f>AM229*AC229</f>
        <v/>
      </c>
      <c r="AX229" s="64">
        <f>AN229*AD229</f>
        <v/>
      </c>
      <c r="AY229" s="64">
        <f>AO229*AE229</f>
        <v/>
      </c>
      <c r="AZ229" s="64">
        <f>INDEX(Projects[Automation Equipment],228)&amp;""</f>
        <v/>
      </c>
      <c r="BA229" s="64">
        <f>IF(OR(A229="",'Smart Search'!H13=0),"",MAX(0,BE229*BF229*MAX(0,1-BG229)))</f>
        <v/>
      </c>
      <c r="BB229" s="64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4">
        <f>IF('Smart Search'!G13=1,IFERROR(1/'Smart Search'!H13,0),0)</f>
        <v/>
      </c>
      <c r="BD229" s="64">
        <f>BB229*BC229</f>
        <v/>
      </c>
      <c r="BE229" s="64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IF(A229="","",N(INDEX(Projects[Act Mech Inst],228)))</f>
        <v/>
      </c>
      <c r="BK229" s="5">
        <f>IF(A229="","",N(INDEX(Projects[Act Elec Inst],228)))</f>
        <v/>
      </c>
      <c r="BL229" s="5">
        <f>IF(A229="","",N(INDEX(Projects[Act Project Management],228)))</f>
        <v/>
      </c>
      <c r="BM229" s="5">
        <f>IF(A229="","",N(INDEX(Projects[Act Systems Eng],228)))</f>
        <v/>
      </c>
      <c r="BN229" s="5">
        <f>IF(A229="","",N(INDEX(Projects[Act Mechanical Eng],228)))</f>
        <v/>
      </c>
      <c r="BO229" s="5">
        <f>IF(A229="","",N(INDEX(Projects[Act Structural Engineering],228)))</f>
        <v/>
      </c>
      <c r="BP229" s="5">
        <f>IF(A229="","",N(INDEX(Projects[Act Site Sup],228)))</f>
        <v/>
      </c>
      <c r="BQ229" s="5">
        <f>IF(A229="","",N(INDEX(Projects[Act Controls Commissioning],228)))</f>
        <v/>
      </c>
      <c r="BR229" s="5">
        <f>IF(A229="","",N(INDEX(Projects[Act Systems Commissioning],228)))</f>
        <v/>
      </c>
      <c r="BS229" s="5">
        <f>IF(A229="","",N(INDEX(Projects[Act Service Commissioning],228)))</f>
        <v/>
      </c>
      <c r="BT229" s="5">
        <f>IF(A229="","",N(INDEX(Projects[Act Controls Eng],228)))</f>
        <v/>
      </c>
      <c r="BU229" s="5">
        <f>IF(A229="","",N(INDEX(Projects[Act Controls Purchase],228)))</f>
        <v/>
      </c>
      <c r="BV229" s="5">
        <f>IF(A229="","",N(INDEX(Projects[Act Software Eng],228)))</f>
        <v/>
      </c>
      <c r="BW229" s="5">
        <f>IF(A229="","",N(INDEX(Projects[Act 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INDEX(Projects[Sold Value (USD M)],228)</f>
        <v/>
      </c>
      <c r="CE229" s="5" t="n"/>
      <c r="CF229" s="5">
        <f>IF(A229="","",N(INDEX(Projects[Est Mech Inst],228)))</f>
        <v/>
      </c>
      <c r="CG229" s="5">
        <f>IF(A229="","",N(INDEX(Projects[Est Elec Inst],228)))</f>
        <v/>
      </c>
      <c r="CH229" s="5">
        <f>IF(A229="","",N(INDEX(Projects[Est Project Management],228)))</f>
        <v/>
      </c>
      <c r="CI229" s="5">
        <f>IF(A229="","",N(INDEX(Projects[Est Systems Eng],228)))</f>
        <v/>
      </c>
      <c r="CJ229" s="5">
        <f>IF(A229="","",N(INDEX(Projects[Est Mechanical Eng],228)))</f>
        <v/>
      </c>
      <c r="CK229" s="5">
        <f>IF(A229="","",N(INDEX(Projects[Est Structural Engineering],228)))</f>
        <v/>
      </c>
      <c r="CL229" s="5">
        <f>IF(A229="","",N(INDEX(Projects[Est Site Sup],228)))</f>
        <v/>
      </c>
      <c r="CM229" s="5">
        <f>IF(A229="","",N(INDEX(Projects[Est Controls Commissioning],228)))</f>
        <v/>
      </c>
      <c r="CN229" s="5">
        <f>IF(A229="","",N(INDEX(Projects[Est Systems Commissioning],228)))</f>
        <v/>
      </c>
      <c r="CO229" s="5">
        <f>IF(A229="","",N(INDEX(Projects[Est Service Commissioning],228)))</f>
        <v/>
      </c>
      <c r="CP229" s="5">
        <f>IF(A229="","",N(INDEX(Projects[Est Controls Eng],228)))</f>
        <v/>
      </c>
      <c r="CQ229" s="5">
        <f>IF(A229="","",N(INDEX(Projects[Est Controls Purchase],228)))</f>
        <v/>
      </c>
      <c r="CR229" s="5">
        <f>IF(A229="","",N(INDEX(Projects[Est Software Eng],228)))</f>
        <v/>
      </c>
      <c r="CS229" s="5">
        <f>IF(A229="","",N(INDEX(Projects[Est Misc],228)))</f>
        <v/>
      </c>
      <c r="CT229" s="5">
        <f>IF(A229="","",SUM(CF229:CS229))</f>
        <v/>
      </c>
      <c r="CU229" s="5">
        <f>INDEX(Projects[Est Cost (M)],228)</f>
        <v/>
      </c>
      <c r="CV229" s="5">
        <f>INDEX(Projects[Act Cost (M)],228)</f>
        <v/>
      </c>
      <c r="CW229" s="5">
        <f>INDEX(Projects[Plan Mech Eng (wks)],228)</f>
        <v/>
      </c>
      <c r="CX229" s="5">
        <f>INDEX(Projects[Plan Controls Eng (wks)],228)</f>
        <v/>
      </c>
      <c r="CY229" s="5">
        <f>INDEX(Projects[Plan Systems Eng (wks)],228)</f>
        <v/>
      </c>
      <c r="CZ229" s="5">
        <f>INDEX(Projects[Plan Software Eng (wks)],228)</f>
        <v/>
      </c>
      <c r="DA229" s="5">
        <f>INDEX(Projects[Plan M&amp;E Installation (wks)],228)</f>
        <v/>
      </c>
      <c r="DB229" s="5">
        <f>INDEX(Projects[Plan Commissioning (wks)],228)</f>
        <v/>
      </c>
      <c r="DC229" s="5">
        <f>INDEX(Projects[Plan Total (wks)],228)</f>
        <v/>
      </c>
      <c r="DD229" s="5">
        <f>INDEX(Projects[Act Mech Eng (wks)],228)</f>
        <v/>
      </c>
      <c r="DE229" s="5">
        <f>INDEX(Projects[Act Controls Eng (wks)],228)</f>
        <v/>
      </c>
      <c r="DF229" s="5">
        <f>INDEX(Projects[Act Systems Eng (wks)],228)</f>
        <v/>
      </c>
      <c r="DG229" s="5">
        <f>INDEX(Projects[Act Software Eng (wks)],228)</f>
        <v/>
      </c>
      <c r="DH229" s="5">
        <f>INDEX(Projects[Act M&amp;E Installation (wks)],228)</f>
        <v/>
      </c>
      <c r="DI229" s="5">
        <f>INDEX(Projects[Act Commissioning (wks)],228)</f>
        <v/>
      </c>
      <c r="DJ229" s="5">
        <f>INDEX(Projects[Act Total (wks)],228)</f>
        <v/>
      </c>
    </row>
    <row r="230" ht="15" customHeight="1" s="82">
      <c r="A230" s="64">
        <f>INDEX(Projects[Project ID *],229)&amp;""</f>
        <v/>
      </c>
      <c r="B230" s="64">
        <f>INDEX(Projects[Project Name *],229)&amp;""</f>
        <v/>
      </c>
      <c r="C230" s="64">
        <f>INDEX(Projects[MS Shuttles],229)</f>
        <v/>
      </c>
      <c r="D230" s="64">
        <f>INDEX(Projects[MS Tote Locations],229)</f>
        <v/>
      </c>
      <c r="E230" s="64">
        <f>INDEX(Projects[AS Robots],229)</f>
        <v/>
      </c>
      <c r="F230" s="64">
        <f>INDEX(Projects[AS Tote Locations],229)</f>
        <v/>
      </c>
      <c r="G230" s="64">
        <f>INDEX(Projects[PS Shuttles],229)</f>
        <v/>
      </c>
      <c r="H230" s="64">
        <f>INDEX(Projects[PS Pallet Locations],229)</f>
        <v/>
      </c>
      <c r="I230" s="64">
        <f>INDEX(Projects[SRM Cranes],229)</f>
        <v/>
      </c>
      <c r="J230" s="64">
        <f>INDEX(Projects[SRM Pallet Locations],229)</f>
        <v/>
      </c>
      <c r="K230" s="64">
        <f>INDEX(Projects[Case Conv (m)],229)</f>
        <v/>
      </c>
      <c r="L230" s="64">
        <f>INDEX(Projects[Pallet Conv (m)],229)</f>
        <v/>
      </c>
      <c r="M230" s="64">
        <f>IF(N(DJ230)&gt;0,DD230,CW230)</f>
        <v/>
      </c>
      <c r="N230" s="64">
        <f>IF(N(DJ230)&gt;0,DE230,CX230)</f>
        <v/>
      </c>
      <c r="O230" s="64">
        <f>IF(N(DJ230)&gt;0,DF230,CY230)</f>
        <v/>
      </c>
      <c r="P230" s="64">
        <f>IF(N(DJ230)&gt;0,DG230,CZ230)</f>
        <v/>
      </c>
      <c r="Q230" s="64">
        <f>IF(N(DJ230)&gt;0,DH230,DA230)</f>
        <v/>
      </c>
      <c r="R230" s="64">
        <f>IF(N(DJ230)&gt;0,DI230,DB230)</f>
        <v/>
      </c>
      <c r="S230" s="64">
        <f>IF(N(DJ230)&gt;0,DJ230,DC230)</f>
        <v/>
      </c>
      <c r="T230" s="64">
        <f>INDEX(Projects[Currency],229)&amp;""</f>
        <v/>
      </c>
      <c r="U230" s="65">
        <f>INDEX(Projects[Sold Value (M)],229)</f>
        <v/>
      </c>
      <c r="V230" s="64">
        <f>IF('Smart Search'!B13=1,IFERROR(1/'Smart Search'!H13,0),0)</f>
        <v/>
      </c>
      <c r="W230" s="64">
        <f>IF('Smart Search'!B13=1,IFERROR(1/'Smart Search'!H13,0),0)</f>
        <v/>
      </c>
      <c r="X230" s="64">
        <f>IF('Smart Search'!C13=1,IFERROR(1/'Smart Search'!H13,0),0)</f>
        <v/>
      </c>
      <c r="Y230" s="64">
        <f>IF('Smart Search'!C13=1,IFERROR(1/'Smart Search'!H13,0),0)</f>
        <v/>
      </c>
      <c r="Z230" s="64">
        <f>IF('Smart Search'!D13=1,IFERROR(1/'Smart Search'!H13,0),0)</f>
        <v/>
      </c>
      <c r="AA230" s="64">
        <f>IF('Smart Search'!D13=1,IFERROR(1/'Smart Search'!H13,0),0)</f>
        <v/>
      </c>
      <c r="AB230" s="64">
        <f>IF('Smart Search'!E13=1,IFERROR(1/'Smart Search'!H13,0),0)</f>
        <v/>
      </c>
      <c r="AC230" s="64">
        <f>IF('Smart Search'!E13=1,IFERROR(1/'Smart Search'!H13,0),0)</f>
        <v/>
      </c>
      <c r="AD230" s="64">
        <f>IF('Smart Search'!F13=1,IFERROR(1/'Smart Search'!H13,0),0)</f>
        <v/>
      </c>
      <c r="AE230" s="64">
        <f>IF('Smart Search'!F13=1,IFERROR(1/'Smart Search'!H13,0),0)</f>
        <v/>
      </c>
      <c r="AF230" s="64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4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4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4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4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4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4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4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4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4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4">
        <f>AF230*V230</f>
        <v/>
      </c>
      <c r="AQ230" s="64">
        <f>AG230*W230</f>
        <v/>
      </c>
      <c r="AR230" s="64">
        <f>AH230*X230</f>
        <v/>
      </c>
      <c r="AS230" s="64">
        <f>AI230*Y230</f>
        <v/>
      </c>
      <c r="AT230" s="64">
        <f>AJ230*Z230</f>
        <v/>
      </c>
      <c r="AU230" s="64">
        <f>AK230*AA230</f>
        <v/>
      </c>
      <c r="AV230" s="64">
        <f>AL230*AB230</f>
        <v/>
      </c>
      <c r="AW230" s="64">
        <f>AM230*AC230</f>
        <v/>
      </c>
      <c r="AX230" s="64">
        <f>AN230*AD230</f>
        <v/>
      </c>
      <c r="AY230" s="64">
        <f>AO230*AE230</f>
        <v/>
      </c>
      <c r="AZ230" s="64">
        <f>INDEX(Projects[Automation Equipment],229)&amp;""</f>
        <v/>
      </c>
      <c r="BA230" s="64">
        <f>IF(OR(A230="",'Smart Search'!H13=0),"",MAX(0,BE230*BF230*MAX(0,1-BG230)))</f>
        <v/>
      </c>
      <c r="BB230" s="64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4">
        <f>IF('Smart Search'!G13=1,IFERROR(1/'Smart Search'!H13,0),0)</f>
        <v/>
      </c>
      <c r="BD230" s="64">
        <f>BB230*BC230</f>
        <v/>
      </c>
      <c r="BE230" s="64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IF(A230="","",N(INDEX(Projects[Act Mech Inst],229)))</f>
        <v/>
      </c>
      <c r="BK230" s="5">
        <f>IF(A230="","",N(INDEX(Projects[Act Elec Inst],229)))</f>
        <v/>
      </c>
      <c r="BL230" s="5">
        <f>IF(A230="","",N(INDEX(Projects[Act Project Management],229)))</f>
        <v/>
      </c>
      <c r="BM230" s="5">
        <f>IF(A230="","",N(INDEX(Projects[Act Systems Eng],229)))</f>
        <v/>
      </c>
      <c r="BN230" s="5">
        <f>IF(A230="","",N(INDEX(Projects[Act Mechanical Eng],229)))</f>
        <v/>
      </c>
      <c r="BO230" s="5">
        <f>IF(A230="","",N(INDEX(Projects[Act Structural Engineering],229)))</f>
        <v/>
      </c>
      <c r="BP230" s="5">
        <f>IF(A230="","",N(INDEX(Projects[Act Site Sup],229)))</f>
        <v/>
      </c>
      <c r="BQ230" s="5">
        <f>IF(A230="","",N(INDEX(Projects[Act Controls Commissioning],229)))</f>
        <v/>
      </c>
      <c r="BR230" s="5">
        <f>IF(A230="","",N(INDEX(Projects[Act Systems Commissioning],229)))</f>
        <v/>
      </c>
      <c r="BS230" s="5">
        <f>IF(A230="","",N(INDEX(Projects[Act Service Commissioning],229)))</f>
        <v/>
      </c>
      <c r="BT230" s="5">
        <f>IF(A230="","",N(INDEX(Projects[Act Controls Eng],229)))</f>
        <v/>
      </c>
      <c r="BU230" s="5">
        <f>IF(A230="","",N(INDEX(Projects[Act Controls Purchase],229)))</f>
        <v/>
      </c>
      <c r="BV230" s="5">
        <f>IF(A230="","",N(INDEX(Projects[Act Software Eng],229)))</f>
        <v/>
      </c>
      <c r="BW230" s="5">
        <f>IF(A230="","",N(INDEX(Projects[Act 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INDEX(Projects[Sold Value (USD M)],229)</f>
        <v/>
      </c>
      <c r="CE230" s="5" t="n"/>
      <c r="CF230" s="5">
        <f>IF(A230="","",N(INDEX(Projects[Est Mech Inst],229)))</f>
        <v/>
      </c>
      <c r="CG230" s="5">
        <f>IF(A230="","",N(INDEX(Projects[Est Elec Inst],229)))</f>
        <v/>
      </c>
      <c r="CH230" s="5">
        <f>IF(A230="","",N(INDEX(Projects[Est Project Management],229)))</f>
        <v/>
      </c>
      <c r="CI230" s="5">
        <f>IF(A230="","",N(INDEX(Projects[Est Systems Eng],229)))</f>
        <v/>
      </c>
      <c r="CJ230" s="5">
        <f>IF(A230="","",N(INDEX(Projects[Est Mechanical Eng],229)))</f>
        <v/>
      </c>
      <c r="CK230" s="5">
        <f>IF(A230="","",N(INDEX(Projects[Est Structural Engineering],229)))</f>
        <v/>
      </c>
      <c r="CL230" s="5">
        <f>IF(A230="","",N(INDEX(Projects[Est Site Sup],229)))</f>
        <v/>
      </c>
      <c r="CM230" s="5">
        <f>IF(A230="","",N(INDEX(Projects[Est Controls Commissioning],229)))</f>
        <v/>
      </c>
      <c r="CN230" s="5">
        <f>IF(A230="","",N(INDEX(Projects[Est Systems Commissioning],229)))</f>
        <v/>
      </c>
      <c r="CO230" s="5">
        <f>IF(A230="","",N(INDEX(Projects[Est Service Commissioning],229)))</f>
        <v/>
      </c>
      <c r="CP230" s="5">
        <f>IF(A230="","",N(INDEX(Projects[Est Controls Eng],229)))</f>
        <v/>
      </c>
      <c r="CQ230" s="5">
        <f>IF(A230="","",N(INDEX(Projects[Est Controls Purchase],229)))</f>
        <v/>
      </c>
      <c r="CR230" s="5">
        <f>IF(A230="","",N(INDEX(Projects[Est Software Eng],229)))</f>
        <v/>
      </c>
      <c r="CS230" s="5">
        <f>IF(A230="","",N(INDEX(Projects[Est Misc],229)))</f>
        <v/>
      </c>
      <c r="CT230" s="5">
        <f>IF(A230="","",SUM(CF230:CS230))</f>
        <v/>
      </c>
      <c r="CU230" s="5">
        <f>INDEX(Projects[Est Cost (M)],229)</f>
        <v/>
      </c>
      <c r="CV230" s="5">
        <f>INDEX(Projects[Act Cost (M)],229)</f>
        <v/>
      </c>
      <c r="CW230" s="5">
        <f>INDEX(Projects[Plan Mech Eng (wks)],229)</f>
        <v/>
      </c>
      <c r="CX230" s="5">
        <f>INDEX(Projects[Plan Controls Eng (wks)],229)</f>
        <v/>
      </c>
      <c r="CY230" s="5">
        <f>INDEX(Projects[Plan Systems Eng (wks)],229)</f>
        <v/>
      </c>
      <c r="CZ230" s="5">
        <f>INDEX(Projects[Plan Software Eng (wks)],229)</f>
        <v/>
      </c>
      <c r="DA230" s="5">
        <f>INDEX(Projects[Plan M&amp;E Installation (wks)],229)</f>
        <v/>
      </c>
      <c r="DB230" s="5">
        <f>INDEX(Projects[Plan Commissioning (wks)],229)</f>
        <v/>
      </c>
      <c r="DC230" s="5">
        <f>INDEX(Projects[Plan Total (wks)],229)</f>
        <v/>
      </c>
      <c r="DD230" s="5">
        <f>INDEX(Projects[Act Mech Eng (wks)],229)</f>
        <v/>
      </c>
      <c r="DE230" s="5">
        <f>INDEX(Projects[Act Controls Eng (wks)],229)</f>
        <v/>
      </c>
      <c r="DF230" s="5">
        <f>INDEX(Projects[Act Systems Eng (wks)],229)</f>
        <v/>
      </c>
      <c r="DG230" s="5">
        <f>INDEX(Projects[Act Software Eng (wks)],229)</f>
        <v/>
      </c>
      <c r="DH230" s="5">
        <f>INDEX(Projects[Act M&amp;E Installation (wks)],229)</f>
        <v/>
      </c>
      <c r="DI230" s="5">
        <f>INDEX(Projects[Act Commissioning (wks)],229)</f>
        <v/>
      </c>
      <c r="DJ230" s="5">
        <f>INDEX(Projects[Act Total (wks)],229)</f>
        <v/>
      </c>
    </row>
    <row r="231" ht="15" customHeight="1" s="82">
      <c r="A231" s="64">
        <f>INDEX(Projects[Project ID *],230)&amp;""</f>
        <v/>
      </c>
      <c r="B231" s="64">
        <f>INDEX(Projects[Project Name *],230)&amp;""</f>
        <v/>
      </c>
      <c r="C231" s="64">
        <f>INDEX(Projects[MS Shuttles],230)</f>
        <v/>
      </c>
      <c r="D231" s="64">
        <f>INDEX(Projects[MS Tote Locations],230)</f>
        <v/>
      </c>
      <c r="E231" s="64">
        <f>INDEX(Projects[AS Robots],230)</f>
        <v/>
      </c>
      <c r="F231" s="64">
        <f>INDEX(Projects[AS Tote Locations],230)</f>
        <v/>
      </c>
      <c r="G231" s="64">
        <f>INDEX(Projects[PS Shuttles],230)</f>
        <v/>
      </c>
      <c r="H231" s="64">
        <f>INDEX(Projects[PS Pallet Locations],230)</f>
        <v/>
      </c>
      <c r="I231" s="64">
        <f>INDEX(Projects[SRM Cranes],230)</f>
        <v/>
      </c>
      <c r="J231" s="64">
        <f>INDEX(Projects[SRM Pallet Locations],230)</f>
        <v/>
      </c>
      <c r="K231" s="64">
        <f>INDEX(Projects[Case Conv (m)],230)</f>
        <v/>
      </c>
      <c r="L231" s="64">
        <f>INDEX(Projects[Pallet Conv (m)],230)</f>
        <v/>
      </c>
      <c r="M231" s="64">
        <f>IF(N(DJ231)&gt;0,DD231,CW231)</f>
        <v/>
      </c>
      <c r="N231" s="64">
        <f>IF(N(DJ231)&gt;0,DE231,CX231)</f>
        <v/>
      </c>
      <c r="O231" s="64">
        <f>IF(N(DJ231)&gt;0,DF231,CY231)</f>
        <v/>
      </c>
      <c r="P231" s="64">
        <f>IF(N(DJ231)&gt;0,DG231,CZ231)</f>
        <v/>
      </c>
      <c r="Q231" s="64">
        <f>IF(N(DJ231)&gt;0,DH231,DA231)</f>
        <v/>
      </c>
      <c r="R231" s="64">
        <f>IF(N(DJ231)&gt;0,DI231,DB231)</f>
        <v/>
      </c>
      <c r="S231" s="64">
        <f>IF(N(DJ231)&gt;0,DJ231,DC231)</f>
        <v/>
      </c>
      <c r="T231" s="64">
        <f>INDEX(Projects[Currency],230)&amp;""</f>
        <v/>
      </c>
      <c r="U231" s="65">
        <f>INDEX(Projects[Sold Value (M)],230)</f>
        <v/>
      </c>
      <c r="V231" s="64">
        <f>IF('Smart Search'!B13=1,IFERROR(1/'Smart Search'!H13,0),0)</f>
        <v/>
      </c>
      <c r="W231" s="64">
        <f>IF('Smart Search'!B13=1,IFERROR(1/'Smart Search'!H13,0),0)</f>
        <v/>
      </c>
      <c r="X231" s="64">
        <f>IF('Smart Search'!C13=1,IFERROR(1/'Smart Search'!H13,0),0)</f>
        <v/>
      </c>
      <c r="Y231" s="64">
        <f>IF('Smart Search'!C13=1,IFERROR(1/'Smart Search'!H13,0),0)</f>
        <v/>
      </c>
      <c r="Z231" s="64">
        <f>IF('Smart Search'!D13=1,IFERROR(1/'Smart Search'!H13,0),0)</f>
        <v/>
      </c>
      <c r="AA231" s="64">
        <f>IF('Smart Search'!D13=1,IFERROR(1/'Smart Search'!H13,0),0)</f>
        <v/>
      </c>
      <c r="AB231" s="64">
        <f>IF('Smart Search'!E13=1,IFERROR(1/'Smart Search'!H13,0),0)</f>
        <v/>
      </c>
      <c r="AC231" s="64">
        <f>IF('Smart Search'!E13=1,IFERROR(1/'Smart Search'!H13,0),0)</f>
        <v/>
      </c>
      <c r="AD231" s="64">
        <f>IF('Smart Search'!F13=1,IFERROR(1/'Smart Search'!H13,0),0)</f>
        <v/>
      </c>
      <c r="AE231" s="64">
        <f>IF('Smart Search'!F13=1,IFERROR(1/'Smart Search'!H13,0),0)</f>
        <v/>
      </c>
      <c r="AF231" s="64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4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4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4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4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4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4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4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4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4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4">
        <f>AF231*V231</f>
        <v/>
      </c>
      <c r="AQ231" s="64">
        <f>AG231*W231</f>
        <v/>
      </c>
      <c r="AR231" s="64">
        <f>AH231*X231</f>
        <v/>
      </c>
      <c r="AS231" s="64">
        <f>AI231*Y231</f>
        <v/>
      </c>
      <c r="AT231" s="64">
        <f>AJ231*Z231</f>
        <v/>
      </c>
      <c r="AU231" s="64">
        <f>AK231*AA231</f>
        <v/>
      </c>
      <c r="AV231" s="64">
        <f>AL231*AB231</f>
        <v/>
      </c>
      <c r="AW231" s="64">
        <f>AM231*AC231</f>
        <v/>
      </c>
      <c r="AX231" s="64">
        <f>AN231*AD231</f>
        <v/>
      </c>
      <c r="AY231" s="64">
        <f>AO231*AE231</f>
        <v/>
      </c>
      <c r="AZ231" s="64">
        <f>INDEX(Projects[Automation Equipment],230)&amp;""</f>
        <v/>
      </c>
      <c r="BA231" s="64">
        <f>IF(OR(A231="",'Smart Search'!H13=0),"",MAX(0,BE231*BF231*MAX(0,1-BG231)))</f>
        <v/>
      </c>
      <c r="BB231" s="64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4">
        <f>IF('Smart Search'!G13=1,IFERROR(1/'Smart Search'!H13,0),0)</f>
        <v/>
      </c>
      <c r="BD231" s="64">
        <f>BB231*BC231</f>
        <v/>
      </c>
      <c r="BE231" s="64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IF(A231="","",N(INDEX(Projects[Act Mech Inst],230)))</f>
        <v/>
      </c>
      <c r="BK231" s="5">
        <f>IF(A231="","",N(INDEX(Projects[Act Elec Inst],230)))</f>
        <v/>
      </c>
      <c r="BL231" s="5">
        <f>IF(A231="","",N(INDEX(Projects[Act Project Management],230)))</f>
        <v/>
      </c>
      <c r="BM231" s="5">
        <f>IF(A231="","",N(INDEX(Projects[Act Systems Eng],230)))</f>
        <v/>
      </c>
      <c r="BN231" s="5">
        <f>IF(A231="","",N(INDEX(Projects[Act Mechanical Eng],230)))</f>
        <v/>
      </c>
      <c r="BO231" s="5">
        <f>IF(A231="","",N(INDEX(Projects[Act Structural Engineering],230)))</f>
        <v/>
      </c>
      <c r="BP231" s="5">
        <f>IF(A231="","",N(INDEX(Projects[Act Site Sup],230)))</f>
        <v/>
      </c>
      <c r="BQ231" s="5">
        <f>IF(A231="","",N(INDEX(Projects[Act Controls Commissioning],230)))</f>
        <v/>
      </c>
      <c r="BR231" s="5">
        <f>IF(A231="","",N(INDEX(Projects[Act Systems Commissioning],230)))</f>
        <v/>
      </c>
      <c r="BS231" s="5">
        <f>IF(A231="","",N(INDEX(Projects[Act Service Commissioning],230)))</f>
        <v/>
      </c>
      <c r="BT231" s="5">
        <f>IF(A231="","",N(INDEX(Projects[Act Controls Eng],230)))</f>
        <v/>
      </c>
      <c r="BU231" s="5">
        <f>IF(A231="","",N(INDEX(Projects[Act Controls Purchase],230)))</f>
        <v/>
      </c>
      <c r="BV231" s="5">
        <f>IF(A231="","",N(INDEX(Projects[Act Software Eng],230)))</f>
        <v/>
      </c>
      <c r="BW231" s="5">
        <f>IF(A231="","",N(INDEX(Projects[Act 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INDEX(Projects[Sold Value (USD M)],230)</f>
        <v/>
      </c>
      <c r="CE231" s="5" t="n"/>
      <c r="CF231" s="5">
        <f>IF(A231="","",N(INDEX(Projects[Est Mech Inst],230)))</f>
        <v/>
      </c>
      <c r="CG231" s="5">
        <f>IF(A231="","",N(INDEX(Projects[Est Elec Inst],230)))</f>
        <v/>
      </c>
      <c r="CH231" s="5">
        <f>IF(A231="","",N(INDEX(Projects[Est Project Management],230)))</f>
        <v/>
      </c>
      <c r="CI231" s="5">
        <f>IF(A231="","",N(INDEX(Projects[Est Systems Eng],230)))</f>
        <v/>
      </c>
      <c r="CJ231" s="5">
        <f>IF(A231="","",N(INDEX(Projects[Est Mechanical Eng],230)))</f>
        <v/>
      </c>
      <c r="CK231" s="5">
        <f>IF(A231="","",N(INDEX(Projects[Est Structural Engineering],230)))</f>
        <v/>
      </c>
      <c r="CL231" s="5">
        <f>IF(A231="","",N(INDEX(Projects[Est Site Sup],230)))</f>
        <v/>
      </c>
      <c r="CM231" s="5">
        <f>IF(A231="","",N(INDEX(Projects[Est Controls Commissioning],230)))</f>
        <v/>
      </c>
      <c r="CN231" s="5">
        <f>IF(A231="","",N(INDEX(Projects[Est Systems Commissioning],230)))</f>
        <v/>
      </c>
      <c r="CO231" s="5">
        <f>IF(A231="","",N(INDEX(Projects[Est Service Commissioning],230)))</f>
        <v/>
      </c>
      <c r="CP231" s="5">
        <f>IF(A231="","",N(INDEX(Projects[Est Controls Eng],230)))</f>
        <v/>
      </c>
      <c r="CQ231" s="5">
        <f>IF(A231="","",N(INDEX(Projects[Est Controls Purchase],230)))</f>
        <v/>
      </c>
      <c r="CR231" s="5">
        <f>IF(A231="","",N(INDEX(Projects[Est Software Eng],230)))</f>
        <v/>
      </c>
      <c r="CS231" s="5">
        <f>IF(A231="","",N(INDEX(Projects[Est Misc],230)))</f>
        <v/>
      </c>
      <c r="CT231" s="5">
        <f>IF(A231="","",SUM(CF231:CS231))</f>
        <v/>
      </c>
      <c r="CU231" s="5">
        <f>INDEX(Projects[Est Cost (M)],230)</f>
        <v/>
      </c>
      <c r="CV231" s="5">
        <f>INDEX(Projects[Act Cost (M)],230)</f>
        <v/>
      </c>
      <c r="CW231" s="5">
        <f>INDEX(Projects[Plan Mech Eng (wks)],230)</f>
        <v/>
      </c>
      <c r="CX231" s="5">
        <f>INDEX(Projects[Plan Controls Eng (wks)],230)</f>
        <v/>
      </c>
      <c r="CY231" s="5">
        <f>INDEX(Projects[Plan Systems Eng (wks)],230)</f>
        <v/>
      </c>
      <c r="CZ231" s="5">
        <f>INDEX(Projects[Plan Software Eng (wks)],230)</f>
        <v/>
      </c>
      <c r="DA231" s="5">
        <f>INDEX(Projects[Plan M&amp;E Installation (wks)],230)</f>
        <v/>
      </c>
      <c r="DB231" s="5">
        <f>INDEX(Projects[Plan Commissioning (wks)],230)</f>
        <v/>
      </c>
      <c r="DC231" s="5">
        <f>INDEX(Projects[Plan Total (wks)],230)</f>
        <v/>
      </c>
      <c r="DD231" s="5">
        <f>INDEX(Projects[Act Mech Eng (wks)],230)</f>
        <v/>
      </c>
      <c r="DE231" s="5">
        <f>INDEX(Projects[Act Controls Eng (wks)],230)</f>
        <v/>
      </c>
      <c r="DF231" s="5">
        <f>INDEX(Projects[Act Systems Eng (wks)],230)</f>
        <v/>
      </c>
      <c r="DG231" s="5">
        <f>INDEX(Projects[Act Software Eng (wks)],230)</f>
        <v/>
      </c>
      <c r="DH231" s="5">
        <f>INDEX(Projects[Act M&amp;E Installation (wks)],230)</f>
        <v/>
      </c>
      <c r="DI231" s="5">
        <f>INDEX(Projects[Act Commissioning (wks)],230)</f>
        <v/>
      </c>
      <c r="DJ231" s="5">
        <f>INDEX(Projects[Act Total (wks)],230)</f>
        <v/>
      </c>
    </row>
    <row r="232" ht="15" customHeight="1" s="82">
      <c r="A232" s="64">
        <f>INDEX(Projects[Project ID *],231)&amp;""</f>
        <v/>
      </c>
      <c r="B232" s="64">
        <f>INDEX(Projects[Project Name *],231)&amp;""</f>
        <v/>
      </c>
      <c r="C232" s="64">
        <f>INDEX(Projects[MS Shuttles],231)</f>
        <v/>
      </c>
      <c r="D232" s="64">
        <f>INDEX(Projects[MS Tote Locations],231)</f>
        <v/>
      </c>
      <c r="E232" s="64">
        <f>INDEX(Projects[AS Robots],231)</f>
        <v/>
      </c>
      <c r="F232" s="64">
        <f>INDEX(Projects[AS Tote Locations],231)</f>
        <v/>
      </c>
      <c r="G232" s="64">
        <f>INDEX(Projects[PS Shuttles],231)</f>
        <v/>
      </c>
      <c r="H232" s="64">
        <f>INDEX(Projects[PS Pallet Locations],231)</f>
        <v/>
      </c>
      <c r="I232" s="64">
        <f>INDEX(Projects[SRM Cranes],231)</f>
        <v/>
      </c>
      <c r="J232" s="64">
        <f>INDEX(Projects[SRM Pallet Locations],231)</f>
        <v/>
      </c>
      <c r="K232" s="64">
        <f>INDEX(Projects[Case Conv (m)],231)</f>
        <v/>
      </c>
      <c r="L232" s="64">
        <f>INDEX(Projects[Pallet Conv (m)],231)</f>
        <v/>
      </c>
      <c r="M232" s="64">
        <f>IF(N(DJ232)&gt;0,DD232,CW232)</f>
        <v/>
      </c>
      <c r="N232" s="64">
        <f>IF(N(DJ232)&gt;0,DE232,CX232)</f>
        <v/>
      </c>
      <c r="O232" s="64">
        <f>IF(N(DJ232)&gt;0,DF232,CY232)</f>
        <v/>
      </c>
      <c r="P232" s="64">
        <f>IF(N(DJ232)&gt;0,DG232,CZ232)</f>
        <v/>
      </c>
      <c r="Q232" s="64">
        <f>IF(N(DJ232)&gt;0,DH232,DA232)</f>
        <v/>
      </c>
      <c r="R232" s="64">
        <f>IF(N(DJ232)&gt;0,DI232,DB232)</f>
        <v/>
      </c>
      <c r="S232" s="64">
        <f>IF(N(DJ232)&gt;0,DJ232,DC232)</f>
        <v/>
      </c>
      <c r="T232" s="64">
        <f>INDEX(Projects[Currency],231)&amp;""</f>
        <v/>
      </c>
      <c r="U232" s="65">
        <f>INDEX(Projects[Sold Value (M)],231)</f>
        <v/>
      </c>
      <c r="V232" s="64">
        <f>IF('Smart Search'!B13=1,IFERROR(1/'Smart Search'!H13,0),0)</f>
        <v/>
      </c>
      <c r="W232" s="64">
        <f>IF('Smart Search'!B13=1,IFERROR(1/'Smart Search'!H13,0),0)</f>
        <v/>
      </c>
      <c r="X232" s="64">
        <f>IF('Smart Search'!C13=1,IFERROR(1/'Smart Search'!H13,0),0)</f>
        <v/>
      </c>
      <c r="Y232" s="64">
        <f>IF('Smart Search'!C13=1,IFERROR(1/'Smart Search'!H13,0),0)</f>
        <v/>
      </c>
      <c r="Z232" s="64">
        <f>IF('Smart Search'!D13=1,IFERROR(1/'Smart Search'!H13,0),0)</f>
        <v/>
      </c>
      <c r="AA232" s="64">
        <f>IF('Smart Search'!D13=1,IFERROR(1/'Smart Search'!H13,0),0)</f>
        <v/>
      </c>
      <c r="AB232" s="64">
        <f>IF('Smart Search'!E13=1,IFERROR(1/'Smart Search'!H13,0),0)</f>
        <v/>
      </c>
      <c r="AC232" s="64">
        <f>IF('Smart Search'!E13=1,IFERROR(1/'Smart Search'!H13,0),0)</f>
        <v/>
      </c>
      <c r="AD232" s="64">
        <f>IF('Smart Search'!F13=1,IFERROR(1/'Smart Search'!H13,0),0)</f>
        <v/>
      </c>
      <c r="AE232" s="64">
        <f>IF('Smart Search'!F13=1,IFERROR(1/'Smart Search'!H13,0),0)</f>
        <v/>
      </c>
      <c r="AF232" s="64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4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4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4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4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4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4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4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4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4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4">
        <f>AF232*V232</f>
        <v/>
      </c>
      <c r="AQ232" s="64">
        <f>AG232*W232</f>
        <v/>
      </c>
      <c r="AR232" s="64">
        <f>AH232*X232</f>
        <v/>
      </c>
      <c r="AS232" s="64">
        <f>AI232*Y232</f>
        <v/>
      </c>
      <c r="AT232" s="64">
        <f>AJ232*Z232</f>
        <v/>
      </c>
      <c r="AU232" s="64">
        <f>AK232*AA232</f>
        <v/>
      </c>
      <c r="AV232" s="64">
        <f>AL232*AB232</f>
        <v/>
      </c>
      <c r="AW232" s="64">
        <f>AM232*AC232</f>
        <v/>
      </c>
      <c r="AX232" s="64">
        <f>AN232*AD232</f>
        <v/>
      </c>
      <c r="AY232" s="64">
        <f>AO232*AE232</f>
        <v/>
      </c>
      <c r="AZ232" s="64">
        <f>INDEX(Projects[Automation Equipment],231)&amp;""</f>
        <v/>
      </c>
      <c r="BA232" s="64">
        <f>IF(OR(A232="",'Smart Search'!H13=0),"",MAX(0,BE232*BF232*MAX(0,1-BG232)))</f>
        <v/>
      </c>
      <c r="BB232" s="64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4">
        <f>IF('Smart Search'!G13=1,IFERROR(1/'Smart Search'!H13,0),0)</f>
        <v/>
      </c>
      <c r="BD232" s="64">
        <f>BB232*BC232</f>
        <v/>
      </c>
      <c r="BE232" s="64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IF(A232="","",N(INDEX(Projects[Act Mech Inst],231)))</f>
        <v/>
      </c>
      <c r="BK232" s="5">
        <f>IF(A232="","",N(INDEX(Projects[Act Elec Inst],231)))</f>
        <v/>
      </c>
      <c r="BL232" s="5">
        <f>IF(A232="","",N(INDEX(Projects[Act Project Management],231)))</f>
        <v/>
      </c>
      <c r="BM232" s="5">
        <f>IF(A232="","",N(INDEX(Projects[Act Systems Eng],231)))</f>
        <v/>
      </c>
      <c r="BN232" s="5">
        <f>IF(A232="","",N(INDEX(Projects[Act Mechanical Eng],231)))</f>
        <v/>
      </c>
      <c r="BO232" s="5">
        <f>IF(A232="","",N(INDEX(Projects[Act Structural Engineering],231)))</f>
        <v/>
      </c>
      <c r="BP232" s="5">
        <f>IF(A232="","",N(INDEX(Projects[Act Site Sup],231)))</f>
        <v/>
      </c>
      <c r="BQ232" s="5">
        <f>IF(A232="","",N(INDEX(Projects[Act Controls Commissioning],231)))</f>
        <v/>
      </c>
      <c r="BR232" s="5">
        <f>IF(A232="","",N(INDEX(Projects[Act Systems Commissioning],231)))</f>
        <v/>
      </c>
      <c r="BS232" s="5">
        <f>IF(A232="","",N(INDEX(Projects[Act Service Commissioning],231)))</f>
        <v/>
      </c>
      <c r="BT232" s="5">
        <f>IF(A232="","",N(INDEX(Projects[Act Controls Eng],231)))</f>
        <v/>
      </c>
      <c r="BU232" s="5">
        <f>IF(A232="","",N(INDEX(Projects[Act Controls Purchase],231)))</f>
        <v/>
      </c>
      <c r="BV232" s="5">
        <f>IF(A232="","",N(INDEX(Projects[Act Software Eng],231)))</f>
        <v/>
      </c>
      <c r="BW232" s="5">
        <f>IF(A232="","",N(INDEX(Projects[Act 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INDEX(Projects[Sold Value (USD M)],231)</f>
        <v/>
      </c>
      <c r="CE232" s="5" t="n"/>
      <c r="CF232" s="5">
        <f>IF(A232="","",N(INDEX(Projects[Est Mech Inst],231)))</f>
        <v/>
      </c>
      <c r="CG232" s="5">
        <f>IF(A232="","",N(INDEX(Projects[Est Elec Inst],231)))</f>
        <v/>
      </c>
      <c r="CH232" s="5">
        <f>IF(A232="","",N(INDEX(Projects[Est Project Management],231)))</f>
        <v/>
      </c>
      <c r="CI232" s="5">
        <f>IF(A232="","",N(INDEX(Projects[Est Systems Eng],231)))</f>
        <v/>
      </c>
      <c r="CJ232" s="5">
        <f>IF(A232="","",N(INDEX(Projects[Est Mechanical Eng],231)))</f>
        <v/>
      </c>
      <c r="CK232" s="5">
        <f>IF(A232="","",N(INDEX(Projects[Est Structural Engineering],231)))</f>
        <v/>
      </c>
      <c r="CL232" s="5">
        <f>IF(A232="","",N(INDEX(Projects[Est Site Sup],231)))</f>
        <v/>
      </c>
      <c r="CM232" s="5">
        <f>IF(A232="","",N(INDEX(Projects[Est Controls Commissioning],231)))</f>
        <v/>
      </c>
      <c r="CN232" s="5">
        <f>IF(A232="","",N(INDEX(Projects[Est Systems Commissioning],231)))</f>
        <v/>
      </c>
      <c r="CO232" s="5">
        <f>IF(A232="","",N(INDEX(Projects[Est Service Commissioning],231)))</f>
        <v/>
      </c>
      <c r="CP232" s="5">
        <f>IF(A232="","",N(INDEX(Projects[Est Controls Eng],231)))</f>
        <v/>
      </c>
      <c r="CQ232" s="5">
        <f>IF(A232="","",N(INDEX(Projects[Est Controls Purchase],231)))</f>
        <v/>
      </c>
      <c r="CR232" s="5">
        <f>IF(A232="","",N(INDEX(Projects[Est Software Eng],231)))</f>
        <v/>
      </c>
      <c r="CS232" s="5">
        <f>IF(A232="","",N(INDEX(Projects[Est Misc],231)))</f>
        <v/>
      </c>
      <c r="CT232" s="5">
        <f>IF(A232="","",SUM(CF232:CS232))</f>
        <v/>
      </c>
      <c r="CU232" s="5">
        <f>INDEX(Projects[Est Cost (M)],231)</f>
        <v/>
      </c>
      <c r="CV232" s="5">
        <f>INDEX(Projects[Act Cost (M)],231)</f>
        <v/>
      </c>
      <c r="CW232" s="5">
        <f>INDEX(Projects[Plan Mech Eng (wks)],231)</f>
        <v/>
      </c>
      <c r="CX232" s="5">
        <f>INDEX(Projects[Plan Controls Eng (wks)],231)</f>
        <v/>
      </c>
      <c r="CY232" s="5">
        <f>INDEX(Projects[Plan Systems Eng (wks)],231)</f>
        <v/>
      </c>
      <c r="CZ232" s="5">
        <f>INDEX(Projects[Plan Software Eng (wks)],231)</f>
        <v/>
      </c>
      <c r="DA232" s="5">
        <f>INDEX(Projects[Plan M&amp;E Installation (wks)],231)</f>
        <v/>
      </c>
      <c r="DB232" s="5">
        <f>INDEX(Projects[Plan Commissioning (wks)],231)</f>
        <v/>
      </c>
      <c r="DC232" s="5">
        <f>INDEX(Projects[Plan Total (wks)],231)</f>
        <v/>
      </c>
      <c r="DD232" s="5">
        <f>INDEX(Projects[Act Mech Eng (wks)],231)</f>
        <v/>
      </c>
      <c r="DE232" s="5">
        <f>INDEX(Projects[Act Controls Eng (wks)],231)</f>
        <v/>
      </c>
      <c r="DF232" s="5">
        <f>INDEX(Projects[Act Systems Eng (wks)],231)</f>
        <v/>
      </c>
      <c r="DG232" s="5">
        <f>INDEX(Projects[Act Software Eng (wks)],231)</f>
        <v/>
      </c>
      <c r="DH232" s="5">
        <f>INDEX(Projects[Act M&amp;E Installation (wks)],231)</f>
        <v/>
      </c>
      <c r="DI232" s="5">
        <f>INDEX(Projects[Act Commissioning (wks)],231)</f>
        <v/>
      </c>
      <c r="DJ232" s="5">
        <f>INDEX(Projects[Act Total (wks)],231)</f>
        <v/>
      </c>
    </row>
    <row r="233" ht="15" customHeight="1" s="82">
      <c r="A233" s="64">
        <f>INDEX(Projects[Project ID *],232)&amp;""</f>
        <v/>
      </c>
      <c r="B233" s="64">
        <f>INDEX(Projects[Project Name *],232)&amp;""</f>
        <v/>
      </c>
      <c r="C233" s="64">
        <f>INDEX(Projects[MS Shuttles],232)</f>
        <v/>
      </c>
      <c r="D233" s="64">
        <f>INDEX(Projects[MS Tote Locations],232)</f>
        <v/>
      </c>
      <c r="E233" s="64">
        <f>INDEX(Projects[AS Robots],232)</f>
        <v/>
      </c>
      <c r="F233" s="64">
        <f>INDEX(Projects[AS Tote Locations],232)</f>
        <v/>
      </c>
      <c r="G233" s="64">
        <f>INDEX(Projects[PS Shuttles],232)</f>
        <v/>
      </c>
      <c r="H233" s="64">
        <f>INDEX(Projects[PS Pallet Locations],232)</f>
        <v/>
      </c>
      <c r="I233" s="64">
        <f>INDEX(Projects[SRM Cranes],232)</f>
        <v/>
      </c>
      <c r="J233" s="64">
        <f>INDEX(Projects[SRM Pallet Locations],232)</f>
        <v/>
      </c>
      <c r="K233" s="64">
        <f>INDEX(Projects[Case Conv (m)],232)</f>
        <v/>
      </c>
      <c r="L233" s="64">
        <f>INDEX(Projects[Pallet Conv (m)],232)</f>
        <v/>
      </c>
      <c r="M233" s="64">
        <f>IF(N(DJ233)&gt;0,DD233,CW233)</f>
        <v/>
      </c>
      <c r="N233" s="64">
        <f>IF(N(DJ233)&gt;0,DE233,CX233)</f>
        <v/>
      </c>
      <c r="O233" s="64">
        <f>IF(N(DJ233)&gt;0,DF233,CY233)</f>
        <v/>
      </c>
      <c r="P233" s="64">
        <f>IF(N(DJ233)&gt;0,DG233,CZ233)</f>
        <v/>
      </c>
      <c r="Q233" s="64">
        <f>IF(N(DJ233)&gt;0,DH233,DA233)</f>
        <v/>
      </c>
      <c r="R233" s="64">
        <f>IF(N(DJ233)&gt;0,DI233,DB233)</f>
        <v/>
      </c>
      <c r="S233" s="64">
        <f>IF(N(DJ233)&gt;0,DJ233,DC233)</f>
        <v/>
      </c>
      <c r="T233" s="64">
        <f>INDEX(Projects[Currency],232)&amp;""</f>
        <v/>
      </c>
      <c r="U233" s="65">
        <f>INDEX(Projects[Sold Value (M)],232)</f>
        <v/>
      </c>
      <c r="V233" s="64">
        <f>IF('Smart Search'!B13=1,IFERROR(1/'Smart Search'!H13,0),0)</f>
        <v/>
      </c>
      <c r="W233" s="64">
        <f>IF('Smart Search'!B13=1,IFERROR(1/'Smart Search'!H13,0),0)</f>
        <v/>
      </c>
      <c r="X233" s="64">
        <f>IF('Smart Search'!C13=1,IFERROR(1/'Smart Search'!H13,0),0)</f>
        <v/>
      </c>
      <c r="Y233" s="64">
        <f>IF('Smart Search'!C13=1,IFERROR(1/'Smart Search'!H13,0),0)</f>
        <v/>
      </c>
      <c r="Z233" s="64">
        <f>IF('Smart Search'!D13=1,IFERROR(1/'Smart Search'!H13,0),0)</f>
        <v/>
      </c>
      <c r="AA233" s="64">
        <f>IF('Smart Search'!D13=1,IFERROR(1/'Smart Search'!H13,0),0)</f>
        <v/>
      </c>
      <c r="AB233" s="64">
        <f>IF('Smart Search'!E13=1,IFERROR(1/'Smart Search'!H13,0),0)</f>
        <v/>
      </c>
      <c r="AC233" s="64">
        <f>IF('Smart Search'!E13=1,IFERROR(1/'Smart Search'!H13,0),0)</f>
        <v/>
      </c>
      <c r="AD233" s="64">
        <f>IF('Smart Search'!F13=1,IFERROR(1/'Smart Search'!H13,0),0)</f>
        <v/>
      </c>
      <c r="AE233" s="64">
        <f>IF('Smart Search'!F13=1,IFERROR(1/'Smart Search'!H13,0),0)</f>
        <v/>
      </c>
      <c r="AF233" s="64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4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4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4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4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4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4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4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4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4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4">
        <f>AF233*V233</f>
        <v/>
      </c>
      <c r="AQ233" s="64">
        <f>AG233*W233</f>
        <v/>
      </c>
      <c r="AR233" s="64">
        <f>AH233*X233</f>
        <v/>
      </c>
      <c r="AS233" s="64">
        <f>AI233*Y233</f>
        <v/>
      </c>
      <c r="AT233" s="64">
        <f>AJ233*Z233</f>
        <v/>
      </c>
      <c r="AU233" s="64">
        <f>AK233*AA233</f>
        <v/>
      </c>
      <c r="AV233" s="64">
        <f>AL233*AB233</f>
        <v/>
      </c>
      <c r="AW233" s="64">
        <f>AM233*AC233</f>
        <v/>
      </c>
      <c r="AX233" s="64">
        <f>AN233*AD233</f>
        <v/>
      </c>
      <c r="AY233" s="64">
        <f>AO233*AE233</f>
        <v/>
      </c>
      <c r="AZ233" s="64">
        <f>INDEX(Projects[Automation Equipment],232)&amp;""</f>
        <v/>
      </c>
      <c r="BA233" s="64">
        <f>IF(OR(A233="",'Smart Search'!H13=0),"",MAX(0,BE233*BF233*MAX(0,1-BG233)))</f>
        <v/>
      </c>
      <c r="BB233" s="64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4">
        <f>IF('Smart Search'!G13=1,IFERROR(1/'Smart Search'!H13,0),0)</f>
        <v/>
      </c>
      <c r="BD233" s="64">
        <f>BB233*BC233</f>
        <v/>
      </c>
      <c r="BE233" s="64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IF(A233="","",N(INDEX(Projects[Act Mech Inst],232)))</f>
        <v/>
      </c>
      <c r="BK233" s="5">
        <f>IF(A233="","",N(INDEX(Projects[Act Elec Inst],232)))</f>
        <v/>
      </c>
      <c r="BL233" s="5">
        <f>IF(A233="","",N(INDEX(Projects[Act Project Management],232)))</f>
        <v/>
      </c>
      <c r="BM233" s="5">
        <f>IF(A233="","",N(INDEX(Projects[Act Systems Eng],232)))</f>
        <v/>
      </c>
      <c r="BN233" s="5">
        <f>IF(A233="","",N(INDEX(Projects[Act Mechanical Eng],232)))</f>
        <v/>
      </c>
      <c r="BO233" s="5">
        <f>IF(A233="","",N(INDEX(Projects[Act Structural Engineering],232)))</f>
        <v/>
      </c>
      <c r="BP233" s="5">
        <f>IF(A233="","",N(INDEX(Projects[Act Site Sup],232)))</f>
        <v/>
      </c>
      <c r="BQ233" s="5">
        <f>IF(A233="","",N(INDEX(Projects[Act Controls Commissioning],232)))</f>
        <v/>
      </c>
      <c r="BR233" s="5">
        <f>IF(A233="","",N(INDEX(Projects[Act Systems Commissioning],232)))</f>
        <v/>
      </c>
      <c r="BS233" s="5">
        <f>IF(A233="","",N(INDEX(Projects[Act Service Commissioning],232)))</f>
        <v/>
      </c>
      <c r="BT233" s="5">
        <f>IF(A233="","",N(INDEX(Projects[Act Controls Eng],232)))</f>
        <v/>
      </c>
      <c r="BU233" s="5">
        <f>IF(A233="","",N(INDEX(Projects[Act Controls Purchase],232)))</f>
        <v/>
      </c>
      <c r="BV233" s="5">
        <f>IF(A233="","",N(INDEX(Projects[Act Software Eng],232)))</f>
        <v/>
      </c>
      <c r="BW233" s="5">
        <f>IF(A233="","",N(INDEX(Projects[Act 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INDEX(Projects[Sold Value (USD M)],232)</f>
        <v/>
      </c>
      <c r="CE233" s="5" t="n"/>
      <c r="CF233" s="5">
        <f>IF(A233="","",N(INDEX(Projects[Est Mech Inst],232)))</f>
        <v/>
      </c>
      <c r="CG233" s="5">
        <f>IF(A233="","",N(INDEX(Projects[Est Elec Inst],232)))</f>
        <v/>
      </c>
      <c r="CH233" s="5">
        <f>IF(A233="","",N(INDEX(Projects[Est Project Management],232)))</f>
        <v/>
      </c>
      <c r="CI233" s="5">
        <f>IF(A233="","",N(INDEX(Projects[Est Systems Eng],232)))</f>
        <v/>
      </c>
      <c r="CJ233" s="5">
        <f>IF(A233="","",N(INDEX(Projects[Est Mechanical Eng],232)))</f>
        <v/>
      </c>
      <c r="CK233" s="5">
        <f>IF(A233="","",N(INDEX(Projects[Est Structural Engineering],232)))</f>
        <v/>
      </c>
      <c r="CL233" s="5">
        <f>IF(A233="","",N(INDEX(Projects[Est Site Sup],232)))</f>
        <v/>
      </c>
      <c r="CM233" s="5">
        <f>IF(A233="","",N(INDEX(Projects[Est Controls Commissioning],232)))</f>
        <v/>
      </c>
      <c r="CN233" s="5">
        <f>IF(A233="","",N(INDEX(Projects[Est Systems Commissioning],232)))</f>
        <v/>
      </c>
      <c r="CO233" s="5">
        <f>IF(A233="","",N(INDEX(Projects[Est Service Commissioning],232)))</f>
        <v/>
      </c>
      <c r="CP233" s="5">
        <f>IF(A233="","",N(INDEX(Projects[Est Controls Eng],232)))</f>
        <v/>
      </c>
      <c r="CQ233" s="5">
        <f>IF(A233="","",N(INDEX(Projects[Est Controls Purchase],232)))</f>
        <v/>
      </c>
      <c r="CR233" s="5">
        <f>IF(A233="","",N(INDEX(Projects[Est Software Eng],232)))</f>
        <v/>
      </c>
      <c r="CS233" s="5">
        <f>IF(A233="","",N(INDEX(Projects[Est Misc],232)))</f>
        <v/>
      </c>
      <c r="CT233" s="5">
        <f>IF(A233="","",SUM(CF233:CS233))</f>
        <v/>
      </c>
      <c r="CU233" s="5">
        <f>INDEX(Projects[Est Cost (M)],232)</f>
        <v/>
      </c>
      <c r="CV233" s="5">
        <f>INDEX(Projects[Act Cost (M)],232)</f>
        <v/>
      </c>
      <c r="CW233" s="5">
        <f>INDEX(Projects[Plan Mech Eng (wks)],232)</f>
        <v/>
      </c>
      <c r="CX233" s="5">
        <f>INDEX(Projects[Plan Controls Eng (wks)],232)</f>
        <v/>
      </c>
      <c r="CY233" s="5">
        <f>INDEX(Projects[Plan Systems Eng (wks)],232)</f>
        <v/>
      </c>
      <c r="CZ233" s="5">
        <f>INDEX(Projects[Plan Software Eng (wks)],232)</f>
        <v/>
      </c>
      <c r="DA233" s="5">
        <f>INDEX(Projects[Plan M&amp;E Installation (wks)],232)</f>
        <v/>
      </c>
      <c r="DB233" s="5">
        <f>INDEX(Projects[Plan Commissioning (wks)],232)</f>
        <v/>
      </c>
      <c r="DC233" s="5">
        <f>INDEX(Projects[Plan Total (wks)],232)</f>
        <v/>
      </c>
      <c r="DD233" s="5">
        <f>INDEX(Projects[Act Mech Eng (wks)],232)</f>
        <v/>
      </c>
      <c r="DE233" s="5">
        <f>INDEX(Projects[Act Controls Eng (wks)],232)</f>
        <v/>
      </c>
      <c r="DF233" s="5">
        <f>INDEX(Projects[Act Systems Eng (wks)],232)</f>
        <v/>
      </c>
      <c r="DG233" s="5">
        <f>INDEX(Projects[Act Software Eng (wks)],232)</f>
        <v/>
      </c>
      <c r="DH233" s="5">
        <f>INDEX(Projects[Act M&amp;E Installation (wks)],232)</f>
        <v/>
      </c>
      <c r="DI233" s="5">
        <f>INDEX(Projects[Act Commissioning (wks)],232)</f>
        <v/>
      </c>
      <c r="DJ233" s="5">
        <f>INDEX(Projects[Act Total (wks)],232)</f>
        <v/>
      </c>
    </row>
    <row r="234" ht="15" customHeight="1" s="82">
      <c r="A234" s="64">
        <f>INDEX(Projects[Project ID *],233)&amp;""</f>
        <v/>
      </c>
      <c r="B234" s="64">
        <f>INDEX(Projects[Project Name *],233)&amp;""</f>
        <v/>
      </c>
      <c r="C234" s="64">
        <f>INDEX(Projects[MS Shuttles],233)</f>
        <v/>
      </c>
      <c r="D234" s="64">
        <f>INDEX(Projects[MS Tote Locations],233)</f>
        <v/>
      </c>
      <c r="E234" s="64">
        <f>INDEX(Projects[AS Robots],233)</f>
        <v/>
      </c>
      <c r="F234" s="64">
        <f>INDEX(Projects[AS Tote Locations],233)</f>
        <v/>
      </c>
      <c r="G234" s="64">
        <f>INDEX(Projects[PS Shuttles],233)</f>
        <v/>
      </c>
      <c r="H234" s="64">
        <f>INDEX(Projects[PS Pallet Locations],233)</f>
        <v/>
      </c>
      <c r="I234" s="64">
        <f>INDEX(Projects[SRM Cranes],233)</f>
        <v/>
      </c>
      <c r="J234" s="64">
        <f>INDEX(Projects[SRM Pallet Locations],233)</f>
        <v/>
      </c>
      <c r="K234" s="64">
        <f>INDEX(Projects[Case Conv (m)],233)</f>
        <v/>
      </c>
      <c r="L234" s="64">
        <f>INDEX(Projects[Pallet Conv (m)],233)</f>
        <v/>
      </c>
      <c r="M234" s="64">
        <f>IF(N(DJ234)&gt;0,DD234,CW234)</f>
        <v/>
      </c>
      <c r="N234" s="64">
        <f>IF(N(DJ234)&gt;0,DE234,CX234)</f>
        <v/>
      </c>
      <c r="O234" s="64">
        <f>IF(N(DJ234)&gt;0,DF234,CY234)</f>
        <v/>
      </c>
      <c r="P234" s="64">
        <f>IF(N(DJ234)&gt;0,DG234,CZ234)</f>
        <v/>
      </c>
      <c r="Q234" s="64">
        <f>IF(N(DJ234)&gt;0,DH234,DA234)</f>
        <v/>
      </c>
      <c r="R234" s="64">
        <f>IF(N(DJ234)&gt;0,DI234,DB234)</f>
        <v/>
      </c>
      <c r="S234" s="64">
        <f>IF(N(DJ234)&gt;0,DJ234,DC234)</f>
        <v/>
      </c>
      <c r="T234" s="64">
        <f>INDEX(Projects[Currency],233)&amp;""</f>
        <v/>
      </c>
      <c r="U234" s="65">
        <f>INDEX(Projects[Sold Value (M)],233)</f>
        <v/>
      </c>
      <c r="V234" s="64">
        <f>IF('Smart Search'!B13=1,IFERROR(1/'Smart Search'!H13,0),0)</f>
        <v/>
      </c>
      <c r="W234" s="64">
        <f>IF('Smart Search'!B13=1,IFERROR(1/'Smart Search'!H13,0),0)</f>
        <v/>
      </c>
      <c r="X234" s="64">
        <f>IF('Smart Search'!C13=1,IFERROR(1/'Smart Search'!H13,0),0)</f>
        <v/>
      </c>
      <c r="Y234" s="64">
        <f>IF('Smart Search'!C13=1,IFERROR(1/'Smart Search'!H13,0),0)</f>
        <v/>
      </c>
      <c r="Z234" s="64">
        <f>IF('Smart Search'!D13=1,IFERROR(1/'Smart Search'!H13,0),0)</f>
        <v/>
      </c>
      <c r="AA234" s="64">
        <f>IF('Smart Search'!D13=1,IFERROR(1/'Smart Search'!H13,0),0)</f>
        <v/>
      </c>
      <c r="AB234" s="64">
        <f>IF('Smart Search'!E13=1,IFERROR(1/'Smart Search'!H13,0),0)</f>
        <v/>
      </c>
      <c r="AC234" s="64">
        <f>IF('Smart Search'!E13=1,IFERROR(1/'Smart Search'!H13,0),0)</f>
        <v/>
      </c>
      <c r="AD234" s="64">
        <f>IF('Smart Search'!F13=1,IFERROR(1/'Smart Search'!H13,0),0)</f>
        <v/>
      </c>
      <c r="AE234" s="64">
        <f>IF('Smart Search'!F13=1,IFERROR(1/'Smart Search'!H13,0),0)</f>
        <v/>
      </c>
      <c r="AF234" s="64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4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4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4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4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4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4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4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4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4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4">
        <f>AF234*V234</f>
        <v/>
      </c>
      <c r="AQ234" s="64">
        <f>AG234*W234</f>
        <v/>
      </c>
      <c r="AR234" s="64">
        <f>AH234*X234</f>
        <v/>
      </c>
      <c r="AS234" s="64">
        <f>AI234*Y234</f>
        <v/>
      </c>
      <c r="AT234" s="64">
        <f>AJ234*Z234</f>
        <v/>
      </c>
      <c r="AU234" s="64">
        <f>AK234*AA234</f>
        <v/>
      </c>
      <c r="AV234" s="64">
        <f>AL234*AB234</f>
        <v/>
      </c>
      <c r="AW234" s="64">
        <f>AM234*AC234</f>
        <v/>
      </c>
      <c r="AX234" s="64">
        <f>AN234*AD234</f>
        <v/>
      </c>
      <c r="AY234" s="64">
        <f>AO234*AE234</f>
        <v/>
      </c>
      <c r="AZ234" s="64">
        <f>INDEX(Projects[Automation Equipment],233)&amp;""</f>
        <v/>
      </c>
      <c r="BA234" s="64">
        <f>IF(OR(A234="",'Smart Search'!H13=0),"",MAX(0,BE234*BF234*MAX(0,1-BG234)))</f>
        <v/>
      </c>
      <c r="BB234" s="64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4">
        <f>IF('Smart Search'!G13=1,IFERROR(1/'Smart Search'!H13,0),0)</f>
        <v/>
      </c>
      <c r="BD234" s="64">
        <f>BB234*BC234</f>
        <v/>
      </c>
      <c r="BE234" s="64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IF(A234="","",N(INDEX(Projects[Act Mech Inst],233)))</f>
        <v/>
      </c>
      <c r="BK234" s="5">
        <f>IF(A234="","",N(INDEX(Projects[Act Elec Inst],233)))</f>
        <v/>
      </c>
      <c r="BL234" s="5">
        <f>IF(A234="","",N(INDEX(Projects[Act Project Management],233)))</f>
        <v/>
      </c>
      <c r="BM234" s="5">
        <f>IF(A234="","",N(INDEX(Projects[Act Systems Eng],233)))</f>
        <v/>
      </c>
      <c r="BN234" s="5">
        <f>IF(A234="","",N(INDEX(Projects[Act Mechanical Eng],233)))</f>
        <v/>
      </c>
      <c r="BO234" s="5">
        <f>IF(A234="","",N(INDEX(Projects[Act Structural Engineering],233)))</f>
        <v/>
      </c>
      <c r="BP234" s="5">
        <f>IF(A234="","",N(INDEX(Projects[Act Site Sup],233)))</f>
        <v/>
      </c>
      <c r="BQ234" s="5">
        <f>IF(A234="","",N(INDEX(Projects[Act Controls Commissioning],233)))</f>
        <v/>
      </c>
      <c r="BR234" s="5">
        <f>IF(A234="","",N(INDEX(Projects[Act Systems Commissioning],233)))</f>
        <v/>
      </c>
      <c r="BS234" s="5">
        <f>IF(A234="","",N(INDEX(Projects[Act Service Commissioning],233)))</f>
        <v/>
      </c>
      <c r="BT234" s="5">
        <f>IF(A234="","",N(INDEX(Projects[Act Controls Eng],233)))</f>
        <v/>
      </c>
      <c r="BU234" s="5">
        <f>IF(A234="","",N(INDEX(Projects[Act Controls Purchase],233)))</f>
        <v/>
      </c>
      <c r="BV234" s="5">
        <f>IF(A234="","",N(INDEX(Projects[Act Software Eng],233)))</f>
        <v/>
      </c>
      <c r="BW234" s="5">
        <f>IF(A234="","",N(INDEX(Projects[Act 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INDEX(Projects[Sold Value (USD M)],233)</f>
        <v/>
      </c>
      <c r="CE234" s="5" t="n"/>
      <c r="CF234" s="5">
        <f>IF(A234="","",N(INDEX(Projects[Est Mech Inst],233)))</f>
        <v/>
      </c>
      <c r="CG234" s="5">
        <f>IF(A234="","",N(INDEX(Projects[Est Elec Inst],233)))</f>
        <v/>
      </c>
      <c r="CH234" s="5">
        <f>IF(A234="","",N(INDEX(Projects[Est Project Management],233)))</f>
        <v/>
      </c>
      <c r="CI234" s="5">
        <f>IF(A234="","",N(INDEX(Projects[Est Systems Eng],233)))</f>
        <v/>
      </c>
      <c r="CJ234" s="5">
        <f>IF(A234="","",N(INDEX(Projects[Est Mechanical Eng],233)))</f>
        <v/>
      </c>
      <c r="CK234" s="5">
        <f>IF(A234="","",N(INDEX(Projects[Est Structural Engineering],233)))</f>
        <v/>
      </c>
      <c r="CL234" s="5">
        <f>IF(A234="","",N(INDEX(Projects[Est Site Sup],233)))</f>
        <v/>
      </c>
      <c r="CM234" s="5">
        <f>IF(A234="","",N(INDEX(Projects[Est Controls Commissioning],233)))</f>
        <v/>
      </c>
      <c r="CN234" s="5">
        <f>IF(A234="","",N(INDEX(Projects[Est Systems Commissioning],233)))</f>
        <v/>
      </c>
      <c r="CO234" s="5">
        <f>IF(A234="","",N(INDEX(Projects[Est Service Commissioning],233)))</f>
        <v/>
      </c>
      <c r="CP234" s="5">
        <f>IF(A234="","",N(INDEX(Projects[Est Controls Eng],233)))</f>
        <v/>
      </c>
      <c r="CQ234" s="5">
        <f>IF(A234="","",N(INDEX(Projects[Est Controls Purchase],233)))</f>
        <v/>
      </c>
      <c r="CR234" s="5">
        <f>IF(A234="","",N(INDEX(Projects[Est Software Eng],233)))</f>
        <v/>
      </c>
      <c r="CS234" s="5">
        <f>IF(A234="","",N(INDEX(Projects[Est Misc],233)))</f>
        <v/>
      </c>
      <c r="CT234" s="5">
        <f>IF(A234="","",SUM(CF234:CS234))</f>
        <v/>
      </c>
      <c r="CU234" s="5">
        <f>INDEX(Projects[Est Cost (M)],233)</f>
        <v/>
      </c>
      <c r="CV234" s="5">
        <f>INDEX(Projects[Act Cost (M)],233)</f>
        <v/>
      </c>
      <c r="CW234" s="5">
        <f>INDEX(Projects[Plan Mech Eng (wks)],233)</f>
        <v/>
      </c>
      <c r="CX234" s="5">
        <f>INDEX(Projects[Plan Controls Eng (wks)],233)</f>
        <v/>
      </c>
      <c r="CY234" s="5">
        <f>INDEX(Projects[Plan Systems Eng (wks)],233)</f>
        <v/>
      </c>
      <c r="CZ234" s="5">
        <f>INDEX(Projects[Plan Software Eng (wks)],233)</f>
        <v/>
      </c>
      <c r="DA234" s="5">
        <f>INDEX(Projects[Plan M&amp;E Installation (wks)],233)</f>
        <v/>
      </c>
      <c r="DB234" s="5">
        <f>INDEX(Projects[Plan Commissioning (wks)],233)</f>
        <v/>
      </c>
      <c r="DC234" s="5">
        <f>INDEX(Projects[Plan Total (wks)],233)</f>
        <v/>
      </c>
      <c r="DD234" s="5">
        <f>INDEX(Projects[Act Mech Eng (wks)],233)</f>
        <v/>
      </c>
      <c r="DE234" s="5">
        <f>INDEX(Projects[Act Controls Eng (wks)],233)</f>
        <v/>
      </c>
      <c r="DF234" s="5">
        <f>INDEX(Projects[Act Systems Eng (wks)],233)</f>
        <v/>
      </c>
      <c r="DG234" s="5">
        <f>INDEX(Projects[Act Software Eng (wks)],233)</f>
        <v/>
      </c>
      <c r="DH234" s="5">
        <f>INDEX(Projects[Act M&amp;E Installation (wks)],233)</f>
        <v/>
      </c>
      <c r="DI234" s="5">
        <f>INDEX(Projects[Act Commissioning (wks)],233)</f>
        <v/>
      </c>
      <c r="DJ234" s="5">
        <f>INDEX(Projects[Act Total (wks)],233)</f>
        <v/>
      </c>
    </row>
    <row r="235" ht="15" customHeight="1" s="82">
      <c r="A235" s="64">
        <f>INDEX(Projects[Project ID *],234)&amp;""</f>
        <v/>
      </c>
      <c r="B235" s="64">
        <f>INDEX(Projects[Project Name *],234)&amp;""</f>
        <v/>
      </c>
      <c r="C235" s="64">
        <f>INDEX(Projects[MS Shuttles],234)</f>
        <v/>
      </c>
      <c r="D235" s="64">
        <f>INDEX(Projects[MS Tote Locations],234)</f>
        <v/>
      </c>
      <c r="E235" s="64">
        <f>INDEX(Projects[AS Robots],234)</f>
        <v/>
      </c>
      <c r="F235" s="64">
        <f>INDEX(Projects[AS Tote Locations],234)</f>
        <v/>
      </c>
      <c r="G235" s="64">
        <f>INDEX(Projects[PS Shuttles],234)</f>
        <v/>
      </c>
      <c r="H235" s="64">
        <f>INDEX(Projects[PS Pallet Locations],234)</f>
        <v/>
      </c>
      <c r="I235" s="64">
        <f>INDEX(Projects[SRM Cranes],234)</f>
        <v/>
      </c>
      <c r="J235" s="64">
        <f>INDEX(Projects[SRM Pallet Locations],234)</f>
        <v/>
      </c>
      <c r="K235" s="64">
        <f>INDEX(Projects[Case Conv (m)],234)</f>
        <v/>
      </c>
      <c r="L235" s="64">
        <f>INDEX(Projects[Pallet Conv (m)],234)</f>
        <v/>
      </c>
      <c r="M235" s="64">
        <f>IF(N(DJ235)&gt;0,DD235,CW235)</f>
        <v/>
      </c>
      <c r="N235" s="64">
        <f>IF(N(DJ235)&gt;0,DE235,CX235)</f>
        <v/>
      </c>
      <c r="O235" s="64">
        <f>IF(N(DJ235)&gt;0,DF235,CY235)</f>
        <v/>
      </c>
      <c r="P235" s="64">
        <f>IF(N(DJ235)&gt;0,DG235,CZ235)</f>
        <v/>
      </c>
      <c r="Q235" s="64">
        <f>IF(N(DJ235)&gt;0,DH235,DA235)</f>
        <v/>
      </c>
      <c r="R235" s="64">
        <f>IF(N(DJ235)&gt;0,DI235,DB235)</f>
        <v/>
      </c>
      <c r="S235" s="64">
        <f>IF(N(DJ235)&gt;0,DJ235,DC235)</f>
        <v/>
      </c>
      <c r="T235" s="64">
        <f>INDEX(Projects[Currency],234)&amp;""</f>
        <v/>
      </c>
      <c r="U235" s="65">
        <f>INDEX(Projects[Sold Value (M)],234)</f>
        <v/>
      </c>
      <c r="V235" s="64">
        <f>IF('Smart Search'!B13=1,IFERROR(1/'Smart Search'!H13,0),0)</f>
        <v/>
      </c>
      <c r="W235" s="64">
        <f>IF('Smart Search'!B13=1,IFERROR(1/'Smart Search'!H13,0),0)</f>
        <v/>
      </c>
      <c r="X235" s="64">
        <f>IF('Smart Search'!C13=1,IFERROR(1/'Smart Search'!H13,0),0)</f>
        <v/>
      </c>
      <c r="Y235" s="64">
        <f>IF('Smart Search'!C13=1,IFERROR(1/'Smart Search'!H13,0),0)</f>
        <v/>
      </c>
      <c r="Z235" s="64">
        <f>IF('Smart Search'!D13=1,IFERROR(1/'Smart Search'!H13,0),0)</f>
        <v/>
      </c>
      <c r="AA235" s="64">
        <f>IF('Smart Search'!D13=1,IFERROR(1/'Smart Search'!H13,0),0)</f>
        <v/>
      </c>
      <c r="AB235" s="64">
        <f>IF('Smart Search'!E13=1,IFERROR(1/'Smart Search'!H13,0),0)</f>
        <v/>
      </c>
      <c r="AC235" s="64">
        <f>IF('Smart Search'!E13=1,IFERROR(1/'Smart Search'!H13,0),0)</f>
        <v/>
      </c>
      <c r="AD235" s="64">
        <f>IF('Smart Search'!F13=1,IFERROR(1/'Smart Search'!H13,0),0)</f>
        <v/>
      </c>
      <c r="AE235" s="64">
        <f>IF('Smart Search'!F13=1,IFERROR(1/'Smart Search'!H13,0),0)</f>
        <v/>
      </c>
      <c r="AF235" s="64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4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4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4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4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4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4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4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4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4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4">
        <f>AF235*V235</f>
        <v/>
      </c>
      <c r="AQ235" s="64">
        <f>AG235*W235</f>
        <v/>
      </c>
      <c r="AR235" s="64">
        <f>AH235*X235</f>
        <v/>
      </c>
      <c r="AS235" s="64">
        <f>AI235*Y235</f>
        <v/>
      </c>
      <c r="AT235" s="64">
        <f>AJ235*Z235</f>
        <v/>
      </c>
      <c r="AU235" s="64">
        <f>AK235*AA235</f>
        <v/>
      </c>
      <c r="AV235" s="64">
        <f>AL235*AB235</f>
        <v/>
      </c>
      <c r="AW235" s="64">
        <f>AM235*AC235</f>
        <v/>
      </c>
      <c r="AX235" s="64">
        <f>AN235*AD235</f>
        <v/>
      </c>
      <c r="AY235" s="64">
        <f>AO235*AE235</f>
        <v/>
      </c>
      <c r="AZ235" s="64">
        <f>INDEX(Projects[Automation Equipment],234)&amp;""</f>
        <v/>
      </c>
      <c r="BA235" s="64">
        <f>IF(OR(A235="",'Smart Search'!H13=0),"",MAX(0,BE235*BF235*MAX(0,1-BG235)))</f>
        <v/>
      </c>
      <c r="BB235" s="64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4">
        <f>IF('Smart Search'!G13=1,IFERROR(1/'Smart Search'!H13,0),0)</f>
        <v/>
      </c>
      <c r="BD235" s="64">
        <f>BB235*BC235</f>
        <v/>
      </c>
      <c r="BE235" s="64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IF(A235="","",N(INDEX(Projects[Act Mech Inst],234)))</f>
        <v/>
      </c>
      <c r="BK235" s="5">
        <f>IF(A235="","",N(INDEX(Projects[Act Elec Inst],234)))</f>
        <v/>
      </c>
      <c r="BL235" s="5">
        <f>IF(A235="","",N(INDEX(Projects[Act Project Management],234)))</f>
        <v/>
      </c>
      <c r="BM235" s="5">
        <f>IF(A235="","",N(INDEX(Projects[Act Systems Eng],234)))</f>
        <v/>
      </c>
      <c r="BN235" s="5">
        <f>IF(A235="","",N(INDEX(Projects[Act Mechanical Eng],234)))</f>
        <v/>
      </c>
      <c r="BO235" s="5">
        <f>IF(A235="","",N(INDEX(Projects[Act Structural Engineering],234)))</f>
        <v/>
      </c>
      <c r="BP235" s="5">
        <f>IF(A235="","",N(INDEX(Projects[Act Site Sup],234)))</f>
        <v/>
      </c>
      <c r="BQ235" s="5">
        <f>IF(A235="","",N(INDEX(Projects[Act Controls Commissioning],234)))</f>
        <v/>
      </c>
      <c r="BR235" s="5">
        <f>IF(A235="","",N(INDEX(Projects[Act Systems Commissioning],234)))</f>
        <v/>
      </c>
      <c r="BS235" s="5">
        <f>IF(A235="","",N(INDEX(Projects[Act Service Commissioning],234)))</f>
        <v/>
      </c>
      <c r="BT235" s="5">
        <f>IF(A235="","",N(INDEX(Projects[Act Controls Eng],234)))</f>
        <v/>
      </c>
      <c r="BU235" s="5">
        <f>IF(A235="","",N(INDEX(Projects[Act Controls Purchase],234)))</f>
        <v/>
      </c>
      <c r="BV235" s="5">
        <f>IF(A235="","",N(INDEX(Projects[Act Software Eng],234)))</f>
        <v/>
      </c>
      <c r="BW235" s="5">
        <f>IF(A235="","",N(INDEX(Projects[Act 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INDEX(Projects[Sold Value (USD M)],234)</f>
        <v/>
      </c>
      <c r="CE235" s="5" t="n"/>
      <c r="CF235" s="5">
        <f>IF(A235="","",N(INDEX(Projects[Est Mech Inst],234)))</f>
        <v/>
      </c>
      <c r="CG235" s="5">
        <f>IF(A235="","",N(INDEX(Projects[Est Elec Inst],234)))</f>
        <v/>
      </c>
      <c r="CH235" s="5">
        <f>IF(A235="","",N(INDEX(Projects[Est Project Management],234)))</f>
        <v/>
      </c>
      <c r="CI235" s="5">
        <f>IF(A235="","",N(INDEX(Projects[Est Systems Eng],234)))</f>
        <v/>
      </c>
      <c r="CJ235" s="5">
        <f>IF(A235="","",N(INDEX(Projects[Est Mechanical Eng],234)))</f>
        <v/>
      </c>
      <c r="CK235" s="5">
        <f>IF(A235="","",N(INDEX(Projects[Est Structural Engineering],234)))</f>
        <v/>
      </c>
      <c r="CL235" s="5">
        <f>IF(A235="","",N(INDEX(Projects[Est Site Sup],234)))</f>
        <v/>
      </c>
      <c r="CM235" s="5">
        <f>IF(A235="","",N(INDEX(Projects[Est Controls Commissioning],234)))</f>
        <v/>
      </c>
      <c r="CN235" s="5">
        <f>IF(A235="","",N(INDEX(Projects[Est Systems Commissioning],234)))</f>
        <v/>
      </c>
      <c r="CO235" s="5">
        <f>IF(A235="","",N(INDEX(Projects[Est Service Commissioning],234)))</f>
        <v/>
      </c>
      <c r="CP235" s="5">
        <f>IF(A235="","",N(INDEX(Projects[Est Controls Eng],234)))</f>
        <v/>
      </c>
      <c r="CQ235" s="5">
        <f>IF(A235="","",N(INDEX(Projects[Est Controls Purchase],234)))</f>
        <v/>
      </c>
      <c r="CR235" s="5">
        <f>IF(A235="","",N(INDEX(Projects[Est Software Eng],234)))</f>
        <v/>
      </c>
      <c r="CS235" s="5">
        <f>IF(A235="","",N(INDEX(Projects[Est Misc],234)))</f>
        <v/>
      </c>
      <c r="CT235" s="5">
        <f>IF(A235="","",SUM(CF235:CS235))</f>
        <v/>
      </c>
      <c r="CU235" s="5">
        <f>INDEX(Projects[Est Cost (M)],234)</f>
        <v/>
      </c>
      <c r="CV235" s="5">
        <f>INDEX(Projects[Act Cost (M)],234)</f>
        <v/>
      </c>
      <c r="CW235" s="5">
        <f>INDEX(Projects[Plan Mech Eng (wks)],234)</f>
        <v/>
      </c>
      <c r="CX235" s="5">
        <f>INDEX(Projects[Plan Controls Eng (wks)],234)</f>
        <v/>
      </c>
      <c r="CY235" s="5">
        <f>INDEX(Projects[Plan Systems Eng (wks)],234)</f>
        <v/>
      </c>
      <c r="CZ235" s="5">
        <f>INDEX(Projects[Plan Software Eng (wks)],234)</f>
        <v/>
      </c>
      <c r="DA235" s="5">
        <f>INDEX(Projects[Plan M&amp;E Installation (wks)],234)</f>
        <v/>
      </c>
      <c r="DB235" s="5">
        <f>INDEX(Projects[Plan Commissioning (wks)],234)</f>
        <v/>
      </c>
      <c r="DC235" s="5">
        <f>INDEX(Projects[Plan Total (wks)],234)</f>
        <v/>
      </c>
      <c r="DD235" s="5">
        <f>INDEX(Projects[Act Mech Eng (wks)],234)</f>
        <v/>
      </c>
      <c r="DE235" s="5">
        <f>INDEX(Projects[Act Controls Eng (wks)],234)</f>
        <v/>
      </c>
      <c r="DF235" s="5">
        <f>INDEX(Projects[Act Systems Eng (wks)],234)</f>
        <v/>
      </c>
      <c r="DG235" s="5">
        <f>INDEX(Projects[Act Software Eng (wks)],234)</f>
        <v/>
      </c>
      <c r="DH235" s="5">
        <f>INDEX(Projects[Act M&amp;E Installation (wks)],234)</f>
        <v/>
      </c>
      <c r="DI235" s="5">
        <f>INDEX(Projects[Act Commissioning (wks)],234)</f>
        <v/>
      </c>
      <c r="DJ235" s="5">
        <f>INDEX(Projects[Act Total (wks)],234)</f>
        <v/>
      </c>
    </row>
    <row r="236" ht="15" customHeight="1" s="82">
      <c r="A236" s="64">
        <f>INDEX(Projects[Project ID *],235)&amp;""</f>
        <v/>
      </c>
      <c r="B236" s="64">
        <f>INDEX(Projects[Project Name *],235)&amp;""</f>
        <v/>
      </c>
      <c r="C236" s="64">
        <f>INDEX(Projects[MS Shuttles],235)</f>
        <v/>
      </c>
      <c r="D236" s="64">
        <f>INDEX(Projects[MS Tote Locations],235)</f>
        <v/>
      </c>
      <c r="E236" s="64">
        <f>INDEX(Projects[AS Robots],235)</f>
        <v/>
      </c>
      <c r="F236" s="64">
        <f>INDEX(Projects[AS Tote Locations],235)</f>
        <v/>
      </c>
      <c r="G236" s="64">
        <f>INDEX(Projects[PS Shuttles],235)</f>
        <v/>
      </c>
      <c r="H236" s="64">
        <f>INDEX(Projects[PS Pallet Locations],235)</f>
        <v/>
      </c>
      <c r="I236" s="64">
        <f>INDEX(Projects[SRM Cranes],235)</f>
        <v/>
      </c>
      <c r="J236" s="64">
        <f>INDEX(Projects[SRM Pallet Locations],235)</f>
        <v/>
      </c>
      <c r="K236" s="64">
        <f>INDEX(Projects[Case Conv (m)],235)</f>
        <v/>
      </c>
      <c r="L236" s="64">
        <f>INDEX(Projects[Pallet Conv (m)],235)</f>
        <v/>
      </c>
      <c r="M236" s="64">
        <f>IF(N(DJ236)&gt;0,DD236,CW236)</f>
        <v/>
      </c>
      <c r="N236" s="64">
        <f>IF(N(DJ236)&gt;0,DE236,CX236)</f>
        <v/>
      </c>
      <c r="O236" s="64">
        <f>IF(N(DJ236)&gt;0,DF236,CY236)</f>
        <v/>
      </c>
      <c r="P236" s="64">
        <f>IF(N(DJ236)&gt;0,DG236,CZ236)</f>
        <v/>
      </c>
      <c r="Q236" s="64">
        <f>IF(N(DJ236)&gt;0,DH236,DA236)</f>
        <v/>
      </c>
      <c r="R236" s="64">
        <f>IF(N(DJ236)&gt;0,DI236,DB236)</f>
        <v/>
      </c>
      <c r="S236" s="64">
        <f>IF(N(DJ236)&gt;0,DJ236,DC236)</f>
        <v/>
      </c>
      <c r="T236" s="64">
        <f>INDEX(Projects[Currency],235)&amp;""</f>
        <v/>
      </c>
      <c r="U236" s="65">
        <f>INDEX(Projects[Sold Value (M)],235)</f>
        <v/>
      </c>
      <c r="V236" s="64">
        <f>IF('Smart Search'!B13=1,IFERROR(1/'Smart Search'!H13,0),0)</f>
        <v/>
      </c>
      <c r="W236" s="64">
        <f>IF('Smart Search'!B13=1,IFERROR(1/'Smart Search'!H13,0),0)</f>
        <v/>
      </c>
      <c r="X236" s="64">
        <f>IF('Smart Search'!C13=1,IFERROR(1/'Smart Search'!H13,0),0)</f>
        <v/>
      </c>
      <c r="Y236" s="64">
        <f>IF('Smart Search'!C13=1,IFERROR(1/'Smart Search'!H13,0),0)</f>
        <v/>
      </c>
      <c r="Z236" s="64">
        <f>IF('Smart Search'!D13=1,IFERROR(1/'Smart Search'!H13,0),0)</f>
        <v/>
      </c>
      <c r="AA236" s="64">
        <f>IF('Smart Search'!D13=1,IFERROR(1/'Smart Search'!H13,0),0)</f>
        <v/>
      </c>
      <c r="AB236" s="64">
        <f>IF('Smart Search'!E13=1,IFERROR(1/'Smart Search'!H13,0),0)</f>
        <v/>
      </c>
      <c r="AC236" s="64">
        <f>IF('Smart Search'!E13=1,IFERROR(1/'Smart Search'!H13,0),0)</f>
        <v/>
      </c>
      <c r="AD236" s="64">
        <f>IF('Smart Search'!F13=1,IFERROR(1/'Smart Search'!H13,0),0)</f>
        <v/>
      </c>
      <c r="AE236" s="64">
        <f>IF('Smart Search'!F13=1,IFERROR(1/'Smart Search'!H13,0),0)</f>
        <v/>
      </c>
      <c r="AF236" s="64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4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4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4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4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4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4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4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4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4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4">
        <f>AF236*V236</f>
        <v/>
      </c>
      <c r="AQ236" s="64">
        <f>AG236*W236</f>
        <v/>
      </c>
      <c r="AR236" s="64">
        <f>AH236*X236</f>
        <v/>
      </c>
      <c r="AS236" s="64">
        <f>AI236*Y236</f>
        <v/>
      </c>
      <c r="AT236" s="64">
        <f>AJ236*Z236</f>
        <v/>
      </c>
      <c r="AU236" s="64">
        <f>AK236*AA236</f>
        <v/>
      </c>
      <c r="AV236" s="64">
        <f>AL236*AB236</f>
        <v/>
      </c>
      <c r="AW236" s="64">
        <f>AM236*AC236</f>
        <v/>
      </c>
      <c r="AX236" s="64">
        <f>AN236*AD236</f>
        <v/>
      </c>
      <c r="AY236" s="64">
        <f>AO236*AE236</f>
        <v/>
      </c>
      <c r="AZ236" s="64">
        <f>INDEX(Projects[Automation Equipment],235)&amp;""</f>
        <v/>
      </c>
      <c r="BA236" s="64">
        <f>IF(OR(A236="",'Smart Search'!H13=0),"",MAX(0,BE236*BF236*MAX(0,1-BG236)))</f>
        <v/>
      </c>
      <c r="BB236" s="64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4">
        <f>IF('Smart Search'!G13=1,IFERROR(1/'Smart Search'!H13,0),0)</f>
        <v/>
      </c>
      <c r="BD236" s="64">
        <f>BB236*BC236</f>
        <v/>
      </c>
      <c r="BE236" s="64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IF(A236="","",N(INDEX(Projects[Act Mech Inst],235)))</f>
        <v/>
      </c>
      <c r="BK236" s="5">
        <f>IF(A236="","",N(INDEX(Projects[Act Elec Inst],235)))</f>
        <v/>
      </c>
      <c r="BL236" s="5">
        <f>IF(A236="","",N(INDEX(Projects[Act Project Management],235)))</f>
        <v/>
      </c>
      <c r="BM236" s="5">
        <f>IF(A236="","",N(INDEX(Projects[Act Systems Eng],235)))</f>
        <v/>
      </c>
      <c r="BN236" s="5">
        <f>IF(A236="","",N(INDEX(Projects[Act Mechanical Eng],235)))</f>
        <v/>
      </c>
      <c r="BO236" s="5">
        <f>IF(A236="","",N(INDEX(Projects[Act Structural Engineering],235)))</f>
        <v/>
      </c>
      <c r="BP236" s="5">
        <f>IF(A236="","",N(INDEX(Projects[Act Site Sup],235)))</f>
        <v/>
      </c>
      <c r="BQ236" s="5">
        <f>IF(A236="","",N(INDEX(Projects[Act Controls Commissioning],235)))</f>
        <v/>
      </c>
      <c r="BR236" s="5">
        <f>IF(A236="","",N(INDEX(Projects[Act Systems Commissioning],235)))</f>
        <v/>
      </c>
      <c r="BS236" s="5">
        <f>IF(A236="","",N(INDEX(Projects[Act Service Commissioning],235)))</f>
        <v/>
      </c>
      <c r="BT236" s="5">
        <f>IF(A236="","",N(INDEX(Projects[Act Controls Eng],235)))</f>
        <v/>
      </c>
      <c r="BU236" s="5">
        <f>IF(A236="","",N(INDEX(Projects[Act Controls Purchase],235)))</f>
        <v/>
      </c>
      <c r="BV236" s="5">
        <f>IF(A236="","",N(INDEX(Projects[Act Software Eng],235)))</f>
        <v/>
      </c>
      <c r="BW236" s="5">
        <f>IF(A236="","",N(INDEX(Projects[Act 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INDEX(Projects[Sold Value (USD M)],235)</f>
        <v/>
      </c>
      <c r="CE236" s="5" t="n"/>
      <c r="CF236" s="5">
        <f>IF(A236="","",N(INDEX(Projects[Est Mech Inst],235)))</f>
        <v/>
      </c>
      <c r="CG236" s="5">
        <f>IF(A236="","",N(INDEX(Projects[Est Elec Inst],235)))</f>
        <v/>
      </c>
      <c r="CH236" s="5">
        <f>IF(A236="","",N(INDEX(Projects[Est Project Management],235)))</f>
        <v/>
      </c>
      <c r="CI236" s="5">
        <f>IF(A236="","",N(INDEX(Projects[Est Systems Eng],235)))</f>
        <v/>
      </c>
      <c r="CJ236" s="5">
        <f>IF(A236="","",N(INDEX(Projects[Est Mechanical Eng],235)))</f>
        <v/>
      </c>
      <c r="CK236" s="5">
        <f>IF(A236="","",N(INDEX(Projects[Est Structural Engineering],235)))</f>
        <v/>
      </c>
      <c r="CL236" s="5">
        <f>IF(A236="","",N(INDEX(Projects[Est Site Sup],235)))</f>
        <v/>
      </c>
      <c r="CM236" s="5">
        <f>IF(A236="","",N(INDEX(Projects[Est Controls Commissioning],235)))</f>
        <v/>
      </c>
      <c r="CN236" s="5">
        <f>IF(A236="","",N(INDEX(Projects[Est Systems Commissioning],235)))</f>
        <v/>
      </c>
      <c r="CO236" s="5">
        <f>IF(A236="","",N(INDEX(Projects[Est Service Commissioning],235)))</f>
        <v/>
      </c>
      <c r="CP236" s="5">
        <f>IF(A236="","",N(INDEX(Projects[Est Controls Eng],235)))</f>
        <v/>
      </c>
      <c r="CQ236" s="5">
        <f>IF(A236="","",N(INDEX(Projects[Est Controls Purchase],235)))</f>
        <v/>
      </c>
      <c r="CR236" s="5">
        <f>IF(A236="","",N(INDEX(Projects[Est Software Eng],235)))</f>
        <v/>
      </c>
      <c r="CS236" s="5">
        <f>IF(A236="","",N(INDEX(Projects[Est Misc],235)))</f>
        <v/>
      </c>
      <c r="CT236" s="5">
        <f>IF(A236="","",SUM(CF236:CS236))</f>
        <v/>
      </c>
      <c r="CU236" s="5">
        <f>INDEX(Projects[Est Cost (M)],235)</f>
        <v/>
      </c>
      <c r="CV236" s="5">
        <f>INDEX(Projects[Act Cost (M)],235)</f>
        <v/>
      </c>
      <c r="CW236" s="5">
        <f>INDEX(Projects[Plan Mech Eng (wks)],235)</f>
        <v/>
      </c>
      <c r="CX236" s="5">
        <f>INDEX(Projects[Plan Controls Eng (wks)],235)</f>
        <v/>
      </c>
      <c r="CY236" s="5">
        <f>INDEX(Projects[Plan Systems Eng (wks)],235)</f>
        <v/>
      </c>
      <c r="CZ236" s="5">
        <f>INDEX(Projects[Plan Software Eng (wks)],235)</f>
        <v/>
      </c>
      <c r="DA236" s="5">
        <f>INDEX(Projects[Plan M&amp;E Installation (wks)],235)</f>
        <v/>
      </c>
      <c r="DB236" s="5">
        <f>INDEX(Projects[Plan Commissioning (wks)],235)</f>
        <v/>
      </c>
      <c r="DC236" s="5">
        <f>INDEX(Projects[Plan Total (wks)],235)</f>
        <v/>
      </c>
      <c r="DD236" s="5">
        <f>INDEX(Projects[Act Mech Eng (wks)],235)</f>
        <v/>
      </c>
      <c r="DE236" s="5">
        <f>INDEX(Projects[Act Controls Eng (wks)],235)</f>
        <v/>
      </c>
      <c r="DF236" s="5">
        <f>INDEX(Projects[Act Systems Eng (wks)],235)</f>
        <v/>
      </c>
      <c r="DG236" s="5">
        <f>INDEX(Projects[Act Software Eng (wks)],235)</f>
        <v/>
      </c>
      <c r="DH236" s="5">
        <f>INDEX(Projects[Act M&amp;E Installation (wks)],235)</f>
        <v/>
      </c>
      <c r="DI236" s="5">
        <f>INDEX(Projects[Act Commissioning (wks)],235)</f>
        <v/>
      </c>
      <c r="DJ236" s="5">
        <f>INDEX(Projects[Act Total (wks)],235)</f>
        <v/>
      </c>
    </row>
    <row r="237" ht="15" customHeight="1" s="82">
      <c r="A237" s="64">
        <f>INDEX(Projects[Project ID *],236)&amp;""</f>
        <v/>
      </c>
      <c r="B237" s="64">
        <f>INDEX(Projects[Project Name *],236)&amp;""</f>
        <v/>
      </c>
      <c r="C237" s="64">
        <f>INDEX(Projects[MS Shuttles],236)</f>
        <v/>
      </c>
      <c r="D237" s="64">
        <f>INDEX(Projects[MS Tote Locations],236)</f>
        <v/>
      </c>
      <c r="E237" s="64">
        <f>INDEX(Projects[AS Robots],236)</f>
        <v/>
      </c>
      <c r="F237" s="64">
        <f>INDEX(Projects[AS Tote Locations],236)</f>
        <v/>
      </c>
      <c r="G237" s="64">
        <f>INDEX(Projects[PS Shuttles],236)</f>
        <v/>
      </c>
      <c r="H237" s="64">
        <f>INDEX(Projects[PS Pallet Locations],236)</f>
        <v/>
      </c>
      <c r="I237" s="64">
        <f>INDEX(Projects[SRM Cranes],236)</f>
        <v/>
      </c>
      <c r="J237" s="64">
        <f>INDEX(Projects[SRM Pallet Locations],236)</f>
        <v/>
      </c>
      <c r="K237" s="64">
        <f>INDEX(Projects[Case Conv (m)],236)</f>
        <v/>
      </c>
      <c r="L237" s="64">
        <f>INDEX(Projects[Pallet Conv (m)],236)</f>
        <v/>
      </c>
      <c r="M237" s="64">
        <f>IF(N(DJ237)&gt;0,DD237,CW237)</f>
        <v/>
      </c>
      <c r="N237" s="64">
        <f>IF(N(DJ237)&gt;0,DE237,CX237)</f>
        <v/>
      </c>
      <c r="O237" s="64">
        <f>IF(N(DJ237)&gt;0,DF237,CY237)</f>
        <v/>
      </c>
      <c r="P237" s="64">
        <f>IF(N(DJ237)&gt;0,DG237,CZ237)</f>
        <v/>
      </c>
      <c r="Q237" s="64">
        <f>IF(N(DJ237)&gt;0,DH237,DA237)</f>
        <v/>
      </c>
      <c r="R237" s="64">
        <f>IF(N(DJ237)&gt;0,DI237,DB237)</f>
        <v/>
      </c>
      <c r="S237" s="64">
        <f>IF(N(DJ237)&gt;0,DJ237,DC237)</f>
        <v/>
      </c>
      <c r="T237" s="64">
        <f>INDEX(Projects[Currency],236)&amp;""</f>
        <v/>
      </c>
      <c r="U237" s="65">
        <f>INDEX(Projects[Sold Value (M)],236)</f>
        <v/>
      </c>
      <c r="V237" s="64">
        <f>IF('Smart Search'!B13=1,IFERROR(1/'Smart Search'!H13,0),0)</f>
        <v/>
      </c>
      <c r="W237" s="64">
        <f>IF('Smart Search'!B13=1,IFERROR(1/'Smart Search'!H13,0),0)</f>
        <v/>
      </c>
      <c r="X237" s="64">
        <f>IF('Smart Search'!C13=1,IFERROR(1/'Smart Search'!H13,0),0)</f>
        <v/>
      </c>
      <c r="Y237" s="64">
        <f>IF('Smart Search'!C13=1,IFERROR(1/'Smart Search'!H13,0),0)</f>
        <v/>
      </c>
      <c r="Z237" s="64">
        <f>IF('Smart Search'!D13=1,IFERROR(1/'Smart Search'!H13,0),0)</f>
        <v/>
      </c>
      <c r="AA237" s="64">
        <f>IF('Smart Search'!D13=1,IFERROR(1/'Smart Search'!H13,0),0)</f>
        <v/>
      </c>
      <c r="AB237" s="64">
        <f>IF('Smart Search'!E13=1,IFERROR(1/'Smart Search'!H13,0),0)</f>
        <v/>
      </c>
      <c r="AC237" s="64">
        <f>IF('Smart Search'!E13=1,IFERROR(1/'Smart Search'!H13,0),0)</f>
        <v/>
      </c>
      <c r="AD237" s="64">
        <f>IF('Smart Search'!F13=1,IFERROR(1/'Smart Search'!H13,0),0)</f>
        <v/>
      </c>
      <c r="AE237" s="64">
        <f>IF('Smart Search'!F13=1,IFERROR(1/'Smart Search'!H13,0),0)</f>
        <v/>
      </c>
      <c r="AF237" s="64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4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4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4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4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4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4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4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4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4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4">
        <f>AF237*V237</f>
        <v/>
      </c>
      <c r="AQ237" s="64">
        <f>AG237*W237</f>
        <v/>
      </c>
      <c r="AR237" s="64">
        <f>AH237*X237</f>
        <v/>
      </c>
      <c r="AS237" s="64">
        <f>AI237*Y237</f>
        <v/>
      </c>
      <c r="AT237" s="64">
        <f>AJ237*Z237</f>
        <v/>
      </c>
      <c r="AU237" s="64">
        <f>AK237*AA237</f>
        <v/>
      </c>
      <c r="AV237" s="64">
        <f>AL237*AB237</f>
        <v/>
      </c>
      <c r="AW237" s="64">
        <f>AM237*AC237</f>
        <v/>
      </c>
      <c r="AX237" s="64">
        <f>AN237*AD237</f>
        <v/>
      </c>
      <c r="AY237" s="64">
        <f>AO237*AE237</f>
        <v/>
      </c>
      <c r="AZ237" s="64">
        <f>INDEX(Projects[Automation Equipment],236)&amp;""</f>
        <v/>
      </c>
      <c r="BA237" s="64">
        <f>IF(OR(A237="",'Smart Search'!H13=0),"",MAX(0,BE237*BF237*MAX(0,1-BG237)))</f>
        <v/>
      </c>
      <c r="BB237" s="64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4">
        <f>IF('Smart Search'!G13=1,IFERROR(1/'Smart Search'!H13,0),0)</f>
        <v/>
      </c>
      <c r="BD237" s="64">
        <f>BB237*BC237</f>
        <v/>
      </c>
      <c r="BE237" s="64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IF(A237="","",N(INDEX(Projects[Act Mech Inst],236)))</f>
        <v/>
      </c>
      <c r="BK237" s="5">
        <f>IF(A237="","",N(INDEX(Projects[Act Elec Inst],236)))</f>
        <v/>
      </c>
      <c r="BL237" s="5">
        <f>IF(A237="","",N(INDEX(Projects[Act Project Management],236)))</f>
        <v/>
      </c>
      <c r="BM237" s="5">
        <f>IF(A237="","",N(INDEX(Projects[Act Systems Eng],236)))</f>
        <v/>
      </c>
      <c r="BN237" s="5">
        <f>IF(A237="","",N(INDEX(Projects[Act Mechanical Eng],236)))</f>
        <v/>
      </c>
      <c r="BO237" s="5">
        <f>IF(A237="","",N(INDEX(Projects[Act Structural Engineering],236)))</f>
        <v/>
      </c>
      <c r="BP237" s="5">
        <f>IF(A237="","",N(INDEX(Projects[Act Site Sup],236)))</f>
        <v/>
      </c>
      <c r="BQ237" s="5">
        <f>IF(A237="","",N(INDEX(Projects[Act Controls Commissioning],236)))</f>
        <v/>
      </c>
      <c r="BR237" s="5">
        <f>IF(A237="","",N(INDEX(Projects[Act Systems Commissioning],236)))</f>
        <v/>
      </c>
      <c r="BS237" s="5">
        <f>IF(A237="","",N(INDEX(Projects[Act Service Commissioning],236)))</f>
        <v/>
      </c>
      <c r="BT237" s="5">
        <f>IF(A237="","",N(INDEX(Projects[Act Controls Eng],236)))</f>
        <v/>
      </c>
      <c r="BU237" s="5">
        <f>IF(A237="","",N(INDEX(Projects[Act Controls Purchase],236)))</f>
        <v/>
      </c>
      <c r="BV237" s="5">
        <f>IF(A237="","",N(INDEX(Projects[Act Software Eng],236)))</f>
        <v/>
      </c>
      <c r="BW237" s="5">
        <f>IF(A237="","",N(INDEX(Projects[Act 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INDEX(Projects[Sold Value (USD M)],236)</f>
        <v/>
      </c>
      <c r="CE237" s="5" t="n"/>
      <c r="CF237" s="5">
        <f>IF(A237="","",N(INDEX(Projects[Est Mech Inst],236)))</f>
        <v/>
      </c>
      <c r="CG237" s="5">
        <f>IF(A237="","",N(INDEX(Projects[Est Elec Inst],236)))</f>
        <v/>
      </c>
      <c r="CH237" s="5">
        <f>IF(A237="","",N(INDEX(Projects[Est Project Management],236)))</f>
        <v/>
      </c>
      <c r="CI237" s="5">
        <f>IF(A237="","",N(INDEX(Projects[Est Systems Eng],236)))</f>
        <v/>
      </c>
      <c r="CJ237" s="5">
        <f>IF(A237="","",N(INDEX(Projects[Est Mechanical Eng],236)))</f>
        <v/>
      </c>
      <c r="CK237" s="5">
        <f>IF(A237="","",N(INDEX(Projects[Est Structural Engineering],236)))</f>
        <v/>
      </c>
      <c r="CL237" s="5">
        <f>IF(A237="","",N(INDEX(Projects[Est Site Sup],236)))</f>
        <v/>
      </c>
      <c r="CM237" s="5">
        <f>IF(A237="","",N(INDEX(Projects[Est Controls Commissioning],236)))</f>
        <v/>
      </c>
      <c r="CN237" s="5">
        <f>IF(A237="","",N(INDEX(Projects[Est Systems Commissioning],236)))</f>
        <v/>
      </c>
      <c r="CO237" s="5">
        <f>IF(A237="","",N(INDEX(Projects[Est Service Commissioning],236)))</f>
        <v/>
      </c>
      <c r="CP237" s="5">
        <f>IF(A237="","",N(INDEX(Projects[Est Controls Eng],236)))</f>
        <v/>
      </c>
      <c r="CQ237" s="5">
        <f>IF(A237="","",N(INDEX(Projects[Est Controls Purchase],236)))</f>
        <v/>
      </c>
      <c r="CR237" s="5">
        <f>IF(A237="","",N(INDEX(Projects[Est Software Eng],236)))</f>
        <v/>
      </c>
      <c r="CS237" s="5">
        <f>IF(A237="","",N(INDEX(Projects[Est Misc],236)))</f>
        <v/>
      </c>
      <c r="CT237" s="5">
        <f>IF(A237="","",SUM(CF237:CS237))</f>
        <v/>
      </c>
      <c r="CU237" s="5">
        <f>INDEX(Projects[Est Cost (M)],236)</f>
        <v/>
      </c>
      <c r="CV237" s="5">
        <f>INDEX(Projects[Act Cost (M)],236)</f>
        <v/>
      </c>
      <c r="CW237" s="5">
        <f>INDEX(Projects[Plan Mech Eng (wks)],236)</f>
        <v/>
      </c>
      <c r="CX237" s="5">
        <f>INDEX(Projects[Plan Controls Eng (wks)],236)</f>
        <v/>
      </c>
      <c r="CY237" s="5">
        <f>INDEX(Projects[Plan Systems Eng (wks)],236)</f>
        <v/>
      </c>
      <c r="CZ237" s="5">
        <f>INDEX(Projects[Plan Software Eng (wks)],236)</f>
        <v/>
      </c>
      <c r="DA237" s="5">
        <f>INDEX(Projects[Plan M&amp;E Installation (wks)],236)</f>
        <v/>
      </c>
      <c r="DB237" s="5">
        <f>INDEX(Projects[Plan Commissioning (wks)],236)</f>
        <v/>
      </c>
      <c r="DC237" s="5">
        <f>INDEX(Projects[Plan Total (wks)],236)</f>
        <v/>
      </c>
      <c r="DD237" s="5">
        <f>INDEX(Projects[Act Mech Eng (wks)],236)</f>
        <v/>
      </c>
      <c r="DE237" s="5">
        <f>INDEX(Projects[Act Controls Eng (wks)],236)</f>
        <v/>
      </c>
      <c r="DF237" s="5">
        <f>INDEX(Projects[Act Systems Eng (wks)],236)</f>
        <v/>
      </c>
      <c r="DG237" s="5">
        <f>INDEX(Projects[Act Software Eng (wks)],236)</f>
        <v/>
      </c>
      <c r="DH237" s="5">
        <f>INDEX(Projects[Act M&amp;E Installation (wks)],236)</f>
        <v/>
      </c>
      <c r="DI237" s="5">
        <f>INDEX(Projects[Act Commissioning (wks)],236)</f>
        <v/>
      </c>
      <c r="DJ237" s="5">
        <f>INDEX(Projects[Act Total (wks)],236)</f>
        <v/>
      </c>
    </row>
    <row r="238" ht="15" customHeight="1" s="82">
      <c r="A238" s="64">
        <f>INDEX(Projects[Project ID *],237)&amp;""</f>
        <v/>
      </c>
      <c r="B238" s="64">
        <f>INDEX(Projects[Project Name *],237)&amp;""</f>
        <v/>
      </c>
      <c r="C238" s="64">
        <f>INDEX(Projects[MS Shuttles],237)</f>
        <v/>
      </c>
      <c r="D238" s="64">
        <f>INDEX(Projects[MS Tote Locations],237)</f>
        <v/>
      </c>
      <c r="E238" s="64">
        <f>INDEX(Projects[AS Robots],237)</f>
        <v/>
      </c>
      <c r="F238" s="64">
        <f>INDEX(Projects[AS Tote Locations],237)</f>
        <v/>
      </c>
      <c r="G238" s="64">
        <f>INDEX(Projects[PS Shuttles],237)</f>
        <v/>
      </c>
      <c r="H238" s="64">
        <f>INDEX(Projects[PS Pallet Locations],237)</f>
        <v/>
      </c>
      <c r="I238" s="64">
        <f>INDEX(Projects[SRM Cranes],237)</f>
        <v/>
      </c>
      <c r="J238" s="64">
        <f>INDEX(Projects[SRM Pallet Locations],237)</f>
        <v/>
      </c>
      <c r="K238" s="64">
        <f>INDEX(Projects[Case Conv (m)],237)</f>
        <v/>
      </c>
      <c r="L238" s="64">
        <f>INDEX(Projects[Pallet Conv (m)],237)</f>
        <v/>
      </c>
      <c r="M238" s="64">
        <f>IF(N(DJ238)&gt;0,DD238,CW238)</f>
        <v/>
      </c>
      <c r="N238" s="64">
        <f>IF(N(DJ238)&gt;0,DE238,CX238)</f>
        <v/>
      </c>
      <c r="O238" s="64">
        <f>IF(N(DJ238)&gt;0,DF238,CY238)</f>
        <v/>
      </c>
      <c r="P238" s="64">
        <f>IF(N(DJ238)&gt;0,DG238,CZ238)</f>
        <v/>
      </c>
      <c r="Q238" s="64">
        <f>IF(N(DJ238)&gt;0,DH238,DA238)</f>
        <v/>
      </c>
      <c r="R238" s="64">
        <f>IF(N(DJ238)&gt;0,DI238,DB238)</f>
        <v/>
      </c>
      <c r="S238" s="64">
        <f>IF(N(DJ238)&gt;0,DJ238,DC238)</f>
        <v/>
      </c>
      <c r="T238" s="64">
        <f>INDEX(Projects[Currency],237)&amp;""</f>
        <v/>
      </c>
      <c r="U238" s="65">
        <f>INDEX(Projects[Sold Value (M)],237)</f>
        <v/>
      </c>
      <c r="V238" s="64">
        <f>IF('Smart Search'!B13=1,IFERROR(1/'Smart Search'!H13,0),0)</f>
        <v/>
      </c>
      <c r="W238" s="64">
        <f>IF('Smart Search'!B13=1,IFERROR(1/'Smart Search'!H13,0),0)</f>
        <v/>
      </c>
      <c r="X238" s="64">
        <f>IF('Smart Search'!C13=1,IFERROR(1/'Smart Search'!H13,0),0)</f>
        <v/>
      </c>
      <c r="Y238" s="64">
        <f>IF('Smart Search'!C13=1,IFERROR(1/'Smart Search'!H13,0),0)</f>
        <v/>
      </c>
      <c r="Z238" s="64">
        <f>IF('Smart Search'!D13=1,IFERROR(1/'Smart Search'!H13,0),0)</f>
        <v/>
      </c>
      <c r="AA238" s="64">
        <f>IF('Smart Search'!D13=1,IFERROR(1/'Smart Search'!H13,0),0)</f>
        <v/>
      </c>
      <c r="AB238" s="64">
        <f>IF('Smart Search'!E13=1,IFERROR(1/'Smart Search'!H13,0),0)</f>
        <v/>
      </c>
      <c r="AC238" s="64">
        <f>IF('Smart Search'!E13=1,IFERROR(1/'Smart Search'!H13,0),0)</f>
        <v/>
      </c>
      <c r="AD238" s="64">
        <f>IF('Smart Search'!F13=1,IFERROR(1/'Smart Search'!H13,0),0)</f>
        <v/>
      </c>
      <c r="AE238" s="64">
        <f>IF('Smart Search'!F13=1,IFERROR(1/'Smart Search'!H13,0),0)</f>
        <v/>
      </c>
      <c r="AF238" s="64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4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4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4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4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4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4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4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4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4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4">
        <f>AF238*V238</f>
        <v/>
      </c>
      <c r="AQ238" s="64">
        <f>AG238*W238</f>
        <v/>
      </c>
      <c r="AR238" s="64">
        <f>AH238*X238</f>
        <v/>
      </c>
      <c r="AS238" s="64">
        <f>AI238*Y238</f>
        <v/>
      </c>
      <c r="AT238" s="64">
        <f>AJ238*Z238</f>
        <v/>
      </c>
      <c r="AU238" s="64">
        <f>AK238*AA238</f>
        <v/>
      </c>
      <c r="AV238" s="64">
        <f>AL238*AB238</f>
        <v/>
      </c>
      <c r="AW238" s="64">
        <f>AM238*AC238</f>
        <v/>
      </c>
      <c r="AX238" s="64">
        <f>AN238*AD238</f>
        <v/>
      </c>
      <c r="AY238" s="64">
        <f>AO238*AE238</f>
        <v/>
      </c>
      <c r="AZ238" s="64">
        <f>INDEX(Projects[Automation Equipment],237)&amp;""</f>
        <v/>
      </c>
      <c r="BA238" s="64">
        <f>IF(OR(A238="",'Smart Search'!H13=0),"",MAX(0,BE238*BF238*MAX(0,1-BG238)))</f>
        <v/>
      </c>
      <c r="BB238" s="64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4">
        <f>IF('Smart Search'!G13=1,IFERROR(1/'Smart Search'!H13,0),0)</f>
        <v/>
      </c>
      <c r="BD238" s="64">
        <f>BB238*BC238</f>
        <v/>
      </c>
      <c r="BE238" s="64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IF(A238="","",N(INDEX(Projects[Act Mech Inst],237)))</f>
        <v/>
      </c>
      <c r="BK238" s="5">
        <f>IF(A238="","",N(INDEX(Projects[Act Elec Inst],237)))</f>
        <v/>
      </c>
      <c r="BL238" s="5">
        <f>IF(A238="","",N(INDEX(Projects[Act Project Management],237)))</f>
        <v/>
      </c>
      <c r="BM238" s="5">
        <f>IF(A238="","",N(INDEX(Projects[Act Systems Eng],237)))</f>
        <v/>
      </c>
      <c r="BN238" s="5">
        <f>IF(A238="","",N(INDEX(Projects[Act Mechanical Eng],237)))</f>
        <v/>
      </c>
      <c r="BO238" s="5">
        <f>IF(A238="","",N(INDEX(Projects[Act Structural Engineering],237)))</f>
        <v/>
      </c>
      <c r="BP238" s="5">
        <f>IF(A238="","",N(INDEX(Projects[Act Site Sup],237)))</f>
        <v/>
      </c>
      <c r="BQ238" s="5">
        <f>IF(A238="","",N(INDEX(Projects[Act Controls Commissioning],237)))</f>
        <v/>
      </c>
      <c r="BR238" s="5">
        <f>IF(A238="","",N(INDEX(Projects[Act Systems Commissioning],237)))</f>
        <v/>
      </c>
      <c r="BS238" s="5">
        <f>IF(A238="","",N(INDEX(Projects[Act Service Commissioning],237)))</f>
        <v/>
      </c>
      <c r="BT238" s="5">
        <f>IF(A238="","",N(INDEX(Projects[Act Controls Eng],237)))</f>
        <v/>
      </c>
      <c r="BU238" s="5">
        <f>IF(A238="","",N(INDEX(Projects[Act Controls Purchase],237)))</f>
        <v/>
      </c>
      <c r="BV238" s="5">
        <f>IF(A238="","",N(INDEX(Projects[Act Software Eng],237)))</f>
        <v/>
      </c>
      <c r="BW238" s="5">
        <f>IF(A238="","",N(INDEX(Projects[Act 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INDEX(Projects[Sold Value (USD M)],237)</f>
        <v/>
      </c>
      <c r="CE238" s="5" t="n"/>
      <c r="CF238" s="5">
        <f>IF(A238="","",N(INDEX(Projects[Est Mech Inst],237)))</f>
        <v/>
      </c>
      <c r="CG238" s="5">
        <f>IF(A238="","",N(INDEX(Projects[Est Elec Inst],237)))</f>
        <v/>
      </c>
      <c r="CH238" s="5">
        <f>IF(A238="","",N(INDEX(Projects[Est Project Management],237)))</f>
        <v/>
      </c>
      <c r="CI238" s="5">
        <f>IF(A238="","",N(INDEX(Projects[Est Systems Eng],237)))</f>
        <v/>
      </c>
      <c r="CJ238" s="5">
        <f>IF(A238="","",N(INDEX(Projects[Est Mechanical Eng],237)))</f>
        <v/>
      </c>
      <c r="CK238" s="5">
        <f>IF(A238="","",N(INDEX(Projects[Est Structural Engineering],237)))</f>
        <v/>
      </c>
      <c r="CL238" s="5">
        <f>IF(A238="","",N(INDEX(Projects[Est Site Sup],237)))</f>
        <v/>
      </c>
      <c r="CM238" s="5">
        <f>IF(A238="","",N(INDEX(Projects[Est Controls Commissioning],237)))</f>
        <v/>
      </c>
      <c r="CN238" s="5">
        <f>IF(A238="","",N(INDEX(Projects[Est Systems Commissioning],237)))</f>
        <v/>
      </c>
      <c r="CO238" s="5">
        <f>IF(A238="","",N(INDEX(Projects[Est Service Commissioning],237)))</f>
        <v/>
      </c>
      <c r="CP238" s="5">
        <f>IF(A238="","",N(INDEX(Projects[Est Controls Eng],237)))</f>
        <v/>
      </c>
      <c r="CQ238" s="5">
        <f>IF(A238="","",N(INDEX(Projects[Est Controls Purchase],237)))</f>
        <v/>
      </c>
      <c r="CR238" s="5">
        <f>IF(A238="","",N(INDEX(Projects[Est Software Eng],237)))</f>
        <v/>
      </c>
      <c r="CS238" s="5">
        <f>IF(A238="","",N(INDEX(Projects[Est Misc],237)))</f>
        <v/>
      </c>
      <c r="CT238" s="5">
        <f>IF(A238="","",SUM(CF238:CS238))</f>
        <v/>
      </c>
      <c r="CU238" s="5">
        <f>INDEX(Projects[Est Cost (M)],237)</f>
        <v/>
      </c>
      <c r="CV238" s="5">
        <f>INDEX(Projects[Act Cost (M)],237)</f>
        <v/>
      </c>
      <c r="CW238" s="5">
        <f>INDEX(Projects[Plan Mech Eng (wks)],237)</f>
        <v/>
      </c>
      <c r="CX238" s="5">
        <f>INDEX(Projects[Plan Controls Eng (wks)],237)</f>
        <v/>
      </c>
      <c r="CY238" s="5">
        <f>INDEX(Projects[Plan Systems Eng (wks)],237)</f>
        <v/>
      </c>
      <c r="CZ238" s="5">
        <f>INDEX(Projects[Plan Software Eng (wks)],237)</f>
        <v/>
      </c>
      <c r="DA238" s="5">
        <f>INDEX(Projects[Plan M&amp;E Installation (wks)],237)</f>
        <v/>
      </c>
      <c r="DB238" s="5">
        <f>INDEX(Projects[Plan Commissioning (wks)],237)</f>
        <v/>
      </c>
      <c r="DC238" s="5">
        <f>INDEX(Projects[Plan Total (wks)],237)</f>
        <v/>
      </c>
      <c r="DD238" s="5">
        <f>INDEX(Projects[Act Mech Eng (wks)],237)</f>
        <v/>
      </c>
      <c r="DE238" s="5">
        <f>INDEX(Projects[Act Controls Eng (wks)],237)</f>
        <v/>
      </c>
      <c r="DF238" s="5">
        <f>INDEX(Projects[Act Systems Eng (wks)],237)</f>
        <v/>
      </c>
      <c r="DG238" s="5">
        <f>INDEX(Projects[Act Software Eng (wks)],237)</f>
        <v/>
      </c>
      <c r="DH238" s="5">
        <f>INDEX(Projects[Act M&amp;E Installation (wks)],237)</f>
        <v/>
      </c>
      <c r="DI238" s="5">
        <f>INDEX(Projects[Act Commissioning (wks)],237)</f>
        <v/>
      </c>
      <c r="DJ238" s="5">
        <f>INDEX(Projects[Act Total (wks)],237)</f>
        <v/>
      </c>
    </row>
    <row r="239" ht="15" customHeight="1" s="82">
      <c r="A239" s="64">
        <f>INDEX(Projects[Project ID *],238)&amp;""</f>
        <v/>
      </c>
      <c r="B239" s="64">
        <f>INDEX(Projects[Project Name *],238)&amp;""</f>
        <v/>
      </c>
      <c r="C239" s="64">
        <f>INDEX(Projects[MS Shuttles],238)</f>
        <v/>
      </c>
      <c r="D239" s="64">
        <f>INDEX(Projects[MS Tote Locations],238)</f>
        <v/>
      </c>
      <c r="E239" s="64">
        <f>INDEX(Projects[AS Robots],238)</f>
        <v/>
      </c>
      <c r="F239" s="64">
        <f>INDEX(Projects[AS Tote Locations],238)</f>
        <v/>
      </c>
      <c r="G239" s="64">
        <f>INDEX(Projects[PS Shuttles],238)</f>
        <v/>
      </c>
      <c r="H239" s="64">
        <f>INDEX(Projects[PS Pallet Locations],238)</f>
        <v/>
      </c>
      <c r="I239" s="64">
        <f>INDEX(Projects[SRM Cranes],238)</f>
        <v/>
      </c>
      <c r="J239" s="64">
        <f>INDEX(Projects[SRM Pallet Locations],238)</f>
        <v/>
      </c>
      <c r="K239" s="64">
        <f>INDEX(Projects[Case Conv (m)],238)</f>
        <v/>
      </c>
      <c r="L239" s="64">
        <f>INDEX(Projects[Pallet Conv (m)],238)</f>
        <v/>
      </c>
      <c r="M239" s="64">
        <f>IF(N(DJ239)&gt;0,DD239,CW239)</f>
        <v/>
      </c>
      <c r="N239" s="64">
        <f>IF(N(DJ239)&gt;0,DE239,CX239)</f>
        <v/>
      </c>
      <c r="O239" s="64">
        <f>IF(N(DJ239)&gt;0,DF239,CY239)</f>
        <v/>
      </c>
      <c r="P239" s="64">
        <f>IF(N(DJ239)&gt;0,DG239,CZ239)</f>
        <v/>
      </c>
      <c r="Q239" s="64">
        <f>IF(N(DJ239)&gt;0,DH239,DA239)</f>
        <v/>
      </c>
      <c r="R239" s="64">
        <f>IF(N(DJ239)&gt;0,DI239,DB239)</f>
        <v/>
      </c>
      <c r="S239" s="64">
        <f>IF(N(DJ239)&gt;0,DJ239,DC239)</f>
        <v/>
      </c>
      <c r="T239" s="64">
        <f>INDEX(Projects[Currency],238)&amp;""</f>
        <v/>
      </c>
      <c r="U239" s="65">
        <f>INDEX(Projects[Sold Value (M)],238)</f>
        <v/>
      </c>
      <c r="V239" s="64">
        <f>IF('Smart Search'!B13=1,IFERROR(1/'Smart Search'!H13,0),0)</f>
        <v/>
      </c>
      <c r="W239" s="64">
        <f>IF('Smart Search'!B13=1,IFERROR(1/'Smart Search'!H13,0),0)</f>
        <v/>
      </c>
      <c r="X239" s="64">
        <f>IF('Smart Search'!C13=1,IFERROR(1/'Smart Search'!H13,0),0)</f>
        <v/>
      </c>
      <c r="Y239" s="64">
        <f>IF('Smart Search'!C13=1,IFERROR(1/'Smart Search'!H13,0),0)</f>
        <v/>
      </c>
      <c r="Z239" s="64">
        <f>IF('Smart Search'!D13=1,IFERROR(1/'Smart Search'!H13,0),0)</f>
        <v/>
      </c>
      <c r="AA239" s="64">
        <f>IF('Smart Search'!D13=1,IFERROR(1/'Smart Search'!H13,0),0)</f>
        <v/>
      </c>
      <c r="AB239" s="64">
        <f>IF('Smart Search'!E13=1,IFERROR(1/'Smart Search'!H13,0),0)</f>
        <v/>
      </c>
      <c r="AC239" s="64">
        <f>IF('Smart Search'!E13=1,IFERROR(1/'Smart Search'!H13,0),0)</f>
        <v/>
      </c>
      <c r="AD239" s="64">
        <f>IF('Smart Search'!F13=1,IFERROR(1/'Smart Search'!H13,0),0)</f>
        <v/>
      </c>
      <c r="AE239" s="64">
        <f>IF('Smart Search'!F13=1,IFERROR(1/'Smart Search'!H13,0),0)</f>
        <v/>
      </c>
      <c r="AF239" s="64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4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4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4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4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4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4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4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4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4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4">
        <f>AF239*V239</f>
        <v/>
      </c>
      <c r="AQ239" s="64">
        <f>AG239*W239</f>
        <v/>
      </c>
      <c r="AR239" s="64">
        <f>AH239*X239</f>
        <v/>
      </c>
      <c r="AS239" s="64">
        <f>AI239*Y239</f>
        <v/>
      </c>
      <c r="AT239" s="64">
        <f>AJ239*Z239</f>
        <v/>
      </c>
      <c r="AU239" s="64">
        <f>AK239*AA239</f>
        <v/>
      </c>
      <c r="AV239" s="64">
        <f>AL239*AB239</f>
        <v/>
      </c>
      <c r="AW239" s="64">
        <f>AM239*AC239</f>
        <v/>
      </c>
      <c r="AX239" s="64">
        <f>AN239*AD239</f>
        <v/>
      </c>
      <c r="AY239" s="64">
        <f>AO239*AE239</f>
        <v/>
      </c>
      <c r="AZ239" s="64">
        <f>INDEX(Projects[Automation Equipment],238)&amp;""</f>
        <v/>
      </c>
      <c r="BA239" s="64">
        <f>IF(OR(A239="",'Smart Search'!H13=0),"",MAX(0,BE239*BF239*MAX(0,1-BG239)))</f>
        <v/>
      </c>
      <c r="BB239" s="64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4">
        <f>IF('Smart Search'!G13=1,IFERROR(1/'Smart Search'!H13,0),0)</f>
        <v/>
      </c>
      <c r="BD239" s="64">
        <f>BB239*BC239</f>
        <v/>
      </c>
      <c r="BE239" s="64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IF(A239="","",N(INDEX(Projects[Act Mech Inst],238)))</f>
        <v/>
      </c>
      <c r="BK239" s="5">
        <f>IF(A239="","",N(INDEX(Projects[Act Elec Inst],238)))</f>
        <v/>
      </c>
      <c r="BL239" s="5">
        <f>IF(A239="","",N(INDEX(Projects[Act Project Management],238)))</f>
        <v/>
      </c>
      <c r="BM239" s="5">
        <f>IF(A239="","",N(INDEX(Projects[Act Systems Eng],238)))</f>
        <v/>
      </c>
      <c r="BN239" s="5">
        <f>IF(A239="","",N(INDEX(Projects[Act Mechanical Eng],238)))</f>
        <v/>
      </c>
      <c r="BO239" s="5">
        <f>IF(A239="","",N(INDEX(Projects[Act Structural Engineering],238)))</f>
        <v/>
      </c>
      <c r="BP239" s="5">
        <f>IF(A239="","",N(INDEX(Projects[Act Site Sup],238)))</f>
        <v/>
      </c>
      <c r="BQ239" s="5">
        <f>IF(A239="","",N(INDEX(Projects[Act Controls Commissioning],238)))</f>
        <v/>
      </c>
      <c r="BR239" s="5">
        <f>IF(A239="","",N(INDEX(Projects[Act Systems Commissioning],238)))</f>
        <v/>
      </c>
      <c r="BS239" s="5">
        <f>IF(A239="","",N(INDEX(Projects[Act Service Commissioning],238)))</f>
        <v/>
      </c>
      <c r="BT239" s="5">
        <f>IF(A239="","",N(INDEX(Projects[Act Controls Eng],238)))</f>
        <v/>
      </c>
      <c r="BU239" s="5">
        <f>IF(A239="","",N(INDEX(Projects[Act Controls Purchase],238)))</f>
        <v/>
      </c>
      <c r="BV239" s="5">
        <f>IF(A239="","",N(INDEX(Projects[Act Software Eng],238)))</f>
        <v/>
      </c>
      <c r="BW239" s="5">
        <f>IF(A239="","",N(INDEX(Projects[Act 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INDEX(Projects[Sold Value (USD M)],238)</f>
        <v/>
      </c>
      <c r="CE239" s="5" t="n"/>
      <c r="CF239" s="5">
        <f>IF(A239="","",N(INDEX(Projects[Est Mech Inst],238)))</f>
        <v/>
      </c>
      <c r="CG239" s="5">
        <f>IF(A239="","",N(INDEX(Projects[Est Elec Inst],238)))</f>
        <v/>
      </c>
      <c r="CH239" s="5">
        <f>IF(A239="","",N(INDEX(Projects[Est Project Management],238)))</f>
        <v/>
      </c>
      <c r="CI239" s="5">
        <f>IF(A239="","",N(INDEX(Projects[Est Systems Eng],238)))</f>
        <v/>
      </c>
      <c r="CJ239" s="5">
        <f>IF(A239="","",N(INDEX(Projects[Est Mechanical Eng],238)))</f>
        <v/>
      </c>
      <c r="CK239" s="5">
        <f>IF(A239="","",N(INDEX(Projects[Est Structural Engineering],238)))</f>
        <v/>
      </c>
      <c r="CL239" s="5">
        <f>IF(A239="","",N(INDEX(Projects[Est Site Sup],238)))</f>
        <v/>
      </c>
      <c r="CM239" s="5">
        <f>IF(A239="","",N(INDEX(Projects[Est Controls Commissioning],238)))</f>
        <v/>
      </c>
      <c r="CN239" s="5">
        <f>IF(A239="","",N(INDEX(Projects[Est Systems Commissioning],238)))</f>
        <v/>
      </c>
      <c r="CO239" s="5">
        <f>IF(A239="","",N(INDEX(Projects[Est Service Commissioning],238)))</f>
        <v/>
      </c>
      <c r="CP239" s="5">
        <f>IF(A239="","",N(INDEX(Projects[Est Controls Eng],238)))</f>
        <v/>
      </c>
      <c r="CQ239" s="5">
        <f>IF(A239="","",N(INDEX(Projects[Est Controls Purchase],238)))</f>
        <v/>
      </c>
      <c r="CR239" s="5">
        <f>IF(A239="","",N(INDEX(Projects[Est Software Eng],238)))</f>
        <v/>
      </c>
      <c r="CS239" s="5">
        <f>IF(A239="","",N(INDEX(Projects[Est Misc],238)))</f>
        <v/>
      </c>
      <c r="CT239" s="5">
        <f>IF(A239="","",SUM(CF239:CS239))</f>
        <v/>
      </c>
      <c r="CU239" s="5">
        <f>INDEX(Projects[Est Cost (M)],238)</f>
        <v/>
      </c>
      <c r="CV239" s="5">
        <f>INDEX(Projects[Act Cost (M)],238)</f>
        <v/>
      </c>
      <c r="CW239" s="5">
        <f>INDEX(Projects[Plan Mech Eng (wks)],238)</f>
        <v/>
      </c>
      <c r="CX239" s="5">
        <f>INDEX(Projects[Plan Controls Eng (wks)],238)</f>
        <v/>
      </c>
      <c r="CY239" s="5">
        <f>INDEX(Projects[Plan Systems Eng (wks)],238)</f>
        <v/>
      </c>
      <c r="CZ239" s="5">
        <f>INDEX(Projects[Plan Software Eng (wks)],238)</f>
        <v/>
      </c>
      <c r="DA239" s="5">
        <f>INDEX(Projects[Plan M&amp;E Installation (wks)],238)</f>
        <v/>
      </c>
      <c r="DB239" s="5">
        <f>INDEX(Projects[Plan Commissioning (wks)],238)</f>
        <v/>
      </c>
      <c r="DC239" s="5">
        <f>INDEX(Projects[Plan Total (wks)],238)</f>
        <v/>
      </c>
      <c r="DD239" s="5">
        <f>INDEX(Projects[Act Mech Eng (wks)],238)</f>
        <v/>
      </c>
      <c r="DE239" s="5">
        <f>INDEX(Projects[Act Controls Eng (wks)],238)</f>
        <v/>
      </c>
      <c r="DF239" s="5">
        <f>INDEX(Projects[Act Systems Eng (wks)],238)</f>
        <v/>
      </c>
      <c r="DG239" s="5">
        <f>INDEX(Projects[Act Software Eng (wks)],238)</f>
        <v/>
      </c>
      <c r="DH239" s="5">
        <f>INDEX(Projects[Act M&amp;E Installation (wks)],238)</f>
        <v/>
      </c>
      <c r="DI239" s="5">
        <f>INDEX(Projects[Act Commissioning (wks)],238)</f>
        <v/>
      </c>
      <c r="DJ239" s="5">
        <f>INDEX(Projects[Act Total (wks)],238)</f>
        <v/>
      </c>
    </row>
    <row r="240" ht="15" customHeight="1" s="82">
      <c r="A240" s="64">
        <f>INDEX(Projects[Project ID *],239)&amp;""</f>
        <v/>
      </c>
      <c r="B240" s="64">
        <f>INDEX(Projects[Project Name *],239)&amp;""</f>
        <v/>
      </c>
      <c r="C240" s="64">
        <f>INDEX(Projects[MS Shuttles],239)</f>
        <v/>
      </c>
      <c r="D240" s="64">
        <f>INDEX(Projects[MS Tote Locations],239)</f>
        <v/>
      </c>
      <c r="E240" s="64">
        <f>INDEX(Projects[AS Robots],239)</f>
        <v/>
      </c>
      <c r="F240" s="64">
        <f>INDEX(Projects[AS Tote Locations],239)</f>
        <v/>
      </c>
      <c r="G240" s="64">
        <f>INDEX(Projects[PS Shuttles],239)</f>
        <v/>
      </c>
      <c r="H240" s="64">
        <f>INDEX(Projects[PS Pallet Locations],239)</f>
        <v/>
      </c>
      <c r="I240" s="64">
        <f>INDEX(Projects[SRM Cranes],239)</f>
        <v/>
      </c>
      <c r="J240" s="64">
        <f>INDEX(Projects[SRM Pallet Locations],239)</f>
        <v/>
      </c>
      <c r="K240" s="64">
        <f>INDEX(Projects[Case Conv (m)],239)</f>
        <v/>
      </c>
      <c r="L240" s="64">
        <f>INDEX(Projects[Pallet Conv (m)],239)</f>
        <v/>
      </c>
      <c r="M240" s="64">
        <f>IF(N(DJ240)&gt;0,DD240,CW240)</f>
        <v/>
      </c>
      <c r="N240" s="64">
        <f>IF(N(DJ240)&gt;0,DE240,CX240)</f>
        <v/>
      </c>
      <c r="O240" s="64">
        <f>IF(N(DJ240)&gt;0,DF240,CY240)</f>
        <v/>
      </c>
      <c r="P240" s="64">
        <f>IF(N(DJ240)&gt;0,DG240,CZ240)</f>
        <v/>
      </c>
      <c r="Q240" s="64">
        <f>IF(N(DJ240)&gt;0,DH240,DA240)</f>
        <v/>
      </c>
      <c r="R240" s="64">
        <f>IF(N(DJ240)&gt;0,DI240,DB240)</f>
        <v/>
      </c>
      <c r="S240" s="64">
        <f>IF(N(DJ240)&gt;0,DJ240,DC240)</f>
        <v/>
      </c>
      <c r="T240" s="64">
        <f>INDEX(Projects[Currency],239)&amp;""</f>
        <v/>
      </c>
      <c r="U240" s="65">
        <f>INDEX(Projects[Sold Value (M)],239)</f>
        <v/>
      </c>
      <c r="V240" s="64">
        <f>IF('Smart Search'!B13=1,IFERROR(1/'Smart Search'!H13,0),0)</f>
        <v/>
      </c>
      <c r="W240" s="64">
        <f>IF('Smart Search'!B13=1,IFERROR(1/'Smart Search'!H13,0),0)</f>
        <v/>
      </c>
      <c r="X240" s="64">
        <f>IF('Smart Search'!C13=1,IFERROR(1/'Smart Search'!H13,0),0)</f>
        <v/>
      </c>
      <c r="Y240" s="64">
        <f>IF('Smart Search'!C13=1,IFERROR(1/'Smart Search'!H13,0),0)</f>
        <v/>
      </c>
      <c r="Z240" s="64">
        <f>IF('Smart Search'!D13=1,IFERROR(1/'Smart Search'!H13,0),0)</f>
        <v/>
      </c>
      <c r="AA240" s="64">
        <f>IF('Smart Search'!D13=1,IFERROR(1/'Smart Search'!H13,0),0)</f>
        <v/>
      </c>
      <c r="AB240" s="64">
        <f>IF('Smart Search'!E13=1,IFERROR(1/'Smart Search'!H13,0),0)</f>
        <v/>
      </c>
      <c r="AC240" s="64">
        <f>IF('Smart Search'!E13=1,IFERROR(1/'Smart Search'!H13,0),0)</f>
        <v/>
      </c>
      <c r="AD240" s="64">
        <f>IF('Smart Search'!F13=1,IFERROR(1/'Smart Search'!H13,0),0)</f>
        <v/>
      </c>
      <c r="AE240" s="64">
        <f>IF('Smart Search'!F13=1,IFERROR(1/'Smart Search'!H13,0),0)</f>
        <v/>
      </c>
      <c r="AF240" s="64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4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4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4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4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4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4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4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4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4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4">
        <f>AF240*V240</f>
        <v/>
      </c>
      <c r="AQ240" s="64">
        <f>AG240*W240</f>
        <v/>
      </c>
      <c r="AR240" s="64">
        <f>AH240*X240</f>
        <v/>
      </c>
      <c r="AS240" s="64">
        <f>AI240*Y240</f>
        <v/>
      </c>
      <c r="AT240" s="64">
        <f>AJ240*Z240</f>
        <v/>
      </c>
      <c r="AU240" s="64">
        <f>AK240*AA240</f>
        <v/>
      </c>
      <c r="AV240" s="64">
        <f>AL240*AB240</f>
        <v/>
      </c>
      <c r="AW240" s="64">
        <f>AM240*AC240</f>
        <v/>
      </c>
      <c r="AX240" s="64">
        <f>AN240*AD240</f>
        <v/>
      </c>
      <c r="AY240" s="64">
        <f>AO240*AE240</f>
        <v/>
      </c>
      <c r="AZ240" s="64">
        <f>INDEX(Projects[Automation Equipment],239)&amp;""</f>
        <v/>
      </c>
      <c r="BA240" s="64">
        <f>IF(OR(A240="",'Smart Search'!H13=0),"",MAX(0,BE240*BF240*MAX(0,1-BG240)))</f>
        <v/>
      </c>
      <c r="BB240" s="64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4">
        <f>IF('Smart Search'!G13=1,IFERROR(1/'Smart Search'!H13,0),0)</f>
        <v/>
      </c>
      <c r="BD240" s="64">
        <f>BB240*BC240</f>
        <v/>
      </c>
      <c r="BE240" s="64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IF(A240="","",N(INDEX(Projects[Act Mech Inst],239)))</f>
        <v/>
      </c>
      <c r="BK240" s="5">
        <f>IF(A240="","",N(INDEX(Projects[Act Elec Inst],239)))</f>
        <v/>
      </c>
      <c r="BL240" s="5">
        <f>IF(A240="","",N(INDEX(Projects[Act Project Management],239)))</f>
        <v/>
      </c>
      <c r="BM240" s="5">
        <f>IF(A240="","",N(INDEX(Projects[Act Systems Eng],239)))</f>
        <v/>
      </c>
      <c r="BN240" s="5">
        <f>IF(A240="","",N(INDEX(Projects[Act Mechanical Eng],239)))</f>
        <v/>
      </c>
      <c r="BO240" s="5">
        <f>IF(A240="","",N(INDEX(Projects[Act Structural Engineering],239)))</f>
        <v/>
      </c>
      <c r="BP240" s="5">
        <f>IF(A240="","",N(INDEX(Projects[Act Site Sup],239)))</f>
        <v/>
      </c>
      <c r="BQ240" s="5">
        <f>IF(A240="","",N(INDEX(Projects[Act Controls Commissioning],239)))</f>
        <v/>
      </c>
      <c r="BR240" s="5">
        <f>IF(A240="","",N(INDEX(Projects[Act Systems Commissioning],239)))</f>
        <v/>
      </c>
      <c r="BS240" s="5">
        <f>IF(A240="","",N(INDEX(Projects[Act Service Commissioning],239)))</f>
        <v/>
      </c>
      <c r="BT240" s="5">
        <f>IF(A240="","",N(INDEX(Projects[Act Controls Eng],239)))</f>
        <v/>
      </c>
      <c r="BU240" s="5">
        <f>IF(A240="","",N(INDEX(Projects[Act Controls Purchase],239)))</f>
        <v/>
      </c>
      <c r="BV240" s="5">
        <f>IF(A240="","",N(INDEX(Projects[Act Software Eng],239)))</f>
        <v/>
      </c>
      <c r="BW240" s="5">
        <f>IF(A240="","",N(INDEX(Projects[Act 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INDEX(Projects[Sold Value (USD M)],239)</f>
        <v/>
      </c>
      <c r="CE240" s="5" t="n"/>
      <c r="CF240" s="5">
        <f>IF(A240="","",N(INDEX(Projects[Est Mech Inst],239)))</f>
        <v/>
      </c>
      <c r="CG240" s="5">
        <f>IF(A240="","",N(INDEX(Projects[Est Elec Inst],239)))</f>
        <v/>
      </c>
      <c r="CH240" s="5">
        <f>IF(A240="","",N(INDEX(Projects[Est Project Management],239)))</f>
        <v/>
      </c>
      <c r="CI240" s="5">
        <f>IF(A240="","",N(INDEX(Projects[Est Systems Eng],239)))</f>
        <v/>
      </c>
      <c r="CJ240" s="5">
        <f>IF(A240="","",N(INDEX(Projects[Est Mechanical Eng],239)))</f>
        <v/>
      </c>
      <c r="CK240" s="5">
        <f>IF(A240="","",N(INDEX(Projects[Est Structural Engineering],239)))</f>
        <v/>
      </c>
      <c r="CL240" s="5">
        <f>IF(A240="","",N(INDEX(Projects[Est Site Sup],239)))</f>
        <v/>
      </c>
      <c r="CM240" s="5">
        <f>IF(A240="","",N(INDEX(Projects[Est Controls Commissioning],239)))</f>
        <v/>
      </c>
      <c r="CN240" s="5">
        <f>IF(A240="","",N(INDEX(Projects[Est Systems Commissioning],239)))</f>
        <v/>
      </c>
      <c r="CO240" s="5">
        <f>IF(A240="","",N(INDEX(Projects[Est Service Commissioning],239)))</f>
        <v/>
      </c>
      <c r="CP240" s="5">
        <f>IF(A240="","",N(INDEX(Projects[Est Controls Eng],239)))</f>
        <v/>
      </c>
      <c r="CQ240" s="5">
        <f>IF(A240="","",N(INDEX(Projects[Est Controls Purchase],239)))</f>
        <v/>
      </c>
      <c r="CR240" s="5">
        <f>IF(A240="","",N(INDEX(Projects[Est Software Eng],239)))</f>
        <v/>
      </c>
      <c r="CS240" s="5">
        <f>IF(A240="","",N(INDEX(Projects[Est Misc],239)))</f>
        <v/>
      </c>
      <c r="CT240" s="5">
        <f>IF(A240="","",SUM(CF240:CS240))</f>
        <v/>
      </c>
      <c r="CU240" s="5">
        <f>INDEX(Projects[Est Cost (M)],239)</f>
        <v/>
      </c>
      <c r="CV240" s="5">
        <f>INDEX(Projects[Act Cost (M)],239)</f>
        <v/>
      </c>
      <c r="CW240" s="5">
        <f>INDEX(Projects[Plan Mech Eng (wks)],239)</f>
        <v/>
      </c>
      <c r="CX240" s="5">
        <f>INDEX(Projects[Plan Controls Eng (wks)],239)</f>
        <v/>
      </c>
      <c r="CY240" s="5">
        <f>INDEX(Projects[Plan Systems Eng (wks)],239)</f>
        <v/>
      </c>
      <c r="CZ240" s="5">
        <f>INDEX(Projects[Plan Software Eng (wks)],239)</f>
        <v/>
      </c>
      <c r="DA240" s="5">
        <f>INDEX(Projects[Plan M&amp;E Installation (wks)],239)</f>
        <v/>
      </c>
      <c r="DB240" s="5">
        <f>INDEX(Projects[Plan Commissioning (wks)],239)</f>
        <v/>
      </c>
      <c r="DC240" s="5">
        <f>INDEX(Projects[Plan Total (wks)],239)</f>
        <v/>
      </c>
      <c r="DD240" s="5">
        <f>INDEX(Projects[Act Mech Eng (wks)],239)</f>
        <v/>
      </c>
      <c r="DE240" s="5">
        <f>INDEX(Projects[Act Controls Eng (wks)],239)</f>
        <v/>
      </c>
      <c r="DF240" s="5">
        <f>INDEX(Projects[Act Systems Eng (wks)],239)</f>
        <v/>
      </c>
      <c r="DG240" s="5">
        <f>INDEX(Projects[Act Software Eng (wks)],239)</f>
        <v/>
      </c>
      <c r="DH240" s="5">
        <f>INDEX(Projects[Act M&amp;E Installation (wks)],239)</f>
        <v/>
      </c>
      <c r="DI240" s="5">
        <f>INDEX(Projects[Act Commissioning (wks)],239)</f>
        <v/>
      </c>
      <c r="DJ240" s="5">
        <f>INDEX(Projects[Act Total (wks)],239)</f>
        <v/>
      </c>
    </row>
    <row r="241" ht="15" customHeight="1" s="82">
      <c r="A241" s="64">
        <f>INDEX(Projects[Project ID *],240)&amp;""</f>
        <v/>
      </c>
      <c r="B241" s="64">
        <f>INDEX(Projects[Project Name *],240)&amp;""</f>
        <v/>
      </c>
      <c r="C241" s="64">
        <f>INDEX(Projects[MS Shuttles],240)</f>
        <v/>
      </c>
      <c r="D241" s="64">
        <f>INDEX(Projects[MS Tote Locations],240)</f>
        <v/>
      </c>
      <c r="E241" s="64">
        <f>INDEX(Projects[AS Robots],240)</f>
        <v/>
      </c>
      <c r="F241" s="64">
        <f>INDEX(Projects[AS Tote Locations],240)</f>
        <v/>
      </c>
      <c r="G241" s="64">
        <f>INDEX(Projects[PS Shuttles],240)</f>
        <v/>
      </c>
      <c r="H241" s="64">
        <f>INDEX(Projects[PS Pallet Locations],240)</f>
        <v/>
      </c>
      <c r="I241" s="64">
        <f>INDEX(Projects[SRM Cranes],240)</f>
        <v/>
      </c>
      <c r="J241" s="64">
        <f>INDEX(Projects[SRM Pallet Locations],240)</f>
        <v/>
      </c>
      <c r="K241" s="64">
        <f>INDEX(Projects[Case Conv (m)],240)</f>
        <v/>
      </c>
      <c r="L241" s="64">
        <f>INDEX(Projects[Pallet Conv (m)],240)</f>
        <v/>
      </c>
      <c r="M241" s="64">
        <f>IF(N(DJ241)&gt;0,DD241,CW241)</f>
        <v/>
      </c>
      <c r="N241" s="64">
        <f>IF(N(DJ241)&gt;0,DE241,CX241)</f>
        <v/>
      </c>
      <c r="O241" s="64">
        <f>IF(N(DJ241)&gt;0,DF241,CY241)</f>
        <v/>
      </c>
      <c r="P241" s="64">
        <f>IF(N(DJ241)&gt;0,DG241,CZ241)</f>
        <v/>
      </c>
      <c r="Q241" s="64">
        <f>IF(N(DJ241)&gt;0,DH241,DA241)</f>
        <v/>
      </c>
      <c r="R241" s="64">
        <f>IF(N(DJ241)&gt;0,DI241,DB241)</f>
        <v/>
      </c>
      <c r="S241" s="64">
        <f>IF(N(DJ241)&gt;0,DJ241,DC241)</f>
        <v/>
      </c>
      <c r="T241" s="64">
        <f>INDEX(Projects[Currency],240)&amp;""</f>
        <v/>
      </c>
      <c r="U241" s="65">
        <f>INDEX(Projects[Sold Value (M)],240)</f>
        <v/>
      </c>
      <c r="V241" s="64">
        <f>IF('Smart Search'!B13=1,IFERROR(1/'Smart Search'!H13,0),0)</f>
        <v/>
      </c>
      <c r="W241" s="64">
        <f>IF('Smart Search'!B13=1,IFERROR(1/'Smart Search'!H13,0),0)</f>
        <v/>
      </c>
      <c r="X241" s="64">
        <f>IF('Smart Search'!C13=1,IFERROR(1/'Smart Search'!H13,0),0)</f>
        <v/>
      </c>
      <c r="Y241" s="64">
        <f>IF('Smart Search'!C13=1,IFERROR(1/'Smart Search'!H13,0),0)</f>
        <v/>
      </c>
      <c r="Z241" s="64">
        <f>IF('Smart Search'!D13=1,IFERROR(1/'Smart Search'!H13,0),0)</f>
        <v/>
      </c>
      <c r="AA241" s="64">
        <f>IF('Smart Search'!D13=1,IFERROR(1/'Smart Search'!H13,0),0)</f>
        <v/>
      </c>
      <c r="AB241" s="64">
        <f>IF('Smart Search'!E13=1,IFERROR(1/'Smart Search'!H13,0),0)</f>
        <v/>
      </c>
      <c r="AC241" s="64">
        <f>IF('Smart Search'!E13=1,IFERROR(1/'Smart Search'!H13,0),0)</f>
        <v/>
      </c>
      <c r="AD241" s="64">
        <f>IF('Smart Search'!F13=1,IFERROR(1/'Smart Search'!H13,0),0)</f>
        <v/>
      </c>
      <c r="AE241" s="64">
        <f>IF('Smart Search'!F13=1,IFERROR(1/'Smart Search'!H13,0),0)</f>
        <v/>
      </c>
      <c r="AF241" s="64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4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4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4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4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4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4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4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4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4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4">
        <f>AF241*V241</f>
        <v/>
      </c>
      <c r="AQ241" s="64">
        <f>AG241*W241</f>
        <v/>
      </c>
      <c r="AR241" s="64">
        <f>AH241*X241</f>
        <v/>
      </c>
      <c r="AS241" s="64">
        <f>AI241*Y241</f>
        <v/>
      </c>
      <c r="AT241" s="64">
        <f>AJ241*Z241</f>
        <v/>
      </c>
      <c r="AU241" s="64">
        <f>AK241*AA241</f>
        <v/>
      </c>
      <c r="AV241" s="64">
        <f>AL241*AB241</f>
        <v/>
      </c>
      <c r="AW241" s="64">
        <f>AM241*AC241</f>
        <v/>
      </c>
      <c r="AX241" s="64">
        <f>AN241*AD241</f>
        <v/>
      </c>
      <c r="AY241" s="64">
        <f>AO241*AE241</f>
        <v/>
      </c>
      <c r="AZ241" s="64">
        <f>INDEX(Projects[Automation Equipment],240)&amp;""</f>
        <v/>
      </c>
      <c r="BA241" s="64">
        <f>IF(OR(A241="",'Smart Search'!H13=0),"",MAX(0,BE241*BF241*MAX(0,1-BG241)))</f>
        <v/>
      </c>
      <c r="BB241" s="64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4">
        <f>IF('Smart Search'!G13=1,IFERROR(1/'Smart Search'!H13,0),0)</f>
        <v/>
      </c>
      <c r="BD241" s="64">
        <f>BB241*BC241</f>
        <v/>
      </c>
      <c r="BE241" s="64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IF(A241="","",N(INDEX(Projects[Act Mech Inst],240)))</f>
        <v/>
      </c>
      <c r="BK241" s="5">
        <f>IF(A241="","",N(INDEX(Projects[Act Elec Inst],240)))</f>
        <v/>
      </c>
      <c r="BL241" s="5">
        <f>IF(A241="","",N(INDEX(Projects[Act Project Management],240)))</f>
        <v/>
      </c>
      <c r="BM241" s="5">
        <f>IF(A241="","",N(INDEX(Projects[Act Systems Eng],240)))</f>
        <v/>
      </c>
      <c r="BN241" s="5">
        <f>IF(A241="","",N(INDEX(Projects[Act Mechanical Eng],240)))</f>
        <v/>
      </c>
      <c r="BO241" s="5">
        <f>IF(A241="","",N(INDEX(Projects[Act Structural Engineering],240)))</f>
        <v/>
      </c>
      <c r="BP241" s="5">
        <f>IF(A241="","",N(INDEX(Projects[Act Site Sup],240)))</f>
        <v/>
      </c>
      <c r="BQ241" s="5">
        <f>IF(A241="","",N(INDEX(Projects[Act Controls Commissioning],240)))</f>
        <v/>
      </c>
      <c r="BR241" s="5">
        <f>IF(A241="","",N(INDEX(Projects[Act Systems Commissioning],240)))</f>
        <v/>
      </c>
      <c r="BS241" s="5">
        <f>IF(A241="","",N(INDEX(Projects[Act Service Commissioning],240)))</f>
        <v/>
      </c>
      <c r="BT241" s="5">
        <f>IF(A241="","",N(INDEX(Projects[Act Controls Eng],240)))</f>
        <v/>
      </c>
      <c r="BU241" s="5">
        <f>IF(A241="","",N(INDEX(Projects[Act Controls Purchase],240)))</f>
        <v/>
      </c>
      <c r="BV241" s="5">
        <f>IF(A241="","",N(INDEX(Projects[Act Software Eng],240)))</f>
        <v/>
      </c>
      <c r="BW241" s="5">
        <f>IF(A241="","",N(INDEX(Projects[Act 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INDEX(Projects[Sold Value (USD M)],240)</f>
        <v/>
      </c>
      <c r="CE241" s="5" t="n"/>
      <c r="CF241" s="5">
        <f>IF(A241="","",N(INDEX(Projects[Est Mech Inst],240)))</f>
        <v/>
      </c>
      <c r="CG241" s="5">
        <f>IF(A241="","",N(INDEX(Projects[Est Elec Inst],240)))</f>
        <v/>
      </c>
      <c r="CH241" s="5">
        <f>IF(A241="","",N(INDEX(Projects[Est Project Management],240)))</f>
        <v/>
      </c>
      <c r="CI241" s="5">
        <f>IF(A241="","",N(INDEX(Projects[Est Systems Eng],240)))</f>
        <v/>
      </c>
      <c r="CJ241" s="5">
        <f>IF(A241="","",N(INDEX(Projects[Est Mechanical Eng],240)))</f>
        <v/>
      </c>
      <c r="CK241" s="5">
        <f>IF(A241="","",N(INDEX(Projects[Est Structural Engineering],240)))</f>
        <v/>
      </c>
      <c r="CL241" s="5">
        <f>IF(A241="","",N(INDEX(Projects[Est Site Sup],240)))</f>
        <v/>
      </c>
      <c r="CM241" s="5">
        <f>IF(A241="","",N(INDEX(Projects[Est Controls Commissioning],240)))</f>
        <v/>
      </c>
      <c r="CN241" s="5">
        <f>IF(A241="","",N(INDEX(Projects[Est Systems Commissioning],240)))</f>
        <v/>
      </c>
      <c r="CO241" s="5">
        <f>IF(A241="","",N(INDEX(Projects[Est Service Commissioning],240)))</f>
        <v/>
      </c>
      <c r="CP241" s="5">
        <f>IF(A241="","",N(INDEX(Projects[Est Controls Eng],240)))</f>
        <v/>
      </c>
      <c r="CQ241" s="5">
        <f>IF(A241="","",N(INDEX(Projects[Est Controls Purchase],240)))</f>
        <v/>
      </c>
      <c r="CR241" s="5">
        <f>IF(A241="","",N(INDEX(Projects[Est Software Eng],240)))</f>
        <v/>
      </c>
      <c r="CS241" s="5">
        <f>IF(A241="","",N(INDEX(Projects[Est Misc],240)))</f>
        <v/>
      </c>
      <c r="CT241" s="5">
        <f>IF(A241="","",SUM(CF241:CS241))</f>
        <v/>
      </c>
      <c r="CU241" s="5">
        <f>INDEX(Projects[Est Cost (M)],240)</f>
        <v/>
      </c>
      <c r="CV241" s="5">
        <f>INDEX(Projects[Act Cost (M)],240)</f>
        <v/>
      </c>
      <c r="CW241" s="5">
        <f>INDEX(Projects[Plan Mech Eng (wks)],240)</f>
        <v/>
      </c>
      <c r="CX241" s="5">
        <f>INDEX(Projects[Plan Controls Eng (wks)],240)</f>
        <v/>
      </c>
      <c r="CY241" s="5">
        <f>INDEX(Projects[Plan Systems Eng (wks)],240)</f>
        <v/>
      </c>
      <c r="CZ241" s="5">
        <f>INDEX(Projects[Plan Software Eng (wks)],240)</f>
        <v/>
      </c>
      <c r="DA241" s="5">
        <f>INDEX(Projects[Plan M&amp;E Installation (wks)],240)</f>
        <v/>
      </c>
      <c r="DB241" s="5">
        <f>INDEX(Projects[Plan Commissioning (wks)],240)</f>
        <v/>
      </c>
      <c r="DC241" s="5">
        <f>INDEX(Projects[Plan Total (wks)],240)</f>
        <v/>
      </c>
      <c r="DD241" s="5">
        <f>INDEX(Projects[Act Mech Eng (wks)],240)</f>
        <v/>
      </c>
      <c r="DE241" s="5">
        <f>INDEX(Projects[Act Controls Eng (wks)],240)</f>
        <v/>
      </c>
      <c r="DF241" s="5">
        <f>INDEX(Projects[Act Systems Eng (wks)],240)</f>
        <v/>
      </c>
      <c r="DG241" s="5">
        <f>INDEX(Projects[Act Software Eng (wks)],240)</f>
        <v/>
      </c>
      <c r="DH241" s="5">
        <f>INDEX(Projects[Act M&amp;E Installation (wks)],240)</f>
        <v/>
      </c>
      <c r="DI241" s="5">
        <f>INDEX(Projects[Act Commissioning (wks)],240)</f>
        <v/>
      </c>
      <c r="DJ241" s="5">
        <f>INDEX(Projects[Act Total (wks)],240)</f>
        <v/>
      </c>
    </row>
    <row r="242" ht="15" customHeight="1" s="82">
      <c r="A242" s="64">
        <f>INDEX(Projects[Project ID *],241)&amp;""</f>
        <v/>
      </c>
      <c r="B242" s="64">
        <f>INDEX(Projects[Project Name *],241)&amp;""</f>
        <v/>
      </c>
      <c r="C242" s="64">
        <f>INDEX(Projects[MS Shuttles],241)</f>
        <v/>
      </c>
      <c r="D242" s="64">
        <f>INDEX(Projects[MS Tote Locations],241)</f>
        <v/>
      </c>
      <c r="E242" s="64">
        <f>INDEX(Projects[AS Robots],241)</f>
        <v/>
      </c>
      <c r="F242" s="64">
        <f>INDEX(Projects[AS Tote Locations],241)</f>
        <v/>
      </c>
      <c r="G242" s="64">
        <f>INDEX(Projects[PS Shuttles],241)</f>
        <v/>
      </c>
      <c r="H242" s="64">
        <f>INDEX(Projects[PS Pallet Locations],241)</f>
        <v/>
      </c>
      <c r="I242" s="64">
        <f>INDEX(Projects[SRM Cranes],241)</f>
        <v/>
      </c>
      <c r="J242" s="64">
        <f>INDEX(Projects[SRM Pallet Locations],241)</f>
        <v/>
      </c>
      <c r="K242" s="64">
        <f>INDEX(Projects[Case Conv (m)],241)</f>
        <v/>
      </c>
      <c r="L242" s="64">
        <f>INDEX(Projects[Pallet Conv (m)],241)</f>
        <v/>
      </c>
      <c r="M242" s="64">
        <f>IF(N(DJ242)&gt;0,DD242,CW242)</f>
        <v/>
      </c>
      <c r="N242" s="64">
        <f>IF(N(DJ242)&gt;0,DE242,CX242)</f>
        <v/>
      </c>
      <c r="O242" s="64">
        <f>IF(N(DJ242)&gt;0,DF242,CY242)</f>
        <v/>
      </c>
      <c r="P242" s="64">
        <f>IF(N(DJ242)&gt;0,DG242,CZ242)</f>
        <v/>
      </c>
      <c r="Q242" s="64">
        <f>IF(N(DJ242)&gt;0,DH242,DA242)</f>
        <v/>
      </c>
      <c r="R242" s="64">
        <f>IF(N(DJ242)&gt;0,DI242,DB242)</f>
        <v/>
      </c>
      <c r="S242" s="64">
        <f>IF(N(DJ242)&gt;0,DJ242,DC242)</f>
        <v/>
      </c>
      <c r="T242" s="64">
        <f>INDEX(Projects[Currency],241)&amp;""</f>
        <v/>
      </c>
      <c r="U242" s="65">
        <f>INDEX(Projects[Sold Value (M)],241)</f>
        <v/>
      </c>
      <c r="V242" s="64">
        <f>IF('Smart Search'!B13=1,IFERROR(1/'Smart Search'!H13,0),0)</f>
        <v/>
      </c>
      <c r="W242" s="64">
        <f>IF('Smart Search'!B13=1,IFERROR(1/'Smart Search'!H13,0),0)</f>
        <v/>
      </c>
      <c r="X242" s="64">
        <f>IF('Smart Search'!C13=1,IFERROR(1/'Smart Search'!H13,0),0)</f>
        <v/>
      </c>
      <c r="Y242" s="64">
        <f>IF('Smart Search'!C13=1,IFERROR(1/'Smart Search'!H13,0),0)</f>
        <v/>
      </c>
      <c r="Z242" s="64">
        <f>IF('Smart Search'!D13=1,IFERROR(1/'Smart Search'!H13,0),0)</f>
        <v/>
      </c>
      <c r="AA242" s="64">
        <f>IF('Smart Search'!D13=1,IFERROR(1/'Smart Search'!H13,0),0)</f>
        <v/>
      </c>
      <c r="AB242" s="64">
        <f>IF('Smart Search'!E13=1,IFERROR(1/'Smart Search'!H13,0),0)</f>
        <v/>
      </c>
      <c r="AC242" s="64">
        <f>IF('Smart Search'!E13=1,IFERROR(1/'Smart Search'!H13,0),0)</f>
        <v/>
      </c>
      <c r="AD242" s="64">
        <f>IF('Smart Search'!F13=1,IFERROR(1/'Smart Search'!H13,0),0)</f>
        <v/>
      </c>
      <c r="AE242" s="64">
        <f>IF('Smart Search'!F13=1,IFERROR(1/'Smart Search'!H13,0),0)</f>
        <v/>
      </c>
      <c r="AF242" s="64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4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4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4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4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4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4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4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4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4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4">
        <f>AF242*V242</f>
        <v/>
      </c>
      <c r="AQ242" s="64">
        <f>AG242*W242</f>
        <v/>
      </c>
      <c r="AR242" s="64">
        <f>AH242*X242</f>
        <v/>
      </c>
      <c r="AS242" s="64">
        <f>AI242*Y242</f>
        <v/>
      </c>
      <c r="AT242" s="64">
        <f>AJ242*Z242</f>
        <v/>
      </c>
      <c r="AU242" s="64">
        <f>AK242*AA242</f>
        <v/>
      </c>
      <c r="AV242" s="64">
        <f>AL242*AB242</f>
        <v/>
      </c>
      <c r="AW242" s="64">
        <f>AM242*AC242</f>
        <v/>
      </c>
      <c r="AX242" s="64">
        <f>AN242*AD242</f>
        <v/>
      </c>
      <c r="AY242" s="64">
        <f>AO242*AE242</f>
        <v/>
      </c>
      <c r="AZ242" s="64">
        <f>INDEX(Projects[Automation Equipment],241)&amp;""</f>
        <v/>
      </c>
      <c r="BA242" s="64">
        <f>IF(OR(A242="",'Smart Search'!H13=0),"",MAX(0,BE242*BF242*MAX(0,1-BG242)))</f>
        <v/>
      </c>
      <c r="BB242" s="64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4">
        <f>IF('Smart Search'!G13=1,IFERROR(1/'Smart Search'!H13,0),0)</f>
        <v/>
      </c>
      <c r="BD242" s="64">
        <f>BB242*BC242</f>
        <v/>
      </c>
      <c r="BE242" s="64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IF(A242="","",N(INDEX(Projects[Act Mech Inst],241)))</f>
        <v/>
      </c>
      <c r="BK242" s="5">
        <f>IF(A242="","",N(INDEX(Projects[Act Elec Inst],241)))</f>
        <v/>
      </c>
      <c r="BL242" s="5">
        <f>IF(A242="","",N(INDEX(Projects[Act Project Management],241)))</f>
        <v/>
      </c>
      <c r="BM242" s="5">
        <f>IF(A242="","",N(INDEX(Projects[Act Systems Eng],241)))</f>
        <v/>
      </c>
      <c r="BN242" s="5">
        <f>IF(A242="","",N(INDEX(Projects[Act Mechanical Eng],241)))</f>
        <v/>
      </c>
      <c r="BO242" s="5">
        <f>IF(A242="","",N(INDEX(Projects[Act Structural Engineering],241)))</f>
        <v/>
      </c>
      <c r="BP242" s="5">
        <f>IF(A242="","",N(INDEX(Projects[Act Site Sup],241)))</f>
        <v/>
      </c>
      <c r="BQ242" s="5">
        <f>IF(A242="","",N(INDEX(Projects[Act Controls Commissioning],241)))</f>
        <v/>
      </c>
      <c r="BR242" s="5">
        <f>IF(A242="","",N(INDEX(Projects[Act Systems Commissioning],241)))</f>
        <v/>
      </c>
      <c r="BS242" s="5">
        <f>IF(A242="","",N(INDEX(Projects[Act Service Commissioning],241)))</f>
        <v/>
      </c>
      <c r="BT242" s="5">
        <f>IF(A242="","",N(INDEX(Projects[Act Controls Eng],241)))</f>
        <v/>
      </c>
      <c r="BU242" s="5">
        <f>IF(A242="","",N(INDEX(Projects[Act Controls Purchase],241)))</f>
        <v/>
      </c>
      <c r="BV242" s="5">
        <f>IF(A242="","",N(INDEX(Projects[Act Software Eng],241)))</f>
        <v/>
      </c>
      <c r="BW242" s="5">
        <f>IF(A242="","",N(INDEX(Projects[Act 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INDEX(Projects[Sold Value (USD M)],241)</f>
        <v/>
      </c>
      <c r="CE242" s="5" t="n"/>
      <c r="CF242" s="5">
        <f>IF(A242="","",N(INDEX(Projects[Est Mech Inst],241)))</f>
        <v/>
      </c>
      <c r="CG242" s="5">
        <f>IF(A242="","",N(INDEX(Projects[Est Elec Inst],241)))</f>
        <v/>
      </c>
      <c r="CH242" s="5">
        <f>IF(A242="","",N(INDEX(Projects[Est Project Management],241)))</f>
        <v/>
      </c>
      <c r="CI242" s="5">
        <f>IF(A242="","",N(INDEX(Projects[Est Systems Eng],241)))</f>
        <v/>
      </c>
      <c r="CJ242" s="5">
        <f>IF(A242="","",N(INDEX(Projects[Est Mechanical Eng],241)))</f>
        <v/>
      </c>
      <c r="CK242" s="5">
        <f>IF(A242="","",N(INDEX(Projects[Est Structural Engineering],241)))</f>
        <v/>
      </c>
      <c r="CL242" s="5">
        <f>IF(A242="","",N(INDEX(Projects[Est Site Sup],241)))</f>
        <v/>
      </c>
      <c r="CM242" s="5">
        <f>IF(A242="","",N(INDEX(Projects[Est Controls Commissioning],241)))</f>
        <v/>
      </c>
      <c r="CN242" s="5">
        <f>IF(A242="","",N(INDEX(Projects[Est Systems Commissioning],241)))</f>
        <v/>
      </c>
      <c r="CO242" s="5">
        <f>IF(A242="","",N(INDEX(Projects[Est Service Commissioning],241)))</f>
        <v/>
      </c>
      <c r="CP242" s="5">
        <f>IF(A242="","",N(INDEX(Projects[Est Controls Eng],241)))</f>
        <v/>
      </c>
      <c r="CQ242" s="5">
        <f>IF(A242="","",N(INDEX(Projects[Est Controls Purchase],241)))</f>
        <v/>
      </c>
      <c r="CR242" s="5">
        <f>IF(A242="","",N(INDEX(Projects[Est Software Eng],241)))</f>
        <v/>
      </c>
      <c r="CS242" s="5">
        <f>IF(A242="","",N(INDEX(Projects[Est Misc],241)))</f>
        <v/>
      </c>
      <c r="CT242" s="5">
        <f>IF(A242="","",SUM(CF242:CS242))</f>
        <v/>
      </c>
      <c r="CU242" s="5">
        <f>INDEX(Projects[Est Cost (M)],241)</f>
        <v/>
      </c>
      <c r="CV242" s="5">
        <f>INDEX(Projects[Act Cost (M)],241)</f>
        <v/>
      </c>
      <c r="CW242" s="5">
        <f>INDEX(Projects[Plan Mech Eng (wks)],241)</f>
        <v/>
      </c>
      <c r="CX242" s="5">
        <f>INDEX(Projects[Plan Controls Eng (wks)],241)</f>
        <v/>
      </c>
      <c r="CY242" s="5">
        <f>INDEX(Projects[Plan Systems Eng (wks)],241)</f>
        <v/>
      </c>
      <c r="CZ242" s="5">
        <f>INDEX(Projects[Plan Software Eng (wks)],241)</f>
        <v/>
      </c>
      <c r="DA242" s="5">
        <f>INDEX(Projects[Plan M&amp;E Installation (wks)],241)</f>
        <v/>
      </c>
      <c r="DB242" s="5">
        <f>INDEX(Projects[Plan Commissioning (wks)],241)</f>
        <v/>
      </c>
      <c r="DC242" s="5">
        <f>INDEX(Projects[Plan Total (wks)],241)</f>
        <v/>
      </c>
      <c r="DD242" s="5">
        <f>INDEX(Projects[Act Mech Eng (wks)],241)</f>
        <v/>
      </c>
      <c r="DE242" s="5">
        <f>INDEX(Projects[Act Controls Eng (wks)],241)</f>
        <v/>
      </c>
      <c r="DF242" s="5">
        <f>INDEX(Projects[Act Systems Eng (wks)],241)</f>
        <v/>
      </c>
      <c r="DG242" s="5">
        <f>INDEX(Projects[Act Software Eng (wks)],241)</f>
        <v/>
      </c>
      <c r="DH242" s="5">
        <f>INDEX(Projects[Act M&amp;E Installation (wks)],241)</f>
        <v/>
      </c>
      <c r="DI242" s="5">
        <f>INDEX(Projects[Act Commissioning (wks)],241)</f>
        <v/>
      </c>
      <c r="DJ242" s="5">
        <f>INDEX(Projects[Act Total (wks)],241)</f>
        <v/>
      </c>
    </row>
    <row r="243" ht="15" customHeight="1" s="82">
      <c r="A243" s="64">
        <f>INDEX(Projects[Project ID *],242)&amp;""</f>
        <v/>
      </c>
      <c r="B243" s="64">
        <f>INDEX(Projects[Project Name *],242)&amp;""</f>
        <v/>
      </c>
      <c r="C243" s="64">
        <f>INDEX(Projects[MS Shuttles],242)</f>
        <v/>
      </c>
      <c r="D243" s="64">
        <f>INDEX(Projects[MS Tote Locations],242)</f>
        <v/>
      </c>
      <c r="E243" s="64">
        <f>INDEX(Projects[AS Robots],242)</f>
        <v/>
      </c>
      <c r="F243" s="64">
        <f>INDEX(Projects[AS Tote Locations],242)</f>
        <v/>
      </c>
      <c r="G243" s="64">
        <f>INDEX(Projects[PS Shuttles],242)</f>
        <v/>
      </c>
      <c r="H243" s="64">
        <f>INDEX(Projects[PS Pallet Locations],242)</f>
        <v/>
      </c>
      <c r="I243" s="64">
        <f>INDEX(Projects[SRM Cranes],242)</f>
        <v/>
      </c>
      <c r="J243" s="64">
        <f>INDEX(Projects[SRM Pallet Locations],242)</f>
        <v/>
      </c>
      <c r="K243" s="64">
        <f>INDEX(Projects[Case Conv (m)],242)</f>
        <v/>
      </c>
      <c r="L243" s="64">
        <f>INDEX(Projects[Pallet Conv (m)],242)</f>
        <v/>
      </c>
      <c r="M243" s="64">
        <f>IF(N(DJ243)&gt;0,DD243,CW243)</f>
        <v/>
      </c>
      <c r="N243" s="64">
        <f>IF(N(DJ243)&gt;0,DE243,CX243)</f>
        <v/>
      </c>
      <c r="O243" s="64">
        <f>IF(N(DJ243)&gt;0,DF243,CY243)</f>
        <v/>
      </c>
      <c r="P243" s="64">
        <f>IF(N(DJ243)&gt;0,DG243,CZ243)</f>
        <v/>
      </c>
      <c r="Q243" s="64">
        <f>IF(N(DJ243)&gt;0,DH243,DA243)</f>
        <v/>
      </c>
      <c r="R243" s="64">
        <f>IF(N(DJ243)&gt;0,DI243,DB243)</f>
        <v/>
      </c>
      <c r="S243" s="64">
        <f>IF(N(DJ243)&gt;0,DJ243,DC243)</f>
        <v/>
      </c>
      <c r="T243" s="64">
        <f>INDEX(Projects[Currency],242)&amp;""</f>
        <v/>
      </c>
      <c r="U243" s="65">
        <f>INDEX(Projects[Sold Value (M)],242)</f>
        <v/>
      </c>
      <c r="V243" s="64">
        <f>IF('Smart Search'!B13=1,IFERROR(1/'Smart Search'!H13,0),0)</f>
        <v/>
      </c>
      <c r="W243" s="64">
        <f>IF('Smart Search'!B13=1,IFERROR(1/'Smart Search'!H13,0),0)</f>
        <v/>
      </c>
      <c r="X243" s="64">
        <f>IF('Smart Search'!C13=1,IFERROR(1/'Smart Search'!H13,0),0)</f>
        <v/>
      </c>
      <c r="Y243" s="64">
        <f>IF('Smart Search'!C13=1,IFERROR(1/'Smart Search'!H13,0),0)</f>
        <v/>
      </c>
      <c r="Z243" s="64">
        <f>IF('Smart Search'!D13=1,IFERROR(1/'Smart Search'!H13,0),0)</f>
        <v/>
      </c>
      <c r="AA243" s="64">
        <f>IF('Smart Search'!D13=1,IFERROR(1/'Smart Search'!H13,0),0)</f>
        <v/>
      </c>
      <c r="AB243" s="64">
        <f>IF('Smart Search'!E13=1,IFERROR(1/'Smart Search'!H13,0),0)</f>
        <v/>
      </c>
      <c r="AC243" s="64">
        <f>IF('Smart Search'!E13=1,IFERROR(1/'Smart Search'!H13,0),0)</f>
        <v/>
      </c>
      <c r="AD243" s="64">
        <f>IF('Smart Search'!F13=1,IFERROR(1/'Smart Search'!H13,0),0)</f>
        <v/>
      </c>
      <c r="AE243" s="64">
        <f>IF('Smart Search'!F13=1,IFERROR(1/'Smart Search'!H13,0),0)</f>
        <v/>
      </c>
      <c r="AF243" s="64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4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4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4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4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4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4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4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4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4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4">
        <f>AF243*V243</f>
        <v/>
      </c>
      <c r="AQ243" s="64">
        <f>AG243*W243</f>
        <v/>
      </c>
      <c r="AR243" s="64">
        <f>AH243*X243</f>
        <v/>
      </c>
      <c r="AS243" s="64">
        <f>AI243*Y243</f>
        <v/>
      </c>
      <c r="AT243" s="64">
        <f>AJ243*Z243</f>
        <v/>
      </c>
      <c r="AU243" s="64">
        <f>AK243*AA243</f>
        <v/>
      </c>
      <c r="AV243" s="64">
        <f>AL243*AB243</f>
        <v/>
      </c>
      <c r="AW243" s="64">
        <f>AM243*AC243</f>
        <v/>
      </c>
      <c r="AX243" s="64">
        <f>AN243*AD243</f>
        <v/>
      </c>
      <c r="AY243" s="64">
        <f>AO243*AE243</f>
        <v/>
      </c>
      <c r="AZ243" s="64">
        <f>INDEX(Projects[Automation Equipment],242)&amp;""</f>
        <v/>
      </c>
      <c r="BA243" s="64">
        <f>IF(OR(A243="",'Smart Search'!H13=0),"",MAX(0,BE243*BF243*MAX(0,1-BG243)))</f>
        <v/>
      </c>
      <c r="BB243" s="64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4">
        <f>IF('Smart Search'!G13=1,IFERROR(1/'Smart Search'!H13,0),0)</f>
        <v/>
      </c>
      <c r="BD243" s="64">
        <f>BB243*BC243</f>
        <v/>
      </c>
      <c r="BE243" s="64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IF(A243="","",N(INDEX(Projects[Act Mech Inst],242)))</f>
        <v/>
      </c>
      <c r="BK243" s="5">
        <f>IF(A243="","",N(INDEX(Projects[Act Elec Inst],242)))</f>
        <v/>
      </c>
      <c r="BL243" s="5">
        <f>IF(A243="","",N(INDEX(Projects[Act Project Management],242)))</f>
        <v/>
      </c>
      <c r="BM243" s="5">
        <f>IF(A243="","",N(INDEX(Projects[Act Systems Eng],242)))</f>
        <v/>
      </c>
      <c r="BN243" s="5">
        <f>IF(A243="","",N(INDEX(Projects[Act Mechanical Eng],242)))</f>
        <v/>
      </c>
      <c r="BO243" s="5">
        <f>IF(A243="","",N(INDEX(Projects[Act Structural Engineering],242)))</f>
        <v/>
      </c>
      <c r="BP243" s="5">
        <f>IF(A243="","",N(INDEX(Projects[Act Site Sup],242)))</f>
        <v/>
      </c>
      <c r="BQ243" s="5">
        <f>IF(A243="","",N(INDEX(Projects[Act Controls Commissioning],242)))</f>
        <v/>
      </c>
      <c r="BR243" s="5">
        <f>IF(A243="","",N(INDEX(Projects[Act Systems Commissioning],242)))</f>
        <v/>
      </c>
      <c r="BS243" s="5">
        <f>IF(A243="","",N(INDEX(Projects[Act Service Commissioning],242)))</f>
        <v/>
      </c>
      <c r="BT243" s="5">
        <f>IF(A243="","",N(INDEX(Projects[Act Controls Eng],242)))</f>
        <v/>
      </c>
      <c r="BU243" s="5">
        <f>IF(A243="","",N(INDEX(Projects[Act Controls Purchase],242)))</f>
        <v/>
      </c>
      <c r="BV243" s="5">
        <f>IF(A243="","",N(INDEX(Projects[Act Software Eng],242)))</f>
        <v/>
      </c>
      <c r="BW243" s="5">
        <f>IF(A243="","",N(INDEX(Projects[Act 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INDEX(Projects[Sold Value (USD M)],242)</f>
        <v/>
      </c>
      <c r="CE243" s="5" t="n"/>
      <c r="CF243" s="5">
        <f>IF(A243="","",N(INDEX(Projects[Est Mech Inst],242)))</f>
        <v/>
      </c>
      <c r="CG243" s="5">
        <f>IF(A243="","",N(INDEX(Projects[Est Elec Inst],242)))</f>
        <v/>
      </c>
      <c r="CH243" s="5">
        <f>IF(A243="","",N(INDEX(Projects[Est Project Management],242)))</f>
        <v/>
      </c>
      <c r="CI243" s="5">
        <f>IF(A243="","",N(INDEX(Projects[Est Systems Eng],242)))</f>
        <v/>
      </c>
      <c r="CJ243" s="5">
        <f>IF(A243="","",N(INDEX(Projects[Est Mechanical Eng],242)))</f>
        <v/>
      </c>
      <c r="CK243" s="5">
        <f>IF(A243="","",N(INDEX(Projects[Est Structural Engineering],242)))</f>
        <v/>
      </c>
      <c r="CL243" s="5">
        <f>IF(A243="","",N(INDEX(Projects[Est Site Sup],242)))</f>
        <v/>
      </c>
      <c r="CM243" s="5">
        <f>IF(A243="","",N(INDEX(Projects[Est Controls Commissioning],242)))</f>
        <v/>
      </c>
      <c r="CN243" s="5">
        <f>IF(A243="","",N(INDEX(Projects[Est Systems Commissioning],242)))</f>
        <v/>
      </c>
      <c r="CO243" s="5">
        <f>IF(A243="","",N(INDEX(Projects[Est Service Commissioning],242)))</f>
        <v/>
      </c>
      <c r="CP243" s="5">
        <f>IF(A243="","",N(INDEX(Projects[Est Controls Eng],242)))</f>
        <v/>
      </c>
      <c r="CQ243" s="5">
        <f>IF(A243="","",N(INDEX(Projects[Est Controls Purchase],242)))</f>
        <v/>
      </c>
      <c r="CR243" s="5">
        <f>IF(A243="","",N(INDEX(Projects[Est Software Eng],242)))</f>
        <v/>
      </c>
      <c r="CS243" s="5">
        <f>IF(A243="","",N(INDEX(Projects[Est Misc],242)))</f>
        <v/>
      </c>
      <c r="CT243" s="5">
        <f>IF(A243="","",SUM(CF243:CS243))</f>
        <v/>
      </c>
      <c r="CU243" s="5">
        <f>INDEX(Projects[Est Cost (M)],242)</f>
        <v/>
      </c>
      <c r="CV243" s="5">
        <f>INDEX(Projects[Act Cost (M)],242)</f>
        <v/>
      </c>
      <c r="CW243" s="5">
        <f>INDEX(Projects[Plan Mech Eng (wks)],242)</f>
        <v/>
      </c>
      <c r="CX243" s="5">
        <f>INDEX(Projects[Plan Controls Eng (wks)],242)</f>
        <v/>
      </c>
      <c r="CY243" s="5">
        <f>INDEX(Projects[Plan Systems Eng (wks)],242)</f>
        <v/>
      </c>
      <c r="CZ243" s="5">
        <f>INDEX(Projects[Plan Software Eng (wks)],242)</f>
        <v/>
      </c>
      <c r="DA243" s="5">
        <f>INDEX(Projects[Plan M&amp;E Installation (wks)],242)</f>
        <v/>
      </c>
      <c r="DB243" s="5">
        <f>INDEX(Projects[Plan Commissioning (wks)],242)</f>
        <v/>
      </c>
      <c r="DC243" s="5">
        <f>INDEX(Projects[Plan Total (wks)],242)</f>
        <v/>
      </c>
      <c r="DD243" s="5">
        <f>INDEX(Projects[Act Mech Eng (wks)],242)</f>
        <v/>
      </c>
      <c r="DE243" s="5">
        <f>INDEX(Projects[Act Controls Eng (wks)],242)</f>
        <v/>
      </c>
      <c r="DF243" s="5">
        <f>INDEX(Projects[Act Systems Eng (wks)],242)</f>
        <v/>
      </c>
      <c r="DG243" s="5">
        <f>INDEX(Projects[Act Software Eng (wks)],242)</f>
        <v/>
      </c>
      <c r="DH243" s="5">
        <f>INDEX(Projects[Act M&amp;E Installation (wks)],242)</f>
        <v/>
      </c>
      <c r="DI243" s="5">
        <f>INDEX(Projects[Act Commissioning (wks)],242)</f>
        <v/>
      </c>
      <c r="DJ243" s="5">
        <f>INDEX(Projects[Act Total (wks)],242)</f>
        <v/>
      </c>
    </row>
    <row r="244" ht="15" customHeight="1" s="82">
      <c r="A244" s="64">
        <f>INDEX(Projects[Project ID *],243)&amp;""</f>
        <v/>
      </c>
      <c r="B244" s="64">
        <f>INDEX(Projects[Project Name *],243)&amp;""</f>
        <v/>
      </c>
      <c r="C244" s="64">
        <f>INDEX(Projects[MS Shuttles],243)</f>
        <v/>
      </c>
      <c r="D244" s="64">
        <f>INDEX(Projects[MS Tote Locations],243)</f>
        <v/>
      </c>
      <c r="E244" s="64">
        <f>INDEX(Projects[AS Robots],243)</f>
        <v/>
      </c>
      <c r="F244" s="64">
        <f>INDEX(Projects[AS Tote Locations],243)</f>
        <v/>
      </c>
      <c r="G244" s="64">
        <f>INDEX(Projects[PS Shuttles],243)</f>
        <v/>
      </c>
      <c r="H244" s="64">
        <f>INDEX(Projects[PS Pallet Locations],243)</f>
        <v/>
      </c>
      <c r="I244" s="64">
        <f>INDEX(Projects[SRM Cranes],243)</f>
        <v/>
      </c>
      <c r="J244" s="64">
        <f>INDEX(Projects[SRM Pallet Locations],243)</f>
        <v/>
      </c>
      <c r="K244" s="64">
        <f>INDEX(Projects[Case Conv (m)],243)</f>
        <v/>
      </c>
      <c r="L244" s="64">
        <f>INDEX(Projects[Pallet Conv (m)],243)</f>
        <v/>
      </c>
      <c r="M244" s="64">
        <f>IF(N(DJ244)&gt;0,DD244,CW244)</f>
        <v/>
      </c>
      <c r="N244" s="64">
        <f>IF(N(DJ244)&gt;0,DE244,CX244)</f>
        <v/>
      </c>
      <c r="O244" s="64">
        <f>IF(N(DJ244)&gt;0,DF244,CY244)</f>
        <v/>
      </c>
      <c r="P244" s="64">
        <f>IF(N(DJ244)&gt;0,DG244,CZ244)</f>
        <v/>
      </c>
      <c r="Q244" s="64">
        <f>IF(N(DJ244)&gt;0,DH244,DA244)</f>
        <v/>
      </c>
      <c r="R244" s="64">
        <f>IF(N(DJ244)&gt;0,DI244,DB244)</f>
        <v/>
      </c>
      <c r="S244" s="64">
        <f>IF(N(DJ244)&gt;0,DJ244,DC244)</f>
        <v/>
      </c>
      <c r="T244" s="64">
        <f>INDEX(Projects[Currency],243)&amp;""</f>
        <v/>
      </c>
      <c r="U244" s="65">
        <f>INDEX(Projects[Sold Value (M)],243)</f>
        <v/>
      </c>
      <c r="V244" s="64">
        <f>IF('Smart Search'!B13=1,IFERROR(1/'Smart Search'!H13,0),0)</f>
        <v/>
      </c>
      <c r="W244" s="64">
        <f>IF('Smart Search'!B13=1,IFERROR(1/'Smart Search'!H13,0),0)</f>
        <v/>
      </c>
      <c r="X244" s="64">
        <f>IF('Smart Search'!C13=1,IFERROR(1/'Smart Search'!H13,0),0)</f>
        <v/>
      </c>
      <c r="Y244" s="64">
        <f>IF('Smart Search'!C13=1,IFERROR(1/'Smart Search'!H13,0),0)</f>
        <v/>
      </c>
      <c r="Z244" s="64">
        <f>IF('Smart Search'!D13=1,IFERROR(1/'Smart Search'!H13,0),0)</f>
        <v/>
      </c>
      <c r="AA244" s="64">
        <f>IF('Smart Search'!D13=1,IFERROR(1/'Smart Search'!H13,0),0)</f>
        <v/>
      </c>
      <c r="AB244" s="64">
        <f>IF('Smart Search'!E13=1,IFERROR(1/'Smart Search'!H13,0),0)</f>
        <v/>
      </c>
      <c r="AC244" s="64">
        <f>IF('Smart Search'!E13=1,IFERROR(1/'Smart Search'!H13,0),0)</f>
        <v/>
      </c>
      <c r="AD244" s="64">
        <f>IF('Smart Search'!F13=1,IFERROR(1/'Smart Search'!H13,0),0)</f>
        <v/>
      </c>
      <c r="AE244" s="64">
        <f>IF('Smart Search'!F13=1,IFERROR(1/'Smart Search'!H13,0),0)</f>
        <v/>
      </c>
      <c r="AF244" s="64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4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4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4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4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4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4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4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4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4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4">
        <f>AF244*V244</f>
        <v/>
      </c>
      <c r="AQ244" s="64">
        <f>AG244*W244</f>
        <v/>
      </c>
      <c r="AR244" s="64">
        <f>AH244*X244</f>
        <v/>
      </c>
      <c r="AS244" s="64">
        <f>AI244*Y244</f>
        <v/>
      </c>
      <c r="AT244" s="64">
        <f>AJ244*Z244</f>
        <v/>
      </c>
      <c r="AU244" s="64">
        <f>AK244*AA244</f>
        <v/>
      </c>
      <c r="AV244" s="64">
        <f>AL244*AB244</f>
        <v/>
      </c>
      <c r="AW244" s="64">
        <f>AM244*AC244</f>
        <v/>
      </c>
      <c r="AX244" s="64">
        <f>AN244*AD244</f>
        <v/>
      </c>
      <c r="AY244" s="64">
        <f>AO244*AE244</f>
        <v/>
      </c>
      <c r="AZ244" s="64">
        <f>INDEX(Projects[Automation Equipment],243)&amp;""</f>
        <v/>
      </c>
      <c r="BA244" s="64">
        <f>IF(OR(A244="",'Smart Search'!H13=0),"",MAX(0,BE244*BF244*MAX(0,1-BG244)))</f>
        <v/>
      </c>
      <c r="BB244" s="64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4">
        <f>IF('Smart Search'!G13=1,IFERROR(1/'Smart Search'!H13,0),0)</f>
        <v/>
      </c>
      <c r="BD244" s="64">
        <f>BB244*BC244</f>
        <v/>
      </c>
      <c r="BE244" s="64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IF(A244="","",N(INDEX(Projects[Act Mech Inst],243)))</f>
        <v/>
      </c>
      <c r="BK244" s="5">
        <f>IF(A244="","",N(INDEX(Projects[Act Elec Inst],243)))</f>
        <v/>
      </c>
      <c r="BL244" s="5">
        <f>IF(A244="","",N(INDEX(Projects[Act Project Management],243)))</f>
        <v/>
      </c>
      <c r="BM244" s="5">
        <f>IF(A244="","",N(INDEX(Projects[Act Systems Eng],243)))</f>
        <v/>
      </c>
      <c r="BN244" s="5">
        <f>IF(A244="","",N(INDEX(Projects[Act Mechanical Eng],243)))</f>
        <v/>
      </c>
      <c r="BO244" s="5">
        <f>IF(A244="","",N(INDEX(Projects[Act Structural Engineering],243)))</f>
        <v/>
      </c>
      <c r="BP244" s="5">
        <f>IF(A244="","",N(INDEX(Projects[Act Site Sup],243)))</f>
        <v/>
      </c>
      <c r="BQ244" s="5">
        <f>IF(A244="","",N(INDEX(Projects[Act Controls Commissioning],243)))</f>
        <v/>
      </c>
      <c r="BR244" s="5">
        <f>IF(A244="","",N(INDEX(Projects[Act Systems Commissioning],243)))</f>
        <v/>
      </c>
      <c r="BS244" s="5">
        <f>IF(A244="","",N(INDEX(Projects[Act Service Commissioning],243)))</f>
        <v/>
      </c>
      <c r="BT244" s="5">
        <f>IF(A244="","",N(INDEX(Projects[Act Controls Eng],243)))</f>
        <v/>
      </c>
      <c r="BU244" s="5">
        <f>IF(A244="","",N(INDEX(Projects[Act Controls Purchase],243)))</f>
        <v/>
      </c>
      <c r="BV244" s="5">
        <f>IF(A244="","",N(INDEX(Projects[Act Software Eng],243)))</f>
        <v/>
      </c>
      <c r="BW244" s="5">
        <f>IF(A244="","",N(INDEX(Projects[Act 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INDEX(Projects[Sold Value (USD M)],243)</f>
        <v/>
      </c>
      <c r="CE244" s="5" t="n"/>
      <c r="CF244" s="5">
        <f>IF(A244="","",N(INDEX(Projects[Est Mech Inst],243)))</f>
        <v/>
      </c>
      <c r="CG244" s="5">
        <f>IF(A244="","",N(INDEX(Projects[Est Elec Inst],243)))</f>
        <v/>
      </c>
      <c r="CH244" s="5">
        <f>IF(A244="","",N(INDEX(Projects[Est Project Management],243)))</f>
        <v/>
      </c>
      <c r="CI244" s="5">
        <f>IF(A244="","",N(INDEX(Projects[Est Systems Eng],243)))</f>
        <v/>
      </c>
      <c r="CJ244" s="5">
        <f>IF(A244="","",N(INDEX(Projects[Est Mechanical Eng],243)))</f>
        <v/>
      </c>
      <c r="CK244" s="5">
        <f>IF(A244="","",N(INDEX(Projects[Est Structural Engineering],243)))</f>
        <v/>
      </c>
      <c r="CL244" s="5">
        <f>IF(A244="","",N(INDEX(Projects[Est Site Sup],243)))</f>
        <v/>
      </c>
      <c r="CM244" s="5">
        <f>IF(A244="","",N(INDEX(Projects[Est Controls Commissioning],243)))</f>
        <v/>
      </c>
      <c r="CN244" s="5">
        <f>IF(A244="","",N(INDEX(Projects[Est Systems Commissioning],243)))</f>
        <v/>
      </c>
      <c r="CO244" s="5">
        <f>IF(A244="","",N(INDEX(Projects[Est Service Commissioning],243)))</f>
        <v/>
      </c>
      <c r="CP244" s="5">
        <f>IF(A244="","",N(INDEX(Projects[Est Controls Eng],243)))</f>
        <v/>
      </c>
      <c r="CQ244" s="5">
        <f>IF(A244="","",N(INDEX(Projects[Est Controls Purchase],243)))</f>
        <v/>
      </c>
      <c r="CR244" s="5">
        <f>IF(A244="","",N(INDEX(Projects[Est Software Eng],243)))</f>
        <v/>
      </c>
      <c r="CS244" s="5">
        <f>IF(A244="","",N(INDEX(Projects[Est Misc],243)))</f>
        <v/>
      </c>
      <c r="CT244" s="5">
        <f>IF(A244="","",SUM(CF244:CS244))</f>
        <v/>
      </c>
      <c r="CU244" s="5">
        <f>INDEX(Projects[Est Cost (M)],243)</f>
        <v/>
      </c>
      <c r="CV244" s="5">
        <f>INDEX(Projects[Act Cost (M)],243)</f>
        <v/>
      </c>
      <c r="CW244" s="5">
        <f>INDEX(Projects[Plan Mech Eng (wks)],243)</f>
        <v/>
      </c>
      <c r="CX244" s="5">
        <f>INDEX(Projects[Plan Controls Eng (wks)],243)</f>
        <v/>
      </c>
      <c r="CY244" s="5">
        <f>INDEX(Projects[Plan Systems Eng (wks)],243)</f>
        <v/>
      </c>
      <c r="CZ244" s="5">
        <f>INDEX(Projects[Plan Software Eng (wks)],243)</f>
        <v/>
      </c>
      <c r="DA244" s="5">
        <f>INDEX(Projects[Plan M&amp;E Installation (wks)],243)</f>
        <v/>
      </c>
      <c r="DB244" s="5">
        <f>INDEX(Projects[Plan Commissioning (wks)],243)</f>
        <v/>
      </c>
      <c r="DC244" s="5">
        <f>INDEX(Projects[Plan Total (wks)],243)</f>
        <v/>
      </c>
      <c r="DD244" s="5">
        <f>INDEX(Projects[Act Mech Eng (wks)],243)</f>
        <v/>
      </c>
      <c r="DE244" s="5">
        <f>INDEX(Projects[Act Controls Eng (wks)],243)</f>
        <v/>
      </c>
      <c r="DF244" s="5">
        <f>INDEX(Projects[Act Systems Eng (wks)],243)</f>
        <v/>
      </c>
      <c r="DG244" s="5">
        <f>INDEX(Projects[Act Software Eng (wks)],243)</f>
        <v/>
      </c>
      <c r="DH244" s="5">
        <f>INDEX(Projects[Act M&amp;E Installation (wks)],243)</f>
        <v/>
      </c>
      <c r="DI244" s="5">
        <f>INDEX(Projects[Act Commissioning (wks)],243)</f>
        <v/>
      </c>
      <c r="DJ244" s="5">
        <f>INDEX(Projects[Act Total (wks)],243)</f>
        <v/>
      </c>
    </row>
    <row r="245" ht="15" customHeight="1" s="82">
      <c r="A245" s="64">
        <f>INDEX(Projects[Project ID *],244)&amp;""</f>
        <v/>
      </c>
      <c r="B245" s="64">
        <f>INDEX(Projects[Project Name *],244)&amp;""</f>
        <v/>
      </c>
      <c r="C245" s="64">
        <f>INDEX(Projects[MS Shuttles],244)</f>
        <v/>
      </c>
      <c r="D245" s="64">
        <f>INDEX(Projects[MS Tote Locations],244)</f>
        <v/>
      </c>
      <c r="E245" s="64">
        <f>INDEX(Projects[AS Robots],244)</f>
        <v/>
      </c>
      <c r="F245" s="64">
        <f>INDEX(Projects[AS Tote Locations],244)</f>
        <v/>
      </c>
      <c r="G245" s="64">
        <f>INDEX(Projects[PS Shuttles],244)</f>
        <v/>
      </c>
      <c r="H245" s="64">
        <f>INDEX(Projects[PS Pallet Locations],244)</f>
        <v/>
      </c>
      <c r="I245" s="64">
        <f>INDEX(Projects[SRM Cranes],244)</f>
        <v/>
      </c>
      <c r="J245" s="64">
        <f>INDEX(Projects[SRM Pallet Locations],244)</f>
        <v/>
      </c>
      <c r="K245" s="64">
        <f>INDEX(Projects[Case Conv (m)],244)</f>
        <v/>
      </c>
      <c r="L245" s="64">
        <f>INDEX(Projects[Pallet Conv (m)],244)</f>
        <v/>
      </c>
      <c r="M245" s="64">
        <f>IF(N(DJ245)&gt;0,DD245,CW245)</f>
        <v/>
      </c>
      <c r="N245" s="64">
        <f>IF(N(DJ245)&gt;0,DE245,CX245)</f>
        <v/>
      </c>
      <c r="O245" s="64">
        <f>IF(N(DJ245)&gt;0,DF245,CY245)</f>
        <v/>
      </c>
      <c r="P245" s="64">
        <f>IF(N(DJ245)&gt;0,DG245,CZ245)</f>
        <v/>
      </c>
      <c r="Q245" s="64">
        <f>IF(N(DJ245)&gt;0,DH245,DA245)</f>
        <v/>
      </c>
      <c r="R245" s="64">
        <f>IF(N(DJ245)&gt;0,DI245,DB245)</f>
        <v/>
      </c>
      <c r="S245" s="64">
        <f>IF(N(DJ245)&gt;0,DJ245,DC245)</f>
        <v/>
      </c>
      <c r="T245" s="64">
        <f>INDEX(Projects[Currency],244)&amp;""</f>
        <v/>
      </c>
      <c r="U245" s="65">
        <f>INDEX(Projects[Sold Value (M)],244)</f>
        <v/>
      </c>
      <c r="V245" s="64">
        <f>IF('Smart Search'!B13=1,IFERROR(1/'Smart Search'!H13,0),0)</f>
        <v/>
      </c>
      <c r="W245" s="64">
        <f>IF('Smart Search'!B13=1,IFERROR(1/'Smart Search'!H13,0),0)</f>
        <v/>
      </c>
      <c r="X245" s="64">
        <f>IF('Smart Search'!C13=1,IFERROR(1/'Smart Search'!H13,0),0)</f>
        <v/>
      </c>
      <c r="Y245" s="64">
        <f>IF('Smart Search'!C13=1,IFERROR(1/'Smart Search'!H13,0),0)</f>
        <v/>
      </c>
      <c r="Z245" s="64">
        <f>IF('Smart Search'!D13=1,IFERROR(1/'Smart Search'!H13,0),0)</f>
        <v/>
      </c>
      <c r="AA245" s="64">
        <f>IF('Smart Search'!D13=1,IFERROR(1/'Smart Search'!H13,0),0)</f>
        <v/>
      </c>
      <c r="AB245" s="64">
        <f>IF('Smart Search'!E13=1,IFERROR(1/'Smart Search'!H13,0),0)</f>
        <v/>
      </c>
      <c r="AC245" s="64">
        <f>IF('Smart Search'!E13=1,IFERROR(1/'Smart Search'!H13,0),0)</f>
        <v/>
      </c>
      <c r="AD245" s="64">
        <f>IF('Smart Search'!F13=1,IFERROR(1/'Smart Search'!H13,0),0)</f>
        <v/>
      </c>
      <c r="AE245" s="64">
        <f>IF('Smart Search'!F13=1,IFERROR(1/'Smart Search'!H13,0),0)</f>
        <v/>
      </c>
      <c r="AF245" s="64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4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4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4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4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4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4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4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4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4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4">
        <f>AF245*V245</f>
        <v/>
      </c>
      <c r="AQ245" s="64">
        <f>AG245*W245</f>
        <v/>
      </c>
      <c r="AR245" s="64">
        <f>AH245*X245</f>
        <v/>
      </c>
      <c r="AS245" s="64">
        <f>AI245*Y245</f>
        <v/>
      </c>
      <c r="AT245" s="64">
        <f>AJ245*Z245</f>
        <v/>
      </c>
      <c r="AU245" s="64">
        <f>AK245*AA245</f>
        <v/>
      </c>
      <c r="AV245" s="64">
        <f>AL245*AB245</f>
        <v/>
      </c>
      <c r="AW245" s="64">
        <f>AM245*AC245</f>
        <v/>
      </c>
      <c r="AX245" s="64">
        <f>AN245*AD245</f>
        <v/>
      </c>
      <c r="AY245" s="64">
        <f>AO245*AE245</f>
        <v/>
      </c>
      <c r="AZ245" s="64">
        <f>INDEX(Projects[Automation Equipment],244)&amp;""</f>
        <v/>
      </c>
      <c r="BA245" s="64">
        <f>IF(OR(A245="",'Smart Search'!H13=0),"",MAX(0,BE245*BF245*MAX(0,1-BG245)))</f>
        <v/>
      </c>
      <c r="BB245" s="64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4">
        <f>IF('Smart Search'!G13=1,IFERROR(1/'Smart Search'!H13,0),0)</f>
        <v/>
      </c>
      <c r="BD245" s="64">
        <f>BB245*BC245</f>
        <v/>
      </c>
      <c r="BE245" s="64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IF(A245="","",N(INDEX(Projects[Act Mech Inst],244)))</f>
        <v/>
      </c>
      <c r="BK245" s="5">
        <f>IF(A245="","",N(INDEX(Projects[Act Elec Inst],244)))</f>
        <v/>
      </c>
      <c r="BL245" s="5">
        <f>IF(A245="","",N(INDEX(Projects[Act Project Management],244)))</f>
        <v/>
      </c>
      <c r="BM245" s="5">
        <f>IF(A245="","",N(INDEX(Projects[Act Systems Eng],244)))</f>
        <v/>
      </c>
      <c r="BN245" s="5">
        <f>IF(A245="","",N(INDEX(Projects[Act Mechanical Eng],244)))</f>
        <v/>
      </c>
      <c r="BO245" s="5">
        <f>IF(A245="","",N(INDEX(Projects[Act Structural Engineering],244)))</f>
        <v/>
      </c>
      <c r="BP245" s="5">
        <f>IF(A245="","",N(INDEX(Projects[Act Site Sup],244)))</f>
        <v/>
      </c>
      <c r="BQ245" s="5">
        <f>IF(A245="","",N(INDEX(Projects[Act Controls Commissioning],244)))</f>
        <v/>
      </c>
      <c r="BR245" s="5">
        <f>IF(A245="","",N(INDEX(Projects[Act Systems Commissioning],244)))</f>
        <v/>
      </c>
      <c r="BS245" s="5">
        <f>IF(A245="","",N(INDEX(Projects[Act Service Commissioning],244)))</f>
        <v/>
      </c>
      <c r="BT245" s="5">
        <f>IF(A245="","",N(INDEX(Projects[Act Controls Eng],244)))</f>
        <v/>
      </c>
      <c r="BU245" s="5">
        <f>IF(A245="","",N(INDEX(Projects[Act Controls Purchase],244)))</f>
        <v/>
      </c>
      <c r="BV245" s="5">
        <f>IF(A245="","",N(INDEX(Projects[Act Software Eng],244)))</f>
        <v/>
      </c>
      <c r="BW245" s="5">
        <f>IF(A245="","",N(INDEX(Projects[Act 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INDEX(Projects[Sold Value (USD M)],244)</f>
        <v/>
      </c>
      <c r="CE245" s="5" t="n"/>
      <c r="CF245" s="5">
        <f>IF(A245="","",N(INDEX(Projects[Est Mech Inst],244)))</f>
        <v/>
      </c>
      <c r="CG245" s="5">
        <f>IF(A245="","",N(INDEX(Projects[Est Elec Inst],244)))</f>
        <v/>
      </c>
      <c r="CH245" s="5">
        <f>IF(A245="","",N(INDEX(Projects[Est Project Management],244)))</f>
        <v/>
      </c>
      <c r="CI245" s="5">
        <f>IF(A245="","",N(INDEX(Projects[Est Systems Eng],244)))</f>
        <v/>
      </c>
      <c r="CJ245" s="5">
        <f>IF(A245="","",N(INDEX(Projects[Est Mechanical Eng],244)))</f>
        <v/>
      </c>
      <c r="CK245" s="5">
        <f>IF(A245="","",N(INDEX(Projects[Est Structural Engineering],244)))</f>
        <v/>
      </c>
      <c r="CL245" s="5">
        <f>IF(A245="","",N(INDEX(Projects[Est Site Sup],244)))</f>
        <v/>
      </c>
      <c r="CM245" s="5">
        <f>IF(A245="","",N(INDEX(Projects[Est Controls Commissioning],244)))</f>
        <v/>
      </c>
      <c r="CN245" s="5">
        <f>IF(A245="","",N(INDEX(Projects[Est Systems Commissioning],244)))</f>
        <v/>
      </c>
      <c r="CO245" s="5">
        <f>IF(A245="","",N(INDEX(Projects[Est Service Commissioning],244)))</f>
        <v/>
      </c>
      <c r="CP245" s="5">
        <f>IF(A245="","",N(INDEX(Projects[Est Controls Eng],244)))</f>
        <v/>
      </c>
      <c r="CQ245" s="5">
        <f>IF(A245="","",N(INDEX(Projects[Est Controls Purchase],244)))</f>
        <v/>
      </c>
      <c r="CR245" s="5">
        <f>IF(A245="","",N(INDEX(Projects[Est Software Eng],244)))</f>
        <v/>
      </c>
      <c r="CS245" s="5">
        <f>IF(A245="","",N(INDEX(Projects[Est Misc],244)))</f>
        <v/>
      </c>
      <c r="CT245" s="5">
        <f>IF(A245="","",SUM(CF245:CS245))</f>
        <v/>
      </c>
      <c r="CU245" s="5">
        <f>INDEX(Projects[Est Cost (M)],244)</f>
        <v/>
      </c>
      <c r="CV245" s="5">
        <f>INDEX(Projects[Act Cost (M)],244)</f>
        <v/>
      </c>
      <c r="CW245" s="5">
        <f>INDEX(Projects[Plan Mech Eng (wks)],244)</f>
        <v/>
      </c>
      <c r="CX245" s="5">
        <f>INDEX(Projects[Plan Controls Eng (wks)],244)</f>
        <v/>
      </c>
      <c r="CY245" s="5">
        <f>INDEX(Projects[Plan Systems Eng (wks)],244)</f>
        <v/>
      </c>
      <c r="CZ245" s="5">
        <f>INDEX(Projects[Plan Software Eng (wks)],244)</f>
        <v/>
      </c>
      <c r="DA245" s="5">
        <f>INDEX(Projects[Plan M&amp;E Installation (wks)],244)</f>
        <v/>
      </c>
      <c r="DB245" s="5">
        <f>INDEX(Projects[Plan Commissioning (wks)],244)</f>
        <v/>
      </c>
      <c r="DC245" s="5">
        <f>INDEX(Projects[Plan Total (wks)],244)</f>
        <v/>
      </c>
      <c r="DD245" s="5">
        <f>INDEX(Projects[Act Mech Eng (wks)],244)</f>
        <v/>
      </c>
      <c r="DE245" s="5">
        <f>INDEX(Projects[Act Controls Eng (wks)],244)</f>
        <v/>
      </c>
      <c r="DF245" s="5">
        <f>INDEX(Projects[Act Systems Eng (wks)],244)</f>
        <v/>
      </c>
      <c r="DG245" s="5">
        <f>INDEX(Projects[Act Software Eng (wks)],244)</f>
        <v/>
      </c>
      <c r="DH245" s="5">
        <f>INDEX(Projects[Act M&amp;E Installation (wks)],244)</f>
        <v/>
      </c>
      <c r="DI245" s="5">
        <f>INDEX(Projects[Act Commissioning (wks)],244)</f>
        <v/>
      </c>
      <c r="DJ245" s="5">
        <f>INDEX(Projects[Act Total (wks)],244)</f>
        <v/>
      </c>
    </row>
    <row r="246" ht="15" customHeight="1" s="82">
      <c r="A246" s="64">
        <f>INDEX(Projects[Project ID *],245)&amp;""</f>
        <v/>
      </c>
      <c r="B246" s="64">
        <f>INDEX(Projects[Project Name *],245)&amp;""</f>
        <v/>
      </c>
      <c r="C246" s="64">
        <f>INDEX(Projects[MS Shuttles],245)</f>
        <v/>
      </c>
      <c r="D246" s="64">
        <f>INDEX(Projects[MS Tote Locations],245)</f>
        <v/>
      </c>
      <c r="E246" s="64">
        <f>INDEX(Projects[AS Robots],245)</f>
        <v/>
      </c>
      <c r="F246" s="64">
        <f>INDEX(Projects[AS Tote Locations],245)</f>
        <v/>
      </c>
      <c r="G246" s="64">
        <f>INDEX(Projects[PS Shuttles],245)</f>
        <v/>
      </c>
      <c r="H246" s="64">
        <f>INDEX(Projects[PS Pallet Locations],245)</f>
        <v/>
      </c>
      <c r="I246" s="64">
        <f>INDEX(Projects[SRM Cranes],245)</f>
        <v/>
      </c>
      <c r="J246" s="64">
        <f>INDEX(Projects[SRM Pallet Locations],245)</f>
        <v/>
      </c>
      <c r="K246" s="64">
        <f>INDEX(Projects[Case Conv (m)],245)</f>
        <v/>
      </c>
      <c r="L246" s="64">
        <f>INDEX(Projects[Pallet Conv (m)],245)</f>
        <v/>
      </c>
      <c r="M246" s="64">
        <f>IF(N(DJ246)&gt;0,DD246,CW246)</f>
        <v/>
      </c>
      <c r="N246" s="64">
        <f>IF(N(DJ246)&gt;0,DE246,CX246)</f>
        <v/>
      </c>
      <c r="O246" s="64">
        <f>IF(N(DJ246)&gt;0,DF246,CY246)</f>
        <v/>
      </c>
      <c r="P246" s="64">
        <f>IF(N(DJ246)&gt;0,DG246,CZ246)</f>
        <v/>
      </c>
      <c r="Q246" s="64">
        <f>IF(N(DJ246)&gt;0,DH246,DA246)</f>
        <v/>
      </c>
      <c r="R246" s="64">
        <f>IF(N(DJ246)&gt;0,DI246,DB246)</f>
        <v/>
      </c>
      <c r="S246" s="64">
        <f>IF(N(DJ246)&gt;0,DJ246,DC246)</f>
        <v/>
      </c>
      <c r="T246" s="64">
        <f>INDEX(Projects[Currency],245)&amp;""</f>
        <v/>
      </c>
      <c r="U246" s="65">
        <f>INDEX(Projects[Sold Value (M)],245)</f>
        <v/>
      </c>
      <c r="V246" s="64">
        <f>IF('Smart Search'!B13=1,IFERROR(1/'Smart Search'!H13,0),0)</f>
        <v/>
      </c>
      <c r="W246" s="64">
        <f>IF('Smart Search'!B13=1,IFERROR(1/'Smart Search'!H13,0),0)</f>
        <v/>
      </c>
      <c r="X246" s="64">
        <f>IF('Smart Search'!C13=1,IFERROR(1/'Smart Search'!H13,0),0)</f>
        <v/>
      </c>
      <c r="Y246" s="64">
        <f>IF('Smart Search'!C13=1,IFERROR(1/'Smart Search'!H13,0),0)</f>
        <v/>
      </c>
      <c r="Z246" s="64">
        <f>IF('Smart Search'!D13=1,IFERROR(1/'Smart Search'!H13,0),0)</f>
        <v/>
      </c>
      <c r="AA246" s="64">
        <f>IF('Smart Search'!D13=1,IFERROR(1/'Smart Search'!H13,0),0)</f>
        <v/>
      </c>
      <c r="AB246" s="64">
        <f>IF('Smart Search'!E13=1,IFERROR(1/'Smart Search'!H13,0),0)</f>
        <v/>
      </c>
      <c r="AC246" s="64">
        <f>IF('Smart Search'!E13=1,IFERROR(1/'Smart Search'!H13,0),0)</f>
        <v/>
      </c>
      <c r="AD246" s="64">
        <f>IF('Smart Search'!F13=1,IFERROR(1/'Smart Search'!H13,0),0)</f>
        <v/>
      </c>
      <c r="AE246" s="64">
        <f>IF('Smart Search'!F13=1,IFERROR(1/'Smart Search'!H13,0),0)</f>
        <v/>
      </c>
      <c r="AF246" s="64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4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4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4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4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4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4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4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4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4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4">
        <f>AF246*V246</f>
        <v/>
      </c>
      <c r="AQ246" s="64">
        <f>AG246*W246</f>
        <v/>
      </c>
      <c r="AR246" s="64">
        <f>AH246*X246</f>
        <v/>
      </c>
      <c r="AS246" s="64">
        <f>AI246*Y246</f>
        <v/>
      </c>
      <c r="AT246" s="64">
        <f>AJ246*Z246</f>
        <v/>
      </c>
      <c r="AU246" s="64">
        <f>AK246*AA246</f>
        <v/>
      </c>
      <c r="AV246" s="64">
        <f>AL246*AB246</f>
        <v/>
      </c>
      <c r="AW246" s="64">
        <f>AM246*AC246</f>
        <v/>
      </c>
      <c r="AX246" s="64">
        <f>AN246*AD246</f>
        <v/>
      </c>
      <c r="AY246" s="64">
        <f>AO246*AE246</f>
        <v/>
      </c>
      <c r="AZ246" s="64">
        <f>INDEX(Projects[Automation Equipment],245)&amp;""</f>
        <v/>
      </c>
      <c r="BA246" s="64">
        <f>IF(OR(A246="",'Smart Search'!H13=0),"",MAX(0,BE246*BF246*MAX(0,1-BG246)))</f>
        <v/>
      </c>
      <c r="BB246" s="64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4">
        <f>IF('Smart Search'!G13=1,IFERROR(1/'Smart Search'!H13,0),0)</f>
        <v/>
      </c>
      <c r="BD246" s="64">
        <f>BB246*BC246</f>
        <v/>
      </c>
      <c r="BE246" s="64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IF(A246="","",N(INDEX(Projects[Act Mech Inst],245)))</f>
        <v/>
      </c>
      <c r="BK246" s="5">
        <f>IF(A246="","",N(INDEX(Projects[Act Elec Inst],245)))</f>
        <v/>
      </c>
      <c r="BL246" s="5">
        <f>IF(A246="","",N(INDEX(Projects[Act Project Management],245)))</f>
        <v/>
      </c>
      <c r="BM246" s="5">
        <f>IF(A246="","",N(INDEX(Projects[Act Systems Eng],245)))</f>
        <v/>
      </c>
      <c r="BN246" s="5">
        <f>IF(A246="","",N(INDEX(Projects[Act Mechanical Eng],245)))</f>
        <v/>
      </c>
      <c r="BO246" s="5">
        <f>IF(A246="","",N(INDEX(Projects[Act Structural Engineering],245)))</f>
        <v/>
      </c>
      <c r="BP246" s="5">
        <f>IF(A246="","",N(INDEX(Projects[Act Site Sup],245)))</f>
        <v/>
      </c>
      <c r="BQ246" s="5">
        <f>IF(A246="","",N(INDEX(Projects[Act Controls Commissioning],245)))</f>
        <v/>
      </c>
      <c r="BR246" s="5">
        <f>IF(A246="","",N(INDEX(Projects[Act Systems Commissioning],245)))</f>
        <v/>
      </c>
      <c r="BS246" s="5">
        <f>IF(A246="","",N(INDEX(Projects[Act Service Commissioning],245)))</f>
        <v/>
      </c>
      <c r="BT246" s="5">
        <f>IF(A246="","",N(INDEX(Projects[Act Controls Eng],245)))</f>
        <v/>
      </c>
      <c r="BU246" s="5">
        <f>IF(A246="","",N(INDEX(Projects[Act Controls Purchase],245)))</f>
        <v/>
      </c>
      <c r="BV246" s="5">
        <f>IF(A246="","",N(INDEX(Projects[Act Software Eng],245)))</f>
        <v/>
      </c>
      <c r="BW246" s="5">
        <f>IF(A246="","",N(INDEX(Projects[Act 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INDEX(Projects[Sold Value (USD M)],245)</f>
        <v/>
      </c>
      <c r="CE246" s="5" t="n"/>
      <c r="CF246" s="5">
        <f>IF(A246="","",N(INDEX(Projects[Est Mech Inst],245)))</f>
        <v/>
      </c>
      <c r="CG246" s="5">
        <f>IF(A246="","",N(INDEX(Projects[Est Elec Inst],245)))</f>
        <v/>
      </c>
      <c r="CH246" s="5">
        <f>IF(A246="","",N(INDEX(Projects[Est Project Management],245)))</f>
        <v/>
      </c>
      <c r="CI246" s="5">
        <f>IF(A246="","",N(INDEX(Projects[Est Systems Eng],245)))</f>
        <v/>
      </c>
      <c r="CJ246" s="5">
        <f>IF(A246="","",N(INDEX(Projects[Est Mechanical Eng],245)))</f>
        <v/>
      </c>
      <c r="CK246" s="5">
        <f>IF(A246="","",N(INDEX(Projects[Est Structural Engineering],245)))</f>
        <v/>
      </c>
      <c r="CL246" s="5">
        <f>IF(A246="","",N(INDEX(Projects[Est Site Sup],245)))</f>
        <v/>
      </c>
      <c r="CM246" s="5">
        <f>IF(A246="","",N(INDEX(Projects[Est Controls Commissioning],245)))</f>
        <v/>
      </c>
      <c r="CN246" s="5">
        <f>IF(A246="","",N(INDEX(Projects[Est Systems Commissioning],245)))</f>
        <v/>
      </c>
      <c r="CO246" s="5">
        <f>IF(A246="","",N(INDEX(Projects[Est Service Commissioning],245)))</f>
        <v/>
      </c>
      <c r="CP246" s="5">
        <f>IF(A246="","",N(INDEX(Projects[Est Controls Eng],245)))</f>
        <v/>
      </c>
      <c r="CQ246" s="5">
        <f>IF(A246="","",N(INDEX(Projects[Est Controls Purchase],245)))</f>
        <v/>
      </c>
      <c r="CR246" s="5">
        <f>IF(A246="","",N(INDEX(Projects[Est Software Eng],245)))</f>
        <v/>
      </c>
      <c r="CS246" s="5">
        <f>IF(A246="","",N(INDEX(Projects[Est Misc],245)))</f>
        <v/>
      </c>
      <c r="CT246" s="5">
        <f>IF(A246="","",SUM(CF246:CS246))</f>
        <v/>
      </c>
      <c r="CU246" s="5">
        <f>INDEX(Projects[Est Cost (M)],245)</f>
        <v/>
      </c>
      <c r="CV246" s="5">
        <f>INDEX(Projects[Act Cost (M)],245)</f>
        <v/>
      </c>
      <c r="CW246" s="5">
        <f>INDEX(Projects[Plan Mech Eng (wks)],245)</f>
        <v/>
      </c>
      <c r="CX246" s="5">
        <f>INDEX(Projects[Plan Controls Eng (wks)],245)</f>
        <v/>
      </c>
      <c r="CY246" s="5">
        <f>INDEX(Projects[Plan Systems Eng (wks)],245)</f>
        <v/>
      </c>
      <c r="CZ246" s="5">
        <f>INDEX(Projects[Plan Software Eng (wks)],245)</f>
        <v/>
      </c>
      <c r="DA246" s="5">
        <f>INDEX(Projects[Plan M&amp;E Installation (wks)],245)</f>
        <v/>
      </c>
      <c r="DB246" s="5">
        <f>INDEX(Projects[Plan Commissioning (wks)],245)</f>
        <v/>
      </c>
      <c r="DC246" s="5">
        <f>INDEX(Projects[Plan Total (wks)],245)</f>
        <v/>
      </c>
      <c r="DD246" s="5">
        <f>INDEX(Projects[Act Mech Eng (wks)],245)</f>
        <v/>
      </c>
      <c r="DE246" s="5">
        <f>INDEX(Projects[Act Controls Eng (wks)],245)</f>
        <v/>
      </c>
      <c r="DF246" s="5">
        <f>INDEX(Projects[Act Systems Eng (wks)],245)</f>
        <v/>
      </c>
      <c r="DG246" s="5">
        <f>INDEX(Projects[Act Software Eng (wks)],245)</f>
        <v/>
      </c>
      <c r="DH246" s="5">
        <f>INDEX(Projects[Act M&amp;E Installation (wks)],245)</f>
        <v/>
      </c>
      <c r="DI246" s="5">
        <f>INDEX(Projects[Act Commissioning (wks)],245)</f>
        <v/>
      </c>
      <c r="DJ246" s="5">
        <f>INDEX(Projects[Act Total (wks)],245)</f>
        <v/>
      </c>
    </row>
    <row r="247" ht="15" customHeight="1" s="82">
      <c r="A247" s="64">
        <f>INDEX(Projects[Project ID *],246)&amp;""</f>
        <v/>
      </c>
      <c r="B247" s="64">
        <f>INDEX(Projects[Project Name *],246)&amp;""</f>
        <v/>
      </c>
      <c r="C247" s="64">
        <f>INDEX(Projects[MS Shuttles],246)</f>
        <v/>
      </c>
      <c r="D247" s="64">
        <f>INDEX(Projects[MS Tote Locations],246)</f>
        <v/>
      </c>
      <c r="E247" s="64">
        <f>INDEX(Projects[AS Robots],246)</f>
        <v/>
      </c>
      <c r="F247" s="64">
        <f>INDEX(Projects[AS Tote Locations],246)</f>
        <v/>
      </c>
      <c r="G247" s="64">
        <f>INDEX(Projects[PS Shuttles],246)</f>
        <v/>
      </c>
      <c r="H247" s="64">
        <f>INDEX(Projects[PS Pallet Locations],246)</f>
        <v/>
      </c>
      <c r="I247" s="64">
        <f>INDEX(Projects[SRM Cranes],246)</f>
        <v/>
      </c>
      <c r="J247" s="64">
        <f>INDEX(Projects[SRM Pallet Locations],246)</f>
        <v/>
      </c>
      <c r="K247" s="64">
        <f>INDEX(Projects[Case Conv (m)],246)</f>
        <v/>
      </c>
      <c r="L247" s="64">
        <f>INDEX(Projects[Pallet Conv (m)],246)</f>
        <v/>
      </c>
      <c r="M247" s="64">
        <f>IF(N(DJ247)&gt;0,DD247,CW247)</f>
        <v/>
      </c>
      <c r="N247" s="64">
        <f>IF(N(DJ247)&gt;0,DE247,CX247)</f>
        <v/>
      </c>
      <c r="O247" s="64">
        <f>IF(N(DJ247)&gt;0,DF247,CY247)</f>
        <v/>
      </c>
      <c r="P247" s="64">
        <f>IF(N(DJ247)&gt;0,DG247,CZ247)</f>
        <v/>
      </c>
      <c r="Q247" s="64">
        <f>IF(N(DJ247)&gt;0,DH247,DA247)</f>
        <v/>
      </c>
      <c r="R247" s="64">
        <f>IF(N(DJ247)&gt;0,DI247,DB247)</f>
        <v/>
      </c>
      <c r="S247" s="64">
        <f>IF(N(DJ247)&gt;0,DJ247,DC247)</f>
        <v/>
      </c>
      <c r="T247" s="64">
        <f>INDEX(Projects[Currency],246)&amp;""</f>
        <v/>
      </c>
      <c r="U247" s="65">
        <f>INDEX(Projects[Sold Value (M)],246)</f>
        <v/>
      </c>
      <c r="V247" s="64">
        <f>IF('Smart Search'!B13=1,IFERROR(1/'Smart Search'!H13,0),0)</f>
        <v/>
      </c>
      <c r="W247" s="64">
        <f>IF('Smart Search'!B13=1,IFERROR(1/'Smart Search'!H13,0),0)</f>
        <v/>
      </c>
      <c r="X247" s="64">
        <f>IF('Smart Search'!C13=1,IFERROR(1/'Smart Search'!H13,0),0)</f>
        <v/>
      </c>
      <c r="Y247" s="64">
        <f>IF('Smart Search'!C13=1,IFERROR(1/'Smart Search'!H13,0),0)</f>
        <v/>
      </c>
      <c r="Z247" s="64">
        <f>IF('Smart Search'!D13=1,IFERROR(1/'Smart Search'!H13,0),0)</f>
        <v/>
      </c>
      <c r="AA247" s="64">
        <f>IF('Smart Search'!D13=1,IFERROR(1/'Smart Search'!H13,0),0)</f>
        <v/>
      </c>
      <c r="AB247" s="64">
        <f>IF('Smart Search'!E13=1,IFERROR(1/'Smart Search'!H13,0),0)</f>
        <v/>
      </c>
      <c r="AC247" s="64">
        <f>IF('Smart Search'!E13=1,IFERROR(1/'Smart Search'!H13,0),0)</f>
        <v/>
      </c>
      <c r="AD247" s="64">
        <f>IF('Smart Search'!F13=1,IFERROR(1/'Smart Search'!H13,0),0)</f>
        <v/>
      </c>
      <c r="AE247" s="64">
        <f>IF('Smart Search'!F13=1,IFERROR(1/'Smart Search'!H13,0),0)</f>
        <v/>
      </c>
      <c r="AF247" s="64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4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4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4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4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4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4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4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4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4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4">
        <f>AF247*V247</f>
        <v/>
      </c>
      <c r="AQ247" s="64">
        <f>AG247*W247</f>
        <v/>
      </c>
      <c r="AR247" s="64">
        <f>AH247*X247</f>
        <v/>
      </c>
      <c r="AS247" s="64">
        <f>AI247*Y247</f>
        <v/>
      </c>
      <c r="AT247" s="64">
        <f>AJ247*Z247</f>
        <v/>
      </c>
      <c r="AU247" s="64">
        <f>AK247*AA247</f>
        <v/>
      </c>
      <c r="AV247" s="64">
        <f>AL247*AB247</f>
        <v/>
      </c>
      <c r="AW247" s="64">
        <f>AM247*AC247</f>
        <v/>
      </c>
      <c r="AX247" s="64">
        <f>AN247*AD247</f>
        <v/>
      </c>
      <c r="AY247" s="64">
        <f>AO247*AE247</f>
        <v/>
      </c>
      <c r="AZ247" s="64">
        <f>INDEX(Projects[Automation Equipment],246)&amp;""</f>
        <v/>
      </c>
      <c r="BA247" s="64">
        <f>IF(OR(A247="",'Smart Search'!H13=0),"",MAX(0,BE247*BF247*MAX(0,1-BG247)))</f>
        <v/>
      </c>
      <c r="BB247" s="64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4">
        <f>IF('Smart Search'!G13=1,IFERROR(1/'Smart Search'!H13,0),0)</f>
        <v/>
      </c>
      <c r="BD247" s="64">
        <f>BB247*BC247</f>
        <v/>
      </c>
      <c r="BE247" s="64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IF(A247="","",N(INDEX(Projects[Act Mech Inst],246)))</f>
        <v/>
      </c>
      <c r="BK247" s="5">
        <f>IF(A247="","",N(INDEX(Projects[Act Elec Inst],246)))</f>
        <v/>
      </c>
      <c r="BL247" s="5">
        <f>IF(A247="","",N(INDEX(Projects[Act Project Management],246)))</f>
        <v/>
      </c>
      <c r="BM247" s="5">
        <f>IF(A247="","",N(INDEX(Projects[Act Systems Eng],246)))</f>
        <v/>
      </c>
      <c r="BN247" s="5">
        <f>IF(A247="","",N(INDEX(Projects[Act Mechanical Eng],246)))</f>
        <v/>
      </c>
      <c r="BO247" s="5">
        <f>IF(A247="","",N(INDEX(Projects[Act Structural Engineering],246)))</f>
        <v/>
      </c>
      <c r="BP247" s="5">
        <f>IF(A247="","",N(INDEX(Projects[Act Site Sup],246)))</f>
        <v/>
      </c>
      <c r="BQ247" s="5">
        <f>IF(A247="","",N(INDEX(Projects[Act Controls Commissioning],246)))</f>
        <v/>
      </c>
      <c r="BR247" s="5">
        <f>IF(A247="","",N(INDEX(Projects[Act Systems Commissioning],246)))</f>
        <v/>
      </c>
      <c r="BS247" s="5">
        <f>IF(A247="","",N(INDEX(Projects[Act Service Commissioning],246)))</f>
        <v/>
      </c>
      <c r="BT247" s="5">
        <f>IF(A247="","",N(INDEX(Projects[Act Controls Eng],246)))</f>
        <v/>
      </c>
      <c r="BU247" s="5">
        <f>IF(A247="","",N(INDEX(Projects[Act Controls Purchase],246)))</f>
        <v/>
      </c>
      <c r="BV247" s="5">
        <f>IF(A247="","",N(INDEX(Projects[Act Software Eng],246)))</f>
        <v/>
      </c>
      <c r="BW247" s="5">
        <f>IF(A247="","",N(INDEX(Projects[Act 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INDEX(Projects[Sold Value (USD M)],246)</f>
        <v/>
      </c>
      <c r="CE247" s="5" t="n"/>
      <c r="CF247" s="5">
        <f>IF(A247="","",N(INDEX(Projects[Est Mech Inst],246)))</f>
        <v/>
      </c>
      <c r="CG247" s="5">
        <f>IF(A247="","",N(INDEX(Projects[Est Elec Inst],246)))</f>
        <v/>
      </c>
      <c r="CH247" s="5">
        <f>IF(A247="","",N(INDEX(Projects[Est Project Management],246)))</f>
        <v/>
      </c>
      <c r="CI247" s="5">
        <f>IF(A247="","",N(INDEX(Projects[Est Systems Eng],246)))</f>
        <v/>
      </c>
      <c r="CJ247" s="5">
        <f>IF(A247="","",N(INDEX(Projects[Est Mechanical Eng],246)))</f>
        <v/>
      </c>
      <c r="CK247" s="5">
        <f>IF(A247="","",N(INDEX(Projects[Est Structural Engineering],246)))</f>
        <v/>
      </c>
      <c r="CL247" s="5">
        <f>IF(A247="","",N(INDEX(Projects[Est Site Sup],246)))</f>
        <v/>
      </c>
      <c r="CM247" s="5">
        <f>IF(A247="","",N(INDEX(Projects[Est Controls Commissioning],246)))</f>
        <v/>
      </c>
      <c r="CN247" s="5">
        <f>IF(A247="","",N(INDEX(Projects[Est Systems Commissioning],246)))</f>
        <v/>
      </c>
      <c r="CO247" s="5">
        <f>IF(A247="","",N(INDEX(Projects[Est Service Commissioning],246)))</f>
        <v/>
      </c>
      <c r="CP247" s="5">
        <f>IF(A247="","",N(INDEX(Projects[Est Controls Eng],246)))</f>
        <v/>
      </c>
      <c r="CQ247" s="5">
        <f>IF(A247="","",N(INDEX(Projects[Est Controls Purchase],246)))</f>
        <v/>
      </c>
      <c r="CR247" s="5">
        <f>IF(A247="","",N(INDEX(Projects[Est Software Eng],246)))</f>
        <v/>
      </c>
      <c r="CS247" s="5">
        <f>IF(A247="","",N(INDEX(Projects[Est Misc],246)))</f>
        <v/>
      </c>
      <c r="CT247" s="5">
        <f>IF(A247="","",SUM(CF247:CS247))</f>
        <v/>
      </c>
      <c r="CU247" s="5">
        <f>INDEX(Projects[Est Cost (M)],246)</f>
        <v/>
      </c>
      <c r="CV247" s="5">
        <f>INDEX(Projects[Act Cost (M)],246)</f>
        <v/>
      </c>
      <c r="CW247" s="5">
        <f>INDEX(Projects[Plan Mech Eng (wks)],246)</f>
        <v/>
      </c>
      <c r="CX247" s="5">
        <f>INDEX(Projects[Plan Controls Eng (wks)],246)</f>
        <v/>
      </c>
      <c r="CY247" s="5">
        <f>INDEX(Projects[Plan Systems Eng (wks)],246)</f>
        <v/>
      </c>
      <c r="CZ247" s="5">
        <f>INDEX(Projects[Plan Software Eng (wks)],246)</f>
        <v/>
      </c>
      <c r="DA247" s="5">
        <f>INDEX(Projects[Plan M&amp;E Installation (wks)],246)</f>
        <v/>
      </c>
      <c r="DB247" s="5">
        <f>INDEX(Projects[Plan Commissioning (wks)],246)</f>
        <v/>
      </c>
      <c r="DC247" s="5">
        <f>INDEX(Projects[Plan Total (wks)],246)</f>
        <v/>
      </c>
      <c r="DD247" s="5">
        <f>INDEX(Projects[Act Mech Eng (wks)],246)</f>
        <v/>
      </c>
      <c r="DE247" s="5">
        <f>INDEX(Projects[Act Controls Eng (wks)],246)</f>
        <v/>
      </c>
      <c r="DF247" s="5">
        <f>INDEX(Projects[Act Systems Eng (wks)],246)</f>
        <v/>
      </c>
      <c r="DG247" s="5">
        <f>INDEX(Projects[Act Software Eng (wks)],246)</f>
        <v/>
      </c>
      <c r="DH247" s="5">
        <f>INDEX(Projects[Act M&amp;E Installation (wks)],246)</f>
        <v/>
      </c>
      <c r="DI247" s="5">
        <f>INDEX(Projects[Act Commissioning (wks)],246)</f>
        <v/>
      </c>
      <c r="DJ247" s="5">
        <f>INDEX(Projects[Act Total (wks)],246)</f>
        <v/>
      </c>
    </row>
    <row r="248" ht="15" customHeight="1" s="82">
      <c r="A248" s="64">
        <f>INDEX(Projects[Project ID *],247)&amp;""</f>
        <v/>
      </c>
      <c r="B248" s="64">
        <f>INDEX(Projects[Project Name *],247)&amp;""</f>
        <v/>
      </c>
      <c r="C248" s="64">
        <f>INDEX(Projects[MS Shuttles],247)</f>
        <v/>
      </c>
      <c r="D248" s="64">
        <f>INDEX(Projects[MS Tote Locations],247)</f>
        <v/>
      </c>
      <c r="E248" s="64">
        <f>INDEX(Projects[AS Robots],247)</f>
        <v/>
      </c>
      <c r="F248" s="64">
        <f>INDEX(Projects[AS Tote Locations],247)</f>
        <v/>
      </c>
      <c r="G248" s="64">
        <f>INDEX(Projects[PS Shuttles],247)</f>
        <v/>
      </c>
      <c r="H248" s="64">
        <f>INDEX(Projects[PS Pallet Locations],247)</f>
        <v/>
      </c>
      <c r="I248" s="64">
        <f>INDEX(Projects[SRM Cranes],247)</f>
        <v/>
      </c>
      <c r="J248" s="64">
        <f>INDEX(Projects[SRM Pallet Locations],247)</f>
        <v/>
      </c>
      <c r="K248" s="64">
        <f>INDEX(Projects[Case Conv (m)],247)</f>
        <v/>
      </c>
      <c r="L248" s="64">
        <f>INDEX(Projects[Pallet Conv (m)],247)</f>
        <v/>
      </c>
      <c r="M248" s="64">
        <f>IF(N(DJ248)&gt;0,DD248,CW248)</f>
        <v/>
      </c>
      <c r="N248" s="64">
        <f>IF(N(DJ248)&gt;0,DE248,CX248)</f>
        <v/>
      </c>
      <c r="O248" s="64">
        <f>IF(N(DJ248)&gt;0,DF248,CY248)</f>
        <v/>
      </c>
      <c r="P248" s="64">
        <f>IF(N(DJ248)&gt;0,DG248,CZ248)</f>
        <v/>
      </c>
      <c r="Q248" s="64">
        <f>IF(N(DJ248)&gt;0,DH248,DA248)</f>
        <v/>
      </c>
      <c r="R248" s="64">
        <f>IF(N(DJ248)&gt;0,DI248,DB248)</f>
        <v/>
      </c>
      <c r="S248" s="64">
        <f>IF(N(DJ248)&gt;0,DJ248,DC248)</f>
        <v/>
      </c>
      <c r="T248" s="64">
        <f>INDEX(Projects[Currency],247)&amp;""</f>
        <v/>
      </c>
      <c r="U248" s="65">
        <f>INDEX(Projects[Sold Value (M)],247)</f>
        <v/>
      </c>
      <c r="V248" s="64">
        <f>IF('Smart Search'!B13=1,IFERROR(1/'Smart Search'!H13,0),0)</f>
        <v/>
      </c>
      <c r="W248" s="64">
        <f>IF('Smart Search'!B13=1,IFERROR(1/'Smart Search'!H13,0),0)</f>
        <v/>
      </c>
      <c r="X248" s="64">
        <f>IF('Smart Search'!C13=1,IFERROR(1/'Smart Search'!H13,0),0)</f>
        <v/>
      </c>
      <c r="Y248" s="64">
        <f>IF('Smart Search'!C13=1,IFERROR(1/'Smart Search'!H13,0),0)</f>
        <v/>
      </c>
      <c r="Z248" s="64">
        <f>IF('Smart Search'!D13=1,IFERROR(1/'Smart Search'!H13,0),0)</f>
        <v/>
      </c>
      <c r="AA248" s="64">
        <f>IF('Smart Search'!D13=1,IFERROR(1/'Smart Search'!H13,0),0)</f>
        <v/>
      </c>
      <c r="AB248" s="64">
        <f>IF('Smart Search'!E13=1,IFERROR(1/'Smart Search'!H13,0),0)</f>
        <v/>
      </c>
      <c r="AC248" s="64">
        <f>IF('Smart Search'!E13=1,IFERROR(1/'Smart Search'!H13,0),0)</f>
        <v/>
      </c>
      <c r="AD248" s="64">
        <f>IF('Smart Search'!F13=1,IFERROR(1/'Smart Search'!H13,0),0)</f>
        <v/>
      </c>
      <c r="AE248" s="64">
        <f>IF('Smart Search'!F13=1,IFERROR(1/'Smart Search'!H13,0),0)</f>
        <v/>
      </c>
      <c r="AF248" s="64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4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4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4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4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4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4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4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4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4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4">
        <f>AF248*V248</f>
        <v/>
      </c>
      <c r="AQ248" s="64">
        <f>AG248*W248</f>
        <v/>
      </c>
      <c r="AR248" s="64">
        <f>AH248*X248</f>
        <v/>
      </c>
      <c r="AS248" s="64">
        <f>AI248*Y248</f>
        <v/>
      </c>
      <c r="AT248" s="64">
        <f>AJ248*Z248</f>
        <v/>
      </c>
      <c r="AU248" s="64">
        <f>AK248*AA248</f>
        <v/>
      </c>
      <c r="AV248" s="64">
        <f>AL248*AB248</f>
        <v/>
      </c>
      <c r="AW248" s="64">
        <f>AM248*AC248</f>
        <v/>
      </c>
      <c r="AX248" s="64">
        <f>AN248*AD248</f>
        <v/>
      </c>
      <c r="AY248" s="64">
        <f>AO248*AE248</f>
        <v/>
      </c>
      <c r="AZ248" s="64">
        <f>INDEX(Projects[Automation Equipment],247)&amp;""</f>
        <v/>
      </c>
      <c r="BA248" s="64">
        <f>IF(OR(A248="",'Smart Search'!H13=0),"",MAX(0,BE248*BF248*MAX(0,1-BG248)))</f>
        <v/>
      </c>
      <c r="BB248" s="64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4">
        <f>IF('Smart Search'!G13=1,IFERROR(1/'Smart Search'!H13,0),0)</f>
        <v/>
      </c>
      <c r="BD248" s="64">
        <f>BB248*BC248</f>
        <v/>
      </c>
      <c r="BE248" s="64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IF(A248="","",N(INDEX(Projects[Act Mech Inst],247)))</f>
        <v/>
      </c>
      <c r="BK248" s="5">
        <f>IF(A248="","",N(INDEX(Projects[Act Elec Inst],247)))</f>
        <v/>
      </c>
      <c r="BL248" s="5">
        <f>IF(A248="","",N(INDEX(Projects[Act Project Management],247)))</f>
        <v/>
      </c>
      <c r="BM248" s="5">
        <f>IF(A248="","",N(INDEX(Projects[Act Systems Eng],247)))</f>
        <v/>
      </c>
      <c r="BN248" s="5">
        <f>IF(A248="","",N(INDEX(Projects[Act Mechanical Eng],247)))</f>
        <v/>
      </c>
      <c r="BO248" s="5">
        <f>IF(A248="","",N(INDEX(Projects[Act Structural Engineering],247)))</f>
        <v/>
      </c>
      <c r="BP248" s="5">
        <f>IF(A248="","",N(INDEX(Projects[Act Site Sup],247)))</f>
        <v/>
      </c>
      <c r="BQ248" s="5">
        <f>IF(A248="","",N(INDEX(Projects[Act Controls Commissioning],247)))</f>
        <v/>
      </c>
      <c r="BR248" s="5">
        <f>IF(A248="","",N(INDEX(Projects[Act Systems Commissioning],247)))</f>
        <v/>
      </c>
      <c r="BS248" s="5">
        <f>IF(A248="","",N(INDEX(Projects[Act Service Commissioning],247)))</f>
        <v/>
      </c>
      <c r="BT248" s="5">
        <f>IF(A248="","",N(INDEX(Projects[Act Controls Eng],247)))</f>
        <v/>
      </c>
      <c r="BU248" s="5">
        <f>IF(A248="","",N(INDEX(Projects[Act Controls Purchase],247)))</f>
        <v/>
      </c>
      <c r="BV248" s="5">
        <f>IF(A248="","",N(INDEX(Projects[Act Software Eng],247)))</f>
        <v/>
      </c>
      <c r="BW248" s="5">
        <f>IF(A248="","",N(INDEX(Projects[Act 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INDEX(Projects[Sold Value (USD M)],247)</f>
        <v/>
      </c>
      <c r="CE248" s="5" t="n"/>
      <c r="CF248" s="5">
        <f>IF(A248="","",N(INDEX(Projects[Est Mech Inst],247)))</f>
        <v/>
      </c>
      <c r="CG248" s="5">
        <f>IF(A248="","",N(INDEX(Projects[Est Elec Inst],247)))</f>
        <v/>
      </c>
      <c r="CH248" s="5">
        <f>IF(A248="","",N(INDEX(Projects[Est Project Management],247)))</f>
        <v/>
      </c>
      <c r="CI248" s="5">
        <f>IF(A248="","",N(INDEX(Projects[Est Systems Eng],247)))</f>
        <v/>
      </c>
      <c r="CJ248" s="5">
        <f>IF(A248="","",N(INDEX(Projects[Est Mechanical Eng],247)))</f>
        <v/>
      </c>
      <c r="CK248" s="5">
        <f>IF(A248="","",N(INDEX(Projects[Est Structural Engineering],247)))</f>
        <v/>
      </c>
      <c r="CL248" s="5">
        <f>IF(A248="","",N(INDEX(Projects[Est Site Sup],247)))</f>
        <v/>
      </c>
      <c r="CM248" s="5">
        <f>IF(A248="","",N(INDEX(Projects[Est Controls Commissioning],247)))</f>
        <v/>
      </c>
      <c r="CN248" s="5">
        <f>IF(A248="","",N(INDEX(Projects[Est Systems Commissioning],247)))</f>
        <v/>
      </c>
      <c r="CO248" s="5">
        <f>IF(A248="","",N(INDEX(Projects[Est Service Commissioning],247)))</f>
        <v/>
      </c>
      <c r="CP248" s="5">
        <f>IF(A248="","",N(INDEX(Projects[Est Controls Eng],247)))</f>
        <v/>
      </c>
      <c r="CQ248" s="5">
        <f>IF(A248="","",N(INDEX(Projects[Est Controls Purchase],247)))</f>
        <v/>
      </c>
      <c r="CR248" s="5">
        <f>IF(A248="","",N(INDEX(Projects[Est Software Eng],247)))</f>
        <v/>
      </c>
      <c r="CS248" s="5">
        <f>IF(A248="","",N(INDEX(Projects[Est Misc],247)))</f>
        <v/>
      </c>
      <c r="CT248" s="5">
        <f>IF(A248="","",SUM(CF248:CS248))</f>
        <v/>
      </c>
      <c r="CU248" s="5">
        <f>INDEX(Projects[Est Cost (M)],247)</f>
        <v/>
      </c>
      <c r="CV248" s="5">
        <f>INDEX(Projects[Act Cost (M)],247)</f>
        <v/>
      </c>
      <c r="CW248" s="5">
        <f>INDEX(Projects[Plan Mech Eng (wks)],247)</f>
        <v/>
      </c>
      <c r="CX248" s="5">
        <f>INDEX(Projects[Plan Controls Eng (wks)],247)</f>
        <v/>
      </c>
      <c r="CY248" s="5">
        <f>INDEX(Projects[Plan Systems Eng (wks)],247)</f>
        <v/>
      </c>
      <c r="CZ248" s="5">
        <f>INDEX(Projects[Plan Software Eng (wks)],247)</f>
        <v/>
      </c>
      <c r="DA248" s="5">
        <f>INDEX(Projects[Plan M&amp;E Installation (wks)],247)</f>
        <v/>
      </c>
      <c r="DB248" s="5">
        <f>INDEX(Projects[Plan Commissioning (wks)],247)</f>
        <v/>
      </c>
      <c r="DC248" s="5">
        <f>INDEX(Projects[Plan Total (wks)],247)</f>
        <v/>
      </c>
      <c r="DD248" s="5">
        <f>INDEX(Projects[Act Mech Eng (wks)],247)</f>
        <v/>
      </c>
      <c r="DE248" s="5">
        <f>INDEX(Projects[Act Controls Eng (wks)],247)</f>
        <v/>
      </c>
      <c r="DF248" s="5">
        <f>INDEX(Projects[Act Systems Eng (wks)],247)</f>
        <v/>
      </c>
      <c r="DG248" s="5">
        <f>INDEX(Projects[Act Software Eng (wks)],247)</f>
        <v/>
      </c>
      <c r="DH248" s="5">
        <f>INDEX(Projects[Act M&amp;E Installation (wks)],247)</f>
        <v/>
      </c>
      <c r="DI248" s="5">
        <f>INDEX(Projects[Act Commissioning (wks)],247)</f>
        <v/>
      </c>
      <c r="DJ248" s="5">
        <f>INDEX(Projects[Act Total (wks)],247)</f>
        <v/>
      </c>
    </row>
    <row r="249" ht="15" customHeight="1" s="82">
      <c r="A249" s="64">
        <f>INDEX(Projects[Project ID *],248)&amp;""</f>
        <v/>
      </c>
      <c r="B249" s="64">
        <f>INDEX(Projects[Project Name *],248)&amp;""</f>
        <v/>
      </c>
      <c r="C249" s="64">
        <f>INDEX(Projects[MS Shuttles],248)</f>
        <v/>
      </c>
      <c r="D249" s="64">
        <f>INDEX(Projects[MS Tote Locations],248)</f>
        <v/>
      </c>
      <c r="E249" s="64">
        <f>INDEX(Projects[AS Robots],248)</f>
        <v/>
      </c>
      <c r="F249" s="64">
        <f>INDEX(Projects[AS Tote Locations],248)</f>
        <v/>
      </c>
      <c r="G249" s="64">
        <f>INDEX(Projects[PS Shuttles],248)</f>
        <v/>
      </c>
      <c r="H249" s="64">
        <f>INDEX(Projects[PS Pallet Locations],248)</f>
        <v/>
      </c>
      <c r="I249" s="64">
        <f>INDEX(Projects[SRM Cranes],248)</f>
        <v/>
      </c>
      <c r="J249" s="64">
        <f>INDEX(Projects[SRM Pallet Locations],248)</f>
        <v/>
      </c>
      <c r="K249" s="64">
        <f>INDEX(Projects[Case Conv (m)],248)</f>
        <v/>
      </c>
      <c r="L249" s="64">
        <f>INDEX(Projects[Pallet Conv (m)],248)</f>
        <v/>
      </c>
      <c r="M249" s="64">
        <f>IF(N(DJ249)&gt;0,DD249,CW249)</f>
        <v/>
      </c>
      <c r="N249" s="64">
        <f>IF(N(DJ249)&gt;0,DE249,CX249)</f>
        <v/>
      </c>
      <c r="O249" s="64">
        <f>IF(N(DJ249)&gt;0,DF249,CY249)</f>
        <v/>
      </c>
      <c r="P249" s="64">
        <f>IF(N(DJ249)&gt;0,DG249,CZ249)</f>
        <v/>
      </c>
      <c r="Q249" s="64">
        <f>IF(N(DJ249)&gt;0,DH249,DA249)</f>
        <v/>
      </c>
      <c r="R249" s="64">
        <f>IF(N(DJ249)&gt;0,DI249,DB249)</f>
        <v/>
      </c>
      <c r="S249" s="64">
        <f>IF(N(DJ249)&gt;0,DJ249,DC249)</f>
        <v/>
      </c>
      <c r="T249" s="64">
        <f>INDEX(Projects[Currency],248)&amp;""</f>
        <v/>
      </c>
      <c r="U249" s="65">
        <f>INDEX(Projects[Sold Value (M)],248)</f>
        <v/>
      </c>
      <c r="V249" s="64">
        <f>IF('Smart Search'!B13=1,IFERROR(1/'Smart Search'!H13,0),0)</f>
        <v/>
      </c>
      <c r="W249" s="64">
        <f>IF('Smart Search'!B13=1,IFERROR(1/'Smart Search'!H13,0),0)</f>
        <v/>
      </c>
      <c r="X249" s="64">
        <f>IF('Smart Search'!C13=1,IFERROR(1/'Smart Search'!H13,0),0)</f>
        <v/>
      </c>
      <c r="Y249" s="64">
        <f>IF('Smart Search'!C13=1,IFERROR(1/'Smart Search'!H13,0),0)</f>
        <v/>
      </c>
      <c r="Z249" s="64">
        <f>IF('Smart Search'!D13=1,IFERROR(1/'Smart Search'!H13,0),0)</f>
        <v/>
      </c>
      <c r="AA249" s="64">
        <f>IF('Smart Search'!D13=1,IFERROR(1/'Smart Search'!H13,0),0)</f>
        <v/>
      </c>
      <c r="AB249" s="64">
        <f>IF('Smart Search'!E13=1,IFERROR(1/'Smart Search'!H13,0),0)</f>
        <v/>
      </c>
      <c r="AC249" s="64">
        <f>IF('Smart Search'!E13=1,IFERROR(1/'Smart Search'!H13,0),0)</f>
        <v/>
      </c>
      <c r="AD249" s="64">
        <f>IF('Smart Search'!F13=1,IFERROR(1/'Smart Search'!H13,0),0)</f>
        <v/>
      </c>
      <c r="AE249" s="64">
        <f>IF('Smart Search'!F13=1,IFERROR(1/'Smart Search'!H13,0),0)</f>
        <v/>
      </c>
      <c r="AF249" s="64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4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4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4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4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4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4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4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4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4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4">
        <f>AF249*V249</f>
        <v/>
      </c>
      <c r="AQ249" s="64">
        <f>AG249*W249</f>
        <v/>
      </c>
      <c r="AR249" s="64">
        <f>AH249*X249</f>
        <v/>
      </c>
      <c r="AS249" s="64">
        <f>AI249*Y249</f>
        <v/>
      </c>
      <c r="AT249" s="64">
        <f>AJ249*Z249</f>
        <v/>
      </c>
      <c r="AU249" s="64">
        <f>AK249*AA249</f>
        <v/>
      </c>
      <c r="AV249" s="64">
        <f>AL249*AB249</f>
        <v/>
      </c>
      <c r="AW249" s="64">
        <f>AM249*AC249</f>
        <v/>
      </c>
      <c r="AX249" s="64">
        <f>AN249*AD249</f>
        <v/>
      </c>
      <c r="AY249" s="64">
        <f>AO249*AE249</f>
        <v/>
      </c>
      <c r="AZ249" s="64">
        <f>INDEX(Projects[Automation Equipment],248)&amp;""</f>
        <v/>
      </c>
      <c r="BA249" s="64">
        <f>IF(OR(A249="",'Smart Search'!H13=0),"",MAX(0,BE249*BF249*MAX(0,1-BG249)))</f>
        <v/>
      </c>
      <c r="BB249" s="64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4">
        <f>IF('Smart Search'!G13=1,IFERROR(1/'Smart Search'!H13,0),0)</f>
        <v/>
      </c>
      <c r="BD249" s="64">
        <f>BB249*BC249</f>
        <v/>
      </c>
      <c r="BE249" s="64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IF(A249="","",N(INDEX(Projects[Act Mech Inst],248)))</f>
        <v/>
      </c>
      <c r="BK249" s="5">
        <f>IF(A249="","",N(INDEX(Projects[Act Elec Inst],248)))</f>
        <v/>
      </c>
      <c r="BL249" s="5">
        <f>IF(A249="","",N(INDEX(Projects[Act Project Management],248)))</f>
        <v/>
      </c>
      <c r="BM249" s="5">
        <f>IF(A249="","",N(INDEX(Projects[Act Systems Eng],248)))</f>
        <v/>
      </c>
      <c r="BN249" s="5">
        <f>IF(A249="","",N(INDEX(Projects[Act Mechanical Eng],248)))</f>
        <v/>
      </c>
      <c r="BO249" s="5">
        <f>IF(A249="","",N(INDEX(Projects[Act Structural Engineering],248)))</f>
        <v/>
      </c>
      <c r="BP249" s="5">
        <f>IF(A249="","",N(INDEX(Projects[Act Site Sup],248)))</f>
        <v/>
      </c>
      <c r="BQ249" s="5">
        <f>IF(A249="","",N(INDEX(Projects[Act Controls Commissioning],248)))</f>
        <v/>
      </c>
      <c r="BR249" s="5">
        <f>IF(A249="","",N(INDEX(Projects[Act Systems Commissioning],248)))</f>
        <v/>
      </c>
      <c r="BS249" s="5">
        <f>IF(A249="","",N(INDEX(Projects[Act Service Commissioning],248)))</f>
        <v/>
      </c>
      <c r="BT249" s="5">
        <f>IF(A249="","",N(INDEX(Projects[Act Controls Eng],248)))</f>
        <v/>
      </c>
      <c r="BU249" s="5">
        <f>IF(A249="","",N(INDEX(Projects[Act Controls Purchase],248)))</f>
        <v/>
      </c>
      <c r="BV249" s="5">
        <f>IF(A249="","",N(INDEX(Projects[Act Software Eng],248)))</f>
        <v/>
      </c>
      <c r="BW249" s="5">
        <f>IF(A249="","",N(INDEX(Projects[Act 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INDEX(Projects[Sold Value (USD M)],248)</f>
        <v/>
      </c>
      <c r="CE249" s="5" t="n"/>
      <c r="CF249" s="5">
        <f>IF(A249="","",N(INDEX(Projects[Est Mech Inst],248)))</f>
        <v/>
      </c>
      <c r="CG249" s="5">
        <f>IF(A249="","",N(INDEX(Projects[Est Elec Inst],248)))</f>
        <v/>
      </c>
      <c r="CH249" s="5">
        <f>IF(A249="","",N(INDEX(Projects[Est Project Management],248)))</f>
        <v/>
      </c>
      <c r="CI249" s="5">
        <f>IF(A249="","",N(INDEX(Projects[Est Systems Eng],248)))</f>
        <v/>
      </c>
      <c r="CJ249" s="5">
        <f>IF(A249="","",N(INDEX(Projects[Est Mechanical Eng],248)))</f>
        <v/>
      </c>
      <c r="CK249" s="5">
        <f>IF(A249="","",N(INDEX(Projects[Est Structural Engineering],248)))</f>
        <v/>
      </c>
      <c r="CL249" s="5">
        <f>IF(A249="","",N(INDEX(Projects[Est Site Sup],248)))</f>
        <v/>
      </c>
      <c r="CM249" s="5">
        <f>IF(A249="","",N(INDEX(Projects[Est Controls Commissioning],248)))</f>
        <v/>
      </c>
      <c r="CN249" s="5">
        <f>IF(A249="","",N(INDEX(Projects[Est Systems Commissioning],248)))</f>
        <v/>
      </c>
      <c r="CO249" s="5">
        <f>IF(A249="","",N(INDEX(Projects[Est Service Commissioning],248)))</f>
        <v/>
      </c>
      <c r="CP249" s="5">
        <f>IF(A249="","",N(INDEX(Projects[Est Controls Eng],248)))</f>
        <v/>
      </c>
      <c r="CQ249" s="5">
        <f>IF(A249="","",N(INDEX(Projects[Est Controls Purchase],248)))</f>
        <v/>
      </c>
      <c r="CR249" s="5">
        <f>IF(A249="","",N(INDEX(Projects[Est Software Eng],248)))</f>
        <v/>
      </c>
      <c r="CS249" s="5">
        <f>IF(A249="","",N(INDEX(Projects[Est Misc],248)))</f>
        <v/>
      </c>
      <c r="CT249" s="5">
        <f>IF(A249="","",SUM(CF249:CS249))</f>
        <v/>
      </c>
      <c r="CU249" s="5">
        <f>INDEX(Projects[Est Cost (M)],248)</f>
        <v/>
      </c>
      <c r="CV249" s="5">
        <f>INDEX(Projects[Act Cost (M)],248)</f>
        <v/>
      </c>
      <c r="CW249" s="5">
        <f>INDEX(Projects[Plan Mech Eng (wks)],248)</f>
        <v/>
      </c>
      <c r="CX249" s="5">
        <f>INDEX(Projects[Plan Controls Eng (wks)],248)</f>
        <v/>
      </c>
      <c r="CY249" s="5">
        <f>INDEX(Projects[Plan Systems Eng (wks)],248)</f>
        <v/>
      </c>
      <c r="CZ249" s="5">
        <f>INDEX(Projects[Plan Software Eng (wks)],248)</f>
        <v/>
      </c>
      <c r="DA249" s="5">
        <f>INDEX(Projects[Plan M&amp;E Installation (wks)],248)</f>
        <v/>
      </c>
      <c r="DB249" s="5">
        <f>INDEX(Projects[Plan Commissioning (wks)],248)</f>
        <v/>
      </c>
      <c r="DC249" s="5">
        <f>INDEX(Projects[Plan Total (wks)],248)</f>
        <v/>
      </c>
      <c r="DD249" s="5">
        <f>INDEX(Projects[Act Mech Eng (wks)],248)</f>
        <v/>
      </c>
      <c r="DE249" s="5">
        <f>INDEX(Projects[Act Controls Eng (wks)],248)</f>
        <v/>
      </c>
      <c r="DF249" s="5">
        <f>INDEX(Projects[Act Systems Eng (wks)],248)</f>
        <v/>
      </c>
      <c r="DG249" s="5">
        <f>INDEX(Projects[Act Software Eng (wks)],248)</f>
        <v/>
      </c>
      <c r="DH249" s="5">
        <f>INDEX(Projects[Act M&amp;E Installation (wks)],248)</f>
        <v/>
      </c>
      <c r="DI249" s="5">
        <f>INDEX(Projects[Act Commissioning (wks)],248)</f>
        <v/>
      </c>
      <c r="DJ249" s="5">
        <f>INDEX(Projects[Act Total (wks)],248)</f>
        <v/>
      </c>
    </row>
    <row r="250" ht="15" customHeight="1" s="82">
      <c r="A250" s="64">
        <f>INDEX(Projects[Project ID *],249)&amp;""</f>
        <v/>
      </c>
      <c r="B250" s="64">
        <f>INDEX(Projects[Project Name *],249)&amp;""</f>
        <v/>
      </c>
      <c r="C250" s="64">
        <f>INDEX(Projects[MS Shuttles],249)</f>
        <v/>
      </c>
      <c r="D250" s="64">
        <f>INDEX(Projects[MS Tote Locations],249)</f>
        <v/>
      </c>
      <c r="E250" s="64">
        <f>INDEX(Projects[AS Robots],249)</f>
        <v/>
      </c>
      <c r="F250" s="64">
        <f>INDEX(Projects[AS Tote Locations],249)</f>
        <v/>
      </c>
      <c r="G250" s="64">
        <f>INDEX(Projects[PS Shuttles],249)</f>
        <v/>
      </c>
      <c r="H250" s="64">
        <f>INDEX(Projects[PS Pallet Locations],249)</f>
        <v/>
      </c>
      <c r="I250" s="64">
        <f>INDEX(Projects[SRM Cranes],249)</f>
        <v/>
      </c>
      <c r="J250" s="64">
        <f>INDEX(Projects[SRM Pallet Locations],249)</f>
        <v/>
      </c>
      <c r="K250" s="64">
        <f>INDEX(Projects[Case Conv (m)],249)</f>
        <v/>
      </c>
      <c r="L250" s="64">
        <f>INDEX(Projects[Pallet Conv (m)],249)</f>
        <v/>
      </c>
      <c r="M250" s="64">
        <f>IF(N(DJ250)&gt;0,DD250,CW250)</f>
        <v/>
      </c>
      <c r="N250" s="64">
        <f>IF(N(DJ250)&gt;0,DE250,CX250)</f>
        <v/>
      </c>
      <c r="O250" s="64">
        <f>IF(N(DJ250)&gt;0,DF250,CY250)</f>
        <v/>
      </c>
      <c r="P250" s="64">
        <f>IF(N(DJ250)&gt;0,DG250,CZ250)</f>
        <v/>
      </c>
      <c r="Q250" s="64">
        <f>IF(N(DJ250)&gt;0,DH250,DA250)</f>
        <v/>
      </c>
      <c r="R250" s="64">
        <f>IF(N(DJ250)&gt;0,DI250,DB250)</f>
        <v/>
      </c>
      <c r="S250" s="64">
        <f>IF(N(DJ250)&gt;0,DJ250,DC250)</f>
        <v/>
      </c>
      <c r="T250" s="64">
        <f>INDEX(Projects[Currency],249)&amp;""</f>
        <v/>
      </c>
      <c r="U250" s="65">
        <f>INDEX(Projects[Sold Value (M)],249)</f>
        <v/>
      </c>
      <c r="V250" s="64">
        <f>IF('Smart Search'!B13=1,IFERROR(1/'Smart Search'!H13,0),0)</f>
        <v/>
      </c>
      <c r="W250" s="64">
        <f>IF('Smart Search'!B13=1,IFERROR(1/'Smart Search'!H13,0),0)</f>
        <v/>
      </c>
      <c r="X250" s="64">
        <f>IF('Smart Search'!C13=1,IFERROR(1/'Smart Search'!H13,0),0)</f>
        <v/>
      </c>
      <c r="Y250" s="64">
        <f>IF('Smart Search'!C13=1,IFERROR(1/'Smart Search'!H13,0),0)</f>
        <v/>
      </c>
      <c r="Z250" s="64">
        <f>IF('Smart Search'!D13=1,IFERROR(1/'Smart Search'!H13,0),0)</f>
        <v/>
      </c>
      <c r="AA250" s="64">
        <f>IF('Smart Search'!D13=1,IFERROR(1/'Smart Search'!H13,0),0)</f>
        <v/>
      </c>
      <c r="AB250" s="64">
        <f>IF('Smart Search'!E13=1,IFERROR(1/'Smart Search'!H13,0),0)</f>
        <v/>
      </c>
      <c r="AC250" s="64">
        <f>IF('Smart Search'!E13=1,IFERROR(1/'Smart Search'!H13,0),0)</f>
        <v/>
      </c>
      <c r="AD250" s="64">
        <f>IF('Smart Search'!F13=1,IFERROR(1/'Smart Search'!H13,0),0)</f>
        <v/>
      </c>
      <c r="AE250" s="64">
        <f>IF('Smart Search'!F13=1,IFERROR(1/'Smart Search'!H13,0),0)</f>
        <v/>
      </c>
      <c r="AF250" s="64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4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4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4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4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4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4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4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4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4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4">
        <f>AF250*V250</f>
        <v/>
      </c>
      <c r="AQ250" s="64">
        <f>AG250*W250</f>
        <v/>
      </c>
      <c r="AR250" s="64">
        <f>AH250*X250</f>
        <v/>
      </c>
      <c r="AS250" s="64">
        <f>AI250*Y250</f>
        <v/>
      </c>
      <c r="AT250" s="64">
        <f>AJ250*Z250</f>
        <v/>
      </c>
      <c r="AU250" s="64">
        <f>AK250*AA250</f>
        <v/>
      </c>
      <c r="AV250" s="64">
        <f>AL250*AB250</f>
        <v/>
      </c>
      <c r="AW250" s="64">
        <f>AM250*AC250</f>
        <v/>
      </c>
      <c r="AX250" s="64">
        <f>AN250*AD250</f>
        <v/>
      </c>
      <c r="AY250" s="64">
        <f>AO250*AE250</f>
        <v/>
      </c>
      <c r="AZ250" s="64">
        <f>INDEX(Projects[Automation Equipment],249)&amp;""</f>
        <v/>
      </c>
      <c r="BA250" s="64">
        <f>IF(OR(A250="",'Smart Search'!H13=0),"",MAX(0,BE250*BF250*MAX(0,1-BG250)))</f>
        <v/>
      </c>
      <c r="BB250" s="64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4">
        <f>IF('Smart Search'!G13=1,IFERROR(1/'Smart Search'!H13,0),0)</f>
        <v/>
      </c>
      <c r="BD250" s="64">
        <f>BB250*BC250</f>
        <v/>
      </c>
      <c r="BE250" s="64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IF(A250="","",N(INDEX(Projects[Act Mech Inst],249)))</f>
        <v/>
      </c>
      <c r="BK250" s="5">
        <f>IF(A250="","",N(INDEX(Projects[Act Elec Inst],249)))</f>
        <v/>
      </c>
      <c r="BL250" s="5">
        <f>IF(A250="","",N(INDEX(Projects[Act Project Management],249)))</f>
        <v/>
      </c>
      <c r="BM250" s="5">
        <f>IF(A250="","",N(INDEX(Projects[Act Systems Eng],249)))</f>
        <v/>
      </c>
      <c r="BN250" s="5">
        <f>IF(A250="","",N(INDEX(Projects[Act Mechanical Eng],249)))</f>
        <v/>
      </c>
      <c r="BO250" s="5">
        <f>IF(A250="","",N(INDEX(Projects[Act Structural Engineering],249)))</f>
        <v/>
      </c>
      <c r="BP250" s="5">
        <f>IF(A250="","",N(INDEX(Projects[Act Site Sup],249)))</f>
        <v/>
      </c>
      <c r="BQ250" s="5">
        <f>IF(A250="","",N(INDEX(Projects[Act Controls Commissioning],249)))</f>
        <v/>
      </c>
      <c r="BR250" s="5">
        <f>IF(A250="","",N(INDEX(Projects[Act Systems Commissioning],249)))</f>
        <v/>
      </c>
      <c r="BS250" s="5">
        <f>IF(A250="","",N(INDEX(Projects[Act Service Commissioning],249)))</f>
        <v/>
      </c>
      <c r="BT250" s="5">
        <f>IF(A250="","",N(INDEX(Projects[Act Controls Eng],249)))</f>
        <v/>
      </c>
      <c r="BU250" s="5">
        <f>IF(A250="","",N(INDEX(Projects[Act Controls Purchase],249)))</f>
        <v/>
      </c>
      <c r="BV250" s="5">
        <f>IF(A250="","",N(INDEX(Projects[Act Software Eng],249)))</f>
        <v/>
      </c>
      <c r="BW250" s="5">
        <f>IF(A250="","",N(INDEX(Projects[Act 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INDEX(Projects[Sold Value (USD M)],249)</f>
        <v/>
      </c>
      <c r="CE250" s="5" t="n"/>
      <c r="CF250" s="5">
        <f>IF(A250="","",N(INDEX(Projects[Est Mech Inst],249)))</f>
        <v/>
      </c>
      <c r="CG250" s="5">
        <f>IF(A250="","",N(INDEX(Projects[Est Elec Inst],249)))</f>
        <v/>
      </c>
      <c r="CH250" s="5">
        <f>IF(A250="","",N(INDEX(Projects[Est Project Management],249)))</f>
        <v/>
      </c>
      <c r="CI250" s="5">
        <f>IF(A250="","",N(INDEX(Projects[Est Systems Eng],249)))</f>
        <v/>
      </c>
      <c r="CJ250" s="5">
        <f>IF(A250="","",N(INDEX(Projects[Est Mechanical Eng],249)))</f>
        <v/>
      </c>
      <c r="CK250" s="5">
        <f>IF(A250="","",N(INDEX(Projects[Est Structural Engineering],249)))</f>
        <v/>
      </c>
      <c r="CL250" s="5">
        <f>IF(A250="","",N(INDEX(Projects[Est Site Sup],249)))</f>
        <v/>
      </c>
      <c r="CM250" s="5">
        <f>IF(A250="","",N(INDEX(Projects[Est Controls Commissioning],249)))</f>
        <v/>
      </c>
      <c r="CN250" s="5">
        <f>IF(A250="","",N(INDEX(Projects[Est Systems Commissioning],249)))</f>
        <v/>
      </c>
      <c r="CO250" s="5">
        <f>IF(A250="","",N(INDEX(Projects[Est Service Commissioning],249)))</f>
        <v/>
      </c>
      <c r="CP250" s="5">
        <f>IF(A250="","",N(INDEX(Projects[Est Controls Eng],249)))</f>
        <v/>
      </c>
      <c r="CQ250" s="5">
        <f>IF(A250="","",N(INDEX(Projects[Est Controls Purchase],249)))</f>
        <v/>
      </c>
      <c r="CR250" s="5">
        <f>IF(A250="","",N(INDEX(Projects[Est Software Eng],249)))</f>
        <v/>
      </c>
      <c r="CS250" s="5">
        <f>IF(A250="","",N(INDEX(Projects[Est Misc],249)))</f>
        <v/>
      </c>
      <c r="CT250" s="5">
        <f>IF(A250="","",SUM(CF250:CS250))</f>
        <v/>
      </c>
      <c r="CU250" s="5">
        <f>INDEX(Projects[Est Cost (M)],249)</f>
        <v/>
      </c>
      <c r="CV250" s="5">
        <f>INDEX(Projects[Act Cost (M)],249)</f>
        <v/>
      </c>
      <c r="CW250" s="5">
        <f>INDEX(Projects[Plan Mech Eng (wks)],249)</f>
        <v/>
      </c>
      <c r="CX250" s="5">
        <f>INDEX(Projects[Plan Controls Eng (wks)],249)</f>
        <v/>
      </c>
      <c r="CY250" s="5">
        <f>INDEX(Projects[Plan Systems Eng (wks)],249)</f>
        <v/>
      </c>
      <c r="CZ250" s="5">
        <f>INDEX(Projects[Plan Software Eng (wks)],249)</f>
        <v/>
      </c>
      <c r="DA250" s="5">
        <f>INDEX(Projects[Plan M&amp;E Installation (wks)],249)</f>
        <v/>
      </c>
      <c r="DB250" s="5">
        <f>INDEX(Projects[Plan Commissioning (wks)],249)</f>
        <v/>
      </c>
      <c r="DC250" s="5">
        <f>INDEX(Projects[Plan Total (wks)],249)</f>
        <v/>
      </c>
      <c r="DD250" s="5">
        <f>INDEX(Projects[Act Mech Eng (wks)],249)</f>
        <v/>
      </c>
      <c r="DE250" s="5">
        <f>INDEX(Projects[Act Controls Eng (wks)],249)</f>
        <v/>
      </c>
      <c r="DF250" s="5">
        <f>INDEX(Projects[Act Systems Eng (wks)],249)</f>
        <v/>
      </c>
      <c r="DG250" s="5">
        <f>INDEX(Projects[Act Software Eng (wks)],249)</f>
        <v/>
      </c>
      <c r="DH250" s="5">
        <f>INDEX(Projects[Act M&amp;E Installation (wks)],249)</f>
        <v/>
      </c>
      <c r="DI250" s="5">
        <f>INDEX(Projects[Act Commissioning (wks)],249)</f>
        <v/>
      </c>
      <c r="DJ250" s="5">
        <f>INDEX(Projects[Act Total (wks)],249)</f>
        <v/>
      </c>
    </row>
    <row r="251" ht="15" customHeight="1" s="82">
      <c r="A251" s="64">
        <f>INDEX(Projects[Project ID *],250)&amp;""</f>
        <v/>
      </c>
      <c r="B251" s="64">
        <f>INDEX(Projects[Project Name *],250)&amp;""</f>
        <v/>
      </c>
      <c r="C251" s="64">
        <f>INDEX(Projects[MS Shuttles],250)</f>
        <v/>
      </c>
      <c r="D251" s="64">
        <f>INDEX(Projects[MS Tote Locations],250)</f>
        <v/>
      </c>
      <c r="E251" s="64">
        <f>INDEX(Projects[AS Robots],250)</f>
        <v/>
      </c>
      <c r="F251" s="64">
        <f>INDEX(Projects[AS Tote Locations],250)</f>
        <v/>
      </c>
      <c r="G251" s="64">
        <f>INDEX(Projects[PS Shuttles],250)</f>
        <v/>
      </c>
      <c r="H251" s="64">
        <f>INDEX(Projects[PS Pallet Locations],250)</f>
        <v/>
      </c>
      <c r="I251" s="64">
        <f>INDEX(Projects[SRM Cranes],250)</f>
        <v/>
      </c>
      <c r="J251" s="64">
        <f>INDEX(Projects[SRM Pallet Locations],250)</f>
        <v/>
      </c>
      <c r="K251" s="64">
        <f>INDEX(Projects[Case Conv (m)],250)</f>
        <v/>
      </c>
      <c r="L251" s="64">
        <f>INDEX(Projects[Pallet Conv (m)],250)</f>
        <v/>
      </c>
      <c r="M251" s="64">
        <f>IF(N(DJ251)&gt;0,DD251,CW251)</f>
        <v/>
      </c>
      <c r="N251" s="64">
        <f>IF(N(DJ251)&gt;0,DE251,CX251)</f>
        <v/>
      </c>
      <c r="O251" s="64">
        <f>IF(N(DJ251)&gt;0,DF251,CY251)</f>
        <v/>
      </c>
      <c r="P251" s="64">
        <f>IF(N(DJ251)&gt;0,DG251,CZ251)</f>
        <v/>
      </c>
      <c r="Q251" s="64">
        <f>IF(N(DJ251)&gt;0,DH251,DA251)</f>
        <v/>
      </c>
      <c r="R251" s="64">
        <f>IF(N(DJ251)&gt;0,DI251,DB251)</f>
        <v/>
      </c>
      <c r="S251" s="64">
        <f>IF(N(DJ251)&gt;0,DJ251,DC251)</f>
        <v/>
      </c>
      <c r="T251" s="64">
        <f>INDEX(Projects[Currency],250)&amp;""</f>
        <v/>
      </c>
      <c r="U251" s="65">
        <f>INDEX(Projects[Sold Value (M)],250)</f>
        <v/>
      </c>
      <c r="V251" s="64">
        <f>IF('Smart Search'!B13=1,IFERROR(1/'Smart Search'!H13,0),0)</f>
        <v/>
      </c>
      <c r="W251" s="64">
        <f>IF('Smart Search'!B13=1,IFERROR(1/'Smart Search'!H13,0),0)</f>
        <v/>
      </c>
      <c r="X251" s="64">
        <f>IF('Smart Search'!C13=1,IFERROR(1/'Smart Search'!H13,0),0)</f>
        <v/>
      </c>
      <c r="Y251" s="64">
        <f>IF('Smart Search'!C13=1,IFERROR(1/'Smart Search'!H13,0),0)</f>
        <v/>
      </c>
      <c r="Z251" s="64">
        <f>IF('Smart Search'!D13=1,IFERROR(1/'Smart Search'!H13,0),0)</f>
        <v/>
      </c>
      <c r="AA251" s="64">
        <f>IF('Smart Search'!D13=1,IFERROR(1/'Smart Search'!H13,0),0)</f>
        <v/>
      </c>
      <c r="AB251" s="64">
        <f>IF('Smart Search'!E13=1,IFERROR(1/'Smart Search'!H13,0),0)</f>
        <v/>
      </c>
      <c r="AC251" s="64">
        <f>IF('Smart Search'!E13=1,IFERROR(1/'Smart Search'!H13,0),0)</f>
        <v/>
      </c>
      <c r="AD251" s="64">
        <f>IF('Smart Search'!F13=1,IFERROR(1/'Smart Search'!H13,0),0)</f>
        <v/>
      </c>
      <c r="AE251" s="64">
        <f>IF('Smart Search'!F13=1,IFERROR(1/'Smart Search'!H13,0),0)</f>
        <v/>
      </c>
      <c r="AF251" s="64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4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4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4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4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4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4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4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4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4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4">
        <f>AF251*V251</f>
        <v/>
      </c>
      <c r="AQ251" s="64">
        <f>AG251*W251</f>
        <v/>
      </c>
      <c r="AR251" s="64">
        <f>AH251*X251</f>
        <v/>
      </c>
      <c r="AS251" s="64">
        <f>AI251*Y251</f>
        <v/>
      </c>
      <c r="AT251" s="64">
        <f>AJ251*Z251</f>
        <v/>
      </c>
      <c r="AU251" s="64">
        <f>AK251*AA251</f>
        <v/>
      </c>
      <c r="AV251" s="64">
        <f>AL251*AB251</f>
        <v/>
      </c>
      <c r="AW251" s="64">
        <f>AM251*AC251</f>
        <v/>
      </c>
      <c r="AX251" s="64">
        <f>AN251*AD251</f>
        <v/>
      </c>
      <c r="AY251" s="64">
        <f>AO251*AE251</f>
        <v/>
      </c>
      <c r="AZ251" s="64">
        <f>INDEX(Projects[Automation Equipment],250)&amp;""</f>
        <v/>
      </c>
      <c r="BA251" s="64">
        <f>IF(OR(A251="",'Smart Search'!H13=0),"",MAX(0,BE251*BF251*MAX(0,1-BG251)))</f>
        <v/>
      </c>
      <c r="BB251" s="64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4">
        <f>IF('Smart Search'!G13=1,IFERROR(1/'Smart Search'!H13,0),0)</f>
        <v/>
      </c>
      <c r="BD251" s="64">
        <f>BB251*BC251</f>
        <v/>
      </c>
      <c r="BE251" s="64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IF(A251="","",N(INDEX(Projects[Act Mech Inst],250)))</f>
        <v/>
      </c>
      <c r="BK251" s="5">
        <f>IF(A251="","",N(INDEX(Projects[Act Elec Inst],250)))</f>
        <v/>
      </c>
      <c r="BL251" s="5">
        <f>IF(A251="","",N(INDEX(Projects[Act Project Management],250)))</f>
        <v/>
      </c>
      <c r="BM251" s="5">
        <f>IF(A251="","",N(INDEX(Projects[Act Systems Eng],250)))</f>
        <v/>
      </c>
      <c r="BN251" s="5">
        <f>IF(A251="","",N(INDEX(Projects[Act Mechanical Eng],250)))</f>
        <v/>
      </c>
      <c r="BO251" s="5">
        <f>IF(A251="","",N(INDEX(Projects[Act Structural Engineering],250)))</f>
        <v/>
      </c>
      <c r="BP251" s="5">
        <f>IF(A251="","",N(INDEX(Projects[Act Site Sup],250)))</f>
        <v/>
      </c>
      <c r="BQ251" s="5">
        <f>IF(A251="","",N(INDEX(Projects[Act Controls Commissioning],250)))</f>
        <v/>
      </c>
      <c r="BR251" s="5">
        <f>IF(A251="","",N(INDEX(Projects[Act Systems Commissioning],250)))</f>
        <v/>
      </c>
      <c r="BS251" s="5">
        <f>IF(A251="","",N(INDEX(Projects[Act Service Commissioning],250)))</f>
        <v/>
      </c>
      <c r="BT251" s="5">
        <f>IF(A251="","",N(INDEX(Projects[Act Controls Eng],250)))</f>
        <v/>
      </c>
      <c r="BU251" s="5">
        <f>IF(A251="","",N(INDEX(Projects[Act Controls Purchase],250)))</f>
        <v/>
      </c>
      <c r="BV251" s="5">
        <f>IF(A251="","",N(INDEX(Projects[Act Software Eng],250)))</f>
        <v/>
      </c>
      <c r="BW251" s="5">
        <f>IF(A251="","",N(INDEX(Projects[Act 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INDEX(Projects[Sold Value (USD M)],250)</f>
        <v/>
      </c>
      <c r="CE251" s="5" t="n"/>
      <c r="CF251" s="5">
        <f>IF(A251="","",N(INDEX(Projects[Est Mech Inst],250)))</f>
        <v/>
      </c>
      <c r="CG251" s="5">
        <f>IF(A251="","",N(INDEX(Projects[Est Elec Inst],250)))</f>
        <v/>
      </c>
      <c r="CH251" s="5">
        <f>IF(A251="","",N(INDEX(Projects[Est Project Management],250)))</f>
        <v/>
      </c>
      <c r="CI251" s="5">
        <f>IF(A251="","",N(INDEX(Projects[Est Systems Eng],250)))</f>
        <v/>
      </c>
      <c r="CJ251" s="5">
        <f>IF(A251="","",N(INDEX(Projects[Est Mechanical Eng],250)))</f>
        <v/>
      </c>
      <c r="CK251" s="5">
        <f>IF(A251="","",N(INDEX(Projects[Est Structural Engineering],250)))</f>
        <v/>
      </c>
      <c r="CL251" s="5">
        <f>IF(A251="","",N(INDEX(Projects[Est Site Sup],250)))</f>
        <v/>
      </c>
      <c r="CM251" s="5">
        <f>IF(A251="","",N(INDEX(Projects[Est Controls Commissioning],250)))</f>
        <v/>
      </c>
      <c r="CN251" s="5">
        <f>IF(A251="","",N(INDEX(Projects[Est Systems Commissioning],250)))</f>
        <v/>
      </c>
      <c r="CO251" s="5">
        <f>IF(A251="","",N(INDEX(Projects[Est Service Commissioning],250)))</f>
        <v/>
      </c>
      <c r="CP251" s="5">
        <f>IF(A251="","",N(INDEX(Projects[Est Controls Eng],250)))</f>
        <v/>
      </c>
      <c r="CQ251" s="5">
        <f>IF(A251="","",N(INDEX(Projects[Est Controls Purchase],250)))</f>
        <v/>
      </c>
      <c r="CR251" s="5">
        <f>IF(A251="","",N(INDEX(Projects[Est Software Eng],250)))</f>
        <v/>
      </c>
      <c r="CS251" s="5">
        <f>IF(A251="","",N(INDEX(Projects[Est Misc],250)))</f>
        <v/>
      </c>
      <c r="CT251" s="5">
        <f>IF(A251="","",SUM(CF251:CS251))</f>
        <v/>
      </c>
      <c r="CU251" s="5">
        <f>INDEX(Projects[Est Cost (M)],250)</f>
        <v/>
      </c>
      <c r="CV251" s="5">
        <f>INDEX(Projects[Act Cost (M)],250)</f>
        <v/>
      </c>
      <c r="CW251" s="5">
        <f>INDEX(Projects[Plan Mech Eng (wks)],250)</f>
        <v/>
      </c>
      <c r="CX251" s="5">
        <f>INDEX(Projects[Plan Controls Eng (wks)],250)</f>
        <v/>
      </c>
      <c r="CY251" s="5">
        <f>INDEX(Projects[Plan Systems Eng (wks)],250)</f>
        <v/>
      </c>
      <c r="CZ251" s="5">
        <f>INDEX(Projects[Plan Software Eng (wks)],250)</f>
        <v/>
      </c>
      <c r="DA251" s="5">
        <f>INDEX(Projects[Plan M&amp;E Installation (wks)],250)</f>
        <v/>
      </c>
      <c r="DB251" s="5">
        <f>INDEX(Projects[Plan Commissioning (wks)],250)</f>
        <v/>
      </c>
      <c r="DC251" s="5">
        <f>INDEX(Projects[Plan Total (wks)],250)</f>
        <v/>
      </c>
      <c r="DD251" s="5">
        <f>INDEX(Projects[Act Mech Eng (wks)],250)</f>
        <v/>
      </c>
      <c r="DE251" s="5">
        <f>INDEX(Projects[Act Controls Eng (wks)],250)</f>
        <v/>
      </c>
      <c r="DF251" s="5">
        <f>INDEX(Projects[Act Systems Eng (wks)],250)</f>
        <v/>
      </c>
      <c r="DG251" s="5">
        <f>INDEX(Projects[Act Software Eng (wks)],250)</f>
        <v/>
      </c>
      <c r="DH251" s="5">
        <f>INDEX(Projects[Act M&amp;E Installation (wks)],250)</f>
        <v/>
      </c>
      <c r="DI251" s="5">
        <f>INDEX(Projects[Act Commissioning (wks)],250)</f>
        <v/>
      </c>
      <c r="DJ251" s="5">
        <f>INDEX(Projects[Act Total (wks)],250)</f>
        <v/>
      </c>
    </row>
    <row r="252" ht="15" customHeight="1" s="82">
      <c r="A252" s="64">
        <f>INDEX(Projects[Project ID *],251)&amp;""</f>
        <v/>
      </c>
      <c r="B252" s="64">
        <f>INDEX(Projects[Project Name *],251)&amp;""</f>
        <v/>
      </c>
      <c r="C252" s="64">
        <f>INDEX(Projects[MS Shuttles],251)</f>
        <v/>
      </c>
      <c r="D252" s="64">
        <f>INDEX(Projects[MS Tote Locations],251)</f>
        <v/>
      </c>
      <c r="E252" s="64">
        <f>INDEX(Projects[AS Robots],251)</f>
        <v/>
      </c>
      <c r="F252" s="64">
        <f>INDEX(Projects[AS Tote Locations],251)</f>
        <v/>
      </c>
      <c r="G252" s="64">
        <f>INDEX(Projects[PS Shuttles],251)</f>
        <v/>
      </c>
      <c r="H252" s="64">
        <f>INDEX(Projects[PS Pallet Locations],251)</f>
        <v/>
      </c>
      <c r="I252" s="64">
        <f>INDEX(Projects[SRM Cranes],251)</f>
        <v/>
      </c>
      <c r="J252" s="64">
        <f>INDEX(Projects[SRM Pallet Locations],251)</f>
        <v/>
      </c>
      <c r="K252" s="64">
        <f>INDEX(Projects[Case Conv (m)],251)</f>
        <v/>
      </c>
      <c r="L252" s="64">
        <f>INDEX(Projects[Pallet Conv (m)],251)</f>
        <v/>
      </c>
      <c r="M252" s="64">
        <f>IF(N(DJ252)&gt;0,DD252,CW252)</f>
        <v/>
      </c>
      <c r="N252" s="64">
        <f>IF(N(DJ252)&gt;0,DE252,CX252)</f>
        <v/>
      </c>
      <c r="O252" s="64">
        <f>IF(N(DJ252)&gt;0,DF252,CY252)</f>
        <v/>
      </c>
      <c r="P252" s="64">
        <f>IF(N(DJ252)&gt;0,DG252,CZ252)</f>
        <v/>
      </c>
      <c r="Q252" s="64">
        <f>IF(N(DJ252)&gt;0,DH252,DA252)</f>
        <v/>
      </c>
      <c r="R252" s="64">
        <f>IF(N(DJ252)&gt;0,DI252,DB252)</f>
        <v/>
      </c>
      <c r="S252" s="64">
        <f>IF(N(DJ252)&gt;0,DJ252,DC252)</f>
        <v/>
      </c>
      <c r="T252" s="64">
        <f>INDEX(Projects[Currency],251)&amp;""</f>
        <v/>
      </c>
      <c r="U252" s="65">
        <f>INDEX(Projects[Sold Value (M)],251)</f>
        <v/>
      </c>
      <c r="V252" s="64">
        <f>IF('Smart Search'!B13=1,IFERROR(1/'Smart Search'!H13,0),0)</f>
        <v/>
      </c>
      <c r="W252" s="64">
        <f>IF('Smart Search'!B13=1,IFERROR(1/'Smart Search'!H13,0),0)</f>
        <v/>
      </c>
      <c r="X252" s="64">
        <f>IF('Smart Search'!C13=1,IFERROR(1/'Smart Search'!H13,0),0)</f>
        <v/>
      </c>
      <c r="Y252" s="64">
        <f>IF('Smart Search'!C13=1,IFERROR(1/'Smart Search'!H13,0),0)</f>
        <v/>
      </c>
      <c r="Z252" s="64">
        <f>IF('Smart Search'!D13=1,IFERROR(1/'Smart Search'!H13,0),0)</f>
        <v/>
      </c>
      <c r="AA252" s="64">
        <f>IF('Smart Search'!D13=1,IFERROR(1/'Smart Search'!H13,0),0)</f>
        <v/>
      </c>
      <c r="AB252" s="64">
        <f>IF('Smart Search'!E13=1,IFERROR(1/'Smart Search'!H13,0),0)</f>
        <v/>
      </c>
      <c r="AC252" s="64">
        <f>IF('Smart Search'!E13=1,IFERROR(1/'Smart Search'!H13,0),0)</f>
        <v/>
      </c>
      <c r="AD252" s="64">
        <f>IF('Smart Search'!F13=1,IFERROR(1/'Smart Search'!H13,0),0)</f>
        <v/>
      </c>
      <c r="AE252" s="64">
        <f>IF('Smart Search'!F13=1,IFERROR(1/'Smart Search'!H13,0),0)</f>
        <v/>
      </c>
      <c r="AF252" s="64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4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4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4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4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4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4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4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4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4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4">
        <f>AF252*V252</f>
        <v/>
      </c>
      <c r="AQ252" s="64">
        <f>AG252*W252</f>
        <v/>
      </c>
      <c r="AR252" s="64">
        <f>AH252*X252</f>
        <v/>
      </c>
      <c r="AS252" s="64">
        <f>AI252*Y252</f>
        <v/>
      </c>
      <c r="AT252" s="64">
        <f>AJ252*Z252</f>
        <v/>
      </c>
      <c r="AU252" s="64">
        <f>AK252*AA252</f>
        <v/>
      </c>
      <c r="AV252" s="64">
        <f>AL252*AB252</f>
        <v/>
      </c>
      <c r="AW252" s="64">
        <f>AM252*AC252</f>
        <v/>
      </c>
      <c r="AX252" s="64">
        <f>AN252*AD252</f>
        <v/>
      </c>
      <c r="AY252" s="64">
        <f>AO252*AE252</f>
        <v/>
      </c>
      <c r="AZ252" s="64">
        <f>INDEX(Projects[Automation Equipment],251)&amp;""</f>
        <v/>
      </c>
      <c r="BA252" s="64">
        <f>IF(OR(A252="",'Smart Search'!H13=0),"",MAX(0,BE252*BF252*MAX(0,1-BG252)))</f>
        <v/>
      </c>
      <c r="BB252" s="64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4">
        <f>IF('Smart Search'!G13=1,IFERROR(1/'Smart Search'!H13,0),0)</f>
        <v/>
      </c>
      <c r="BD252" s="64">
        <f>BB252*BC252</f>
        <v/>
      </c>
      <c r="BE252" s="64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IF(A252="","",N(INDEX(Projects[Act Mech Inst],251)))</f>
        <v/>
      </c>
      <c r="BK252" s="5">
        <f>IF(A252="","",N(INDEX(Projects[Act Elec Inst],251)))</f>
        <v/>
      </c>
      <c r="BL252" s="5">
        <f>IF(A252="","",N(INDEX(Projects[Act Project Management],251)))</f>
        <v/>
      </c>
      <c r="BM252" s="5">
        <f>IF(A252="","",N(INDEX(Projects[Act Systems Eng],251)))</f>
        <v/>
      </c>
      <c r="BN252" s="5">
        <f>IF(A252="","",N(INDEX(Projects[Act Mechanical Eng],251)))</f>
        <v/>
      </c>
      <c r="BO252" s="5">
        <f>IF(A252="","",N(INDEX(Projects[Act Structural Engineering],251)))</f>
        <v/>
      </c>
      <c r="BP252" s="5">
        <f>IF(A252="","",N(INDEX(Projects[Act Site Sup],251)))</f>
        <v/>
      </c>
      <c r="BQ252" s="5">
        <f>IF(A252="","",N(INDEX(Projects[Act Controls Commissioning],251)))</f>
        <v/>
      </c>
      <c r="BR252" s="5">
        <f>IF(A252="","",N(INDEX(Projects[Act Systems Commissioning],251)))</f>
        <v/>
      </c>
      <c r="BS252" s="5">
        <f>IF(A252="","",N(INDEX(Projects[Act Service Commissioning],251)))</f>
        <v/>
      </c>
      <c r="BT252" s="5">
        <f>IF(A252="","",N(INDEX(Projects[Act Controls Eng],251)))</f>
        <v/>
      </c>
      <c r="BU252" s="5">
        <f>IF(A252="","",N(INDEX(Projects[Act Controls Purchase],251)))</f>
        <v/>
      </c>
      <c r="BV252" s="5">
        <f>IF(A252="","",N(INDEX(Projects[Act Software Eng],251)))</f>
        <v/>
      </c>
      <c r="BW252" s="5">
        <f>IF(A252="","",N(INDEX(Projects[Act 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INDEX(Projects[Sold Value (USD M)],251)</f>
        <v/>
      </c>
      <c r="CE252" s="5" t="n"/>
      <c r="CF252" s="5">
        <f>IF(A252="","",N(INDEX(Projects[Est Mech Inst],251)))</f>
        <v/>
      </c>
      <c r="CG252" s="5">
        <f>IF(A252="","",N(INDEX(Projects[Est Elec Inst],251)))</f>
        <v/>
      </c>
      <c r="CH252" s="5">
        <f>IF(A252="","",N(INDEX(Projects[Est Project Management],251)))</f>
        <v/>
      </c>
      <c r="CI252" s="5">
        <f>IF(A252="","",N(INDEX(Projects[Est Systems Eng],251)))</f>
        <v/>
      </c>
      <c r="CJ252" s="5">
        <f>IF(A252="","",N(INDEX(Projects[Est Mechanical Eng],251)))</f>
        <v/>
      </c>
      <c r="CK252" s="5">
        <f>IF(A252="","",N(INDEX(Projects[Est Structural Engineering],251)))</f>
        <v/>
      </c>
      <c r="CL252" s="5">
        <f>IF(A252="","",N(INDEX(Projects[Est Site Sup],251)))</f>
        <v/>
      </c>
      <c r="CM252" s="5">
        <f>IF(A252="","",N(INDEX(Projects[Est Controls Commissioning],251)))</f>
        <v/>
      </c>
      <c r="CN252" s="5">
        <f>IF(A252="","",N(INDEX(Projects[Est Systems Commissioning],251)))</f>
        <v/>
      </c>
      <c r="CO252" s="5">
        <f>IF(A252="","",N(INDEX(Projects[Est Service Commissioning],251)))</f>
        <v/>
      </c>
      <c r="CP252" s="5">
        <f>IF(A252="","",N(INDEX(Projects[Est Controls Eng],251)))</f>
        <v/>
      </c>
      <c r="CQ252" s="5">
        <f>IF(A252="","",N(INDEX(Projects[Est Controls Purchase],251)))</f>
        <v/>
      </c>
      <c r="CR252" s="5">
        <f>IF(A252="","",N(INDEX(Projects[Est Software Eng],251)))</f>
        <v/>
      </c>
      <c r="CS252" s="5">
        <f>IF(A252="","",N(INDEX(Projects[Est Misc],251)))</f>
        <v/>
      </c>
      <c r="CT252" s="5">
        <f>IF(A252="","",SUM(CF252:CS252))</f>
        <v/>
      </c>
      <c r="CU252" s="5">
        <f>INDEX(Projects[Est Cost (M)],251)</f>
        <v/>
      </c>
      <c r="CV252" s="5">
        <f>INDEX(Projects[Act Cost (M)],251)</f>
        <v/>
      </c>
      <c r="CW252" s="5">
        <f>INDEX(Projects[Plan Mech Eng (wks)],251)</f>
        <v/>
      </c>
      <c r="CX252" s="5">
        <f>INDEX(Projects[Plan Controls Eng (wks)],251)</f>
        <v/>
      </c>
      <c r="CY252" s="5">
        <f>INDEX(Projects[Plan Systems Eng (wks)],251)</f>
        <v/>
      </c>
      <c r="CZ252" s="5">
        <f>INDEX(Projects[Plan Software Eng (wks)],251)</f>
        <v/>
      </c>
      <c r="DA252" s="5">
        <f>INDEX(Projects[Plan M&amp;E Installation (wks)],251)</f>
        <v/>
      </c>
      <c r="DB252" s="5">
        <f>INDEX(Projects[Plan Commissioning (wks)],251)</f>
        <v/>
      </c>
      <c r="DC252" s="5">
        <f>INDEX(Projects[Plan Total (wks)],251)</f>
        <v/>
      </c>
      <c r="DD252" s="5">
        <f>INDEX(Projects[Act Mech Eng (wks)],251)</f>
        <v/>
      </c>
      <c r="DE252" s="5">
        <f>INDEX(Projects[Act Controls Eng (wks)],251)</f>
        <v/>
      </c>
      <c r="DF252" s="5">
        <f>INDEX(Projects[Act Systems Eng (wks)],251)</f>
        <v/>
      </c>
      <c r="DG252" s="5">
        <f>INDEX(Projects[Act Software Eng (wks)],251)</f>
        <v/>
      </c>
      <c r="DH252" s="5">
        <f>INDEX(Projects[Act M&amp;E Installation (wks)],251)</f>
        <v/>
      </c>
      <c r="DI252" s="5">
        <f>INDEX(Projects[Act Commissioning (wks)],251)</f>
        <v/>
      </c>
      <c r="DJ252" s="5">
        <f>INDEX(Projects[Act Total (wks)],251)</f>
        <v/>
      </c>
    </row>
    <row r="253" ht="15" customHeight="1" s="82">
      <c r="A253" s="64">
        <f>INDEX(Projects[Project ID *],252)&amp;""</f>
        <v/>
      </c>
      <c r="B253" s="64">
        <f>INDEX(Projects[Project Name *],252)&amp;""</f>
        <v/>
      </c>
      <c r="C253" s="64">
        <f>INDEX(Projects[MS Shuttles],252)</f>
        <v/>
      </c>
      <c r="D253" s="64">
        <f>INDEX(Projects[MS Tote Locations],252)</f>
        <v/>
      </c>
      <c r="E253" s="64">
        <f>INDEX(Projects[AS Robots],252)</f>
        <v/>
      </c>
      <c r="F253" s="64">
        <f>INDEX(Projects[AS Tote Locations],252)</f>
        <v/>
      </c>
      <c r="G253" s="64">
        <f>INDEX(Projects[PS Shuttles],252)</f>
        <v/>
      </c>
      <c r="H253" s="64">
        <f>INDEX(Projects[PS Pallet Locations],252)</f>
        <v/>
      </c>
      <c r="I253" s="64">
        <f>INDEX(Projects[SRM Cranes],252)</f>
        <v/>
      </c>
      <c r="J253" s="64">
        <f>INDEX(Projects[SRM Pallet Locations],252)</f>
        <v/>
      </c>
      <c r="K253" s="64">
        <f>INDEX(Projects[Case Conv (m)],252)</f>
        <v/>
      </c>
      <c r="L253" s="64">
        <f>INDEX(Projects[Pallet Conv (m)],252)</f>
        <v/>
      </c>
      <c r="M253" s="64">
        <f>IF(N(DJ253)&gt;0,DD253,CW253)</f>
        <v/>
      </c>
      <c r="N253" s="64">
        <f>IF(N(DJ253)&gt;0,DE253,CX253)</f>
        <v/>
      </c>
      <c r="O253" s="64">
        <f>IF(N(DJ253)&gt;0,DF253,CY253)</f>
        <v/>
      </c>
      <c r="P253" s="64">
        <f>IF(N(DJ253)&gt;0,DG253,CZ253)</f>
        <v/>
      </c>
      <c r="Q253" s="64">
        <f>IF(N(DJ253)&gt;0,DH253,DA253)</f>
        <v/>
      </c>
      <c r="R253" s="64">
        <f>IF(N(DJ253)&gt;0,DI253,DB253)</f>
        <v/>
      </c>
      <c r="S253" s="64">
        <f>IF(N(DJ253)&gt;0,DJ253,DC253)</f>
        <v/>
      </c>
      <c r="T253" s="64">
        <f>INDEX(Projects[Currency],252)&amp;""</f>
        <v/>
      </c>
      <c r="U253" s="65">
        <f>INDEX(Projects[Sold Value (M)],252)</f>
        <v/>
      </c>
      <c r="V253" s="64">
        <f>IF('Smart Search'!B13=1,IFERROR(1/'Smart Search'!H13,0),0)</f>
        <v/>
      </c>
      <c r="W253" s="64">
        <f>IF('Smart Search'!B13=1,IFERROR(1/'Smart Search'!H13,0),0)</f>
        <v/>
      </c>
      <c r="X253" s="64">
        <f>IF('Smart Search'!C13=1,IFERROR(1/'Smart Search'!H13,0),0)</f>
        <v/>
      </c>
      <c r="Y253" s="64">
        <f>IF('Smart Search'!C13=1,IFERROR(1/'Smart Search'!H13,0),0)</f>
        <v/>
      </c>
      <c r="Z253" s="64">
        <f>IF('Smart Search'!D13=1,IFERROR(1/'Smart Search'!H13,0),0)</f>
        <v/>
      </c>
      <c r="AA253" s="64">
        <f>IF('Smart Search'!D13=1,IFERROR(1/'Smart Search'!H13,0),0)</f>
        <v/>
      </c>
      <c r="AB253" s="64">
        <f>IF('Smart Search'!E13=1,IFERROR(1/'Smart Search'!H13,0),0)</f>
        <v/>
      </c>
      <c r="AC253" s="64">
        <f>IF('Smart Search'!E13=1,IFERROR(1/'Smart Search'!H13,0),0)</f>
        <v/>
      </c>
      <c r="AD253" s="64">
        <f>IF('Smart Search'!F13=1,IFERROR(1/'Smart Search'!H13,0),0)</f>
        <v/>
      </c>
      <c r="AE253" s="64">
        <f>IF('Smart Search'!F13=1,IFERROR(1/'Smart Search'!H13,0),0)</f>
        <v/>
      </c>
      <c r="AF253" s="64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4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4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4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4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4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4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4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4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4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4">
        <f>AF253*V253</f>
        <v/>
      </c>
      <c r="AQ253" s="64">
        <f>AG253*W253</f>
        <v/>
      </c>
      <c r="AR253" s="64">
        <f>AH253*X253</f>
        <v/>
      </c>
      <c r="AS253" s="64">
        <f>AI253*Y253</f>
        <v/>
      </c>
      <c r="AT253" s="64">
        <f>AJ253*Z253</f>
        <v/>
      </c>
      <c r="AU253" s="64">
        <f>AK253*AA253</f>
        <v/>
      </c>
      <c r="AV253" s="64">
        <f>AL253*AB253</f>
        <v/>
      </c>
      <c r="AW253" s="64">
        <f>AM253*AC253</f>
        <v/>
      </c>
      <c r="AX253" s="64">
        <f>AN253*AD253</f>
        <v/>
      </c>
      <c r="AY253" s="64">
        <f>AO253*AE253</f>
        <v/>
      </c>
      <c r="AZ253" s="64">
        <f>INDEX(Projects[Automation Equipment],252)&amp;""</f>
        <v/>
      </c>
      <c r="BA253" s="64">
        <f>IF(OR(A253="",'Smart Search'!H13=0),"",MAX(0,BE253*BF253*MAX(0,1-BG253)))</f>
        <v/>
      </c>
      <c r="BB253" s="64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4">
        <f>IF('Smart Search'!G13=1,IFERROR(1/'Smart Search'!H13,0),0)</f>
        <v/>
      </c>
      <c r="BD253" s="64">
        <f>BB253*BC253</f>
        <v/>
      </c>
      <c r="BE253" s="64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IF(A253="","",N(INDEX(Projects[Act Mech Inst],252)))</f>
        <v/>
      </c>
      <c r="BK253" s="5">
        <f>IF(A253="","",N(INDEX(Projects[Act Elec Inst],252)))</f>
        <v/>
      </c>
      <c r="BL253" s="5">
        <f>IF(A253="","",N(INDEX(Projects[Act Project Management],252)))</f>
        <v/>
      </c>
      <c r="BM253" s="5">
        <f>IF(A253="","",N(INDEX(Projects[Act Systems Eng],252)))</f>
        <v/>
      </c>
      <c r="BN253" s="5">
        <f>IF(A253="","",N(INDEX(Projects[Act Mechanical Eng],252)))</f>
        <v/>
      </c>
      <c r="BO253" s="5">
        <f>IF(A253="","",N(INDEX(Projects[Act Structural Engineering],252)))</f>
        <v/>
      </c>
      <c r="BP253" s="5">
        <f>IF(A253="","",N(INDEX(Projects[Act Site Sup],252)))</f>
        <v/>
      </c>
      <c r="BQ253" s="5">
        <f>IF(A253="","",N(INDEX(Projects[Act Controls Commissioning],252)))</f>
        <v/>
      </c>
      <c r="BR253" s="5">
        <f>IF(A253="","",N(INDEX(Projects[Act Systems Commissioning],252)))</f>
        <v/>
      </c>
      <c r="BS253" s="5">
        <f>IF(A253="","",N(INDEX(Projects[Act Service Commissioning],252)))</f>
        <v/>
      </c>
      <c r="BT253" s="5">
        <f>IF(A253="","",N(INDEX(Projects[Act Controls Eng],252)))</f>
        <v/>
      </c>
      <c r="BU253" s="5">
        <f>IF(A253="","",N(INDEX(Projects[Act Controls Purchase],252)))</f>
        <v/>
      </c>
      <c r="BV253" s="5">
        <f>IF(A253="","",N(INDEX(Projects[Act Software Eng],252)))</f>
        <v/>
      </c>
      <c r="BW253" s="5">
        <f>IF(A253="","",N(INDEX(Projects[Act 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INDEX(Projects[Sold Value (USD M)],252)</f>
        <v/>
      </c>
      <c r="CE253" s="5" t="n"/>
      <c r="CF253" s="5">
        <f>IF(A253="","",N(INDEX(Projects[Est Mech Inst],252)))</f>
        <v/>
      </c>
      <c r="CG253" s="5">
        <f>IF(A253="","",N(INDEX(Projects[Est Elec Inst],252)))</f>
        <v/>
      </c>
      <c r="CH253" s="5">
        <f>IF(A253="","",N(INDEX(Projects[Est Project Management],252)))</f>
        <v/>
      </c>
      <c r="CI253" s="5">
        <f>IF(A253="","",N(INDEX(Projects[Est Systems Eng],252)))</f>
        <v/>
      </c>
      <c r="CJ253" s="5">
        <f>IF(A253="","",N(INDEX(Projects[Est Mechanical Eng],252)))</f>
        <v/>
      </c>
      <c r="CK253" s="5">
        <f>IF(A253="","",N(INDEX(Projects[Est Structural Engineering],252)))</f>
        <v/>
      </c>
      <c r="CL253" s="5">
        <f>IF(A253="","",N(INDEX(Projects[Est Site Sup],252)))</f>
        <v/>
      </c>
      <c r="CM253" s="5">
        <f>IF(A253="","",N(INDEX(Projects[Est Controls Commissioning],252)))</f>
        <v/>
      </c>
      <c r="CN253" s="5">
        <f>IF(A253="","",N(INDEX(Projects[Est Systems Commissioning],252)))</f>
        <v/>
      </c>
      <c r="CO253" s="5">
        <f>IF(A253="","",N(INDEX(Projects[Est Service Commissioning],252)))</f>
        <v/>
      </c>
      <c r="CP253" s="5">
        <f>IF(A253="","",N(INDEX(Projects[Est Controls Eng],252)))</f>
        <v/>
      </c>
      <c r="CQ253" s="5">
        <f>IF(A253="","",N(INDEX(Projects[Est Controls Purchase],252)))</f>
        <v/>
      </c>
      <c r="CR253" s="5">
        <f>IF(A253="","",N(INDEX(Projects[Est Software Eng],252)))</f>
        <v/>
      </c>
      <c r="CS253" s="5">
        <f>IF(A253="","",N(INDEX(Projects[Est Misc],252)))</f>
        <v/>
      </c>
      <c r="CT253" s="5">
        <f>IF(A253="","",SUM(CF253:CS253))</f>
        <v/>
      </c>
      <c r="CU253" s="5">
        <f>INDEX(Projects[Est Cost (M)],252)</f>
        <v/>
      </c>
      <c r="CV253" s="5">
        <f>INDEX(Projects[Act Cost (M)],252)</f>
        <v/>
      </c>
      <c r="CW253" s="5">
        <f>INDEX(Projects[Plan Mech Eng (wks)],252)</f>
        <v/>
      </c>
      <c r="CX253" s="5">
        <f>INDEX(Projects[Plan Controls Eng (wks)],252)</f>
        <v/>
      </c>
      <c r="CY253" s="5">
        <f>INDEX(Projects[Plan Systems Eng (wks)],252)</f>
        <v/>
      </c>
      <c r="CZ253" s="5">
        <f>INDEX(Projects[Plan Software Eng (wks)],252)</f>
        <v/>
      </c>
      <c r="DA253" s="5">
        <f>INDEX(Projects[Plan M&amp;E Installation (wks)],252)</f>
        <v/>
      </c>
      <c r="DB253" s="5">
        <f>INDEX(Projects[Plan Commissioning (wks)],252)</f>
        <v/>
      </c>
      <c r="DC253" s="5">
        <f>INDEX(Projects[Plan Total (wks)],252)</f>
        <v/>
      </c>
      <c r="DD253" s="5">
        <f>INDEX(Projects[Act Mech Eng (wks)],252)</f>
        <v/>
      </c>
      <c r="DE253" s="5">
        <f>INDEX(Projects[Act Controls Eng (wks)],252)</f>
        <v/>
      </c>
      <c r="DF253" s="5">
        <f>INDEX(Projects[Act Systems Eng (wks)],252)</f>
        <v/>
      </c>
      <c r="DG253" s="5">
        <f>INDEX(Projects[Act Software Eng (wks)],252)</f>
        <v/>
      </c>
      <c r="DH253" s="5">
        <f>INDEX(Projects[Act M&amp;E Installation (wks)],252)</f>
        <v/>
      </c>
      <c r="DI253" s="5">
        <f>INDEX(Projects[Act Commissioning (wks)],252)</f>
        <v/>
      </c>
      <c r="DJ253" s="5">
        <f>INDEX(Projects[Act Total (wks)],252)</f>
        <v/>
      </c>
    </row>
    <row r="254" ht="15" customHeight="1" s="82">
      <c r="A254" s="64">
        <f>INDEX(Projects[Project ID *],253)&amp;""</f>
        <v/>
      </c>
      <c r="B254" s="64">
        <f>INDEX(Projects[Project Name *],253)&amp;""</f>
        <v/>
      </c>
      <c r="C254" s="64">
        <f>INDEX(Projects[MS Shuttles],253)</f>
        <v/>
      </c>
      <c r="D254" s="64">
        <f>INDEX(Projects[MS Tote Locations],253)</f>
        <v/>
      </c>
      <c r="E254" s="64">
        <f>INDEX(Projects[AS Robots],253)</f>
        <v/>
      </c>
      <c r="F254" s="64">
        <f>INDEX(Projects[AS Tote Locations],253)</f>
        <v/>
      </c>
      <c r="G254" s="64">
        <f>INDEX(Projects[PS Shuttles],253)</f>
        <v/>
      </c>
      <c r="H254" s="64">
        <f>INDEX(Projects[PS Pallet Locations],253)</f>
        <v/>
      </c>
      <c r="I254" s="64">
        <f>INDEX(Projects[SRM Cranes],253)</f>
        <v/>
      </c>
      <c r="J254" s="64">
        <f>INDEX(Projects[SRM Pallet Locations],253)</f>
        <v/>
      </c>
      <c r="K254" s="64">
        <f>INDEX(Projects[Case Conv (m)],253)</f>
        <v/>
      </c>
      <c r="L254" s="64">
        <f>INDEX(Projects[Pallet Conv (m)],253)</f>
        <v/>
      </c>
      <c r="M254" s="64">
        <f>IF(N(DJ254)&gt;0,DD254,CW254)</f>
        <v/>
      </c>
      <c r="N254" s="64">
        <f>IF(N(DJ254)&gt;0,DE254,CX254)</f>
        <v/>
      </c>
      <c r="O254" s="64">
        <f>IF(N(DJ254)&gt;0,DF254,CY254)</f>
        <v/>
      </c>
      <c r="P254" s="64">
        <f>IF(N(DJ254)&gt;0,DG254,CZ254)</f>
        <v/>
      </c>
      <c r="Q254" s="64">
        <f>IF(N(DJ254)&gt;0,DH254,DA254)</f>
        <v/>
      </c>
      <c r="R254" s="64">
        <f>IF(N(DJ254)&gt;0,DI254,DB254)</f>
        <v/>
      </c>
      <c r="S254" s="64">
        <f>IF(N(DJ254)&gt;0,DJ254,DC254)</f>
        <v/>
      </c>
      <c r="T254" s="64">
        <f>INDEX(Projects[Currency],253)&amp;""</f>
        <v/>
      </c>
      <c r="U254" s="65">
        <f>INDEX(Projects[Sold Value (M)],253)</f>
        <v/>
      </c>
      <c r="V254" s="64">
        <f>IF('Smart Search'!B13=1,IFERROR(1/'Smart Search'!H13,0),0)</f>
        <v/>
      </c>
      <c r="W254" s="64">
        <f>IF('Smart Search'!B13=1,IFERROR(1/'Smart Search'!H13,0),0)</f>
        <v/>
      </c>
      <c r="X254" s="64">
        <f>IF('Smart Search'!C13=1,IFERROR(1/'Smart Search'!H13,0),0)</f>
        <v/>
      </c>
      <c r="Y254" s="64">
        <f>IF('Smart Search'!C13=1,IFERROR(1/'Smart Search'!H13,0),0)</f>
        <v/>
      </c>
      <c r="Z254" s="64">
        <f>IF('Smart Search'!D13=1,IFERROR(1/'Smart Search'!H13,0),0)</f>
        <v/>
      </c>
      <c r="AA254" s="64">
        <f>IF('Smart Search'!D13=1,IFERROR(1/'Smart Search'!H13,0),0)</f>
        <v/>
      </c>
      <c r="AB254" s="64">
        <f>IF('Smart Search'!E13=1,IFERROR(1/'Smart Search'!H13,0),0)</f>
        <v/>
      </c>
      <c r="AC254" s="64">
        <f>IF('Smart Search'!E13=1,IFERROR(1/'Smart Search'!H13,0),0)</f>
        <v/>
      </c>
      <c r="AD254" s="64">
        <f>IF('Smart Search'!F13=1,IFERROR(1/'Smart Search'!H13,0),0)</f>
        <v/>
      </c>
      <c r="AE254" s="64">
        <f>IF('Smart Search'!F13=1,IFERROR(1/'Smart Search'!H13,0),0)</f>
        <v/>
      </c>
      <c r="AF254" s="64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4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4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4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4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4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4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4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4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4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4">
        <f>AF254*V254</f>
        <v/>
      </c>
      <c r="AQ254" s="64">
        <f>AG254*W254</f>
        <v/>
      </c>
      <c r="AR254" s="64">
        <f>AH254*X254</f>
        <v/>
      </c>
      <c r="AS254" s="64">
        <f>AI254*Y254</f>
        <v/>
      </c>
      <c r="AT254" s="64">
        <f>AJ254*Z254</f>
        <v/>
      </c>
      <c r="AU254" s="64">
        <f>AK254*AA254</f>
        <v/>
      </c>
      <c r="AV254" s="64">
        <f>AL254*AB254</f>
        <v/>
      </c>
      <c r="AW254" s="64">
        <f>AM254*AC254</f>
        <v/>
      </c>
      <c r="AX254" s="64">
        <f>AN254*AD254</f>
        <v/>
      </c>
      <c r="AY254" s="64">
        <f>AO254*AE254</f>
        <v/>
      </c>
      <c r="AZ254" s="64">
        <f>INDEX(Projects[Automation Equipment],253)&amp;""</f>
        <v/>
      </c>
      <c r="BA254" s="64">
        <f>IF(OR(A254="",'Smart Search'!H13=0),"",MAX(0,BE254*BF254*MAX(0,1-BG254)))</f>
        <v/>
      </c>
      <c r="BB254" s="64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4">
        <f>IF('Smart Search'!G13=1,IFERROR(1/'Smart Search'!H13,0),0)</f>
        <v/>
      </c>
      <c r="BD254" s="64">
        <f>BB254*BC254</f>
        <v/>
      </c>
      <c r="BE254" s="64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IF(A254="","",N(INDEX(Projects[Act Mech Inst],253)))</f>
        <v/>
      </c>
      <c r="BK254" s="5">
        <f>IF(A254="","",N(INDEX(Projects[Act Elec Inst],253)))</f>
        <v/>
      </c>
      <c r="BL254" s="5">
        <f>IF(A254="","",N(INDEX(Projects[Act Project Management],253)))</f>
        <v/>
      </c>
      <c r="BM254" s="5">
        <f>IF(A254="","",N(INDEX(Projects[Act Systems Eng],253)))</f>
        <v/>
      </c>
      <c r="BN254" s="5">
        <f>IF(A254="","",N(INDEX(Projects[Act Mechanical Eng],253)))</f>
        <v/>
      </c>
      <c r="BO254" s="5">
        <f>IF(A254="","",N(INDEX(Projects[Act Structural Engineering],253)))</f>
        <v/>
      </c>
      <c r="BP254" s="5">
        <f>IF(A254="","",N(INDEX(Projects[Act Site Sup],253)))</f>
        <v/>
      </c>
      <c r="BQ254" s="5">
        <f>IF(A254="","",N(INDEX(Projects[Act Controls Commissioning],253)))</f>
        <v/>
      </c>
      <c r="BR254" s="5">
        <f>IF(A254="","",N(INDEX(Projects[Act Systems Commissioning],253)))</f>
        <v/>
      </c>
      <c r="BS254" s="5">
        <f>IF(A254="","",N(INDEX(Projects[Act Service Commissioning],253)))</f>
        <v/>
      </c>
      <c r="BT254" s="5">
        <f>IF(A254="","",N(INDEX(Projects[Act Controls Eng],253)))</f>
        <v/>
      </c>
      <c r="BU254" s="5">
        <f>IF(A254="","",N(INDEX(Projects[Act Controls Purchase],253)))</f>
        <v/>
      </c>
      <c r="BV254" s="5">
        <f>IF(A254="","",N(INDEX(Projects[Act Software Eng],253)))</f>
        <v/>
      </c>
      <c r="BW254" s="5">
        <f>IF(A254="","",N(INDEX(Projects[Act 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INDEX(Projects[Sold Value (USD M)],253)</f>
        <v/>
      </c>
      <c r="CE254" s="5" t="n"/>
      <c r="CF254" s="5">
        <f>IF(A254="","",N(INDEX(Projects[Est Mech Inst],253)))</f>
        <v/>
      </c>
      <c r="CG254" s="5">
        <f>IF(A254="","",N(INDEX(Projects[Est Elec Inst],253)))</f>
        <v/>
      </c>
      <c r="CH254" s="5">
        <f>IF(A254="","",N(INDEX(Projects[Est Project Management],253)))</f>
        <v/>
      </c>
      <c r="CI254" s="5">
        <f>IF(A254="","",N(INDEX(Projects[Est Systems Eng],253)))</f>
        <v/>
      </c>
      <c r="CJ254" s="5">
        <f>IF(A254="","",N(INDEX(Projects[Est Mechanical Eng],253)))</f>
        <v/>
      </c>
      <c r="CK254" s="5">
        <f>IF(A254="","",N(INDEX(Projects[Est Structural Engineering],253)))</f>
        <v/>
      </c>
      <c r="CL254" s="5">
        <f>IF(A254="","",N(INDEX(Projects[Est Site Sup],253)))</f>
        <v/>
      </c>
      <c r="CM254" s="5">
        <f>IF(A254="","",N(INDEX(Projects[Est Controls Commissioning],253)))</f>
        <v/>
      </c>
      <c r="CN254" s="5">
        <f>IF(A254="","",N(INDEX(Projects[Est Systems Commissioning],253)))</f>
        <v/>
      </c>
      <c r="CO254" s="5">
        <f>IF(A254="","",N(INDEX(Projects[Est Service Commissioning],253)))</f>
        <v/>
      </c>
      <c r="CP254" s="5">
        <f>IF(A254="","",N(INDEX(Projects[Est Controls Eng],253)))</f>
        <v/>
      </c>
      <c r="CQ254" s="5">
        <f>IF(A254="","",N(INDEX(Projects[Est Controls Purchase],253)))</f>
        <v/>
      </c>
      <c r="CR254" s="5">
        <f>IF(A254="","",N(INDEX(Projects[Est Software Eng],253)))</f>
        <v/>
      </c>
      <c r="CS254" s="5">
        <f>IF(A254="","",N(INDEX(Projects[Est Misc],253)))</f>
        <v/>
      </c>
      <c r="CT254" s="5">
        <f>IF(A254="","",SUM(CF254:CS254))</f>
        <v/>
      </c>
      <c r="CU254" s="5">
        <f>INDEX(Projects[Est Cost (M)],253)</f>
        <v/>
      </c>
      <c r="CV254" s="5">
        <f>INDEX(Projects[Act Cost (M)],253)</f>
        <v/>
      </c>
      <c r="CW254" s="5">
        <f>INDEX(Projects[Plan Mech Eng (wks)],253)</f>
        <v/>
      </c>
      <c r="CX254" s="5">
        <f>INDEX(Projects[Plan Controls Eng (wks)],253)</f>
        <v/>
      </c>
      <c r="CY254" s="5">
        <f>INDEX(Projects[Plan Systems Eng (wks)],253)</f>
        <v/>
      </c>
      <c r="CZ254" s="5">
        <f>INDEX(Projects[Plan Software Eng (wks)],253)</f>
        <v/>
      </c>
      <c r="DA254" s="5">
        <f>INDEX(Projects[Plan M&amp;E Installation (wks)],253)</f>
        <v/>
      </c>
      <c r="DB254" s="5">
        <f>INDEX(Projects[Plan Commissioning (wks)],253)</f>
        <v/>
      </c>
      <c r="DC254" s="5">
        <f>INDEX(Projects[Plan Total (wks)],253)</f>
        <v/>
      </c>
      <c r="DD254" s="5">
        <f>INDEX(Projects[Act Mech Eng (wks)],253)</f>
        <v/>
      </c>
      <c r="DE254" s="5">
        <f>INDEX(Projects[Act Controls Eng (wks)],253)</f>
        <v/>
      </c>
      <c r="DF254" s="5">
        <f>INDEX(Projects[Act Systems Eng (wks)],253)</f>
        <v/>
      </c>
      <c r="DG254" s="5">
        <f>INDEX(Projects[Act Software Eng (wks)],253)</f>
        <v/>
      </c>
      <c r="DH254" s="5">
        <f>INDEX(Projects[Act M&amp;E Installation (wks)],253)</f>
        <v/>
      </c>
      <c r="DI254" s="5">
        <f>INDEX(Projects[Act Commissioning (wks)],253)</f>
        <v/>
      </c>
      <c r="DJ254" s="5">
        <f>INDEX(Projects[Act Total (wks)],253)</f>
        <v/>
      </c>
    </row>
    <row r="255" ht="15" customHeight="1" s="82">
      <c r="A255" s="64">
        <f>INDEX(Projects[Project ID *],254)&amp;""</f>
        <v/>
      </c>
      <c r="B255" s="64">
        <f>INDEX(Projects[Project Name *],254)&amp;""</f>
        <v/>
      </c>
      <c r="C255" s="64">
        <f>INDEX(Projects[MS Shuttles],254)</f>
        <v/>
      </c>
      <c r="D255" s="64">
        <f>INDEX(Projects[MS Tote Locations],254)</f>
        <v/>
      </c>
      <c r="E255" s="64">
        <f>INDEX(Projects[AS Robots],254)</f>
        <v/>
      </c>
      <c r="F255" s="64">
        <f>INDEX(Projects[AS Tote Locations],254)</f>
        <v/>
      </c>
      <c r="G255" s="64">
        <f>INDEX(Projects[PS Shuttles],254)</f>
        <v/>
      </c>
      <c r="H255" s="64">
        <f>INDEX(Projects[PS Pallet Locations],254)</f>
        <v/>
      </c>
      <c r="I255" s="64">
        <f>INDEX(Projects[SRM Cranes],254)</f>
        <v/>
      </c>
      <c r="J255" s="64">
        <f>INDEX(Projects[SRM Pallet Locations],254)</f>
        <v/>
      </c>
      <c r="K255" s="64">
        <f>INDEX(Projects[Case Conv (m)],254)</f>
        <v/>
      </c>
      <c r="L255" s="64">
        <f>INDEX(Projects[Pallet Conv (m)],254)</f>
        <v/>
      </c>
      <c r="M255" s="64">
        <f>IF(N(DJ255)&gt;0,DD255,CW255)</f>
        <v/>
      </c>
      <c r="N255" s="64">
        <f>IF(N(DJ255)&gt;0,DE255,CX255)</f>
        <v/>
      </c>
      <c r="O255" s="64">
        <f>IF(N(DJ255)&gt;0,DF255,CY255)</f>
        <v/>
      </c>
      <c r="P255" s="64">
        <f>IF(N(DJ255)&gt;0,DG255,CZ255)</f>
        <v/>
      </c>
      <c r="Q255" s="64">
        <f>IF(N(DJ255)&gt;0,DH255,DA255)</f>
        <v/>
      </c>
      <c r="R255" s="64">
        <f>IF(N(DJ255)&gt;0,DI255,DB255)</f>
        <v/>
      </c>
      <c r="S255" s="64">
        <f>IF(N(DJ255)&gt;0,DJ255,DC255)</f>
        <v/>
      </c>
      <c r="T255" s="64">
        <f>INDEX(Projects[Currency],254)&amp;""</f>
        <v/>
      </c>
      <c r="U255" s="65">
        <f>INDEX(Projects[Sold Value (M)],254)</f>
        <v/>
      </c>
      <c r="V255" s="64">
        <f>IF('Smart Search'!B13=1,IFERROR(1/'Smart Search'!H13,0),0)</f>
        <v/>
      </c>
      <c r="W255" s="64">
        <f>IF('Smart Search'!B13=1,IFERROR(1/'Smart Search'!H13,0),0)</f>
        <v/>
      </c>
      <c r="X255" s="64">
        <f>IF('Smart Search'!C13=1,IFERROR(1/'Smart Search'!H13,0),0)</f>
        <v/>
      </c>
      <c r="Y255" s="64">
        <f>IF('Smart Search'!C13=1,IFERROR(1/'Smart Search'!H13,0),0)</f>
        <v/>
      </c>
      <c r="Z255" s="64">
        <f>IF('Smart Search'!D13=1,IFERROR(1/'Smart Search'!H13,0),0)</f>
        <v/>
      </c>
      <c r="AA255" s="64">
        <f>IF('Smart Search'!D13=1,IFERROR(1/'Smart Search'!H13,0),0)</f>
        <v/>
      </c>
      <c r="AB255" s="64">
        <f>IF('Smart Search'!E13=1,IFERROR(1/'Smart Search'!H13,0),0)</f>
        <v/>
      </c>
      <c r="AC255" s="64">
        <f>IF('Smart Search'!E13=1,IFERROR(1/'Smart Search'!H13,0),0)</f>
        <v/>
      </c>
      <c r="AD255" s="64">
        <f>IF('Smart Search'!F13=1,IFERROR(1/'Smart Search'!H13,0),0)</f>
        <v/>
      </c>
      <c r="AE255" s="64">
        <f>IF('Smart Search'!F13=1,IFERROR(1/'Smart Search'!H13,0),0)</f>
        <v/>
      </c>
      <c r="AF255" s="64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4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4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4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4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4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4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4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4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4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4">
        <f>AF255*V255</f>
        <v/>
      </c>
      <c r="AQ255" s="64">
        <f>AG255*W255</f>
        <v/>
      </c>
      <c r="AR255" s="64">
        <f>AH255*X255</f>
        <v/>
      </c>
      <c r="AS255" s="64">
        <f>AI255*Y255</f>
        <v/>
      </c>
      <c r="AT255" s="64">
        <f>AJ255*Z255</f>
        <v/>
      </c>
      <c r="AU255" s="64">
        <f>AK255*AA255</f>
        <v/>
      </c>
      <c r="AV255" s="64">
        <f>AL255*AB255</f>
        <v/>
      </c>
      <c r="AW255" s="64">
        <f>AM255*AC255</f>
        <v/>
      </c>
      <c r="AX255" s="64">
        <f>AN255*AD255</f>
        <v/>
      </c>
      <c r="AY255" s="64">
        <f>AO255*AE255</f>
        <v/>
      </c>
      <c r="AZ255" s="64">
        <f>INDEX(Projects[Automation Equipment],254)&amp;""</f>
        <v/>
      </c>
      <c r="BA255" s="64">
        <f>IF(OR(A255="",'Smart Search'!H13=0),"",MAX(0,BE255*BF255*MAX(0,1-BG255)))</f>
        <v/>
      </c>
      <c r="BB255" s="64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4">
        <f>IF('Smart Search'!G13=1,IFERROR(1/'Smart Search'!H13,0),0)</f>
        <v/>
      </c>
      <c r="BD255" s="64">
        <f>BB255*BC255</f>
        <v/>
      </c>
      <c r="BE255" s="64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IF(A255="","",N(INDEX(Projects[Act Mech Inst],254)))</f>
        <v/>
      </c>
      <c r="BK255" s="5">
        <f>IF(A255="","",N(INDEX(Projects[Act Elec Inst],254)))</f>
        <v/>
      </c>
      <c r="BL255" s="5">
        <f>IF(A255="","",N(INDEX(Projects[Act Project Management],254)))</f>
        <v/>
      </c>
      <c r="BM255" s="5">
        <f>IF(A255="","",N(INDEX(Projects[Act Systems Eng],254)))</f>
        <v/>
      </c>
      <c r="BN255" s="5">
        <f>IF(A255="","",N(INDEX(Projects[Act Mechanical Eng],254)))</f>
        <v/>
      </c>
      <c r="BO255" s="5">
        <f>IF(A255="","",N(INDEX(Projects[Act Structural Engineering],254)))</f>
        <v/>
      </c>
      <c r="BP255" s="5">
        <f>IF(A255="","",N(INDEX(Projects[Act Site Sup],254)))</f>
        <v/>
      </c>
      <c r="BQ255" s="5">
        <f>IF(A255="","",N(INDEX(Projects[Act Controls Commissioning],254)))</f>
        <v/>
      </c>
      <c r="BR255" s="5">
        <f>IF(A255="","",N(INDEX(Projects[Act Systems Commissioning],254)))</f>
        <v/>
      </c>
      <c r="BS255" s="5">
        <f>IF(A255="","",N(INDEX(Projects[Act Service Commissioning],254)))</f>
        <v/>
      </c>
      <c r="BT255" s="5">
        <f>IF(A255="","",N(INDEX(Projects[Act Controls Eng],254)))</f>
        <v/>
      </c>
      <c r="BU255" s="5">
        <f>IF(A255="","",N(INDEX(Projects[Act Controls Purchase],254)))</f>
        <v/>
      </c>
      <c r="BV255" s="5">
        <f>IF(A255="","",N(INDEX(Projects[Act Software Eng],254)))</f>
        <v/>
      </c>
      <c r="BW255" s="5">
        <f>IF(A255="","",N(INDEX(Projects[Act 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INDEX(Projects[Sold Value (USD M)],254)</f>
        <v/>
      </c>
      <c r="CE255" s="5" t="n"/>
      <c r="CF255" s="5">
        <f>IF(A255="","",N(INDEX(Projects[Est Mech Inst],254)))</f>
        <v/>
      </c>
      <c r="CG255" s="5">
        <f>IF(A255="","",N(INDEX(Projects[Est Elec Inst],254)))</f>
        <v/>
      </c>
      <c r="CH255" s="5">
        <f>IF(A255="","",N(INDEX(Projects[Est Project Management],254)))</f>
        <v/>
      </c>
      <c r="CI255" s="5">
        <f>IF(A255="","",N(INDEX(Projects[Est Systems Eng],254)))</f>
        <v/>
      </c>
      <c r="CJ255" s="5">
        <f>IF(A255="","",N(INDEX(Projects[Est Mechanical Eng],254)))</f>
        <v/>
      </c>
      <c r="CK255" s="5">
        <f>IF(A255="","",N(INDEX(Projects[Est Structural Engineering],254)))</f>
        <v/>
      </c>
      <c r="CL255" s="5">
        <f>IF(A255="","",N(INDEX(Projects[Est Site Sup],254)))</f>
        <v/>
      </c>
      <c r="CM255" s="5">
        <f>IF(A255="","",N(INDEX(Projects[Est Controls Commissioning],254)))</f>
        <v/>
      </c>
      <c r="CN255" s="5">
        <f>IF(A255="","",N(INDEX(Projects[Est Systems Commissioning],254)))</f>
        <v/>
      </c>
      <c r="CO255" s="5">
        <f>IF(A255="","",N(INDEX(Projects[Est Service Commissioning],254)))</f>
        <v/>
      </c>
      <c r="CP255" s="5">
        <f>IF(A255="","",N(INDEX(Projects[Est Controls Eng],254)))</f>
        <v/>
      </c>
      <c r="CQ255" s="5">
        <f>IF(A255="","",N(INDEX(Projects[Est Controls Purchase],254)))</f>
        <v/>
      </c>
      <c r="CR255" s="5">
        <f>IF(A255="","",N(INDEX(Projects[Est Software Eng],254)))</f>
        <v/>
      </c>
      <c r="CS255" s="5">
        <f>IF(A255="","",N(INDEX(Projects[Est Misc],254)))</f>
        <v/>
      </c>
      <c r="CT255" s="5">
        <f>IF(A255="","",SUM(CF255:CS255))</f>
        <v/>
      </c>
      <c r="CU255" s="5">
        <f>INDEX(Projects[Est Cost (M)],254)</f>
        <v/>
      </c>
      <c r="CV255" s="5">
        <f>INDEX(Projects[Act Cost (M)],254)</f>
        <v/>
      </c>
      <c r="CW255" s="5">
        <f>INDEX(Projects[Plan Mech Eng (wks)],254)</f>
        <v/>
      </c>
      <c r="CX255" s="5">
        <f>INDEX(Projects[Plan Controls Eng (wks)],254)</f>
        <v/>
      </c>
      <c r="CY255" s="5">
        <f>INDEX(Projects[Plan Systems Eng (wks)],254)</f>
        <v/>
      </c>
      <c r="CZ255" s="5">
        <f>INDEX(Projects[Plan Software Eng (wks)],254)</f>
        <v/>
      </c>
      <c r="DA255" s="5">
        <f>INDEX(Projects[Plan M&amp;E Installation (wks)],254)</f>
        <v/>
      </c>
      <c r="DB255" s="5">
        <f>INDEX(Projects[Plan Commissioning (wks)],254)</f>
        <v/>
      </c>
      <c r="DC255" s="5">
        <f>INDEX(Projects[Plan Total (wks)],254)</f>
        <v/>
      </c>
      <c r="DD255" s="5">
        <f>INDEX(Projects[Act Mech Eng (wks)],254)</f>
        <v/>
      </c>
      <c r="DE255" s="5">
        <f>INDEX(Projects[Act Controls Eng (wks)],254)</f>
        <v/>
      </c>
      <c r="DF255" s="5">
        <f>INDEX(Projects[Act Systems Eng (wks)],254)</f>
        <v/>
      </c>
      <c r="DG255" s="5">
        <f>INDEX(Projects[Act Software Eng (wks)],254)</f>
        <v/>
      </c>
      <c r="DH255" s="5">
        <f>INDEX(Projects[Act M&amp;E Installation (wks)],254)</f>
        <v/>
      </c>
      <c r="DI255" s="5">
        <f>INDEX(Projects[Act Commissioning (wks)],254)</f>
        <v/>
      </c>
      <c r="DJ255" s="5">
        <f>INDEX(Projects[Act Total (wks)],254)</f>
        <v/>
      </c>
    </row>
    <row r="256" ht="15" customHeight="1" s="82">
      <c r="A256" s="64">
        <f>INDEX(Projects[Project ID *],255)&amp;""</f>
        <v/>
      </c>
      <c r="B256" s="64">
        <f>INDEX(Projects[Project Name *],255)&amp;""</f>
        <v/>
      </c>
      <c r="C256" s="64">
        <f>INDEX(Projects[MS Shuttles],255)</f>
        <v/>
      </c>
      <c r="D256" s="64">
        <f>INDEX(Projects[MS Tote Locations],255)</f>
        <v/>
      </c>
      <c r="E256" s="64">
        <f>INDEX(Projects[AS Robots],255)</f>
        <v/>
      </c>
      <c r="F256" s="64">
        <f>INDEX(Projects[AS Tote Locations],255)</f>
        <v/>
      </c>
      <c r="G256" s="64">
        <f>INDEX(Projects[PS Shuttles],255)</f>
        <v/>
      </c>
      <c r="H256" s="64">
        <f>INDEX(Projects[PS Pallet Locations],255)</f>
        <v/>
      </c>
      <c r="I256" s="64">
        <f>INDEX(Projects[SRM Cranes],255)</f>
        <v/>
      </c>
      <c r="J256" s="64">
        <f>INDEX(Projects[SRM Pallet Locations],255)</f>
        <v/>
      </c>
      <c r="K256" s="64">
        <f>INDEX(Projects[Case Conv (m)],255)</f>
        <v/>
      </c>
      <c r="L256" s="64">
        <f>INDEX(Projects[Pallet Conv (m)],255)</f>
        <v/>
      </c>
      <c r="M256" s="64">
        <f>IF(N(DJ256)&gt;0,DD256,CW256)</f>
        <v/>
      </c>
      <c r="N256" s="64">
        <f>IF(N(DJ256)&gt;0,DE256,CX256)</f>
        <v/>
      </c>
      <c r="O256" s="64">
        <f>IF(N(DJ256)&gt;0,DF256,CY256)</f>
        <v/>
      </c>
      <c r="P256" s="64">
        <f>IF(N(DJ256)&gt;0,DG256,CZ256)</f>
        <v/>
      </c>
      <c r="Q256" s="64">
        <f>IF(N(DJ256)&gt;0,DH256,DA256)</f>
        <v/>
      </c>
      <c r="R256" s="64">
        <f>IF(N(DJ256)&gt;0,DI256,DB256)</f>
        <v/>
      </c>
      <c r="S256" s="64">
        <f>IF(N(DJ256)&gt;0,DJ256,DC256)</f>
        <v/>
      </c>
      <c r="T256" s="64">
        <f>INDEX(Projects[Currency],255)&amp;""</f>
        <v/>
      </c>
      <c r="U256" s="65">
        <f>INDEX(Projects[Sold Value (M)],255)</f>
        <v/>
      </c>
      <c r="V256" s="64">
        <f>IF('Smart Search'!B13=1,IFERROR(1/'Smart Search'!H13,0),0)</f>
        <v/>
      </c>
      <c r="W256" s="64">
        <f>IF('Smart Search'!B13=1,IFERROR(1/'Smart Search'!H13,0),0)</f>
        <v/>
      </c>
      <c r="X256" s="64">
        <f>IF('Smart Search'!C13=1,IFERROR(1/'Smart Search'!H13,0),0)</f>
        <v/>
      </c>
      <c r="Y256" s="64">
        <f>IF('Smart Search'!C13=1,IFERROR(1/'Smart Search'!H13,0),0)</f>
        <v/>
      </c>
      <c r="Z256" s="64">
        <f>IF('Smart Search'!D13=1,IFERROR(1/'Smart Search'!H13,0),0)</f>
        <v/>
      </c>
      <c r="AA256" s="64">
        <f>IF('Smart Search'!D13=1,IFERROR(1/'Smart Search'!H13,0),0)</f>
        <v/>
      </c>
      <c r="AB256" s="64">
        <f>IF('Smart Search'!E13=1,IFERROR(1/'Smart Search'!H13,0),0)</f>
        <v/>
      </c>
      <c r="AC256" s="64">
        <f>IF('Smart Search'!E13=1,IFERROR(1/'Smart Search'!H13,0),0)</f>
        <v/>
      </c>
      <c r="AD256" s="64">
        <f>IF('Smart Search'!F13=1,IFERROR(1/'Smart Search'!H13,0),0)</f>
        <v/>
      </c>
      <c r="AE256" s="64">
        <f>IF('Smart Search'!F13=1,IFERROR(1/'Smart Search'!H13,0),0)</f>
        <v/>
      </c>
      <c r="AF256" s="64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4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4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4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4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4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4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4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4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4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4">
        <f>AF256*V256</f>
        <v/>
      </c>
      <c r="AQ256" s="64">
        <f>AG256*W256</f>
        <v/>
      </c>
      <c r="AR256" s="64">
        <f>AH256*X256</f>
        <v/>
      </c>
      <c r="AS256" s="64">
        <f>AI256*Y256</f>
        <v/>
      </c>
      <c r="AT256" s="64">
        <f>AJ256*Z256</f>
        <v/>
      </c>
      <c r="AU256" s="64">
        <f>AK256*AA256</f>
        <v/>
      </c>
      <c r="AV256" s="64">
        <f>AL256*AB256</f>
        <v/>
      </c>
      <c r="AW256" s="64">
        <f>AM256*AC256</f>
        <v/>
      </c>
      <c r="AX256" s="64">
        <f>AN256*AD256</f>
        <v/>
      </c>
      <c r="AY256" s="64">
        <f>AO256*AE256</f>
        <v/>
      </c>
      <c r="AZ256" s="64">
        <f>INDEX(Projects[Automation Equipment],255)&amp;""</f>
        <v/>
      </c>
      <c r="BA256" s="64">
        <f>IF(OR(A256="",'Smart Search'!H13=0),"",MAX(0,BE256*BF256*MAX(0,1-BG256)))</f>
        <v/>
      </c>
      <c r="BB256" s="64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4">
        <f>IF('Smart Search'!G13=1,IFERROR(1/'Smart Search'!H13,0),0)</f>
        <v/>
      </c>
      <c r="BD256" s="64">
        <f>BB256*BC256</f>
        <v/>
      </c>
      <c r="BE256" s="64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IF(A256="","",N(INDEX(Projects[Act Mech Inst],255)))</f>
        <v/>
      </c>
      <c r="BK256" s="5">
        <f>IF(A256="","",N(INDEX(Projects[Act Elec Inst],255)))</f>
        <v/>
      </c>
      <c r="BL256" s="5">
        <f>IF(A256="","",N(INDEX(Projects[Act Project Management],255)))</f>
        <v/>
      </c>
      <c r="BM256" s="5">
        <f>IF(A256="","",N(INDEX(Projects[Act Systems Eng],255)))</f>
        <v/>
      </c>
      <c r="BN256" s="5">
        <f>IF(A256="","",N(INDEX(Projects[Act Mechanical Eng],255)))</f>
        <v/>
      </c>
      <c r="BO256" s="5">
        <f>IF(A256="","",N(INDEX(Projects[Act Structural Engineering],255)))</f>
        <v/>
      </c>
      <c r="BP256" s="5">
        <f>IF(A256="","",N(INDEX(Projects[Act Site Sup],255)))</f>
        <v/>
      </c>
      <c r="BQ256" s="5">
        <f>IF(A256="","",N(INDEX(Projects[Act Controls Commissioning],255)))</f>
        <v/>
      </c>
      <c r="BR256" s="5">
        <f>IF(A256="","",N(INDEX(Projects[Act Systems Commissioning],255)))</f>
        <v/>
      </c>
      <c r="BS256" s="5">
        <f>IF(A256="","",N(INDEX(Projects[Act Service Commissioning],255)))</f>
        <v/>
      </c>
      <c r="BT256" s="5">
        <f>IF(A256="","",N(INDEX(Projects[Act Controls Eng],255)))</f>
        <v/>
      </c>
      <c r="BU256" s="5">
        <f>IF(A256="","",N(INDEX(Projects[Act Controls Purchase],255)))</f>
        <v/>
      </c>
      <c r="BV256" s="5">
        <f>IF(A256="","",N(INDEX(Projects[Act Software Eng],255)))</f>
        <v/>
      </c>
      <c r="BW256" s="5">
        <f>IF(A256="","",N(INDEX(Projects[Act 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INDEX(Projects[Sold Value (USD M)],255)</f>
        <v/>
      </c>
      <c r="CE256" s="5" t="n"/>
      <c r="CF256" s="5">
        <f>IF(A256="","",N(INDEX(Projects[Est Mech Inst],255)))</f>
        <v/>
      </c>
      <c r="CG256" s="5">
        <f>IF(A256="","",N(INDEX(Projects[Est Elec Inst],255)))</f>
        <v/>
      </c>
      <c r="CH256" s="5">
        <f>IF(A256="","",N(INDEX(Projects[Est Project Management],255)))</f>
        <v/>
      </c>
      <c r="CI256" s="5">
        <f>IF(A256="","",N(INDEX(Projects[Est Systems Eng],255)))</f>
        <v/>
      </c>
      <c r="CJ256" s="5">
        <f>IF(A256="","",N(INDEX(Projects[Est Mechanical Eng],255)))</f>
        <v/>
      </c>
      <c r="CK256" s="5">
        <f>IF(A256="","",N(INDEX(Projects[Est Structural Engineering],255)))</f>
        <v/>
      </c>
      <c r="CL256" s="5">
        <f>IF(A256="","",N(INDEX(Projects[Est Site Sup],255)))</f>
        <v/>
      </c>
      <c r="CM256" s="5">
        <f>IF(A256="","",N(INDEX(Projects[Est Controls Commissioning],255)))</f>
        <v/>
      </c>
      <c r="CN256" s="5">
        <f>IF(A256="","",N(INDEX(Projects[Est Systems Commissioning],255)))</f>
        <v/>
      </c>
      <c r="CO256" s="5">
        <f>IF(A256="","",N(INDEX(Projects[Est Service Commissioning],255)))</f>
        <v/>
      </c>
      <c r="CP256" s="5">
        <f>IF(A256="","",N(INDEX(Projects[Est Controls Eng],255)))</f>
        <v/>
      </c>
      <c r="CQ256" s="5">
        <f>IF(A256="","",N(INDEX(Projects[Est Controls Purchase],255)))</f>
        <v/>
      </c>
      <c r="CR256" s="5">
        <f>IF(A256="","",N(INDEX(Projects[Est Software Eng],255)))</f>
        <v/>
      </c>
      <c r="CS256" s="5">
        <f>IF(A256="","",N(INDEX(Projects[Est Misc],255)))</f>
        <v/>
      </c>
      <c r="CT256" s="5">
        <f>IF(A256="","",SUM(CF256:CS256))</f>
        <v/>
      </c>
      <c r="CU256" s="5">
        <f>INDEX(Projects[Est Cost (M)],255)</f>
        <v/>
      </c>
      <c r="CV256" s="5">
        <f>INDEX(Projects[Act Cost (M)],255)</f>
        <v/>
      </c>
      <c r="CW256" s="5">
        <f>INDEX(Projects[Plan Mech Eng (wks)],255)</f>
        <v/>
      </c>
      <c r="CX256" s="5">
        <f>INDEX(Projects[Plan Controls Eng (wks)],255)</f>
        <v/>
      </c>
      <c r="CY256" s="5">
        <f>INDEX(Projects[Plan Systems Eng (wks)],255)</f>
        <v/>
      </c>
      <c r="CZ256" s="5">
        <f>INDEX(Projects[Plan Software Eng (wks)],255)</f>
        <v/>
      </c>
      <c r="DA256" s="5">
        <f>INDEX(Projects[Plan M&amp;E Installation (wks)],255)</f>
        <v/>
      </c>
      <c r="DB256" s="5">
        <f>INDEX(Projects[Plan Commissioning (wks)],255)</f>
        <v/>
      </c>
      <c r="DC256" s="5">
        <f>INDEX(Projects[Plan Total (wks)],255)</f>
        <v/>
      </c>
      <c r="DD256" s="5">
        <f>INDEX(Projects[Act Mech Eng (wks)],255)</f>
        <v/>
      </c>
      <c r="DE256" s="5">
        <f>INDEX(Projects[Act Controls Eng (wks)],255)</f>
        <v/>
      </c>
      <c r="DF256" s="5">
        <f>INDEX(Projects[Act Systems Eng (wks)],255)</f>
        <v/>
      </c>
      <c r="DG256" s="5">
        <f>INDEX(Projects[Act Software Eng (wks)],255)</f>
        <v/>
      </c>
      <c r="DH256" s="5">
        <f>INDEX(Projects[Act M&amp;E Installation (wks)],255)</f>
        <v/>
      </c>
      <c r="DI256" s="5">
        <f>INDEX(Projects[Act Commissioning (wks)],255)</f>
        <v/>
      </c>
      <c r="DJ256" s="5">
        <f>INDEX(Projects[Act Total (wks)],255)</f>
        <v/>
      </c>
    </row>
    <row r="257" ht="15" customHeight="1" s="82">
      <c r="A257" s="64">
        <f>INDEX(Projects[Project ID *],256)&amp;""</f>
        <v/>
      </c>
      <c r="B257" s="64">
        <f>INDEX(Projects[Project Name *],256)&amp;""</f>
        <v/>
      </c>
      <c r="C257" s="64">
        <f>INDEX(Projects[MS Shuttles],256)</f>
        <v/>
      </c>
      <c r="D257" s="64">
        <f>INDEX(Projects[MS Tote Locations],256)</f>
        <v/>
      </c>
      <c r="E257" s="64">
        <f>INDEX(Projects[AS Robots],256)</f>
        <v/>
      </c>
      <c r="F257" s="64">
        <f>INDEX(Projects[AS Tote Locations],256)</f>
        <v/>
      </c>
      <c r="G257" s="64">
        <f>INDEX(Projects[PS Shuttles],256)</f>
        <v/>
      </c>
      <c r="H257" s="64">
        <f>INDEX(Projects[PS Pallet Locations],256)</f>
        <v/>
      </c>
      <c r="I257" s="64">
        <f>INDEX(Projects[SRM Cranes],256)</f>
        <v/>
      </c>
      <c r="J257" s="64">
        <f>INDEX(Projects[SRM Pallet Locations],256)</f>
        <v/>
      </c>
      <c r="K257" s="64">
        <f>INDEX(Projects[Case Conv (m)],256)</f>
        <v/>
      </c>
      <c r="L257" s="64">
        <f>INDEX(Projects[Pallet Conv (m)],256)</f>
        <v/>
      </c>
      <c r="M257" s="64">
        <f>IF(N(DJ257)&gt;0,DD257,CW257)</f>
        <v/>
      </c>
      <c r="N257" s="64">
        <f>IF(N(DJ257)&gt;0,DE257,CX257)</f>
        <v/>
      </c>
      <c r="O257" s="64">
        <f>IF(N(DJ257)&gt;0,DF257,CY257)</f>
        <v/>
      </c>
      <c r="P257" s="64">
        <f>IF(N(DJ257)&gt;0,DG257,CZ257)</f>
        <v/>
      </c>
      <c r="Q257" s="64">
        <f>IF(N(DJ257)&gt;0,DH257,DA257)</f>
        <v/>
      </c>
      <c r="R257" s="64">
        <f>IF(N(DJ257)&gt;0,DI257,DB257)</f>
        <v/>
      </c>
      <c r="S257" s="64">
        <f>IF(N(DJ257)&gt;0,DJ257,DC257)</f>
        <v/>
      </c>
      <c r="T257" s="64">
        <f>INDEX(Projects[Currency],256)&amp;""</f>
        <v/>
      </c>
      <c r="U257" s="65">
        <f>INDEX(Projects[Sold Value (M)],256)</f>
        <v/>
      </c>
      <c r="V257" s="64">
        <f>IF('Smart Search'!B13=1,IFERROR(1/'Smart Search'!H13,0),0)</f>
        <v/>
      </c>
      <c r="W257" s="64">
        <f>IF('Smart Search'!B13=1,IFERROR(1/'Smart Search'!H13,0),0)</f>
        <v/>
      </c>
      <c r="X257" s="64">
        <f>IF('Smart Search'!C13=1,IFERROR(1/'Smart Search'!H13,0),0)</f>
        <v/>
      </c>
      <c r="Y257" s="64">
        <f>IF('Smart Search'!C13=1,IFERROR(1/'Smart Search'!H13,0),0)</f>
        <v/>
      </c>
      <c r="Z257" s="64">
        <f>IF('Smart Search'!D13=1,IFERROR(1/'Smart Search'!H13,0),0)</f>
        <v/>
      </c>
      <c r="AA257" s="64">
        <f>IF('Smart Search'!D13=1,IFERROR(1/'Smart Search'!H13,0),0)</f>
        <v/>
      </c>
      <c r="AB257" s="64">
        <f>IF('Smart Search'!E13=1,IFERROR(1/'Smart Search'!H13,0),0)</f>
        <v/>
      </c>
      <c r="AC257" s="64">
        <f>IF('Smart Search'!E13=1,IFERROR(1/'Smart Search'!H13,0),0)</f>
        <v/>
      </c>
      <c r="AD257" s="64">
        <f>IF('Smart Search'!F13=1,IFERROR(1/'Smart Search'!H13,0),0)</f>
        <v/>
      </c>
      <c r="AE257" s="64">
        <f>IF('Smart Search'!F13=1,IFERROR(1/'Smart Search'!H13,0),0)</f>
        <v/>
      </c>
      <c r="AF257" s="64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4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4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4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4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4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4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4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4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4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4">
        <f>AF257*V257</f>
        <v/>
      </c>
      <c r="AQ257" s="64">
        <f>AG257*W257</f>
        <v/>
      </c>
      <c r="AR257" s="64">
        <f>AH257*X257</f>
        <v/>
      </c>
      <c r="AS257" s="64">
        <f>AI257*Y257</f>
        <v/>
      </c>
      <c r="AT257" s="64">
        <f>AJ257*Z257</f>
        <v/>
      </c>
      <c r="AU257" s="64">
        <f>AK257*AA257</f>
        <v/>
      </c>
      <c r="AV257" s="64">
        <f>AL257*AB257</f>
        <v/>
      </c>
      <c r="AW257" s="64">
        <f>AM257*AC257</f>
        <v/>
      </c>
      <c r="AX257" s="64">
        <f>AN257*AD257</f>
        <v/>
      </c>
      <c r="AY257" s="64">
        <f>AO257*AE257</f>
        <v/>
      </c>
      <c r="AZ257" s="64">
        <f>INDEX(Projects[Automation Equipment],256)&amp;""</f>
        <v/>
      </c>
      <c r="BA257" s="64">
        <f>IF(OR(A257="",'Smart Search'!H13=0),"",MAX(0,BE257*BF257*MAX(0,1-BG257)))</f>
        <v/>
      </c>
      <c r="BB257" s="64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4">
        <f>IF('Smart Search'!G13=1,IFERROR(1/'Smart Search'!H13,0),0)</f>
        <v/>
      </c>
      <c r="BD257" s="64">
        <f>BB257*BC257</f>
        <v/>
      </c>
      <c r="BE257" s="64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IF(A257="","",N(INDEX(Projects[Act Mech Inst],256)))</f>
        <v/>
      </c>
      <c r="BK257" s="5">
        <f>IF(A257="","",N(INDEX(Projects[Act Elec Inst],256)))</f>
        <v/>
      </c>
      <c r="BL257" s="5">
        <f>IF(A257="","",N(INDEX(Projects[Act Project Management],256)))</f>
        <v/>
      </c>
      <c r="BM257" s="5">
        <f>IF(A257="","",N(INDEX(Projects[Act Systems Eng],256)))</f>
        <v/>
      </c>
      <c r="BN257" s="5">
        <f>IF(A257="","",N(INDEX(Projects[Act Mechanical Eng],256)))</f>
        <v/>
      </c>
      <c r="BO257" s="5">
        <f>IF(A257="","",N(INDEX(Projects[Act Structural Engineering],256)))</f>
        <v/>
      </c>
      <c r="BP257" s="5">
        <f>IF(A257="","",N(INDEX(Projects[Act Site Sup],256)))</f>
        <v/>
      </c>
      <c r="BQ257" s="5">
        <f>IF(A257="","",N(INDEX(Projects[Act Controls Commissioning],256)))</f>
        <v/>
      </c>
      <c r="BR257" s="5">
        <f>IF(A257="","",N(INDEX(Projects[Act Systems Commissioning],256)))</f>
        <v/>
      </c>
      <c r="BS257" s="5">
        <f>IF(A257="","",N(INDEX(Projects[Act Service Commissioning],256)))</f>
        <v/>
      </c>
      <c r="BT257" s="5">
        <f>IF(A257="","",N(INDEX(Projects[Act Controls Eng],256)))</f>
        <v/>
      </c>
      <c r="BU257" s="5">
        <f>IF(A257="","",N(INDEX(Projects[Act Controls Purchase],256)))</f>
        <v/>
      </c>
      <c r="BV257" s="5">
        <f>IF(A257="","",N(INDEX(Projects[Act Software Eng],256)))</f>
        <v/>
      </c>
      <c r="BW257" s="5">
        <f>IF(A257="","",N(INDEX(Projects[Act 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INDEX(Projects[Sold Value (USD M)],256)</f>
        <v/>
      </c>
      <c r="CE257" s="5" t="n"/>
      <c r="CF257" s="5">
        <f>IF(A257="","",N(INDEX(Projects[Est Mech Inst],256)))</f>
        <v/>
      </c>
      <c r="CG257" s="5">
        <f>IF(A257="","",N(INDEX(Projects[Est Elec Inst],256)))</f>
        <v/>
      </c>
      <c r="CH257" s="5">
        <f>IF(A257="","",N(INDEX(Projects[Est Project Management],256)))</f>
        <v/>
      </c>
      <c r="CI257" s="5">
        <f>IF(A257="","",N(INDEX(Projects[Est Systems Eng],256)))</f>
        <v/>
      </c>
      <c r="CJ257" s="5">
        <f>IF(A257="","",N(INDEX(Projects[Est Mechanical Eng],256)))</f>
        <v/>
      </c>
      <c r="CK257" s="5">
        <f>IF(A257="","",N(INDEX(Projects[Est Structural Engineering],256)))</f>
        <v/>
      </c>
      <c r="CL257" s="5">
        <f>IF(A257="","",N(INDEX(Projects[Est Site Sup],256)))</f>
        <v/>
      </c>
      <c r="CM257" s="5">
        <f>IF(A257="","",N(INDEX(Projects[Est Controls Commissioning],256)))</f>
        <v/>
      </c>
      <c r="CN257" s="5">
        <f>IF(A257="","",N(INDEX(Projects[Est Systems Commissioning],256)))</f>
        <v/>
      </c>
      <c r="CO257" s="5">
        <f>IF(A257="","",N(INDEX(Projects[Est Service Commissioning],256)))</f>
        <v/>
      </c>
      <c r="CP257" s="5">
        <f>IF(A257="","",N(INDEX(Projects[Est Controls Eng],256)))</f>
        <v/>
      </c>
      <c r="CQ257" s="5">
        <f>IF(A257="","",N(INDEX(Projects[Est Controls Purchase],256)))</f>
        <v/>
      </c>
      <c r="CR257" s="5">
        <f>IF(A257="","",N(INDEX(Projects[Est Software Eng],256)))</f>
        <v/>
      </c>
      <c r="CS257" s="5">
        <f>IF(A257="","",N(INDEX(Projects[Est Misc],256)))</f>
        <v/>
      </c>
      <c r="CT257" s="5">
        <f>IF(A257="","",SUM(CF257:CS257))</f>
        <v/>
      </c>
      <c r="CU257" s="5">
        <f>INDEX(Projects[Est Cost (M)],256)</f>
        <v/>
      </c>
      <c r="CV257" s="5">
        <f>INDEX(Projects[Act Cost (M)],256)</f>
        <v/>
      </c>
      <c r="CW257" s="5">
        <f>INDEX(Projects[Plan Mech Eng (wks)],256)</f>
        <v/>
      </c>
      <c r="CX257" s="5">
        <f>INDEX(Projects[Plan Controls Eng (wks)],256)</f>
        <v/>
      </c>
      <c r="CY257" s="5">
        <f>INDEX(Projects[Plan Systems Eng (wks)],256)</f>
        <v/>
      </c>
      <c r="CZ257" s="5">
        <f>INDEX(Projects[Plan Software Eng (wks)],256)</f>
        <v/>
      </c>
      <c r="DA257" s="5">
        <f>INDEX(Projects[Plan M&amp;E Installation (wks)],256)</f>
        <v/>
      </c>
      <c r="DB257" s="5">
        <f>INDEX(Projects[Plan Commissioning (wks)],256)</f>
        <v/>
      </c>
      <c r="DC257" s="5">
        <f>INDEX(Projects[Plan Total (wks)],256)</f>
        <v/>
      </c>
      <c r="DD257" s="5">
        <f>INDEX(Projects[Act Mech Eng (wks)],256)</f>
        <v/>
      </c>
      <c r="DE257" s="5">
        <f>INDEX(Projects[Act Controls Eng (wks)],256)</f>
        <v/>
      </c>
      <c r="DF257" s="5">
        <f>INDEX(Projects[Act Systems Eng (wks)],256)</f>
        <v/>
      </c>
      <c r="DG257" s="5">
        <f>INDEX(Projects[Act Software Eng (wks)],256)</f>
        <v/>
      </c>
      <c r="DH257" s="5">
        <f>INDEX(Projects[Act M&amp;E Installation (wks)],256)</f>
        <v/>
      </c>
      <c r="DI257" s="5">
        <f>INDEX(Projects[Act Commissioning (wks)],256)</f>
        <v/>
      </c>
      <c r="DJ257" s="5">
        <f>INDEX(Projects[Act Total (wks)],256)</f>
        <v/>
      </c>
    </row>
    <row r="258" ht="15" customHeight="1" s="82">
      <c r="A258" s="64">
        <f>INDEX(Projects[Project ID *],257)&amp;""</f>
        <v/>
      </c>
      <c r="B258" s="64">
        <f>INDEX(Projects[Project Name *],257)&amp;""</f>
        <v/>
      </c>
      <c r="C258" s="64">
        <f>INDEX(Projects[MS Shuttles],257)</f>
        <v/>
      </c>
      <c r="D258" s="64">
        <f>INDEX(Projects[MS Tote Locations],257)</f>
        <v/>
      </c>
      <c r="E258" s="64">
        <f>INDEX(Projects[AS Robots],257)</f>
        <v/>
      </c>
      <c r="F258" s="64">
        <f>INDEX(Projects[AS Tote Locations],257)</f>
        <v/>
      </c>
      <c r="G258" s="64">
        <f>INDEX(Projects[PS Shuttles],257)</f>
        <v/>
      </c>
      <c r="H258" s="64">
        <f>INDEX(Projects[PS Pallet Locations],257)</f>
        <v/>
      </c>
      <c r="I258" s="64">
        <f>INDEX(Projects[SRM Cranes],257)</f>
        <v/>
      </c>
      <c r="J258" s="64">
        <f>INDEX(Projects[SRM Pallet Locations],257)</f>
        <v/>
      </c>
      <c r="K258" s="64">
        <f>INDEX(Projects[Case Conv (m)],257)</f>
        <v/>
      </c>
      <c r="L258" s="64">
        <f>INDEX(Projects[Pallet Conv (m)],257)</f>
        <v/>
      </c>
      <c r="M258" s="64">
        <f>IF(N(DJ258)&gt;0,DD258,CW258)</f>
        <v/>
      </c>
      <c r="N258" s="64">
        <f>IF(N(DJ258)&gt;0,DE258,CX258)</f>
        <v/>
      </c>
      <c r="O258" s="64">
        <f>IF(N(DJ258)&gt;0,DF258,CY258)</f>
        <v/>
      </c>
      <c r="P258" s="64">
        <f>IF(N(DJ258)&gt;0,DG258,CZ258)</f>
        <v/>
      </c>
      <c r="Q258" s="64">
        <f>IF(N(DJ258)&gt;0,DH258,DA258)</f>
        <v/>
      </c>
      <c r="R258" s="64">
        <f>IF(N(DJ258)&gt;0,DI258,DB258)</f>
        <v/>
      </c>
      <c r="S258" s="64">
        <f>IF(N(DJ258)&gt;0,DJ258,DC258)</f>
        <v/>
      </c>
      <c r="T258" s="64">
        <f>INDEX(Projects[Currency],257)&amp;""</f>
        <v/>
      </c>
      <c r="U258" s="65">
        <f>INDEX(Projects[Sold Value (M)],257)</f>
        <v/>
      </c>
      <c r="V258" s="64">
        <f>IF('Smart Search'!B13=1,IFERROR(1/'Smart Search'!H13,0),0)</f>
        <v/>
      </c>
      <c r="W258" s="64">
        <f>IF('Smart Search'!B13=1,IFERROR(1/'Smart Search'!H13,0),0)</f>
        <v/>
      </c>
      <c r="X258" s="64">
        <f>IF('Smart Search'!C13=1,IFERROR(1/'Smart Search'!H13,0),0)</f>
        <v/>
      </c>
      <c r="Y258" s="64">
        <f>IF('Smart Search'!C13=1,IFERROR(1/'Smart Search'!H13,0),0)</f>
        <v/>
      </c>
      <c r="Z258" s="64">
        <f>IF('Smart Search'!D13=1,IFERROR(1/'Smart Search'!H13,0),0)</f>
        <v/>
      </c>
      <c r="AA258" s="64">
        <f>IF('Smart Search'!D13=1,IFERROR(1/'Smart Search'!H13,0),0)</f>
        <v/>
      </c>
      <c r="AB258" s="64">
        <f>IF('Smart Search'!E13=1,IFERROR(1/'Smart Search'!H13,0),0)</f>
        <v/>
      </c>
      <c r="AC258" s="64">
        <f>IF('Smart Search'!E13=1,IFERROR(1/'Smart Search'!H13,0),0)</f>
        <v/>
      </c>
      <c r="AD258" s="64">
        <f>IF('Smart Search'!F13=1,IFERROR(1/'Smart Search'!H13,0),0)</f>
        <v/>
      </c>
      <c r="AE258" s="64">
        <f>IF('Smart Search'!F13=1,IFERROR(1/'Smart Search'!H13,0),0)</f>
        <v/>
      </c>
      <c r="AF258" s="64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4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4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4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4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4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4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4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4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4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4">
        <f>AF258*V258</f>
        <v/>
      </c>
      <c r="AQ258" s="64">
        <f>AG258*W258</f>
        <v/>
      </c>
      <c r="AR258" s="64">
        <f>AH258*X258</f>
        <v/>
      </c>
      <c r="AS258" s="64">
        <f>AI258*Y258</f>
        <v/>
      </c>
      <c r="AT258" s="64">
        <f>AJ258*Z258</f>
        <v/>
      </c>
      <c r="AU258" s="64">
        <f>AK258*AA258</f>
        <v/>
      </c>
      <c r="AV258" s="64">
        <f>AL258*AB258</f>
        <v/>
      </c>
      <c r="AW258" s="64">
        <f>AM258*AC258</f>
        <v/>
      </c>
      <c r="AX258" s="64">
        <f>AN258*AD258</f>
        <v/>
      </c>
      <c r="AY258" s="64">
        <f>AO258*AE258</f>
        <v/>
      </c>
      <c r="AZ258" s="64">
        <f>INDEX(Projects[Automation Equipment],257)&amp;""</f>
        <v/>
      </c>
      <c r="BA258" s="64">
        <f>IF(OR(A258="",'Smart Search'!H13=0),"",MAX(0,BE258*BF258*MAX(0,1-BG258)))</f>
        <v/>
      </c>
      <c r="BB258" s="64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4">
        <f>IF('Smart Search'!G13=1,IFERROR(1/'Smart Search'!H13,0),0)</f>
        <v/>
      </c>
      <c r="BD258" s="64">
        <f>BB258*BC258</f>
        <v/>
      </c>
      <c r="BE258" s="64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IF(A258="","",N(INDEX(Projects[Act Mech Inst],257)))</f>
        <v/>
      </c>
      <c r="BK258" s="5">
        <f>IF(A258="","",N(INDEX(Projects[Act Elec Inst],257)))</f>
        <v/>
      </c>
      <c r="BL258" s="5">
        <f>IF(A258="","",N(INDEX(Projects[Act Project Management],257)))</f>
        <v/>
      </c>
      <c r="BM258" s="5">
        <f>IF(A258="","",N(INDEX(Projects[Act Systems Eng],257)))</f>
        <v/>
      </c>
      <c r="BN258" s="5">
        <f>IF(A258="","",N(INDEX(Projects[Act Mechanical Eng],257)))</f>
        <v/>
      </c>
      <c r="BO258" s="5">
        <f>IF(A258="","",N(INDEX(Projects[Act Structural Engineering],257)))</f>
        <v/>
      </c>
      <c r="BP258" s="5">
        <f>IF(A258="","",N(INDEX(Projects[Act Site Sup],257)))</f>
        <v/>
      </c>
      <c r="BQ258" s="5">
        <f>IF(A258="","",N(INDEX(Projects[Act Controls Commissioning],257)))</f>
        <v/>
      </c>
      <c r="BR258" s="5">
        <f>IF(A258="","",N(INDEX(Projects[Act Systems Commissioning],257)))</f>
        <v/>
      </c>
      <c r="BS258" s="5">
        <f>IF(A258="","",N(INDEX(Projects[Act Service Commissioning],257)))</f>
        <v/>
      </c>
      <c r="BT258" s="5">
        <f>IF(A258="","",N(INDEX(Projects[Act Controls Eng],257)))</f>
        <v/>
      </c>
      <c r="BU258" s="5">
        <f>IF(A258="","",N(INDEX(Projects[Act Controls Purchase],257)))</f>
        <v/>
      </c>
      <c r="BV258" s="5">
        <f>IF(A258="","",N(INDEX(Projects[Act Software Eng],257)))</f>
        <v/>
      </c>
      <c r="BW258" s="5">
        <f>IF(A258="","",N(INDEX(Projects[Act 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INDEX(Projects[Sold Value (USD M)],257)</f>
        <v/>
      </c>
      <c r="CE258" s="5" t="n"/>
      <c r="CF258" s="5">
        <f>IF(A258="","",N(INDEX(Projects[Est Mech Inst],257)))</f>
        <v/>
      </c>
      <c r="CG258" s="5">
        <f>IF(A258="","",N(INDEX(Projects[Est Elec Inst],257)))</f>
        <v/>
      </c>
      <c r="CH258" s="5">
        <f>IF(A258="","",N(INDEX(Projects[Est Project Management],257)))</f>
        <v/>
      </c>
      <c r="CI258" s="5">
        <f>IF(A258="","",N(INDEX(Projects[Est Systems Eng],257)))</f>
        <v/>
      </c>
      <c r="CJ258" s="5">
        <f>IF(A258="","",N(INDEX(Projects[Est Mechanical Eng],257)))</f>
        <v/>
      </c>
      <c r="CK258" s="5">
        <f>IF(A258="","",N(INDEX(Projects[Est Structural Engineering],257)))</f>
        <v/>
      </c>
      <c r="CL258" s="5">
        <f>IF(A258="","",N(INDEX(Projects[Est Site Sup],257)))</f>
        <v/>
      </c>
      <c r="CM258" s="5">
        <f>IF(A258="","",N(INDEX(Projects[Est Controls Commissioning],257)))</f>
        <v/>
      </c>
      <c r="CN258" s="5">
        <f>IF(A258="","",N(INDEX(Projects[Est Systems Commissioning],257)))</f>
        <v/>
      </c>
      <c r="CO258" s="5">
        <f>IF(A258="","",N(INDEX(Projects[Est Service Commissioning],257)))</f>
        <v/>
      </c>
      <c r="CP258" s="5">
        <f>IF(A258="","",N(INDEX(Projects[Est Controls Eng],257)))</f>
        <v/>
      </c>
      <c r="CQ258" s="5">
        <f>IF(A258="","",N(INDEX(Projects[Est Controls Purchase],257)))</f>
        <v/>
      </c>
      <c r="CR258" s="5">
        <f>IF(A258="","",N(INDEX(Projects[Est Software Eng],257)))</f>
        <v/>
      </c>
      <c r="CS258" s="5">
        <f>IF(A258="","",N(INDEX(Projects[Est Misc],257)))</f>
        <v/>
      </c>
      <c r="CT258" s="5">
        <f>IF(A258="","",SUM(CF258:CS258))</f>
        <v/>
      </c>
      <c r="CU258" s="5">
        <f>INDEX(Projects[Est Cost (M)],257)</f>
        <v/>
      </c>
      <c r="CV258" s="5">
        <f>INDEX(Projects[Act Cost (M)],257)</f>
        <v/>
      </c>
      <c r="CW258" s="5">
        <f>INDEX(Projects[Plan Mech Eng (wks)],257)</f>
        <v/>
      </c>
      <c r="CX258" s="5">
        <f>INDEX(Projects[Plan Controls Eng (wks)],257)</f>
        <v/>
      </c>
      <c r="CY258" s="5">
        <f>INDEX(Projects[Plan Systems Eng (wks)],257)</f>
        <v/>
      </c>
      <c r="CZ258" s="5">
        <f>INDEX(Projects[Plan Software Eng (wks)],257)</f>
        <v/>
      </c>
      <c r="DA258" s="5">
        <f>INDEX(Projects[Plan M&amp;E Installation (wks)],257)</f>
        <v/>
      </c>
      <c r="DB258" s="5">
        <f>INDEX(Projects[Plan Commissioning (wks)],257)</f>
        <v/>
      </c>
      <c r="DC258" s="5">
        <f>INDEX(Projects[Plan Total (wks)],257)</f>
        <v/>
      </c>
      <c r="DD258" s="5">
        <f>INDEX(Projects[Act Mech Eng (wks)],257)</f>
        <v/>
      </c>
      <c r="DE258" s="5">
        <f>INDEX(Projects[Act Controls Eng (wks)],257)</f>
        <v/>
      </c>
      <c r="DF258" s="5">
        <f>INDEX(Projects[Act Systems Eng (wks)],257)</f>
        <v/>
      </c>
      <c r="DG258" s="5">
        <f>INDEX(Projects[Act Software Eng (wks)],257)</f>
        <v/>
      </c>
      <c r="DH258" s="5">
        <f>INDEX(Projects[Act M&amp;E Installation (wks)],257)</f>
        <v/>
      </c>
      <c r="DI258" s="5">
        <f>INDEX(Projects[Act Commissioning (wks)],257)</f>
        <v/>
      </c>
      <c r="DJ258" s="5">
        <f>INDEX(Projects[Act Total (wks)],257)</f>
        <v/>
      </c>
    </row>
    <row r="259" ht="15" customHeight="1" s="82">
      <c r="A259" s="64">
        <f>INDEX(Projects[Project ID *],258)&amp;""</f>
        <v/>
      </c>
      <c r="B259" s="64">
        <f>INDEX(Projects[Project Name *],258)&amp;""</f>
        <v/>
      </c>
      <c r="C259" s="64">
        <f>INDEX(Projects[MS Shuttles],258)</f>
        <v/>
      </c>
      <c r="D259" s="64">
        <f>INDEX(Projects[MS Tote Locations],258)</f>
        <v/>
      </c>
      <c r="E259" s="64">
        <f>INDEX(Projects[AS Robots],258)</f>
        <v/>
      </c>
      <c r="F259" s="64">
        <f>INDEX(Projects[AS Tote Locations],258)</f>
        <v/>
      </c>
      <c r="G259" s="64">
        <f>INDEX(Projects[PS Shuttles],258)</f>
        <v/>
      </c>
      <c r="H259" s="64">
        <f>INDEX(Projects[PS Pallet Locations],258)</f>
        <v/>
      </c>
      <c r="I259" s="64">
        <f>INDEX(Projects[SRM Cranes],258)</f>
        <v/>
      </c>
      <c r="J259" s="64">
        <f>INDEX(Projects[SRM Pallet Locations],258)</f>
        <v/>
      </c>
      <c r="K259" s="64">
        <f>INDEX(Projects[Case Conv (m)],258)</f>
        <v/>
      </c>
      <c r="L259" s="64">
        <f>INDEX(Projects[Pallet Conv (m)],258)</f>
        <v/>
      </c>
      <c r="M259" s="64">
        <f>IF(N(DJ259)&gt;0,DD259,CW259)</f>
        <v/>
      </c>
      <c r="N259" s="64">
        <f>IF(N(DJ259)&gt;0,DE259,CX259)</f>
        <v/>
      </c>
      <c r="O259" s="64">
        <f>IF(N(DJ259)&gt;0,DF259,CY259)</f>
        <v/>
      </c>
      <c r="P259" s="64">
        <f>IF(N(DJ259)&gt;0,DG259,CZ259)</f>
        <v/>
      </c>
      <c r="Q259" s="64">
        <f>IF(N(DJ259)&gt;0,DH259,DA259)</f>
        <v/>
      </c>
      <c r="R259" s="64">
        <f>IF(N(DJ259)&gt;0,DI259,DB259)</f>
        <v/>
      </c>
      <c r="S259" s="64">
        <f>IF(N(DJ259)&gt;0,DJ259,DC259)</f>
        <v/>
      </c>
      <c r="T259" s="64">
        <f>INDEX(Projects[Currency],258)&amp;""</f>
        <v/>
      </c>
      <c r="U259" s="65">
        <f>INDEX(Projects[Sold Value (M)],258)</f>
        <v/>
      </c>
      <c r="V259" s="64">
        <f>IF('Smart Search'!B13=1,IFERROR(1/'Smart Search'!H13,0),0)</f>
        <v/>
      </c>
      <c r="W259" s="64">
        <f>IF('Smart Search'!B13=1,IFERROR(1/'Smart Search'!H13,0),0)</f>
        <v/>
      </c>
      <c r="X259" s="64">
        <f>IF('Smart Search'!C13=1,IFERROR(1/'Smart Search'!H13,0),0)</f>
        <v/>
      </c>
      <c r="Y259" s="64">
        <f>IF('Smart Search'!C13=1,IFERROR(1/'Smart Search'!H13,0),0)</f>
        <v/>
      </c>
      <c r="Z259" s="64">
        <f>IF('Smart Search'!D13=1,IFERROR(1/'Smart Search'!H13,0),0)</f>
        <v/>
      </c>
      <c r="AA259" s="64">
        <f>IF('Smart Search'!D13=1,IFERROR(1/'Smart Search'!H13,0),0)</f>
        <v/>
      </c>
      <c r="AB259" s="64">
        <f>IF('Smart Search'!E13=1,IFERROR(1/'Smart Search'!H13,0),0)</f>
        <v/>
      </c>
      <c r="AC259" s="64">
        <f>IF('Smart Search'!E13=1,IFERROR(1/'Smart Search'!H13,0),0)</f>
        <v/>
      </c>
      <c r="AD259" s="64">
        <f>IF('Smart Search'!F13=1,IFERROR(1/'Smart Search'!H13,0),0)</f>
        <v/>
      </c>
      <c r="AE259" s="64">
        <f>IF('Smart Search'!F13=1,IFERROR(1/'Smart Search'!H13,0),0)</f>
        <v/>
      </c>
      <c r="AF259" s="64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4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4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4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4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4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4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4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4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4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4">
        <f>AF259*V259</f>
        <v/>
      </c>
      <c r="AQ259" s="64">
        <f>AG259*W259</f>
        <v/>
      </c>
      <c r="AR259" s="64">
        <f>AH259*X259</f>
        <v/>
      </c>
      <c r="AS259" s="64">
        <f>AI259*Y259</f>
        <v/>
      </c>
      <c r="AT259" s="64">
        <f>AJ259*Z259</f>
        <v/>
      </c>
      <c r="AU259" s="64">
        <f>AK259*AA259</f>
        <v/>
      </c>
      <c r="AV259" s="64">
        <f>AL259*AB259</f>
        <v/>
      </c>
      <c r="AW259" s="64">
        <f>AM259*AC259</f>
        <v/>
      </c>
      <c r="AX259" s="64">
        <f>AN259*AD259</f>
        <v/>
      </c>
      <c r="AY259" s="64">
        <f>AO259*AE259</f>
        <v/>
      </c>
      <c r="AZ259" s="64">
        <f>INDEX(Projects[Automation Equipment],258)&amp;""</f>
        <v/>
      </c>
      <c r="BA259" s="64">
        <f>IF(OR(A259="",'Smart Search'!H13=0),"",MAX(0,BE259*BF259*MAX(0,1-BG259)))</f>
        <v/>
      </c>
      <c r="BB259" s="64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4">
        <f>IF('Smart Search'!G13=1,IFERROR(1/'Smart Search'!H13,0),0)</f>
        <v/>
      </c>
      <c r="BD259" s="64">
        <f>BB259*BC259</f>
        <v/>
      </c>
      <c r="BE259" s="64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IF(A259="","",N(INDEX(Projects[Act Mech Inst],258)))</f>
        <v/>
      </c>
      <c r="BK259" s="5">
        <f>IF(A259="","",N(INDEX(Projects[Act Elec Inst],258)))</f>
        <v/>
      </c>
      <c r="BL259" s="5">
        <f>IF(A259="","",N(INDEX(Projects[Act Project Management],258)))</f>
        <v/>
      </c>
      <c r="BM259" s="5">
        <f>IF(A259="","",N(INDEX(Projects[Act Systems Eng],258)))</f>
        <v/>
      </c>
      <c r="BN259" s="5">
        <f>IF(A259="","",N(INDEX(Projects[Act Mechanical Eng],258)))</f>
        <v/>
      </c>
      <c r="BO259" s="5">
        <f>IF(A259="","",N(INDEX(Projects[Act Structural Engineering],258)))</f>
        <v/>
      </c>
      <c r="BP259" s="5">
        <f>IF(A259="","",N(INDEX(Projects[Act Site Sup],258)))</f>
        <v/>
      </c>
      <c r="BQ259" s="5">
        <f>IF(A259="","",N(INDEX(Projects[Act Controls Commissioning],258)))</f>
        <v/>
      </c>
      <c r="BR259" s="5">
        <f>IF(A259="","",N(INDEX(Projects[Act Systems Commissioning],258)))</f>
        <v/>
      </c>
      <c r="BS259" s="5">
        <f>IF(A259="","",N(INDEX(Projects[Act Service Commissioning],258)))</f>
        <v/>
      </c>
      <c r="BT259" s="5">
        <f>IF(A259="","",N(INDEX(Projects[Act Controls Eng],258)))</f>
        <v/>
      </c>
      <c r="BU259" s="5">
        <f>IF(A259="","",N(INDEX(Projects[Act Controls Purchase],258)))</f>
        <v/>
      </c>
      <c r="BV259" s="5">
        <f>IF(A259="","",N(INDEX(Projects[Act Software Eng],258)))</f>
        <v/>
      </c>
      <c r="BW259" s="5">
        <f>IF(A259="","",N(INDEX(Projects[Act 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INDEX(Projects[Sold Value (USD M)],258)</f>
        <v/>
      </c>
      <c r="CE259" s="5" t="n"/>
      <c r="CF259" s="5">
        <f>IF(A259="","",N(INDEX(Projects[Est Mech Inst],258)))</f>
        <v/>
      </c>
      <c r="CG259" s="5">
        <f>IF(A259="","",N(INDEX(Projects[Est Elec Inst],258)))</f>
        <v/>
      </c>
      <c r="CH259" s="5">
        <f>IF(A259="","",N(INDEX(Projects[Est Project Management],258)))</f>
        <v/>
      </c>
      <c r="CI259" s="5">
        <f>IF(A259="","",N(INDEX(Projects[Est Systems Eng],258)))</f>
        <v/>
      </c>
      <c r="CJ259" s="5">
        <f>IF(A259="","",N(INDEX(Projects[Est Mechanical Eng],258)))</f>
        <v/>
      </c>
      <c r="CK259" s="5">
        <f>IF(A259="","",N(INDEX(Projects[Est Structural Engineering],258)))</f>
        <v/>
      </c>
      <c r="CL259" s="5">
        <f>IF(A259="","",N(INDEX(Projects[Est Site Sup],258)))</f>
        <v/>
      </c>
      <c r="CM259" s="5">
        <f>IF(A259="","",N(INDEX(Projects[Est Controls Commissioning],258)))</f>
        <v/>
      </c>
      <c r="CN259" s="5">
        <f>IF(A259="","",N(INDEX(Projects[Est Systems Commissioning],258)))</f>
        <v/>
      </c>
      <c r="CO259" s="5">
        <f>IF(A259="","",N(INDEX(Projects[Est Service Commissioning],258)))</f>
        <v/>
      </c>
      <c r="CP259" s="5">
        <f>IF(A259="","",N(INDEX(Projects[Est Controls Eng],258)))</f>
        <v/>
      </c>
      <c r="CQ259" s="5">
        <f>IF(A259="","",N(INDEX(Projects[Est Controls Purchase],258)))</f>
        <v/>
      </c>
      <c r="CR259" s="5">
        <f>IF(A259="","",N(INDEX(Projects[Est Software Eng],258)))</f>
        <v/>
      </c>
      <c r="CS259" s="5">
        <f>IF(A259="","",N(INDEX(Projects[Est Misc],258)))</f>
        <v/>
      </c>
      <c r="CT259" s="5">
        <f>IF(A259="","",SUM(CF259:CS259))</f>
        <v/>
      </c>
      <c r="CU259" s="5">
        <f>INDEX(Projects[Est Cost (M)],258)</f>
        <v/>
      </c>
      <c r="CV259" s="5">
        <f>INDEX(Projects[Act Cost (M)],258)</f>
        <v/>
      </c>
      <c r="CW259" s="5">
        <f>INDEX(Projects[Plan Mech Eng (wks)],258)</f>
        <v/>
      </c>
      <c r="CX259" s="5">
        <f>INDEX(Projects[Plan Controls Eng (wks)],258)</f>
        <v/>
      </c>
      <c r="CY259" s="5">
        <f>INDEX(Projects[Plan Systems Eng (wks)],258)</f>
        <v/>
      </c>
      <c r="CZ259" s="5">
        <f>INDEX(Projects[Plan Software Eng (wks)],258)</f>
        <v/>
      </c>
      <c r="DA259" s="5">
        <f>INDEX(Projects[Plan M&amp;E Installation (wks)],258)</f>
        <v/>
      </c>
      <c r="DB259" s="5">
        <f>INDEX(Projects[Plan Commissioning (wks)],258)</f>
        <v/>
      </c>
      <c r="DC259" s="5">
        <f>INDEX(Projects[Plan Total (wks)],258)</f>
        <v/>
      </c>
      <c r="DD259" s="5">
        <f>INDEX(Projects[Act Mech Eng (wks)],258)</f>
        <v/>
      </c>
      <c r="DE259" s="5">
        <f>INDEX(Projects[Act Controls Eng (wks)],258)</f>
        <v/>
      </c>
      <c r="DF259" s="5">
        <f>INDEX(Projects[Act Systems Eng (wks)],258)</f>
        <v/>
      </c>
      <c r="DG259" s="5">
        <f>INDEX(Projects[Act Software Eng (wks)],258)</f>
        <v/>
      </c>
      <c r="DH259" s="5">
        <f>INDEX(Projects[Act M&amp;E Installation (wks)],258)</f>
        <v/>
      </c>
      <c r="DI259" s="5">
        <f>INDEX(Projects[Act Commissioning (wks)],258)</f>
        <v/>
      </c>
      <c r="DJ259" s="5">
        <f>INDEX(Projects[Act Total (wks)],258)</f>
        <v/>
      </c>
    </row>
    <row r="260" ht="15" customHeight="1" s="82">
      <c r="A260" s="64">
        <f>INDEX(Projects[Project ID *],259)&amp;""</f>
        <v/>
      </c>
      <c r="B260" s="64">
        <f>INDEX(Projects[Project Name *],259)&amp;""</f>
        <v/>
      </c>
      <c r="C260" s="64">
        <f>INDEX(Projects[MS Shuttles],259)</f>
        <v/>
      </c>
      <c r="D260" s="64">
        <f>INDEX(Projects[MS Tote Locations],259)</f>
        <v/>
      </c>
      <c r="E260" s="64">
        <f>INDEX(Projects[AS Robots],259)</f>
        <v/>
      </c>
      <c r="F260" s="64">
        <f>INDEX(Projects[AS Tote Locations],259)</f>
        <v/>
      </c>
      <c r="G260" s="64">
        <f>INDEX(Projects[PS Shuttles],259)</f>
        <v/>
      </c>
      <c r="H260" s="64">
        <f>INDEX(Projects[PS Pallet Locations],259)</f>
        <v/>
      </c>
      <c r="I260" s="64">
        <f>INDEX(Projects[SRM Cranes],259)</f>
        <v/>
      </c>
      <c r="J260" s="64">
        <f>INDEX(Projects[SRM Pallet Locations],259)</f>
        <v/>
      </c>
      <c r="K260" s="64">
        <f>INDEX(Projects[Case Conv (m)],259)</f>
        <v/>
      </c>
      <c r="L260" s="64">
        <f>INDEX(Projects[Pallet Conv (m)],259)</f>
        <v/>
      </c>
      <c r="M260" s="64">
        <f>IF(N(DJ260)&gt;0,DD260,CW260)</f>
        <v/>
      </c>
      <c r="N260" s="64">
        <f>IF(N(DJ260)&gt;0,DE260,CX260)</f>
        <v/>
      </c>
      <c r="O260" s="64">
        <f>IF(N(DJ260)&gt;0,DF260,CY260)</f>
        <v/>
      </c>
      <c r="P260" s="64">
        <f>IF(N(DJ260)&gt;0,DG260,CZ260)</f>
        <v/>
      </c>
      <c r="Q260" s="64">
        <f>IF(N(DJ260)&gt;0,DH260,DA260)</f>
        <v/>
      </c>
      <c r="R260" s="64">
        <f>IF(N(DJ260)&gt;0,DI260,DB260)</f>
        <v/>
      </c>
      <c r="S260" s="64">
        <f>IF(N(DJ260)&gt;0,DJ260,DC260)</f>
        <v/>
      </c>
      <c r="T260" s="64">
        <f>INDEX(Projects[Currency],259)&amp;""</f>
        <v/>
      </c>
      <c r="U260" s="65">
        <f>INDEX(Projects[Sold Value (M)],259)</f>
        <v/>
      </c>
      <c r="V260" s="64">
        <f>IF('Smart Search'!B13=1,IFERROR(1/'Smart Search'!H13,0),0)</f>
        <v/>
      </c>
      <c r="W260" s="64">
        <f>IF('Smart Search'!B13=1,IFERROR(1/'Smart Search'!H13,0),0)</f>
        <v/>
      </c>
      <c r="X260" s="64">
        <f>IF('Smart Search'!C13=1,IFERROR(1/'Smart Search'!H13,0),0)</f>
        <v/>
      </c>
      <c r="Y260" s="64">
        <f>IF('Smart Search'!C13=1,IFERROR(1/'Smart Search'!H13,0),0)</f>
        <v/>
      </c>
      <c r="Z260" s="64">
        <f>IF('Smart Search'!D13=1,IFERROR(1/'Smart Search'!H13,0),0)</f>
        <v/>
      </c>
      <c r="AA260" s="64">
        <f>IF('Smart Search'!D13=1,IFERROR(1/'Smart Search'!H13,0),0)</f>
        <v/>
      </c>
      <c r="AB260" s="64">
        <f>IF('Smart Search'!E13=1,IFERROR(1/'Smart Search'!H13,0),0)</f>
        <v/>
      </c>
      <c r="AC260" s="64">
        <f>IF('Smart Search'!E13=1,IFERROR(1/'Smart Search'!H13,0),0)</f>
        <v/>
      </c>
      <c r="AD260" s="64">
        <f>IF('Smart Search'!F13=1,IFERROR(1/'Smart Search'!H13,0),0)</f>
        <v/>
      </c>
      <c r="AE260" s="64">
        <f>IF('Smart Search'!F13=1,IFERROR(1/'Smart Search'!H13,0),0)</f>
        <v/>
      </c>
      <c r="AF260" s="64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4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4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4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4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4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4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4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4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4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4">
        <f>AF260*V260</f>
        <v/>
      </c>
      <c r="AQ260" s="64">
        <f>AG260*W260</f>
        <v/>
      </c>
      <c r="AR260" s="64">
        <f>AH260*X260</f>
        <v/>
      </c>
      <c r="AS260" s="64">
        <f>AI260*Y260</f>
        <v/>
      </c>
      <c r="AT260" s="64">
        <f>AJ260*Z260</f>
        <v/>
      </c>
      <c r="AU260" s="64">
        <f>AK260*AA260</f>
        <v/>
      </c>
      <c r="AV260" s="64">
        <f>AL260*AB260</f>
        <v/>
      </c>
      <c r="AW260" s="64">
        <f>AM260*AC260</f>
        <v/>
      </c>
      <c r="AX260" s="64">
        <f>AN260*AD260</f>
        <v/>
      </c>
      <c r="AY260" s="64">
        <f>AO260*AE260</f>
        <v/>
      </c>
      <c r="AZ260" s="64">
        <f>INDEX(Projects[Automation Equipment],259)&amp;""</f>
        <v/>
      </c>
      <c r="BA260" s="64">
        <f>IF(OR(A260="",'Smart Search'!H13=0),"",MAX(0,BE260*BF260*MAX(0,1-BG260)))</f>
        <v/>
      </c>
      <c r="BB260" s="64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4">
        <f>IF('Smart Search'!G13=1,IFERROR(1/'Smart Search'!H13,0),0)</f>
        <v/>
      </c>
      <c r="BD260" s="64">
        <f>BB260*BC260</f>
        <v/>
      </c>
      <c r="BE260" s="64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IF(A260="","",N(INDEX(Projects[Act Mech Inst],259)))</f>
        <v/>
      </c>
      <c r="BK260" s="5">
        <f>IF(A260="","",N(INDEX(Projects[Act Elec Inst],259)))</f>
        <v/>
      </c>
      <c r="BL260" s="5">
        <f>IF(A260="","",N(INDEX(Projects[Act Project Management],259)))</f>
        <v/>
      </c>
      <c r="BM260" s="5">
        <f>IF(A260="","",N(INDEX(Projects[Act Systems Eng],259)))</f>
        <v/>
      </c>
      <c r="BN260" s="5">
        <f>IF(A260="","",N(INDEX(Projects[Act Mechanical Eng],259)))</f>
        <v/>
      </c>
      <c r="BO260" s="5">
        <f>IF(A260="","",N(INDEX(Projects[Act Structural Engineering],259)))</f>
        <v/>
      </c>
      <c r="BP260" s="5">
        <f>IF(A260="","",N(INDEX(Projects[Act Site Sup],259)))</f>
        <v/>
      </c>
      <c r="BQ260" s="5">
        <f>IF(A260="","",N(INDEX(Projects[Act Controls Commissioning],259)))</f>
        <v/>
      </c>
      <c r="BR260" s="5">
        <f>IF(A260="","",N(INDEX(Projects[Act Systems Commissioning],259)))</f>
        <v/>
      </c>
      <c r="BS260" s="5">
        <f>IF(A260="","",N(INDEX(Projects[Act Service Commissioning],259)))</f>
        <v/>
      </c>
      <c r="BT260" s="5">
        <f>IF(A260="","",N(INDEX(Projects[Act Controls Eng],259)))</f>
        <v/>
      </c>
      <c r="BU260" s="5">
        <f>IF(A260="","",N(INDEX(Projects[Act Controls Purchase],259)))</f>
        <v/>
      </c>
      <c r="BV260" s="5">
        <f>IF(A260="","",N(INDEX(Projects[Act Software Eng],259)))</f>
        <v/>
      </c>
      <c r="BW260" s="5">
        <f>IF(A260="","",N(INDEX(Projects[Act 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INDEX(Projects[Sold Value (USD M)],259)</f>
        <v/>
      </c>
      <c r="CE260" s="5" t="n"/>
      <c r="CF260" s="5">
        <f>IF(A260="","",N(INDEX(Projects[Est Mech Inst],259)))</f>
        <v/>
      </c>
      <c r="CG260" s="5">
        <f>IF(A260="","",N(INDEX(Projects[Est Elec Inst],259)))</f>
        <v/>
      </c>
      <c r="CH260" s="5">
        <f>IF(A260="","",N(INDEX(Projects[Est Project Management],259)))</f>
        <v/>
      </c>
      <c r="CI260" s="5">
        <f>IF(A260="","",N(INDEX(Projects[Est Systems Eng],259)))</f>
        <v/>
      </c>
      <c r="CJ260" s="5">
        <f>IF(A260="","",N(INDEX(Projects[Est Mechanical Eng],259)))</f>
        <v/>
      </c>
      <c r="CK260" s="5">
        <f>IF(A260="","",N(INDEX(Projects[Est Structural Engineering],259)))</f>
        <v/>
      </c>
      <c r="CL260" s="5">
        <f>IF(A260="","",N(INDEX(Projects[Est Site Sup],259)))</f>
        <v/>
      </c>
      <c r="CM260" s="5">
        <f>IF(A260="","",N(INDEX(Projects[Est Controls Commissioning],259)))</f>
        <v/>
      </c>
      <c r="CN260" s="5">
        <f>IF(A260="","",N(INDEX(Projects[Est Systems Commissioning],259)))</f>
        <v/>
      </c>
      <c r="CO260" s="5">
        <f>IF(A260="","",N(INDEX(Projects[Est Service Commissioning],259)))</f>
        <v/>
      </c>
      <c r="CP260" s="5">
        <f>IF(A260="","",N(INDEX(Projects[Est Controls Eng],259)))</f>
        <v/>
      </c>
      <c r="CQ260" s="5">
        <f>IF(A260="","",N(INDEX(Projects[Est Controls Purchase],259)))</f>
        <v/>
      </c>
      <c r="CR260" s="5">
        <f>IF(A260="","",N(INDEX(Projects[Est Software Eng],259)))</f>
        <v/>
      </c>
      <c r="CS260" s="5">
        <f>IF(A260="","",N(INDEX(Projects[Est Misc],259)))</f>
        <v/>
      </c>
      <c r="CT260" s="5">
        <f>IF(A260="","",SUM(CF260:CS260))</f>
        <v/>
      </c>
      <c r="CU260" s="5">
        <f>INDEX(Projects[Est Cost (M)],259)</f>
        <v/>
      </c>
      <c r="CV260" s="5">
        <f>INDEX(Projects[Act Cost (M)],259)</f>
        <v/>
      </c>
      <c r="CW260" s="5">
        <f>INDEX(Projects[Plan Mech Eng (wks)],259)</f>
        <v/>
      </c>
      <c r="CX260" s="5">
        <f>INDEX(Projects[Plan Controls Eng (wks)],259)</f>
        <v/>
      </c>
      <c r="CY260" s="5">
        <f>INDEX(Projects[Plan Systems Eng (wks)],259)</f>
        <v/>
      </c>
      <c r="CZ260" s="5">
        <f>INDEX(Projects[Plan Software Eng (wks)],259)</f>
        <v/>
      </c>
      <c r="DA260" s="5">
        <f>INDEX(Projects[Plan M&amp;E Installation (wks)],259)</f>
        <v/>
      </c>
      <c r="DB260" s="5">
        <f>INDEX(Projects[Plan Commissioning (wks)],259)</f>
        <v/>
      </c>
      <c r="DC260" s="5">
        <f>INDEX(Projects[Plan Total (wks)],259)</f>
        <v/>
      </c>
      <c r="DD260" s="5">
        <f>INDEX(Projects[Act Mech Eng (wks)],259)</f>
        <v/>
      </c>
      <c r="DE260" s="5">
        <f>INDEX(Projects[Act Controls Eng (wks)],259)</f>
        <v/>
      </c>
      <c r="DF260" s="5">
        <f>INDEX(Projects[Act Systems Eng (wks)],259)</f>
        <v/>
      </c>
      <c r="DG260" s="5">
        <f>INDEX(Projects[Act Software Eng (wks)],259)</f>
        <v/>
      </c>
      <c r="DH260" s="5">
        <f>INDEX(Projects[Act M&amp;E Installation (wks)],259)</f>
        <v/>
      </c>
      <c r="DI260" s="5">
        <f>INDEX(Projects[Act Commissioning (wks)],259)</f>
        <v/>
      </c>
      <c r="DJ260" s="5">
        <f>INDEX(Projects[Act Total (wks)],259)</f>
        <v/>
      </c>
    </row>
    <row r="261" ht="15" customHeight="1" s="82">
      <c r="A261" s="64">
        <f>INDEX(Projects[Project ID *],260)&amp;""</f>
        <v/>
      </c>
      <c r="B261" s="64">
        <f>INDEX(Projects[Project Name *],260)&amp;""</f>
        <v/>
      </c>
      <c r="C261" s="64">
        <f>INDEX(Projects[MS Shuttles],260)</f>
        <v/>
      </c>
      <c r="D261" s="64">
        <f>INDEX(Projects[MS Tote Locations],260)</f>
        <v/>
      </c>
      <c r="E261" s="64">
        <f>INDEX(Projects[AS Robots],260)</f>
        <v/>
      </c>
      <c r="F261" s="64">
        <f>INDEX(Projects[AS Tote Locations],260)</f>
        <v/>
      </c>
      <c r="G261" s="64">
        <f>INDEX(Projects[PS Shuttles],260)</f>
        <v/>
      </c>
      <c r="H261" s="64">
        <f>INDEX(Projects[PS Pallet Locations],260)</f>
        <v/>
      </c>
      <c r="I261" s="64">
        <f>INDEX(Projects[SRM Cranes],260)</f>
        <v/>
      </c>
      <c r="J261" s="64">
        <f>INDEX(Projects[SRM Pallet Locations],260)</f>
        <v/>
      </c>
      <c r="K261" s="64">
        <f>INDEX(Projects[Case Conv (m)],260)</f>
        <v/>
      </c>
      <c r="L261" s="64">
        <f>INDEX(Projects[Pallet Conv (m)],260)</f>
        <v/>
      </c>
      <c r="M261" s="64">
        <f>IF(N(DJ261)&gt;0,DD261,CW261)</f>
        <v/>
      </c>
      <c r="N261" s="64">
        <f>IF(N(DJ261)&gt;0,DE261,CX261)</f>
        <v/>
      </c>
      <c r="O261" s="64">
        <f>IF(N(DJ261)&gt;0,DF261,CY261)</f>
        <v/>
      </c>
      <c r="P261" s="64">
        <f>IF(N(DJ261)&gt;0,DG261,CZ261)</f>
        <v/>
      </c>
      <c r="Q261" s="64">
        <f>IF(N(DJ261)&gt;0,DH261,DA261)</f>
        <v/>
      </c>
      <c r="R261" s="64">
        <f>IF(N(DJ261)&gt;0,DI261,DB261)</f>
        <v/>
      </c>
      <c r="S261" s="64">
        <f>IF(N(DJ261)&gt;0,DJ261,DC261)</f>
        <v/>
      </c>
      <c r="T261" s="64">
        <f>INDEX(Projects[Currency],260)&amp;""</f>
        <v/>
      </c>
      <c r="U261" s="65">
        <f>INDEX(Projects[Sold Value (M)],260)</f>
        <v/>
      </c>
      <c r="V261" s="64">
        <f>IF('Smart Search'!B13=1,IFERROR(1/'Smart Search'!H13,0),0)</f>
        <v/>
      </c>
      <c r="W261" s="64">
        <f>IF('Smart Search'!B13=1,IFERROR(1/'Smart Search'!H13,0),0)</f>
        <v/>
      </c>
      <c r="X261" s="64">
        <f>IF('Smart Search'!C13=1,IFERROR(1/'Smart Search'!H13,0),0)</f>
        <v/>
      </c>
      <c r="Y261" s="64">
        <f>IF('Smart Search'!C13=1,IFERROR(1/'Smart Search'!H13,0),0)</f>
        <v/>
      </c>
      <c r="Z261" s="64">
        <f>IF('Smart Search'!D13=1,IFERROR(1/'Smart Search'!H13,0),0)</f>
        <v/>
      </c>
      <c r="AA261" s="64">
        <f>IF('Smart Search'!D13=1,IFERROR(1/'Smart Search'!H13,0),0)</f>
        <v/>
      </c>
      <c r="AB261" s="64">
        <f>IF('Smart Search'!E13=1,IFERROR(1/'Smart Search'!H13,0),0)</f>
        <v/>
      </c>
      <c r="AC261" s="64">
        <f>IF('Smart Search'!E13=1,IFERROR(1/'Smart Search'!H13,0),0)</f>
        <v/>
      </c>
      <c r="AD261" s="64">
        <f>IF('Smart Search'!F13=1,IFERROR(1/'Smart Search'!H13,0),0)</f>
        <v/>
      </c>
      <c r="AE261" s="64">
        <f>IF('Smart Search'!F13=1,IFERROR(1/'Smart Search'!H13,0),0)</f>
        <v/>
      </c>
      <c r="AF261" s="64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4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4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4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4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4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4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4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4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4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4">
        <f>AF261*V261</f>
        <v/>
      </c>
      <c r="AQ261" s="64">
        <f>AG261*W261</f>
        <v/>
      </c>
      <c r="AR261" s="64">
        <f>AH261*X261</f>
        <v/>
      </c>
      <c r="AS261" s="64">
        <f>AI261*Y261</f>
        <v/>
      </c>
      <c r="AT261" s="64">
        <f>AJ261*Z261</f>
        <v/>
      </c>
      <c r="AU261" s="64">
        <f>AK261*AA261</f>
        <v/>
      </c>
      <c r="AV261" s="64">
        <f>AL261*AB261</f>
        <v/>
      </c>
      <c r="AW261" s="64">
        <f>AM261*AC261</f>
        <v/>
      </c>
      <c r="AX261" s="64">
        <f>AN261*AD261</f>
        <v/>
      </c>
      <c r="AY261" s="64">
        <f>AO261*AE261</f>
        <v/>
      </c>
      <c r="AZ261" s="64">
        <f>INDEX(Projects[Automation Equipment],260)&amp;""</f>
        <v/>
      </c>
      <c r="BA261" s="64">
        <f>IF(OR(A261="",'Smart Search'!H13=0),"",MAX(0,BE261*BF261*MAX(0,1-BG261)))</f>
        <v/>
      </c>
      <c r="BB261" s="64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4">
        <f>IF('Smart Search'!G13=1,IFERROR(1/'Smart Search'!H13,0),0)</f>
        <v/>
      </c>
      <c r="BD261" s="64">
        <f>BB261*BC261</f>
        <v/>
      </c>
      <c r="BE261" s="64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IF(A261="","",N(INDEX(Projects[Act Mech Inst],260)))</f>
        <v/>
      </c>
      <c r="BK261" s="5">
        <f>IF(A261="","",N(INDEX(Projects[Act Elec Inst],260)))</f>
        <v/>
      </c>
      <c r="BL261" s="5">
        <f>IF(A261="","",N(INDEX(Projects[Act Project Management],260)))</f>
        <v/>
      </c>
      <c r="BM261" s="5">
        <f>IF(A261="","",N(INDEX(Projects[Act Systems Eng],260)))</f>
        <v/>
      </c>
      <c r="BN261" s="5">
        <f>IF(A261="","",N(INDEX(Projects[Act Mechanical Eng],260)))</f>
        <v/>
      </c>
      <c r="BO261" s="5">
        <f>IF(A261="","",N(INDEX(Projects[Act Structural Engineering],260)))</f>
        <v/>
      </c>
      <c r="BP261" s="5">
        <f>IF(A261="","",N(INDEX(Projects[Act Site Sup],260)))</f>
        <v/>
      </c>
      <c r="BQ261" s="5">
        <f>IF(A261="","",N(INDEX(Projects[Act Controls Commissioning],260)))</f>
        <v/>
      </c>
      <c r="BR261" s="5">
        <f>IF(A261="","",N(INDEX(Projects[Act Systems Commissioning],260)))</f>
        <v/>
      </c>
      <c r="BS261" s="5">
        <f>IF(A261="","",N(INDEX(Projects[Act Service Commissioning],260)))</f>
        <v/>
      </c>
      <c r="BT261" s="5">
        <f>IF(A261="","",N(INDEX(Projects[Act Controls Eng],260)))</f>
        <v/>
      </c>
      <c r="BU261" s="5">
        <f>IF(A261="","",N(INDEX(Projects[Act Controls Purchase],260)))</f>
        <v/>
      </c>
      <c r="BV261" s="5">
        <f>IF(A261="","",N(INDEX(Projects[Act Software Eng],260)))</f>
        <v/>
      </c>
      <c r="BW261" s="5">
        <f>IF(A261="","",N(INDEX(Projects[Act 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INDEX(Projects[Sold Value (USD M)],260)</f>
        <v/>
      </c>
      <c r="CE261" s="5" t="n"/>
      <c r="CF261" s="5">
        <f>IF(A261="","",N(INDEX(Projects[Est Mech Inst],260)))</f>
        <v/>
      </c>
      <c r="CG261" s="5">
        <f>IF(A261="","",N(INDEX(Projects[Est Elec Inst],260)))</f>
        <v/>
      </c>
      <c r="CH261" s="5">
        <f>IF(A261="","",N(INDEX(Projects[Est Project Management],260)))</f>
        <v/>
      </c>
      <c r="CI261" s="5">
        <f>IF(A261="","",N(INDEX(Projects[Est Systems Eng],260)))</f>
        <v/>
      </c>
      <c r="CJ261" s="5">
        <f>IF(A261="","",N(INDEX(Projects[Est Mechanical Eng],260)))</f>
        <v/>
      </c>
      <c r="CK261" s="5">
        <f>IF(A261="","",N(INDEX(Projects[Est Structural Engineering],260)))</f>
        <v/>
      </c>
      <c r="CL261" s="5">
        <f>IF(A261="","",N(INDEX(Projects[Est Site Sup],260)))</f>
        <v/>
      </c>
      <c r="CM261" s="5">
        <f>IF(A261="","",N(INDEX(Projects[Est Controls Commissioning],260)))</f>
        <v/>
      </c>
      <c r="CN261" s="5">
        <f>IF(A261="","",N(INDEX(Projects[Est Systems Commissioning],260)))</f>
        <v/>
      </c>
      <c r="CO261" s="5">
        <f>IF(A261="","",N(INDEX(Projects[Est Service Commissioning],260)))</f>
        <v/>
      </c>
      <c r="CP261" s="5">
        <f>IF(A261="","",N(INDEX(Projects[Est Controls Eng],260)))</f>
        <v/>
      </c>
      <c r="CQ261" s="5">
        <f>IF(A261="","",N(INDEX(Projects[Est Controls Purchase],260)))</f>
        <v/>
      </c>
      <c r="CR261" s="5">
        <f>IF(A261="","",N(INDEX(Projects[Est Software Eng],260)))</f>
        <v/>
      </c>
      <c r="CS261" s="5">
        <f>IF(A261="","",N(INDEX(Projects[Est Misc],260)))</f>
        <v/>
      </c>
      <c r="CT261" s="5">
        <f>IF(A261="","",SUM(CF261:CS261))</f>
        <v/>
      </c>
      <c r="CU261" s="5">
        <f>INDEX(Projects[Est Cost (M)],260)</f>
        <v/>
      </c>
      <c r="CV261" s="5">
        <f>INDEX(Projects[Act Cost (M)],260)</f>
        <v/>
      </c>
      <c r="CW261" s="5">
        <f>INDEX(Projects[Plan Mech Eng (wks)],260)</f>
        <v/>
      </c>
      <c r="CX261" s="5">
        <f>INDEX(Projects[Plan Controls Eng (wks)],260)</f>
        <v/>
      </c>
      <c r="CY261" s="5">
        <f>INDEX(Projects[Plan Systems Eng (wks)],260)</f>
        <v/>
      </c>
      <c r="CZ261" s="5">
        <f>INDEX(Projects[Plan Software Eng (wks)],260)</f>
        <v/>
      </c>
      <c r="DA261" s="5">
        <f>INDEX(Projects[Plan M&amp;E Installation (wks)],260)</f>
        <v/>
      </c>
      <c r="DB261" s="5">
        <f>INDEX(Projects[Plan Commissioning (wks)],260)</f>
        <v/>
      </c>
      <c r="DC261" s="5">
        <f>INDEX(Projects[Plan Total (wks)],260)</f>
        <v/>
      </c>
      <c r="DD261" s="5">
        <f>INDEX(Projects[Act Mech Eng (wks)],260)</f>
        <v/>
      </c>
      <c r="DE261" s="5">
        <f>INDEX(Projects[Act Controls Eng (wks)],260)</f>
        <v/>
      </c>
      <c r="DF261" s="5">
        <f>INDEX(Projects[Act Systems Eng (wks)],260)</f>
        <v/>
      </c>
      <c r="DG261" s="5">
        <f>INDEX(Projects[Act Software Eng (wks)],260)</f>
        <v/>
      </c>
      <c r="DH261" s="5">
        <f>INDEX(Projects[Act M&amp;E Installation (wks)],260)</f>
        <v/>
      </c>
      <c r="DI261" s="5">
        <f>INDEX(Projects[Act Commissioning (wks)],260)</f>
        <v/>
      </c>
      <c r="DJ261" s="5">
        <f>INDEX(Projects[Act Total (wks)],260)</f>
        <v/>
      </c>
    </row>
    <row r="262" ht="15" customHeight="1" s="82">
      <c r="A262" s="64">
        <f>INDEX(Projects[Project ID *],261)&amp;""</f>
        <v/>
      </c>
      <c r="B262" s="64">
        <f>INDEX(Projects[Project Name *],261)&amp;""</f>
        <v/>
      </c>
      <c r="C262" s="64">
        <f>INDEX(Projects[MS Shuttles],261)</f>
        <v/>
      </c>
      <c r="D262" s="64">
        <f>INDEX(Projects[MS Tote Locations],261)</f>
        <v/>
      </c>
      <c r="E262" s="64">
        <f>INDEX(Projects[AS Robots],261)</f>
        <v/>
      </c>
      <c r="F262" s="64">
        <f>INDEX(Projects[AS Tote Locations],261)</f>
        <v/>
      </c>
      <c r="G262" s="64">
        <f>INDEX(Projects[PS Shuttles],261)</f>
        <v/>
      </c>
      <c r="H262" s="64">
        <f>INDEX(Projects[PS Pallet Locations],261)</f>
        <v/>
      </c>
      <c r="I262" s="64">
        <f>INDEX(Projects[SRM Cranes],261)</f>
        <v/>
      </c>
      <c r="J262" s="64">
        <f>INDEX(Projects[SRM Pallet Locations],261)</f>
        <v/>
      </c>
      <c r="K262" s="64">
        <f>INDEX(Projects[Case Conv (m)],261)</f>
        <v/>
      </c>
      <c r="L262" s="64">
        <f>INDEX(Projects[Pallet Conv (m)],261)</f>
        <v/>
      </c>
      <c r="M262" s="64">
        <f>IF(N(DJ262)&gt;0,DD262,CW262)</f>
        <v/>
      </c>
      <c r="N262" s="64">
        <f>IF(N(DJ262)&gt;0,DE262,CX262)</f>
        <v/>
      </c>
      <c r="O262" s="64">
        <f>IF(N(DJ262)&gt;0,DF262,CY262)</f>
        <v/>
      </c>
      <c r="P262" s="64">
        <f>IF(N(DJ262)&gt;0,DG262,CZ262)</f>
        <v/>
      </c>
      <c r="Q262" s="64">
        <f>IF(N(DJ262)&gt;0,DH262,DA262)</f>
        <v/>
      </c>
      <c r="R262" s="64">
        <f>IF(N(DJ262)&gt;0,DI262,DB262)</f>
        <v/>
      </c>
      <c r="S262" s="64">
        <f>IF(N(DJ262)&gt;0,DJ262,DC262)</f>
        <v/>
      </c>
      <c r="T262" s="64">
        <f>INDEX(Projects[Currency],261)&amp;""</f>
        <v/>
      </c>
      <c r="U262" s="65">
        <f>INDEX(Projects[Sold Value (M)],261)</f>
        <v/>
      </c>
      <c r="V262" s="64">
        <f>IF('Smart Search'!B13=1,IFERROR(1/'Smart Search'!H13,0),0)</f>
        <v/>
      </c>
      <c r="W262" s="64">
        <f>IF('Smart Search'!B13=1,IFERROR(1/'Smart Search'!H13,0),0)</f>
        <v/>
      </c>
      <c r="X262" s="64">
        <f>IF('Smart Search'!C13=1,IFERROR(1/'Smart Search'!H13,0),0)</f>
        <v/>
      </c>
      <c r="Y262" s="64">
        <f>IF('Smart Search'!C13=1,IFERROR(1/'Smart Search'!H13,0),0)</f>
        <v/>
      </c>
      <c r="Z262" s="64">
        <f>IF('Smart Search'!D13=1,IFERROR(1/'Smart Search'!H13,0),0)</f>
        <v/>
      </c>
      <c r="AA262" s="64">
        <f>IF('Smart Search'!D13=1,IFERROR(1/'Smart Search'!H13,0),0)</f>
        <v/>
      </c>
      <c r="AB262" s="64">
        <f>IF('Smart Search'!E13=1,IFERROR(1/'Smart Search'!H13,0),0)</f>
        <v/>
      </c>
      <c r="AC262" s="64">
        <f>IF('Smart Search'!E13=1,IFERROR(1/'Smart Search'!H13,0),0)</f>
        <v/>
      </c>
      <c r="AD262" s="64">
        <f>IF('Smart Search'!F13=1,IFERROR(1/'Smart Search'!H13,0),0)</f>
        <v/>
      </c>
      <c r="AE262" s="64">
        <f>IF('Smart Search'!F13=1,IFERROR(1/'Smart Search'!H13,0),0)</f>
        <v/>
      </c>
      <c r="AF262" s="64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4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4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4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4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4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4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4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4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4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4">
        <f>AF262*V262</f>
        <v/>
      </c>
      <c r="AQ262" s="64">
        <f>AG262*W262</f>
        <v/>
      </c>
      <c r="AR262" s="64">
        <f>AH262*X262</f>
        <v/>
      </c>
      <c r="AS262" s="64">
        <f>AI262*Y262</f>
        <v/>
      </c>
      <c r="AT262" s="64">
        <f>AJ262*Z262</f>
        <v/>
      </c>
      <c r="AU262" s="64">
        <f>AK262*AA262</f>
        <v/>
      </c>
      <c r="AV262" s="64">
        <f>AL262*AB262</f>
        <v/>
      </c>
      <c r="AW262" s="64">
        <f>AM262*AC262</f>
        <v/>
      </c>
      <c r="AX262" s="64">
        <f>AN262*AD262</f>
        <v/>
      </c>
      <c r="AY262" s="64">
        <f>AO262*AE262</f>
        <v/>
      </c>
      <c r="AZ262" s="64">
        <f>INDEX(Projects[Automation Equipment],261)&amp;""</f>
        <v/>
      </c>
      <c r="BA262" s="64">
        <f>IF(OR(A262="",'Smart Search'!H13=0),"",MAX(0,BE262*BF262*MAX(0,1-BG262)))</f>
        <v/>
      </c>
      <c r="BB262" s="64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4">
        <f>IF('Smart Search'!G13=1,IFERROR(1/'Smart Search'!H13,0),0)</f>
        <v/>
      </c>
      <c r="BD262" s="64">
        <f>BB262*BC262</f>
        <v/>
      </c>
      <c r="BE262" s="64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IF(A262="","",N(INDEX(Projects[Act Mech Inst],261)))</f>
        <v/>
      </c>
      <c r="BK262" s="5">
        <f>IF(A262="","",N(INDEX(Projects[Act Elec Inst],261)))</f>
        <v/>
      </c>
      <c r="BL262" s="5">
        <f>IF(A262="","",N(INDEX(Projects[Act Project Management],261)))</f>
        <v/>
      </c>
      <c r="BM262" s="5">
        <f>IF(A262="","",N(INDEX(Projects[Act Systems Eng],261)))</f>
        <v/>
      </c>
      <c r="BN262" s="5">
        <f>IF(A262="","",N(INDEX(Projects[Act Mechanical Eng],261)))</f>
        <v/>
      </c>
      <c r="BO262" s="5">
        <f>IF(A262="","",N(INDEX(Projects[Act Structural Engineering],261)))</f>
        <v/>
      </c>
      <c r="BP262" s="5">
        <f>IF(A262="","",N(INDEX(Projects[Act Site Sup],261)))</f>
        <v/>
      </c>
      <c r="BQ262" s="5">
        <f>IF(A262="","",N(INDEX(Projects[Act Controls Commissioning],261)))</f>
        <v/>
      </c>
      <c r="BR262" s="5">
        <f>IF(A262="","",N(INDEX(Projects[Act Systems Commissioning],261)))</f>
        <v/>
      </c>
      <c r="BS262" s="5">
        <f>IF(A262="","",N(INDEX(Projects[Act Service Commissioning],261)))</f>
        <v/>
      </c>
      <c r="BT262" s="5">
        <f>IF(A262="","",N(INDEX(Projects[Act Controls Eng],261)))</f>
        <v/>
      </c>
      <c r="BU262" s="5">
        <f>IF(A262="","",N(INDEX(Projects[Act Controls Purchase],261)))</f>
        <v/>
      </c>
      <c r="BV262" s="5">
        <f>IF(A262="","",N(INDEX(Projects[Act Software Eng],261)))</f>
        <v/>
      </c>
      <c r="BW262" s="5">
        <f>IF(A262="","",N(INDEX(Projects[Act 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INDEX(Projects[Sold Value (USD M)],261)</f>
        <v/>
      </c>
      <c r="CE262" s="5" t="n"/>
      <c r="CF262" s="5">
        <f>IF(A262="","",N(INDEX(Projects[Est Mech Inst],261)))</f>
        <v/>
      </c>
      <c r="CG262" s="5">
        <f>IF(A262="","",N(INDEX(Projects[Est Elec Inst],261)))</f>
        <v/>
      </c>
      <c r="CH262" s="5">
        <f>IF(A262="","",N(INDEX(Projects[Est Project Management],261)))</f>
        <v/>
      </c>
      <c r="CI262" s="5">
        <f>IF(A262="","",N(INDEX(Projects[Est Systems Eng],261)))</f>
        <v/>
      </c>
      <c r="CJ262" s="5">
        <f>IF(A262="","",N(INDEX(Projects[Est Mechanical Eng],261)))</f>
        <v/>
      </c>
      <c r="CK262" s="5">
        <f>IF(A262="","",N(INDEX(Projects[Est Structural Engineering],261)))</f>
        <v/>
      </c>
      <c r="CL262" s="5">
        <f>IF(A262="","",N(INDEX(Projects[Est Site Sup],261)))</f>
        <v/>
      </c>
      <c r="CM262" s="5">
        <f>IF(A262="","",N(INDEX(Projects[Est Controls Commissioning],261)))</f>
        <v/>
      </c>
      <c r="CN262" s="5">
        <f>IF(A262="","",N(INDEX(Projects[Est Systems Commissioning],261)))</f>
        <v/>
      </c>
      <c r="CO262" s="5">
        <f>IF(A262="","",N(INDEX(Projects[Est Service Commissioning],261)))</f>
        <v/>
      </c>
      <c r="CP262" s="5">
        <f>IF(A262="","",N(INDEX(Projects[Est Controls Eng],261)))</f>
        <v/>
      </c>
      <c r="CQ262" s="5">
        <f>IF(A262="","",N(INDEX(Projects[Est Controls Purchase],261)))</f>
        <v/>
      </c>
      <c r="CR262" s="5">
        <f>IF(A262="","",N(INDEX(Projects[Est Software Eng],261)))</f>
        <v/>
      </c>
      <c r="CS262" s="5">
        <f>IF(A262="","",N(INDEX(Projects[Est Misc],261)))</f>
        <v/>
      </c>
      <c r="CT262" s="5">
        <f>IF(A262="","",SUM(CF262:CS262))</f>
        <v/>
      </c>
      <c r="CU262" s="5">
        <f>INDEX(Projects[Est Cost (M)],261)</f>
        <v/>
      </c>
      <c r="CV262" s="5">
        <f>INDEX(Projects[Act Cost (M)],261)</f>
        <v/>
      </c>
      <c r="CW262" s="5">
        <f>INDEX(Projects[Plan Mech Eng (wks)],261)</f>
        <v/>
      </c>
      <c r="CX262" s="5">
        <f>INDEX(Projects[Plan Controls Eng (wks)],261)</f>
        <v/>
      </c>
      <c r="CY262" s="5">
        <f>INDEX(Projects[Plan Systems Eng (wks)],261)</f>
        <v/>
      </c>
      <c r="CZ262" s="5">
        <f>INDEX(Projects[Plan Software Eng (wks)],261)</f>
        <v/>
      </c>
      <c r="DA262" s="5">
        <f>INDEX(Projects[Plan M&amp;E Installation (wks)],261)</f>
        <v/>
      </c>
      <c r="DB262" s="5">
        <f>INDEX(Projects[Plan Commissioning (wks)],261)</f>
        <v/>
      </c>
      <c r="DC262" s="5">
        <f>INDEX(Projects[Plan Total (wks)],261)</f>
        <v/>
      </c>
      <c r="DD262" s="5">
        <f>INDEX(Projects[Act Mech Eng (wks)],261)</f>
        <v/>
      </c>
      <c r="DE262" s="5">
        <f>INDEX(Projects[Act Controls Eng (wks)],261)</f>
        <v/>
      </c>
      <c r="DF262" s="5">
        <f>INDEX(Projects[Act Systems Eng (wks)],261)</f>
        <v/>
      </c>
      <c r="DG262" s="5">
        <f>INDEX(Projects[Act Software Eng (wks)],261)</f>
        <v/>
      </c>
      <c r="DH262" s="5">
        <f>INDEX(Projects[Act M&amp;E Installation (wks)],261)</f>
        <v/>
      </c>
      <c r="DI262" s="5">
        <f>INDEX(Projects[Act Commissioning (wks)],261)</f>
        <v/>
      </c>
      <c r="DJ262" s="5">
        <f>INDEX(Projects[Act Total (wks)],261)</f>
        <v/>
      </c>
    </row>
    <row r="263" ht="15" customHeight="1" s="82">
      <c r="A263" s="64">
        <f>INDEX(Projects[Project ID *],262)&amp;""</f>
        <v/>
      </c>
      <c r="B263" s="64">
        <f>INDEX(Projects[Project Name *],262)&amp;""</f>
        <v/>
      </c>
      <c r="C263" s="64">
        <f>INDEX(Projects[MS Shuttles],262)</f>
        <v/>
      </c>
      <c r="D263" s="64">
        <f>INDEX(Projects[MS Tote Locations],262)</f>
        <v/>
      </c>
      <c r="E263" s="64">
        <f>INDEX(Projects[AS Robots],262)</f>
        <v/>
      </c>
      <c r="F263" s="64">
        <f>INDEX(Projects[AS Tote Locations],262)</f>
        <v/>
      </c>
      <c r="G263" s="64">
        <f>INDEX(Projects[PS Shuttles],262)</f>
        <v/>
      </c>
      <c r="H263" s="64">
        <f>INDEX(Projects[PS Pallet Locations],262)</f>
        <v/>
      </c>
      <c r="I263" s="64">
        <f>INDEX(Projects[SRM Cranes],262)</f>
        <v/>
      </c>
      <c r="J263" s="64">
        <f>INDEX(Projects[SRM Pallet Locations],262)</f>
        <v/>
      </c>
      <c r="K263" s="64">
        <f>INDEX(Projects[Case Conv (m)],262)</f>
        <v/>
      </c>
      <c r="L263" s="64">
        <f>INDEX(Projects[Pallet Conv (m)],262)</f>
        <v/>
      </c>
      <c r="M263" s="64">
        <f>IF(N(DJ263)&gt;0,DD263,CW263)</f>
        <v/>
      </c>
      <c r="N263" s="64">
        <f>IF(N(DJ263)&gt;0,DE263,CX263)</f>
        <v/>
      </c>
      <c r="O263" s="64">
        <f>IF(N(DJ263)&gt;0,DF263,CY263)</f>
        <v/>
      </c>
      <c r="P263" s="64">
        <f>IF(N(DJ263)&gt;0,DG263,CZ263)</f>
        <v/>
      </c>
      <c r="Q263" s="64">
        <f>IF(N(DJ263)&gt;0,DH263,DA263)</f>
        <v/>
      </c>
      <c r="R263" s="64">
        <f>IF(N(DJ263)&gt;0,DI263,DB263)</f>
        <v/>
      </c>
      <c r="S263" s="64">
        <f>IF(N(DJ263)&gt;0,DJ263,DC263)</f>
        <v/>
      </c>
      <c r="T263" s="64">
        <f>INDEX(Projects[Currency],262)&amp;""</f>
        <v/>
      </c>
      <c r="U263" s="65">
        <f>INDEX(Projects[Sold Value (M)],262)</f>
        <v/>
      </c>
      <c r="V263" s="64">
        <f>IF('Smart Search'!B13=1,IFERROR(1/'Smart Search'!H13,0),0)</f>
        <v/>
      </c>
      <c r="W263" s="64">
        <f>IF('Smart Search'!B13=1,IFERROR(1/'Smart Search'!H13,0),0)</f>
        <v/>
      </c>
      <c r="X263" s="64">
        <f>IF('Smart Search'!C13=1,IFERROR(1/'Smart Search'!H13,0),0)</f>
        <v/>
      </c>
      <c r="Y263" s="64">
        <f>IF('Smart Search'!C13=1,IFERROR(1/'Smart Search'!H13,0),0)</f>
        <v/>
      </c>
      <c r="Z263" s="64">
        <f>IF('Smart Search'!D13=1,IFERROR(1/'Smart Search'!H13,0),0)</f>
        <v/>
      </c>
      <c r="AA263" s="64">
        <f>IF('Smart Search'!D13=1,IFERROR(1/'Smart Search'!H13,0),0)</f>
        <v/>
      </c>
      <c r="AB263" s="64">
        <f>IF('Smart Search'!E13=1,IFERROR(1/'Smart Search'!H13,0),0)</f>
        <v/>
      </c>
      <c r="AC263" s="64">
        <f>IF('Smart Search'!E13=1,IFERROR(1/'Smart Search'!H13,0),0)</f>
        <v/>
      </c>
      <c r="AD263" s="64">
        <f>IF('Smart Search'!F13=1,IFERROR(1/'Smart Search'!H13,0),0)</f>
        <v/>
      </c>
      <c r="AE263" s="64">
        <f>IF('Smart Search'!F13=1,IFERROR(1/'Smart Search'!H13,0),0)</f>
        <v/>
      </c>
      <c r="AF263" s="64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4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4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4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4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4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4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4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4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4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4">
        <f>AF263*V263</f>
        <v/>
      </c>
      <c r="AQ263" s="64">
        <f>AG263*W263</f>
        <v/>
      </c>
      <c r="AR263" s="64">
        <f>AH263*X263</f>
        <v/>
      </c>
      <c r="AS263" s="64">
        <f>AI263*Y263</f>
        <v/>
      </c>
      <c r="AT263" s="64">
        <f>AJ263*Z263</f>
        <v/>
      </c>
      <c r="AU263" s="64">
        <f>AK263*AA263</f>
        <v/>
      </c>
      <c r="AV263" s="64">
        <f>AL263*AB263</f>
        <v/>
      </c>
      <c r="AW263" s="64">
        <f>AM263*AC263</f>
        <v/>
      </c>
      <c r="AX263" s="64">
        <f>AN263*AD263</f>
        <v/>
      </c>
      <c r="AY263" s="64">
        <f>AO263*AE263</f>
        <v/>
      </c>
      <c r="AZ263" s="64">
        <f>INDEX(Projects[Automation Equipment],262)&amp;""</f>
        <v/>
      </c>
      <c r="BA263" s="64">
        <f>IF(OR(A263="",'Smart Search'!H13=0),"",MAX(0,BE263*BF263*MAX(0,1-BG263)))</f>
        <v/>
      </c>
      <c r="BB263" s="64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4">
        <f>IF('Smart Search'!G13=1,IFERROR(1/'Smart Search'!H13,0),0)</f>
        <v/>
      </c>
      <c r="BD263" s="64">
        <f>BB263*BC263</f>
        <v/>
      </c>
      <c r="BE263" s="64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IF(A263="","",N(INDEX(Projects[Act Mech Inst],262)))</f>
        <v/>
      </c>
      <c r="BK263" s="5">
        <f>IF(A263="","",N(INDEX(Projects[Act Elec Inst],262)))</f>
        <v/>
      </c>
      <c r="BL263" s="5">
        <f>IF(A263="","",N(INDEX(Projects[Act Project Management],262)))</f>
        <v/>
      </c>
      <c r="BM263" s="5">
        <f>IF(A263="","",N(INDEX(Projects[Act Systems Eng],262)))</f>
        <v/>
      </c>
      <c r="BN263" s="5">
        <f>IF(A263="","",N(INDEX(Projects[Act Mechanical Eng],262)))</f>
        <v/>
      </c>
      <c r="BO263" s="5">
        <f>IF(A263="","",N(INDEX(Projects[Act Structural Engineering],262)))</f>
        <v/>
      </c>
      <c r="BP263" s="5">
        <f>IF(A263="","",N(INDEX(Projects[Act Site Sup],262)))</f>
        <v/>
      </c>
      <c r="BQ263" s="5">
        <f>IF(A263="","",N(INDEX(Projects[Act Controls Commissioning],262)))</f>
        <v/>
      </c>
      <c r="BR263" s="5">
        <f>IF(A263="","",N(INDEX(Projects[Act Systems Commissioning],262)))</f>
        <v/>
      </c>
      <c r="BS263" s="5">
        <f>IF(A263="","",N(INDEX(Projects[Act Service Commissioning],262)))</f>
        <v/>
      </c>
      <c r="BT263" s="5">
        <f>IF(A263="","",N(INDEX(Projects[Act Controls Eng],262)))</f>
        <v/>
      </c>
      <c r="BU263" s="5">
        <f>IF(A263="","",N(INDEX(Projects[Act Controls Purchase],262)))</f>
        <v/>
      </c>
      <c r="BV263" s="5">
        <f>IF(A263="","",N(INDEX(Projects[Act Software Eng],262)))</f>
        <v/>
      </c>
      <c r="BW263" s="5">
        <f>IF(A263="","",N(INDEX(Projects[Act 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INDEX(Projects[Sold Value (USD M)],262)</f>
        <v/>
      </c>
      <c r="CE263" s="5" t="n"/>
      <c r="CF263" s="5">
        <f>IF(A263="","",N(INDEX(Projects[Est Mech Inst],262)))</f>
        <v/>
      </c>
      <c r="CG263" s="5">
        <f>IF(A263="","",N(INDEX(Projects[Est Elec Inst],262)))</f>
        <v/>
      </c>
      <c r="CH263" s="5">
        <f>IF(A263="","",N(INDEX(Projects[Est Project Management],262)))</f>
        <v/>
      </c>
      <c r="CI263" s="5">
        <f>IF(A263="","",N(INDEX(Projects[Est Systems Eng],262)))</f>
        <v/>
      </c>
      <c r="CJ263" s="5">
        <f>IF(A263="","",N(INDEX(Projects[Est Mechanical Eng],262)))</f>
        <v/>
      </c>
      <c r="CK263" s="5">
        <f>IF(A263="","",N(INDEX(Projects[Est Structural Engineering],262)))</f>
        <v/>
      </c>
      <c r="CL263" s="5">
        <f>IF(A263="","",N(INDEX(Projects[Est Site Sup],262)))</f>
        <v/>
      </c>
      <c r="CM263" s="5">
        <f>IF(A263="","",N(INDEX(Projects[Est Controls Commissioning],262)))</f>
        <v/>
      </c>
      <c r="CN263" s="5">
        <f>IF(A263="","",N(INDEX(Projects[Est Systems Commissioning],262)))</f>
        <v/>
      </c>
      <c r="CO263" s="5">
        <f>IF(A263="","",N(INDEX(Projects[Est Service Commissioning],262)))</f>
        <v/>
      </c>
      <c r="CP263" s="5">
        <f>IF(A263="","",N(INDEX(Projects[Est Controls Eng],262)))</f>
        <v/>
      </c>
      <c r="CQ263" s="5">
        <f>IF(A263="","",N(INDEX(Projects[Est Controls Purchase],262)))</f>
        <v/>
      </c>
      <c r="CR263" s="5">
        <f>IF(A263="","",N(INDEX(Projects[Est Software Eng],262)))</f>
        <v/>
      </c>
      <c r="CS263" s="5">
        <f>IF(A263="","",N(INDEX(Projects[Est Misc],262)))</f>
        <v/>
      </c>
      <c r="CT263" s="5">
        <f>IF(A263="","",SUM(CF263:CS263))</f>
        <v/>
      </c>
      <c r="CU263" s="5">
        <f>INDEX(Projects[Est Cost (M)],262)</f>
        <v/>
      </c>
      <c r="CV263" s="5">
        <f>INDEX(Projects[Act Cost (M)],262)</f>
        <v/>
      </c>
      <c r="CW263" s="5">
        <f>INDEX(Projects[Plan Mech Eng (wks)],262)</f>
        <v/>
      </c>
      <c r="CX263" s="5">
        <f>INDEX(Projects[Plan Controls Eng (wks)],262)</f>
        <v/>
      </c>
      <c r="CY263" s="5">
        <f>INDEX(Projects[Plan Systems Eng (wks)],262)</f>
        <v/>
      </c>
      <c r="CZ263" s="5">
        <f>INDEX(Projects[Plan Software Eng (wks)],262)</f>
        <v/>
      </c>
      <c r="DA263" s="5">
        <f>INDEX(Projects[Plan M&amp;E Installation (wks)],262)</f>
        <v/>
      </c>
      <c r="DB263" s="5">
        <f>INDEX(Projects[Plan Commissioning (wks)],262)</f>
        <v/>
      </c>
      <c r="DC263" s="5">
        <f>INDEX(Projects[Plan Total (wks)],262)</f>
        <v/>
      </c>
      <c r="DD263" s="5">
        <f>INDEX(Projects[Act Mech Eng (wks)],262)</f>
        <v/>
      </c>
      <c r="DE263" s="5">
        <f>INDEX(Projects[Act Controls Eng (wks)],262)</f>
        <v/>
      </c>
      <c r="DF263" s="5">
        <f>INDEX(Projects[Act Systems Eng (wks)],262)</f>
        <v/>
      </c>
      <c r="DG263" s="5">
        <f>INDEX(Projects[Act Software Eng (wks)],262)</f>
        <v/>
      </c>
      <c r="DH263" s="5">
        <f>INDEX(Projects[Act M&amp;E Installation (wks)],262)</f>
        <v/>
      </c>
      <c r="DI263" s="5">
        <f>INDEX(Projects[Act Commissioning (wks)],262)</f>
        <v/>
      </c>
      <c r="DJ263" s="5">
        <f>INDEX(Projects[Act Total (wks)],262)</f>
        <v/>
      </c>
    </row>
    <row r="264" ht="15" customHeight="1" s="82">
      <c r="A264" s="64">
        <f>INDEX(Projects[Project ID *],263)&amp;""</f>
        <v/>
      </c>
      <c r="B264" s="64">
        <f>INDEX(Projects[Project Name *],263)&amp;""</f>
        <v/>
      </c>
      <c r="C264" s="64">
        <f>INDEX(Projects[MS Shuttles],263)</f>
        <v/>
      </c>
      <c r="D264" s="64">
        <f>INDEX(Projects[MS Tote Locations],263)</f>
        <v/>
      </c>
      <c r="E264" s="64">
        <f>INDEX(Projects[AS Robots],263)</f>
        <v/>
      </c>
      <c r="F264" s="64">
        <f>INDEX(Projects[AS Tote Locations],263)</f>
        <v/>
      </c>
      <c r="G264" s="64">
        <f>INDEX(Projects[PS Shuttles],263)</f>
        <v/>
      </c>
      <c r="H264" s="64">
        <f>INDEX(Projects[PS Pallet Locations],263)</f>
        <v/>
      </c>
      <c r="I264" s="64">
        <f>INDEX(Projects[SRM Cranes],263)</f>
        <v/>
      </c>
      <c r="J264" s="64">
        <f>INDEX(Projects[SRM Pallet Locations],263)</f>
        <v/>
      </c>
      <c r="K264" s="64">
        <f>INDEX(Projects[Case Conv (m)],263)</f>
        <v/>
      </c>
      <c r="L264" s="64">
        <f>INDEX(Projects[Pallet Conv (m)],263)</f>
        <v/>
      </c>
      <c r="M264" s="64">
        <f>IF(N(DJ264)&gt;0,DD264,CW264)</f>
        <v/>
      </c>
      <c r="N264" s="64">
        <f>IF(N(DJ264)&gt;0,DE264,CX264)</f>
        <v/>
      </c>
      <c r="O264" s="64">
        <f>IF(N(DJ264)&gt;0,DF264,CY264)</f>
        <v/>
      </c>
      <c r="P264" s="64">
        <f>IF(N(DJ264)&gt;0,DG264,CZ264)</f>
        <v/>
      </c>
      <c r="Q264" s="64">
        <f>IF(N(DJ264)&gt;0,DH264,DA264)</f>
        <v/>
      </c>
      <c r="R264" s="64">
        <f>IF(N(DJ264)&gt;0,DI264,DB264)</f>
        <v/>
      </c>
      <c r="S264" s="64">
        <f>IF(N(DJ264)&gt;0,DJ264,DC264)</f>
        <v/>
      </c>
      <c r="T264" s="64">
        <f>INDEX(Projects[Currency],263)&amp;""</f>
        <v/>
      </c>
      <c r="U264" s="65">
        <f>INDEX(Projects[Sold Value (M)],263)</f>
        <v/>
      </c>
      <c r="V264" s="64">
        <f>IF('Smart Search'!B13=1,IFERROR(1/'Smart Search'!H13,0),0)</f>
        <v/>
      </c>
      <c r="W264" s="64">
        <f>IF('Smart Search'!B13=1,IFERROR(1/'Smart Search'!H13,0),0)</f>
        <v/>
      </c>
      <c r="X264" s="64">
        <f>IF('Smart Search'!C13=1,IFERROR(1/'Smart Search'!H13,0),0)</f>
        <v/>
      </c>
      <c r="Y264" s="64">
        <f>IF('Smart Search'!C13=1,IFERROR(1/'Smart Search'!H13,0),0)</f>
        <v/>
      </c>
      <c r="Z264" s="64">
        <f>IF('Smart Search'!D13=1,IFERROR(1/'Smart Search'!H13,0),0)</f>
        <v/>
      </c>
      <c r="AA264" s="64">
        <f>IF('Smart Search'!D13=1,IFERROR(1/'Smart Search'!H13,0),0)</f>
        <v/>
      </c>
      <c r="AB264" s="64">
        <f>IF('Smart Search'!E13=1,IFERROR(1/'Smart Search'!H13,0),0)</f>
        <v/>
      </c>
      <c r="AC264" s="64">
        <f>IF('Smart Search'!E13=1,IFERROR(1/'Smart Search'!H13,0),0)</f>
        <v/>
      </c>
      <c r="AD264" s="64">
        <f>IF('Smart Search'!F13=1,IFERROR(1/'Smart Search'!H13,0),0)</f>
        <v/>
      </c>
      <c r="AE264" s="64">
        <f>IF('Smart Search'!F13=1,IFERROR(1/'Smart Search'!H13,0),0)</f>
        <v/>
      </c>
      <c r="AF264" s="64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4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4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4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4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4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4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4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4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4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4">
        <f>AF264*V264</f>
        <v/>
      </c>
      <c r="AQ264" s="64">
        <f>AG264*W264</f>
        <v/>
      </c>
      <c r="AR264" s="64">
        <f>AH264*X264</f>
        <v/>
      </c>
      <c r="AS264" s="64">
        <f>AI264*Y264</f>
        <v/>
      </c>
      <c r="AT264" s="64">
        <f>AJ264*Z264</f>
        <v/>
      </c>
      <c r="AU264" s="64">
        <f>AK264*AA264</f>
        <v/>
      </c>
      <c r="AV264" s="64">
        <f>AL264*AB264</f>
        <v/>
      </c>
      <c r="AW264" s="64">
        <f>AM264*AC264</f>
        <v/>
      </c>
      <c r="AX264" s="64">
        <f>AN264*AD264</f>
        <v/>
      </c>
      <c r="AY264" s="64">
        <f>AO264*AE264</f>
        <v/>
      </c>
      <c r="AZ264" s="64">
        <f>INDEX(Projects[Automation Equipment],263)&amp;""</f>
        <v/>
      </c>
      <c r="BA264" s="64">
        <f>IF(OR(A264="",'Smart Search'!H13=0),"",MAX(0,BE264*BF264*MAX(0,1-BG264)))</f>
        <v/>
      </c>
      <c r="BB264" s="64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4">
        <f>IF('Smart Search'!G13=1,IFERROR(1/'Smart Search'!H13,0),0)</f>
        <v/>
      </c>
      <c r="BD264" s="64">
        <f>BB264*BC264</f>
        <v/>
      </c>
      <c r="BE264" s="64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IF(A264="","",N(INDEX(Projects[Act Mech Inst],263)))</f>
        <v/>
      </c>
      <c r="BK264" s="5">
        <f>IF(A264="","",N(INDEX(Projects[Act Elec Inst],263)))</f>
        <v/>
      </c>
      <c r="BL264" s="5">
        <f>IF(A264="","",N(INDEX(Projects[Act Project Management],263)))</f>
        <v/>
      </c>
      <c r="BM264" s="5">
        <f>IF(A264="","",N(INDEX(Projects[Act Systems Eng],263)))</f>
        <v/>
      </c>
      <c r="BN264" s="5">
        <f>IF(A264="","",N(INDEX(Projects[Act Mechanical Eng],263)))</f>
        <v/>
      </c>
      <c r="BO264" s="5">
        <f>IF(A264="","",N(INDEX(Projects[Act Structural Engineering],263)))</f>
        <v/>
      </c>
      <c r="BP264" s="5">
        <f>IF(A264="","",N(INDEX(Projects[Act Site Sup],263)))</f>
        <v/>
      </c>
      <c r="BQ264" s="5">
        <f>IF(A264="","",N(INDEX(Projects[Act Controls Commissioning],263)))</f>
        <v/>
      </c>
      <c r="BR264" s="5">
        <f>IF(A264="","",N(INDEX(Projects[Act Systems Commissioning],263)))</f>
        <v/>
      </c>
      <c r="BS264" s="5">
        <f>IF(A264="","",N(INDEX(Projects[Act Service Commissioning],263)))</f>
        <v/>
      </c>
      <c r="BT264" s="5">
        <f>IF(A264="","",N(INDEX(Projects[Act Controls Eng],263)))</f>
        <v/>
      </c>
      <c r="BU264" s="5">
        <f>IF(A264="","",N(INDEX(Projects[Act Controls Purchase],263)))</f>
        <v/>
      </c>
      <c r="BV264" s="5">
        <f>IF(A264="","",N(INDEX(Projects[Act Software Eng],263)))</f>
        <v/>
      </c>
      <c r="BW264" s="5">
        <f>IF(A264="","",N(INDEX(Projects[Act 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INDEX(Projects[Sold Value (USD M)],263)</f>
        <v/>
      </c>
      <c r="CE264" s="5" t="n"/>
      <c r="CF264" s="5">
        <f>IF(A264="","",N(INDEX(Projects[Est Mech Inst],263)))</f>
        <v/>
      </c>
      <c r="CG264" s="5">
        <f>IF(A264="","",N(INDEX(Projects[Est Elec Inst],263)))</f>
        <v/>
      </c>
      <c r="CH264" s="5">
        <f>IF(A264="","",N(INDEX(Projects[Est Project Management],263)))</f>
        <v/>
      </c>
      <c r="CI264" s="5">
        <f>IF(A264="","",N(INDEX(Projects[Est Systems Eng],263)))</f>
        <v/>
      </c>
      <c r="CJ264" s="5">
        <f>IF(A264="","",N(INDEX(Projects[Est Mechanical Eng],263)))</f>
        <v/>
      </c>
      <c r="CK264" s="5">
        <f>IF(A264="","",N(INDEX(Projects[Est Structural Engineering],263)))</f>
        <v/>
      </c>
      <c r="CL264" s="5">
        <f>IF(A264="","",N(INDEX(Projects[Est Site Sup],263)))</f>
        <v/>
      </c>
      <c r="CM264" s="5">
        <f>IF(A264="","",N(INDEX(Projects[Est Controls Commissioning],263)))</f>
        <v/>
      </c>
      <c r="CN264" s="5">
        <f>IF(A264="","",N(INDEX(Projects[Est Systems Commissioning],263)))</f>
        <v/>
      </c>
      <c r="CO264" s="5">
        <f>IF(A264="","",N(INDEX(Projects[Est Service Commissioning],263)))</f>
        <v/>
      </c>
      <c r="CP264" s="5">
        <f>IF(A264="","",N(INDEX(Projects[Est Controls Eng],263)))</f>
        <v/>
      </c>
      <c r="CQ264" s="5">
        <f>IF(A264="","",N(INDEX(Projects[Est Controls Purchase],263)))</f>
        <v/>
      </c>
      <c r="CR264" s="5">
        <f>IF(A264="","",N(INDEX(Projects[Est Software Eng],263)))</f>
        <v/>
      </c>
      <c r="CS264" s="5">
        <f>IF(A264="","",N(INDEX(Projects[Est Misc],263)))</f>
        <v/>
      </c>
      <c r="CT264" s="5">
        <f>IF(A264="","",SUM(CF264:CS264))</f>
        <v/>
      </c>
      <c r="CU264" s="5">
        <f>INDEX(Projects[Est Cost (M)],263)</f>
        <v/>
      </c>
      <c r="CV264" s="5">
        <f>INDEX(Projects[Act Cost (M)],263)</f>
        <v/>
      </c>
      <c r="CW264" s="5">
        <f>INDEX(Projects[Plan Mech Eng (wks)],263)</f>
        <v/>
      </c>
      <c r="CX264" s="5">
        <f>INDEX(Projects[Plan Controls Eng (wks)],263)</f>
        <v/>
      </c>
      <c r="CY264" s="5">
        <f>INDEX(Projects[Plan Systems Eng (wks)],263)</f>
        <v/>
      </c>
      <c r="CZ264" s="5">
        <f>INDEX(Projects[Plan Software Eng (wks)],263)</f>
        <v/>
      </c>
      <c r="DA264" s="5">
        <f>INDEX(Projects[Plan M&amp;E Installation (wks)],263)</f>
        <v/>
      </c>
      <c r="DB264" s="5">
        <f>INDEX(Projects[Plan Commissioning (wks)],263)</f>
        <v/>
      </c>
      <c r="DC264" s="5">
        <f>INDEX(Projects[Plan Total (wks)],263)</f>
        <v/>
      </c>
      <c r="DD264" s="5">
        <f>INDEX(Projects[Act Mech Eng (wks)],263)</f>
        <v/>
      </c>
      <c r="DE264" s="5">
        <f>INDEX(Projects[Act Controls Eng (wks)],263)</f>
        <v/>
      </c>
      <c r="DF264" s="5">
        <f>INDEX(Projects[Act Systems Eng (wks)],263)</f>
        <v/>
      </c>
      <c r="DG264" s="5">
        <f>INDEX(Projects[Act Software Eng (wks)],263)</f>
        <v/>
      </c>
      <c r="DH264" s="5">
        <f>INDEX(Projects[Act M&amp;E Installation (wks)],263)</f>
        <v/>
      </c>
      <c r="DI264" s="5">
        <f>INDEX(Projects[Act Commissioning (wks)],263)</f>
        <v/>
      </c>
      <c r="DJ264" s="5">
        <f>INDEX(Projects[Act Total (wks)],263)</f>
        <v/>
      </c>
    </row>
    <row r="265" ht="15" customHeight="1" s="82">
      <c r="A265" s="64">
        <f>INDEX(Projects[Project ID *],264)&amp;""</f>
        <v/>
      </c>
      <c r="B265" s="64">
        <f>INDEX(Projects[Project Name *],264)&amp;""</f>
        <v/>
      </c>
      <c r="C265" s="64">
        <f>INDEX(Projects[MS Shuttles],264)</f>
        <v/>
      </c>
      <c r="D265" s="64">
        <f>INDEX(Projects[MS Tote Locations],264)</f>
        <v/>
      </c>
      <c r="E265" s="64">
        <f>INDEX(Projects[AS Robots],264)</f>
        <v/>
      </c>
      <c r="F265" s="64">
        <f>INDEX(Projects[AS Tote Locations],264)</f>
        <v/>
      </c>
      <c r="G265" s="64">
        <f>INDEX(Projects[PS Shuttles],264)</f>
        <v/>
      </c>
      <c r="H265" s="64">
        <f>INDEX(Projects[PS Pallet Locations],264)</f>
        <v/>
      </c>
      <c r="I265" s="64">
        <f>INDEX(Projects[SRM Cranes],264)</f>
        <v/>
      </c>
      <c r="J265" s="64">
        <f>INDEX(Projects[SRM Pallet Locations],264)</f>
        <v/>
      </c>
      <c r="K265" s="64">
        <f>INDEX(Projects[Case Conv (m)],264)</f>
        <v/>
      </c>
      <c r="L265" s="64">
        <f>INDEX(Projects[Pallet Conv (m)],264)</f>
        <v/>
      </c>
      <c r="M265" s="64">
        <f>IF(N(DJ265)&gt;0,DD265,CW265)</f>
        <v/>
      </c>
      <c r="N265" s="64">
        <f>IF(N(DJ265)&gt;0,DE265,CX265)</f>
        <v/>
      </c>
      <c r="O265" s="64">
        <f>IF(N(DJ265)&gt;0,DF265,CY265)</f>
        <v/>
      </c>
      <c r="P265" s="64">
        <f>IF(N(DJ265)&gt;0,DG265,CZ265)</f>
        <v/>
      </c>
      <c r="Q265" s="64">
        <f>IF(N(DJ265)&gt;0,DH265,DA265)</f>
        <v/>
      </c>
      <c r="R265" s="64">
        <f>IF(N(DJ265)&gt;0,DI265,DB265)</f>
        <v/>
      </c>
      <c r="S265" s="64">
        <f>IF(N(DJ265)&gt;0,DJ265,DC265)</f>
        <v/>
      </c>
      <c r="T265" s="64">
        <f>INDEX(Projects[Currency],264)&amp;""</f>
        <v/>
      </c>
      <c r="U265" s="65">
        <f>INDEX(Projects[Sold Value (M)],264)</f>
        <v/>
      </c>
      <c r="V265" s="64">
        <f>IF('Smart Search'!B13=1,IFERROR(1/'Smart Search'!H13,0),0)</f>
        <v/>
      </c>
      <c r="W265" s="64">
        <f>IF('Smart Search'!B13=1,IFERROR(1/'Smart Search'!H13,0),0)</f>
        <v/>
      </c>
      <c r="X265" s="64">
        <f>IF('Smart Search'!C13=1,IFERROR(1/'Smart Search'!H13,0),0)</f>
        <v/>
      </c>
      <c r="Y265" s="64">
        <f>IF('Smart Search'!C13=1,IFERROR(1/'Smart Search'!H13,0),0)</f>
        <v/>
      </c>
      <c r="Z265" s="64">
        <f>IF('Smart Search'!D13=1,IFERROR(1/'Smart Search'!H13,0),0)</f>
        <v/>
      </c>
      <c r="AA265" s="64">
        <f>IF('Smart Search'!D13=1,IFERROR(1/'Smart Search'!H13,0),0)</f>
        <v/>
      </c>
      <c r="AB265" s="64">
        <f>IF('Smart Search'!E13=1,IFERROR(1/'Smart Search'!H13,0),0)</f>
        <v/>
      </c>
      <c r="AC265" s="64">
        <f>IF('Smart Search'!E13=1,IFERROR(1/'Smart Search'!H13,0),0)</f>
        <v/>
      </c>
      <c r="AD265" s="64">
        <f>IF('Smart Search'!F13=1,IFERROR(1/'Smart Search'!H13,0),0)</f>
        <v/>
      </c>
      <c r="AE265" s="64">
        <f>IF('Smart Search'!F13=1,IFERROR(1/'Smart Search'!H13,0),0)</f>
        <v/>
      </c>
      <c r="AF265" s="64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4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4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4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4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4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4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4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4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4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4">
        <f>AF265*V265</f>
        <v/>
      </c>
      <c r="AQ265" s="64">
        <f>AG265*W265</f>
        <v/>
      </c>
      <c r="AR265" s="64">
        <f>AH265*X265</f>
        <v/>
      </c>
      <c r="AS265" s="64">
        <f>AI265*Y265</f>
        <v/>
      </c>
      <c r="AT265" s="64">
        <f>AJ265*Z265</f>
        <v/>
      </c>
      <c r="AU265" s="64">
        <f>AK265*AA265</f>
        <v/>
      </c>
      <c r="AV265" s="64">
        <f>AL265*AB265</f>
        <v/>
      </c>
      <c r="AW265" s="64">
        <f>AM265*AC265</f>
        <v/>
      </c>
      <c r="AX265" s="64">
        <f>AN265*AD265</f>
        <v/>
      </c>
      <c r="AY265" s="64">
        <f>AO265*AE265</f>
        <v/>
      </c>
      <c r="AZ265" s="64">
        <f>INDEX(Projects[Automation Equipment],264)&amp;""</f>
        <v/>
      </c>
      <c r="BA265" s="64">
        <f>IF(OR(A265="",'Smart Search'!H13=0),"",MAX(0,BE265*BF265*MAX(0,1-BG265)))</f>
        <v/>
      </c>
      <c r="BB265" s="64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4">
        <f>IF('Smart Search'!G13=1,IFERROR(1/'Smart Search'!H13,0),0)</f>
        <v/>
      </c>
      <c r="BD265" s="64">
        <f>BB265*BC265</f>
        <v/>
      </c>
      <c r="BE265" s="64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IF(A265="","",N(INDEX(Projects[Act Mech Inst],264)))</f>
        <v/>
      </c>
      <c r="BK265" s="5">
        <f>IF(A265="","",N(INDEX(Projects[Act Elec Inst],264)))</f>
        <v/>
      </c>
      <c r="BL265" s="5">
        <f>IF(A265="","",N(INDEX(Projects[Act Project Management],264)))</f>
        <v/>
      </c>
      <c r="BM265" s="5">
        <f>IF(A265="","",N(INDEX(Projects[Act Systems Eng],264)))</f>
        <v/>
      </c>
      <c r="BN265" s="5">
        <f>IF(A265="","",N(INDEX(Projects[Act Mechanical Eng],264)))</f>
        <v/>
      </c>
      <c r="BO265" s="5">
        <f>IF(A265="","",N(INDEX(Projects[Act Structural Engineering],264)))</f>
        <v/>
      </c>
      <c r="BP265" s="5">
        <f>IF(A265="","",N(INDEX(Projects[Act Site Sup],264)))</f>
        <v/>
      </c>
      <c r="BQ265" s="5">
        <f>IF(A265="","",N(INDEX(Projects[Act Controls Commissioning],264)))</f>
        <v/>
      </c>
      <c r="BR265" s="5">
        <f>IF(A265="","",N(INDEX(Projects[Act Systems Commissioning],264)))</f>
        <v/>
      </c>
      <c r="BS265" s="5">
        <f>IF(A265="","",N(INDEX(Projects[Act Service Commissioning],264)))</f>
        <v/>
      </c>
      <c r="BT265" s="5">
        <f>IF(A265="","",N(INDEX(Projects[Act Controls Eng],264)))</f>
        <v/>
      </c>
      <c r="BU265" s="5">
        <f>IF(A265="","",N(INDEX(Projects[Act Controls Purchase],264)))</f>
        <v/>
      </c>
      <c r="BV265" s="5">
        <f>IF(A265="","",N(INDEX(Projects[Act Software Eng],264)))</f>
        <v/>
      </c>
      <c r="BW265" s="5">
        <f>IF(A265="","",N(INDEX(Projects[Act 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INDEX(Projects[Sold Value (USD M)],264)</f>
        <v/>
      </c>
      <c r="CE265" s="5" t="n"/>
      <c r="CF265" s="5">
        <f>IF(A265="","",N(INDEX(Projects[Est Mech Inst],264)))</f>
        <v/>
      </c>
      <c r="CG265" s="5">
        <f>IF(A265="","",N(INDEX(Projects[Est Elec Inst],264)))</f>
        <v/>
      </c>
      <c r="CH265" s="5">
        <f>IF(A265="","",N(INDEX(Projects[Est Project Management],264)))</f>
        <v/>
      </c>
      <c r="CI265" s="5">
        <f>IF(A265="","",N(INDEX(Projects[Est Systems Eng],264)))</f>
        <v/>
      </c>
      <c r="CJ265" s="5">
        <f>IF(A265="","",N(INDEX(Projects[Est Mechanical Eng],264)))</f>
        <v/>
      </c>
      <c r="CK265" s="5">
        <f>IF(A265="","",N(INDEX(Projects[Est Structural Engineering],264)))</f>
        <v/>
      </c>
      <c r="CL265" s="5">
        <f>IF(A265="","",N(INDEX(Projects[Est Site Sup],264)))</f>
        <v/>
      </c>
      <c r="CM265" s="5">
        <f>IF(A265="","",N(INDEX(Projects[Est Controls Commissioning],264)))</f>
        <v/>
      </c>
      <c r="CN265" s="5">
        <f>IF(A265="","",N(INDEX(Projects[Est Systems Commissioning],264)))</f>
        <v/>
      </c>
      <c r="CO265" s="5">
        <f>IF(A265="","",N(INDEX(Projects[Est Service Commissioning],264)))</f>
        <v/>
      </c>
      <c r="CP265" s="5">
        <f>IF(A265="","",N(INDEX(Projects[Est Controls Eng],264)))</f>
        <v/>
      </c>
      <c r="CQ265" s="5">
        <f>IF(A265="","",N(INDEX(Projects[Est Controls Purchase],264)))</f>
        <v/>
      </c>
      <c r="CR265" s="5">
        <f>IF(A265="","",N(INDEX(Projects[Est Software Eng],264)))</f>
        <v/>
      </c>
      <c r="CS265" s="5">
        <f>IF(A265="","",N(INDEX(Projects[Est Misc],264)))</f>
        <v/>
      </c>
      <c r="CT265" s="5">
        <f>IF(A265="","",SUM(CF265:CS265))</f>
        <v/>
      </c>
      <c r="CU265" s="5">
        <f>INDEX(Projects[Est Cost (M)],264)</f>
        <v/>
      </c>
      <c r="CV265" s="5">
        <f>INDEX(Projects[Act Cost (M)],264)</f>
        <v/>
      </c>
      <c r="CW265" s="5">
        <f>INDEX(Projects[Plan Mech Eng (wks)],264)</f>
        <v/>
      </c>
      <c r="CX265" s="5">
        <f>INDEX(Projects[Plan Controls Eng (wks)],264)</f>
        <v/>
      </c>
      <c r="CY265" s="5">
        <f>INDEX(Projects[Plan Systems Eng (wks)],264)</f>
        <v/>
      </c>
      <c r="CZ265" s="5">
        <f>INDEX(Projects[Plan Software Eng (wks)],264)</f>
        <v/>
      </c>
      <c r="DA265" s="5">
        <f>INDEX(Projects[Plan M&amp;E Installation (wks)],264)</f>
        <v/>
      </c>
      <c r="DB265" s="5">
        <f>INDEX(Projects[Plan Commissioning (wks)],264)</f>
        <v/>
      </c>
      <c r="DC265" s="5">
        <f>INDEX(Projects[Plan Total (wks)],264)</f>
        <v/>
      </c>
      <c r="DD265" s="5">
        <f>INDEX(Projects[Act Mech Eng (wks)],264)</f>
        <v/>
      </c>
      <c r="DE265" s="5">
        <f>INDEX(Projects[Act Controls Eng (wks)],264)</f>
        <v/>
      </c>
      <c r="DF265" s="5">
        <f>INDEX(Projects[Act Systems Eng (wks)],264)</f>
        <v/>
      </c>
      <c r="DG265" s="5">
        <f>INDEX(Projects[Act Software Eng (wks)],264)</f>
        <v/>
      </c>
      <c r="DH265" s="5">
        <f>INDEX(Projects[Act M&amp;E Installation (wks)],264)</f>
        <v/>
      </c>
      <c r="DI265" s="5">
        <f>INDEX(Projects[Act Commissioning (wks)],264)</f>
        <v/>
      </c>
      <c r="DJ265" s="5">
        <f>INDEX(Projects[Act Total (wks)],264)</f>
        <v/>
      </c>
    </row>
    <row r="266" ht="15" customHeight="1" s="82">
      <c r="A266" s="64">
        <f>INDEX(Projects[Project ID *],265)&amp;""</f>
        <v/>
      </c>
      <c r="B266" s="64">
        <f>INDEX(Projects[Project Name *],265)&amp;""</f>
        <v/>
      </c>
      <c r="C266" s="64">
        <f>INDEX(Projects[MS Shuttles],265)</f>
        <v/>
      </c>
      <c r="D266" s="64">
        <f>INDEX(Projects[MS Tote Locations],265)</f>
        <v/>
      </c>
      <c r="E266" s="64">
        <f>INDEX(Projects[AS Robots],265)</f>
        <v/>
      </c>
      <c r="F266" s="64">
        <f>INDEX(Projects[AS Tote Locations],265)</f>
        <v/>
      </c>
      <c r="G266" s="64">
        <f>INDEX(Projects[PS Shuttles],265)</f>
        <v/>
      </c>
      <c r="H266" s="64">
        <f>INDEX(Projects[PS Pallet Locations],265)</f>
        <v/>
      </c>
      <c r="I266" s="64">
        <f>INDEX(Projects[SRM Cranes],265)</f>
        <v/>
      </c>
      <c r="J266" s="64">
        <f>INDEX(Projects[SRM Pallet Locations],265)</f>
        <v/>
      </c>
      <c r="K266" s="64">
        <f>INDEX(Projects[Case Conv (m)],265)</f>
        <v/>
      </c>
      <c r="L266" s="64">
        <f>INDEX(Projects[Pallet Conv (m)],265)</f>
        <v/>
      </c>
      <c r="M266" s="64">
        <f>IF(N(DJ266)&gt;0,DD266,CW266)</f>
        <v/>
      </c>
      <c r="N266" s="64">
        <f>IF(N(DJ266)&gt;0,DE266,CX266)</f>
        <v/>
      </c>
      <c r="O266" s="64">
        <f>IF(N(DJ266)&gt;0,DF266,CY266)</f>
        <v/>
      </c>
      <c r="P266" s="64">
        <f>IF(N(DJ266)&gt;0,DG266,CZ266)</f>
        <v/>
      </c>
      <c r="Q266" s="64">
        <f>IF(N(DJ266)&gt;0,DH266,DA266)</f>
        <v/>
      </c>
      <c r="R266" s="64">
        <f>IF(N(DJ266)&gt;0,DI266,DB266)</f>
        <v/>
      </c>
      <c r="S266" s="64">
        <f>IF(N(DJ266)&gt;0,DJ266,DC266)</f>
        <v/>
      </c>
      <c r="T266" s="64">
        <f>INDEX(Projects[Currency],265)&amp;""</f>
        <v/>
      </c>
      <c r="U266" s="65">
        <f>INDEX(Projects[Sold Value (M)],265)</f>
        <v/>
      </c>
      <c r="V266" s="64">
        <f>IF('Smart Search'!B13=1,IFERROR(1/'Smart Search'!H13,0),0)</f>
        <v/>
      </c>
      <c r="W266" s="64">
        <f>IF('Smart Search'!B13=1,IFERROR(1/'Smart Search'!H13,0),0)</f>
        <v/>
      </c>
      <c r="X266" s="64">
        <f>IF('Smart Search'!C13=1,IFERROR(1/'Smart Search'!H13,0),0)</f>
        <v/>
      </c>
      <c r="Y266" s="64">
        <f>IF('Smart Search'!C13=1,IFERROR(1/'Smart Search'!H13,0),0)</f>
        <v/>
      </c>
      <c r="Z266" s="64">
        <f>IF('Smart Search'!D13=1,IFERROR(1/'Smart Search'!H13,0),0)</f>
        <v/>
      </c>
      <c r="AA266" s="64">
        <f>IF('Smart Search'!D13=1,IFERROR(1/'Smart Search'!H13,0),0)</f>
        <v/>
      </c>
      <c r="AB266" s="64">
        <f>IF('Smart Search'!E13=1,IFERROR(1/'Smart Search'!H13,0),0)</f>
        <v/>
      </c>
      <c r="AC266" s="64">
        <f>IF('Smart Search'!E13=1,IFERROR(1/'Smart Search'!H13,0),0)</f>
        <v/>
      </c>
      <c r="AD266" s="64">
        <f>IF('Smart Search'!F13=1,IFERROR(1/'Smart Search'!H13,0),0)</f>
        <v/>
      </c>
      <c r="AE266" s="64">
        <f>IF('Smart Search'!F13=1,IFERROR(1/'Smart Search'!H13,0),0)</f>
        <v/>
      </c>
      <c r="AF266" s="64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4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4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4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4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4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4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4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4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4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4">
        <f>AF266*V266</f>
        <v/>
      </c>
      <c r="AQ266" s="64">
        <f>AG266*W266</f>
        <v/>
      </c>
      <c r="AR266" s="64">
        <f>AH266*X266</f>
        <v/>
      </c>
      <c r="AS266" s="64">
        <f>AI266*Y266</f>
        <v/>
      </c>
      <c r="AT266" s="64">
        <f>AJ266*Z266</f>
        <v/>
      </c>
      <c r="AU266" s="64">
        <f>AK266*AA266</f>
        <v/>
      </c>
      <c r="AV266" s="64">
        <f>AL266*AB266</f>
        <v/>
      </c>
      <c r="AW266" s="64">
        <f>AM266*AC266</f>
        <v/>
      </c>
      <c r="AX266" s="64">
        <f>AN266*AD266</f>
        <v/>
      </c>
      <c r="AY266" s="64">
        <f>AO266*AE266</f>
        <v/>
      </c>
      <c r="AZ266" s="64">
        <f>INDEX(Projects[Automation Equipment],265)&amp;""</f>
        <v/>
      </c>
      <c r="BA266" s="64">
        <f>IF(OR(A266="",'Smart Search'!H13=0),"",MAX(0,BE266*BF266*MAX(0,1-BG266)))</f>
        <v/>
      </c>
      <c r="BB266" s="64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4">
        <f>IF('Smart Search'!G13=1,IFERROR(1/'Smart Search'!H13,0),0)</f>
        <v/>
      </c>
      <c r="BD266" s="64">
        <f>BB266*BC266</f>
        <v/>
      </c>
      <c r="BE266" s="64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IF(A266="","",N(INDEX(Projects[Act Mech Inst],265)))</f>
        <v/>
      </c>
      <c r="BK266" s="5">
        <f>IF(A266="","",N(INDEX(Projects[Act Elec Inst],265)))</f>
        <v/>
      </c>
      <c r="BL266" s="5">
        <f>IF(A266="","",N(INDEX(Projects[Act Project Management],265)))</f>
        <v/>
      </c>
      <c r="BM266" s="5">
        <f>IF(A266="","",N(INDEX(Projects[Act Systems Eng],265)))</f>
        <v/>
      </c>
      <c r="BN266" s="5">
        <f>IF(A266="","",N(INDEX(Projects[Act Mechanical Eng],265)))</f>
        <v/>
      </c>
      <c r="BO266" s="5">
        <f>IF(A266="","",N(INDEX(Projects[Act Structural Engineering],265)))</f>
        <v/>
      </c>
      <c r="BP266" s="5">
        <f>IF(A266="","",N(INDEX(Projects[Act Site Sup],265)))</f>
        <v/>
      </c>
      <c r="BQ266" s="5">
        <f>IF(A266="","",N(INDEX(Projects[Act Controls Commissioning],265)))</f>
        <v/>
      </c>
      <c r="BR266" s="5">
        <f>IF(A266="","",N(INDEX(Projects[Act Systems Commissioning],265)))</f>
        <v/>
      </c>
      <c r="BS266" s="5">
        <f>IF(A266="","",N(INDEX(Projects[Act Service Commissioning],265)))</f>
        <v/>
      </c>
      <c r="BT266" s="5">
        <f>IF(A266="","",N(INDEX(Projects[Act Controls Eng],265)))</f>
        <v/>
      </c>
      <c r="BU266" s="5">
        <f>IF(A266="","",N(INDEX(Projects[Act Controls Purchase],265)))</f>
        <v/>
      </c>
      <c r="BV266" s="5">
        <f>IF(A266="","",N(INDEX(Projects[Act Software Eng],265)))</f>
        <v/>
      </c>
      <c r="BW266" s="5">
        <f>IF(A266="","",N(INDEX(Projects[Act 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INDEX(Projects[Sold Value (USD M)],265)</f>
        <v/>
      </c>
      <c r="CE266" s="5" t="n"/>
      <c r="CF266" s="5">
        <f>IF(A266="","",N(INDEX(Projects[Est Mech Inst],265)))</f>
        <v/>
      </c>
      <c r="CG266" s="5">
        <f>IF(A266="","",N(INDEX(Projects[Est Elec Inst],265)))</f>
        <v/>
      </c>
      <c r="CH266" s="5">
        <f>IF(A266="","",N(INDEX(Projects[Est Project Management],265)))</f>
        <v/>
      </c>
      <c r="CI266" s="5">
        <f>IF(A266="","",N(INDEX(Projects[Est Systems Eng],265)))</f>
        <v/>
      </c>
      <c r="CJ266" s="5">
        <f>IF(A266="","",N(INDEX(Projects[Est Mechanical Eng],265)))</f>
        <v/>
      </c>
      <c r="CK266" s="5">
        <f>IF(A266="","",N(INDEX(Projects[Est Structural Engineering],265)))</f>
        <v/>
      </c>
      <c r="CL266" s="5">
        <f>IF(A266="","",N(INDEX(Projects[Est Site Sup],265)))</f>
        <v/>
      </c>
      <c r="CM266" s="5">
        <f>IF(A266="","",N(INDEX(Projects[Est Controls Commissioning],265)))</f>
        <v/>
      </c>
      <c r="CN266" s="5">
        <f>IF(A266="","",N(INDEX(Projects[Est Systems Commissioning],265)))</f>
        <v/>
      </c>
      <c r="CO266" s="5">
        <f>IF(A266="","",N(INDEX(Projects[Est Service Commissioning],265)))</f>
        <v/>
      </c>
      <c r="CP266" s="5">
        <f>IF(A266="","",N(INDEX(Projects[Est Controls Eng],265)))</f>
        <v/>
      </c>
      <c r="CQ266" s="5">
        <f>IF(A266="","",N(INDEX(Projects[Est Controls Purchase],265)))</f>
        <v/>
      </c>
      <c r="CR266" s="5">
        <f>IF(A266="","",N(INDEX(Projects[Est Software Eng],265)))</f>
        <v/>
      </c>
      <c r="CS266" s="5">
        <f>IF(A266="","",N(INDEX(Projects[Est Misc],265)))</f>
        <v/>
      </c>
      <c r="CT266" s="5">
        <f>IF(A266="","",SUM(CF266:CS266))</f>
        <v/>
      </c>
      <c r="CU266" s="5">
        <f>INDEX(Projects[Est Cost (M)],265)</f>
        <v/>
      </c>
      <c r="CV266" s="5">
        <f>INDEX(Projects[Act Cost (M)],265)</f>
        <v/>
      </c>
      <c r="CW266" s="5">
        <f>INDEX(Projects[Plan Mech Eng (wks)],265)</f>
        <v/>
      </c>
      <c r="CX266" s="5">
        <f>INDEX(Projects[Plan Controls Eng (wks)],265)</f>
        <v/>
      </c>
      <c r="CY266" s="5">
        <f>INDEX(Projects[Plan Systems Eng (wks)],265)</f>
        <v/>
      </c>
      <c r="CZ266" s="5">
        <f>INDEX(Projects[Plan Software Eng (wks)],265)</f>
        <v/>
      </c>
      <c r="DA266" s="5">
        <f>INDEX(Projects[Plan M&amp;E Installation (wks)],265)</f>
        <v/>
      </c>
      <c r="DB266" s="5">
        <f>INDEX(Projects[Plan Commissioning (wks)],265)</f>
        <v/>
      </c>
      <c r="DC266" s="5">
        <f>INDEX(Projects[Plan Total (wks)],265)</f>
        <v/>
      </c>
      <c r="DD266" s="5">
        <f>INDEX(Projects[Act Mech Eng (wks)],265)</f>
        <v/>
      </c>
      <c r="DE266" s="5">
        <f>INDEX(Projects[Act Controls Eng (wks)],265)</f>
        <v/>
      </c>
      <c r="DF266" s="5">
        <f>INDEX(Projects[Act Systems Eng (wks)],265)</f>
        <v/>
      </c>
      <c r="DG266" s="5">
        <f>INDEX(Projects[Act Software Eng (wks)],265)</f>
        <v/>
      </c>
      <c r="DH266" s="5">
        <f>INDEX(Projects[Act M&amp;E Installation (wks)],265)</f>
        <v/>
      </c>
      <c r="DI266" s="5">
        <f>INDEX(Projects[Act Commissioning (wks)],265)</f>
        <v/>
      </c>
      <c r="DJ266" s="5">
        <f>INDEX(Projects[Act Total (wks)],265)</f>
        <v/>
      </c>
    </row>
    <row r="267" ht="15" customHeight="1" s="82">
      <c r="A267" s="64">
        <f>INDEX(Projects[Project ID *],266)&amp;""</f>
        <v/>
      </c>
      <c r="B267" s="64">
        <f>INDEX(Projects[Project Name *],266)&amp;""</f>
        <v/>
      </c>
      <c r="C267" s="64">
        <f>INDEX(Projects[MS Shuttles],266)</f>
        <v/>
      </c>
      <c r="D267" s="64">
        <f>INDEX(Projects[MS Tote Locations],266)</f>
        <v/>
      </c>
      <c r="E267" s="64">
        <f>INDEX(Projects[AS Robots],266)</f>
        <v/>
      </c>
      <c r="F267" s="64">
        <f>INDEX(Projects[AS Tote Locations],266)</f>
        <v/>
      </c>
      <c r="G267" s="64">
        <f>INDEX(Projects[PS Shuttles],266)</f>
        <v/>
      </c>
      <c r="H267" s="64">
        <f>INDEX(Projects[PS Pallet Locations],266)</f>
        <v/>
      </c>
      <c r="I267" s="64">
        <f>INDEX(Projects[SRM Cranes],266)</f>
        <v/>
      </c>
      <c r="J267" s="64">
        <f>INDEX(Projects[SRM Pallet Locations],266)</f>
        <v/>
      </c>
      <c r="K267" s="64">
        <f>INDEX(Projects[Case Conv (m)],266)</f>
        <v/>
      </c>
      <c r="L267" s="64">
        <f>INDEX(Projects[Pallet Conv (m)],266)</f>
        <v/>
      </c>
      <c r="M267" s="64">
        <f>IF(N(DJ267)&gt;0,DD267,CW267)</f>
        <v/>
      </c>
      <c r="N267" s="64">
        <f>IF(N(DJ267)&gt;0,DE267,CX267)</f>
        <v/>
      </c>
      <c r="O267" s="64">
        <f>IF(N(DJ267)&gt;0,DF267,CY267)</f>
        <v/>
      </c>
      <c r="P267" s="64">
        <f>IF(N(DJ267)&gt;0,DG267,CZ267)</f>
        <v/>
      </c>
      <c r="Q267" s="64">
        <f>IF(N(DJ267)&gt;0,DH267,DA267)</f>
        <v/>
      </c>
      <c r="R267" s="64">
        <f>IF(N(DJ267)&gt;0,DI267,DB267)</f>
        <v/>
      </c>
      <c r="S267" s="64">
        <f>IF(N(DJ267)&gt;0,DJ267,DC267)</f>
        <v/>
      </c>
      <c r="T267" s="64">
        <f>INDEX(Projects[Currency],266)&amp;""</f>
        <v/>
      </c>
      <c r="U267" s="65">
        <f>INDEX(Projects[Sold Value (M)],266)</f>
        <v/>
      </c>
      <c r="V267" s="64">
        <f>IF('Smart Search'!B13=1,IFERROR(1/'Smart Search'!H13,0),0)</f>
        <v/>
      </c>
      <c r="W267" s="64">
        <f>IF('Smart Search'!B13=1,IFERROR(1/'Smart Search'!H13,0),0)</f>
        <v/>
      </c>
      <c r="X267" s="64">
        <f>IF('Smart Search'!C13=1,IFERROR(1/'Smart Search'!H13,0),0)</f>
        <v/>
      </c>
      <c r="Y267" s="64">
        <f>IF('Smart Search'!C13=1,IFERROR(1/'Smart Search'!H13,0),0)</f>
        <v/>
      </c>
      <c r="Z267" s="64">
        <f>IF('Smart Search'!D13=1,IFERROR(1/'Smart Search'!H13,0),0)</f>
        <v/>
      </c>
      <c r="AA267" s="64">
        <f>IF('Smart Search'!D13=1,IFERROR(1/'Smart Search'!H13,0),0)</f>
        <v/>
      </c>
      <c r="AB267" s="64">
        <f>IF('Smart Search'!E13=1,IFERROR(1/'Smart Search'!H13,0),0)</f>
        <v/>
      </c>
      <c r="AC267" s="64">
        <f>IF('Smart Search'!E13=1,IFERROR(1/'Smart Search'!H13,0),0)</f>
        <v/>
      </c>
      <c r="AD267" s="64">
        <f>IF('Smart Search'!F13=1,IFERROR(1/'Smart Search'!H13,0),0)</f>
        <v/>
      </c>
      <c r="AE267" s="64">
        <f>IF('Smart Search'!F13=1,IFERROR(1/'Smart Search'!H13,0),0)</f>
        <v/>
      </c>
      <c r="AF267" s="64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4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4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4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4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4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4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4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4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4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4">
        <f>AF267*V267</f>
        <v/>
      </c>
      <c r="AQ267" s="64">
        <f>AG267*W267</f>
        <v/>
      </c>
      <c r="AR267" s="64">
        <f>AH267*X267</f>
        <v/>
      </c>
      <c r="AS267" s="64">
        <f>AI267*Y267</f>
        <v/>
      </c>
      <c r="AT267" s="64">
        <f>AJ267*Z267</f>
        <v/>
      </c>
      <c r="AU267" s="64">
        <f>AK267*AA267</f>
        <v/>
      </c>
      <c r="AV267" s="64">
        <f>AL267*AB267</f>
        <v/>
      </c>
      <c r="AW267" s="64">
        <f>AM267*AC267</f>
        <v/>
      </c>
      <c r="AX267" s="64">
        <f>AN267*AD267</f>
        <v/>
      </c>
      <c r="AY267" s="64">
        <f>AO267*AE267</f>
        <v/>
      </c>
      <c r="AZ267" s="64">
        <f>INDEX(Projects[Automation Equipment],266)&amp;""</f>
        <v/>
      </c>
      <c r="BA267" s="64">
        <f>IF(OR(A267="",'Smart Search'!H13=0),"",MAX(0,BE267*BF267*MAX(0,1-BG267)))</f>
        <v/>
      </c>
      <c r="BB267" s="64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4">
        <f>IF('Smart Search'!G13=1,IFERROR(1/'Smart Search'!H13,0),0)</f>
        <v/>
      </c>
      <c r="BD267" s="64">
        <f>BB267*BC267</f>
        <v/>
      </c>
      <c r="BE267" s="64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IF(A267="","",N(INDEX(Projects[Act Mech Inst],266)))</f>
        <v/>
      </c>
      <c r="BK267" s="5">
        <f>IF(A267="","",N(INDEX(Projects[Act Elec Inst],266)))</f>
        <v/>
      </c>
      <c r="BL267" s="5">
        <f>IF(A267="","",N(INDEX(Projects[Act Project Management],266)))</f>
        <v/>
      </c>
      <c r="BM267" s="5">
        <f>IF(A267="","",N(INDEX(Projects[Act Systems Eng],266)))</f>
        <v/>
      </c>
      <c r="BN267" s="5">
        <f>IF(A267="","",N(INDEX(Projects[Act Mechanical Eng],266)))</f>
        <v/>
      </c>
      <c r="BO267" s="5">
        <f>IF(A267="","",N(INDEX(Projects[Act Structural Engineering],266)))</f>
        <v/>
      </c>
      <c r="BP267" s="5">
        <f>IF(A267="","",N(INDEX(Projects[Act Site Sup],266)))</f>
        <v/>
      </c>
      <c r="BQ267" s="5">
        <f>IF(A267="","",N(INDEX(Projects[Act Controls Commissioning],266)))</f>
        <v/>
      </c>
      <c r="BR267" s="5">
        <f>IF(A267="","",N(INDEX(Projects[Act Systems Commissioning],266)))</f>
        <v/>
      </c>
      <c r="BS267" s="5">
        <f>IF(A267="","",N(INDEX(Projects[Act Service Commissioning],266)))</f>
        <v/>
      </c>
      <c r="BT267" s="5">
        <f>IF(A267="","",N(INDEX(Projects[Act Controls Eng],266)))</f>
        <v/>
      </c>
      <c r="BU267" s="5">
        <f>IF(A267="","",N(INDEX(Projects[Act Controls Purchase],266)))</f>
        <v/>
      </c>
      <c r="BV267" s="5">
        <f>IF(A267="","",N(INDEX(Projects[Act Software Eng],266)))</f>
        <v/>
      </c>
      <c r="BW267" s="5">
        <f>IF(A267="","",N(INDEX(Projects[Act 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INDEX(Projects[Sold Value (USD M)],266)</f>
        <v/>
      </c>
      <c r="CE267" s="5" t="n"/>
      <c r="CF267" s="5">
        <f>IF(A267="","",N(INDEX(Projects[Est Mech Inst],266)))</f>
        <v/>
      </c>
      <c r="CG267" s="5">
        <f>IF(A267="","",N(INDEX(Projects[Est Elec Inst],266)))</f>
        <v/>
      </c>
      <c r="CH267" s="5">
        <f>IF(A267="","",N(INDEX(Projects[Est Project Management],266)))</f>
        <v/>
      </c>
      <c r="CI267" s="5">
        <f>IF(A267="","",N(INDEX(Projects[Est Systems Eng],266)))</f>
        <v/>
      </c>
      <c r="CJ267" s="5">
        <f>IF(A267="","",N(INDEX(Projects[Est Mechanical Eng],266)))</f>
        <v/>
      </c>
      <c r="CK267" s="5">
        <f>IF(A267="","",N(INDEX(Projects[Est Structural Engineering],266)))</f>
        <v/>
      </c>
      <c r="CL267" s="5">
        <f>IF(A267="","",N(INDEX(Projects[Est Site Sup],266)))</f>
        <v/>
      </c>
      <c r="CM267" s="5">
        <f>IF(A267="","",N(INDEX(Projects[Est Controls Commissioning],266)))</f>
        <v/>
      </c>
      <c r="CN267" s="5">
        <f>IF(A267="","",N(INDEX(Projects[Est Systems Commissioning],266)))</f>
        <v/>
      </c>
      <c r="CO267" s="5">
        <f>IF(A267="","",N(INDEX(Projects[Est Service Commissioning],266)))</f>
        <v/>
      </c>
      <c r="CP267" s="5">
        <f>IF(A267="","",N(INDEX(Projects[Est Controls Eng],266)))</f>
        <v/>
      </c>
      <c r="CQ267" s="5">
        <f>IF(A267="","",N(INDEX(Projects[Est Controls Purchase],266)))</f>
        <v/>
      </c>
      <c r="CR267" s="5">
        <f>IF(A267="","",N(INDEX(Projects[Est Software Eng],266)))</f>
        <v/>
      </c>
      <c r="CS267" s="5">
        <f>IF(A267="","",N(INDEX(Projects[Est Misc],266)))</f>
        <v/>
      </c>
      <c r="CT267" s="5">
        <f>IF(A267="","",SUM(CF267:CS267))</f>
        <v/>
      </c>
      <c r="CU267" s="5">
        <f>INDEX(Projects[Est Cost (M)],266)</f>
        <v/>
      </c>
      <c r="CV267" s="5">
        <f>INDEX(Projects[Act Cost (M)],266)</f>
        <v/>
      </c>
      <c r="CW267" s="5">
        <f>INDEX(Projects[Plan Mech Eng (wks)],266)</f>
        <v/>
      </c>
      <c r="CX267" s="5">
        <f>INDEX(Projects[Plan Controls Eng (wks)],266)</f>
        <v/>
      </c>
      <c r="CY267" s="5">
        <f>INDEX(Projects[Plan Systems Eng (wks)],266)</f>
        <v/>
      </c>
      <c r="CZ267" s="5">
        <f>INDEX(Projects[Plan Software Eng (wks)],266)</f>
        <v/>
      </c>
      <c r="DA267" s="5">
        <f>INDEX(Projects[Plan M&amp;E Installation (wks)],266)</f>
        <v/>
      </c>
      <c r="DB267" s="5">
        <f>INDEX(Projects[Plan Commissioning (wks)],266)</f>
        <v/>
      </c>
      <c r="DC267" s="5">
        <f>INDEX(Projects[Plan Total (wks)],266)</f>
        <v/>
      </c>
      <c r="DD267" s="5">
        <f>INDEX(Projects[Act Mech Eng (wks)],266)</f>
        <v/>
      </c>
      <c r="DE267" s="5">
        <f>INDEX(Projects[Act Controls Eng (wks)],266)</f>
        <v/>
      </c>
      <c r="DF267" s="5">
        <f>INDEX(Projects[Act Systems Eng (wks)],266)</f>
        <v/>
      </c>
      <c r="DG267" s="5">
        <f>INDEX(Projects[Act Software Eng (wks)],266)</f>
        <v/>
      </c>
      <c r="DH267" s="5">
        <f>INDEX(Projects[Act M&amp;E Installation (wks)],266)</f>
        <v/>
      </c>
      <c r="DI267" s="5">
        <f>INDEX(Projects[Act Commissioning (wks)],266)</f>
        <v/>
      </c>
      <c r="DJ267" s="5">
        <f>INDEX(Projects[Act Total (wks)],266)</f>
        <v/>
      </c>
    </row>
    <row r="268" ht="15" customHeight="1" s="82">
      <c r="A268" s="64">
        <f>INDEX(Projects[Project ID *],267)&amp;""</f>
        <v/>
      </c>
      <c r="B268" s="64">
        <f>INDEX(Projects[Project Name *],267)&amp;""</f>
        <v/>
      </c>
      <c r="C268" s="64">
        <f>INDEX(Projects[MS Shuttles],267)</f>
        <v/>
      </c>
      <c r="D268" s="64">
        <f>INDEX(Projects[MS Tote Locations],267)</f>
        <v/>
      </c>
      <c r="E268" s="64">
        <f>INDEX(Projects[AS Robots],267)</f>
        <v/>
      </c>
      <c r="F268" s="64">
        <f>INDEX(Projects[AS Tote Locations],267)</f>
        <v/>
      </c>
      <c r="G268" s="64">
        <f>INDEX(Projects[PS Shuttles],267)</f>
        <v/>
      </c>
      <c r="H268" s="64">
        <f>INDEX(Projects[PS Pallet Locations],267)</f>
        <v/>
      </c>
      <c r="I268" s="64">
        <f>INDEX(Projects[SRM Cranes],267)</f>
        <v/>
      </c>
      <c r="J268" s="64">
        <f>INDEX(Projects[SRM Pallet Locations],267)</f>
        <v/>
      </c>
      <c r="K268" s="64">
        <f>INDEX(Projects[Case Conv (m)],267)</f>
        <v/>
      </c>
      <c r="L268" s="64">
        <f>INDEX(Projects[Pallet Conv (m)],267)</f>
        <v/>
      </c>
      <c r="M268" s="64">
        <f>IF(N(DJ268)&gt;0,DD268,CW268)</f>
        <v/>
      </c>
      <c r="N268" s="64">
        <f>IF(N(DJ268)&gt;0,DE268,CX268)</f>
        <v/>
      </c>
      <c r="O268" s="64">
        <f>IF(N(DJ268)&gt;0,DF268,CY268)</f>
        <v/>
      </c>
      <c r="P268" s="64">
        <f>IF(N(DJ268)&gt;0,DG268,CZ268)</f>
        <v/>
      </c>
      <c r="Q268" s="64">
        <f>IF(N(DJ268)&gt;0,DH268,DA268)</f>
        <v/>
      </c>
      <c r="R268" s="64">
        <f>IF(N(DJ268)&gt;0,DI268,DB268)</f>
        <v/>
      </c>
      <c r="S268" s="64">
        <f>IF(N(DJ268)&gt;0,DJ268,DC268)</f>
        <v/>
      </c>
      <c r="T268" s="64">
        <f>INDEX(Projects[Currency],267)&amp;""</f>
        <v/>
      </c>
      <c r="U268" s="65">
        <f>INDEX(Projects[Sold Value (M)],267)</f>
        <v/>
      </c>
      <c r="V268" s="64">
        <f>IF('Smart Search'!B13=1,IFERROR(1/'Smart Search'!H13,0),0)</f>
        <v/>
      </c>
      <c r="W268" s="64">
        <f>IF('Smart Search'!B13=1,IFERROR(1/'Smart Search'!H13,0),0)</f>
        <v/>
      </c>
      <c r="X268" s="64">
        <f>IF('Smart Search'!C13=1,IFERROR(1/'Smart Search'!H13,0),0)</f>
        <v/>
      </c>
      <c r="Y268" s="64">
        <f>IF('Smart Search'!C13=1,IFERROR(1/'Smart Search'!H13,0),0)</f>
        <v/>
      </c>
      <c r="Z268" s="64">
        <f>IF('Smart Search'!D13=1,IFERROR(1/'Smart Search'!H13,0),0)</f>
        <v/>
      </c>
      <c r="AA268" s="64">
        <f>IF('Smart Search'!D13=1,IFERROR(1/'Smart Search'!H13,0),0)</f>
        <v/>
      </c>
      <c r="AB268" s="64">
        <f>IF('Smart Search'!E13=1,IFERROR(1/'Smart Search'!H13,0),0)</f>
        <v/>
      </c>
      <c r="AC268" s="64">
        <f>IF('Smart Search'!E13=1,IFERROR(1/'Smart Search'!H13,0),0)</f>
        <v/>
      </c>
      <c r="AD268" s="64">
        <f>IF('Smart Search'!F13=1,IFERROR(1/'Smart Search'!H13,0),0)</f>
        <v/>
      </c>
      <c r="AE268" s="64">
        <f>IF('Smart Search'!F13=1,IFERROR(1/'Smart Search'!H13,0),0)</f>
        <v/>
      </c>
      <c r="AF268" s="64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4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4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4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4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4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4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4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4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4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4">
        <f>AF268*V268</f>
        <v/>
      </c>
      <c r="AQ268" s="64">
        <f>AG268*W268</f>
        <v/>
      </c>
      <c r="AR268" s="64">
        <f>AH268*X268</f>
        <v/>
      </c>
      <c r="AS268" s="64">
        <f>AI268*Y268</f>
        <v/>
      </c>
      <c r="AT268" s="64">
        <f>AJ268*Z268</f>
        <v/>
      </c>
      <c r="AU268" s="64">
        <f>AK268*AA268</f>
        <v/>
      </c>
      <c r="AV268" s="64">
        <f>AL268*AB268</f>
        <v/>
      </c>
      <c r="AW268" s="64">
        <f>AM268*AC268</f>
        <v/>
      </c>
      <c r="AX268" s="64">
        <f>AN268*AD268</f>
        <v/>
      </c>
      <c r="AY268" s="64">
        <f>AO268*AE268</f>
        <v/>
      </c>
      <c r="AZ268" s="64">
        <f>INDEX(Projects[Automation Equipment],267)&amp;""</f>
        <v/>
      </c>
      <c r="BA268" s="64">
        <f>IF(OR(A268="",'Smart Search'!H13=0),"",MAX(0,BE268*BF268*MAX(0,1-BG268)))</f>
        <v/>
      </c>
      <c r="BB268" s="64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4">
        <f>IF('Smart Search'!G13=1,IFERROR(1/'Smart Search'!H13,0),0)</f>
        <v/>
      </c>
      <c r="BD268" s="64">
        <f>BB268*BC268</f>
        <v/>
      </c>
      <c r="BE268" s="64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IF(A268="","",N(INDEX(Projects[Act Mech Inst],267)))</f>
        <v/>
      </c>
      <c r="BK268" s="5">
        <f>IF(A268="","",N(INDEX(Projects[Act Elec Inst],267)))</f>
        <v/>
      </c>
      <c r="BL268" s="5">
        <f>IF(A268="","",N(INDEX(Projects[Act Project Management],267)))</f>
        <v/>
      </c>
      <c r="BM268" s="5">
        <f>IF(A268="","",N(INDEX(Projects[Act Systems Eng],267)))</f>
        <v/>
      </c>
      <c r="BN268" s="5">
        <f>IF(A268="","",N(INDEX(Projects[Act Mechanical Eng],267)))</f>
        <v/>
      </c>
      <c r="BO268" s="5">
        <f>IF(A268="","",N(INDEX(Projects[Act Structural Engineering],267)))</f>
        <v/>
      </c>
      <c r="BP268" s="5">
        <f>IF(A268="","",N(INDEX(Projects[Act Site Sup],267)))</f>
        <v/>
      </c>
      <c r="BQ268" s="5">
        <f>IF(A268="","",N(INDEX(Projects[Act Controls Commissioning],267)))</f>
        <v/>
      </c>
      <c r="BR268" s="5">
        <f>IF(A268="","",N(INDEX(Projects[Act Systems Commissioning],267)))</f>
        <v/>
      </c>
      <c r="BS268" s="5">
        <f>IF(A268="","",N(INDEX(Projects[Act Service Commissioning],267)))</f>
        <v/>
      </c>
      <c r="BT268" s="5">
        <f>IF(A268="","",N(INDEX(Projects[Act Controls Eng],267)))</f>
        <v/>
      </c>
      <c r="BU268" s="5">
        <f>IF(A268="","",N(INDEX(Projects[Act Controls Purchase],267)))</f>
        <v/>
      </c>
      <c r="BV268" s="5">
        <f>IF(A268="","",N(INDEX(Projects[Act Software Eng],267)))</f>
        <v/>
      </c>
      <c r="BW268" s="5">
        <f>IF(A268="","",N(INDEX(Projects[Act 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INDEX(Projects[Sold Value (USD M)],267)</f>
        <v/>
      </c>
      <c r="CE268" s="5" t="n"/>
      <c r="CF268" s="5">
        <f>IF(A268="","",N(INDEX(Projects[Est Mech Inst],267)))</f>
        <v/>
      </c>
      <c r="CG268" s="5">
        <f>IF(A268="","",N(INDEX(Projects[Est Elec Inst],267)))</f>
        <v/>
      </c>
      <c r="CH268" s="5">
        <f>IF(A268="","",N(INDEX(Projects[Est Project Management],267)))</f>
        <v/>
      </c>
      <c r="CI268" s="5">
        <f>IF(A268="","",N(INDEX(Projects[Est Systems Eng],267)))</f>
        <v/>
      </c>
      <c r="CJ268" s="5">
        <f>IF(A268="","",N(INDEX(Projects[Est Mechanical Eng],267)))</f>
        <v/>
      </c>
      <c r="CK268" s="5">
        <f>IF(A268="","",N(INDEX(Projects[Est Structural Engineering],267)))</f>
        <v/>
      </c>
      <c r="CL268" s="5">
        <f>IF(A268="","",N(INDEX(Projects[Est Site Sup],267)))</f>
        <v/>
      </c>
      <c r="CM268" s="5">
        <f>IF(A268="","",N(INDEX(Projects[Est Controls Commissioning],267)))</f>
        <v/>
      </c>
      <c r="CN268" s="5">
        <f>IF(A268="","",N(INDEX(Projects[Est Systems Commissioning],267)))</f>
        <v/>
      </c>
      <c r="CO268" s="5">
        <f>IF(A268="","",N(INDEX(Projects[Est Service Commissioning],267)))</f>
        <v/>
      </c>
      <c r="CP268" s="5">
        <f>IF(A268="","",N(INDEX(Projects[Est Controls Eng],267)))</f>
        <v/>
      </c>
      <c r="CQ268" s="5">
        <f>IF(A268="","",N(INDEX(Projects[Est Controls Purchase],267)))</f>
        <v/>
      </c>
      <c r="CR268" s="5">
        <f>IF(A268="","",N(INDEX(Projects[Est Software Eng],267)))</f>
        <v/>
      </c>
      <c r="CS268" s="5">
        <f>IF(A268="","",N(INDEX(Projects[Est Misc],267)))</f>
        <v/>
      </c>
      <c r="CT268" s="5">
        <f>IF(A268="","",SUM(CF268:CS268))</f>
        <v/>
      </c>
      <c r="CU268" s="5">
        <f>INDEX(Projects[Est Cost (M)],267)</f>
        <v/>
      </c>
      <c r="CV268" s="5">
        <f>INDEX(Projects[Act Cost (M)],267)</f>
        <v/>
      </c>
      <c r="CW268" s="5">
        <f>INDEX(Projects[Plan Mech Eng (wks)],267)</f>
        <v/>
      </c>
      <c r="CX268" s="5">
        <f>INDEX(Projects[Plan Controls Eng (wks)],267)</f>
        <v/>
      </c>
      <c r="CY268" s="5">
        <f>INDEX(Projects[Plan Systems Eng (wks)],267)</f>
        <v/>
      </c>
      <c r="CZ268" s="5">
        <f>INDEX(Projects[Plan Software Eng (wks)],267)</f>
        <v/>
      </c>
      <c r="DA268" s="5">
        <f>INDEX(Projects[Plan M&amp;E Installation (wks)],267)</f>
        <v/>
      </c>
      <c r="DB268" s="5">
        <f>INDEX(Projects[Plan Commissioning (wks)],267)</f>
        <v/>
      </c>
      <c r="DC268" s="5">
        <f>INDEX(Projects[Plan Total (wks)],267)</f>
        <v/>
      </c>
      <c r="DD268" s="5">
        <f>INDEX(Projects[Act Mech Eng (wks)],267)</f>
        <v/>
      </c>
      <c r="DE268" s="5">
        <f>INDEX(Projects[Act Controls Eng (wks)],267)</f>
        <v/>
      </c>
      <c r="DF268" s="5">
        <f>INDEX(Projects[Act Systems Eng (wks)],267)</f>
        <v/>
      </c>
      <c r="DG268" s="5">
        <f>INDEX(Projects[Act Software Eng (wks)],267)</f>
        <v/>
      </c>
      <c r="DH268" s="5">
        <f>INDEX(Projects[Act M&amp;E Installation (wks)],267)</f>
        <v/>
      </c>
      <c r="DI268" s="5">
        <f>INDEX(Projects[Act Commissioning (wks)],267)</f>
        <v/>
      </c>
      <c r="DJ268" s="5">
        <f>INDEX(Projects[Act Total (wks)],267)</f>
        <v/>
      </c>
    </row>
    <row r="269" ht="15" customHeight="1" s="82">
      <c r="A269" s="64">
        <f>INDEX(Projects[Project ID *],268)&amp;""</f>
        <v/>
      </c>
      <c r="B269" s="64">
        <f>INDEX(Projects[Project Name *],268)&amp;""</f>
        <v/>
      </c>
      <c r="C269" s="64">
        <f>INDEX(Projects[MS Shuttles],268)</f>
        <v/>
      </c>
      <c r="D269" s="64">
        <f>INDEX(Projects[MS Tote Locations],268)</f>
        <v/>
      </c>
      <c r="E269" s="64">
        <f>INDEX(Projects[AS Robots],268)</f>
        <v/>
      </c>
      <c r="F269" s="64">
        <f>INDEX(Projects[AS Tote Locations],268)</f>
        <v/>
      </c>
      <c r="G269" s="64">
        <f>INDEX(Projects[PS Shuttles],268)</f>
        <v/>
      </c>
      <c r="H269" s="64">
        <f>INDEX(Projects[PS Pallet Locations],268)</f>
        <v/>
      </c>
      <c r="I269" s="64">
        <f>INDEX(Projects[SRM Cranes],268)</f>
        <v/>
      </c>
      <c r="J269" s="64">
        <f>INDEX(Projects[SRM Pallet Locations],268)</f>
        <v/>
      </c>
      <c r="K269" s="64">
        <f>INDEX(Projects[Case Conv (m)],268)</f>
        <v/>
      </c>
      <c r="L269" s="64">
        <f>INDEX(Projects[Pallet Conv (m)],268)</f>
        <v/>
      </c>
      <c r="M269" s="64">
        <f>IF(N(DJ269)&gt;0,DD269,CW269)</f>
        <v/>
      </c>
      <c r="N269" s="64">
        <f>IF(N(DJ269)&gt;0,DE269,CX269)</f>
        <v/>
      </c>
      <c r="O269" s="64">
        <f>IF(N(DJ269)&gt;0,DF269,CY269)</f>
        <v/>
      </c>
      <c r="P269" s="64">
        <f>IF(N(DJ269)&gt;0,DG269,CZ269)</f>
        <v/>
      </c>
      <c r="Q269" s="64">
        <f>IF(N(DJ269)&gt;0,DH269,DA269)</f>
        <v/>
      </c>
      <c r="R269" s="64">
        <f>IF(N(DJ269)&gt;0,DI269,DB269)</f>
        <v/>
      </c>
      <c r="S269" s="64">
        <f>IF(N(DJ269)&gt;0,DJ269,DC269)</f>
        <v/>
      </c>
      <c r="T269" s="64">
        <f>INDEX(Projects[Currency],268)&amp;""</f>
        <v/>
      </c>
      <c r="U269" s="65">
        <f>INDEX(Projects[Sold Value (M)],268)</f>
        <v/>
      </c>
      <c r="V269" s="64">
        <f>IF('Smart Search'!B13=1,IFERROR(1/'Smart Search'!H13,0),0)</f>
        <v/>
      </c>
      <c r="W269" s="64">
        <f>IF('Smart Search'!B13=1,IFERROR(1/'Smart Search'!H13,0),0)</f>
        <v/>
      </c>
      <c r="X269" s="64">
        <f>IF('Smart Search'!C13=1,IFERROR(1/'Smart Search'!H13,0),0)</f>
        <v/>
      </c>
      <c r="Y269" s="64">
        <f>IF('Smart Search'!C13=1,IFERROR(1/'Smart Search'!H13,0),0)</f>
        <v/>
      </c>
      <c r="Z269" s="64">
        <f>IF('Smart Search'!D13=1,IFERROR(1/'Smart Search'!H13,0),0)</f>
        <v/>
      </c>
      <c r="AA269" s="64">
        <f>IF('Smart Search'!D13=1,IFERROR(1/'Smart Search'!H13,0),0)</f>
        <v/>
      </c>
      <c r="AB269" s="64">
        <f>IF('Smart Search'!E13=1,IFERROR(1/'Smart Search'!H13,0),0)</f>
        <v/>
      </c>
      <c r="AC269" s="64">
        <f>IF('Smart Search'!E13=1,IFERROR(1/'Smart Search'!H13,0),0)</f>
        <v/>
      </c>
      <c r="AD269" s="64">
        <f>IF('Smart Search'!F13=1,IFERROR(1/'Smart Search'!H13,0),0)</f>
        <v/>
      </c>
      <c r="AE269" s="64">
        <f>IF('Smart Search'!F13=1,IFERROR(1/'Smart Search'!H13,0),0)</f>
        <v/>
      </c>
      <c r="AF269" s="64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4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4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4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4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4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4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4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4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4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4">
        <f>AF269*V269</f>
        <v/>
      </c>
      <c r="AQ269" s="64">
        <f>AG269*W269</f>
        <v/>
      </c>
      <c r="AR269" s="64">
        <f>AH269*X269</f>
        <v/>
      </c>
      <c r="AS269" s="64">
        <f>AI269*Y269</f>
        <v/>
      </c>
      <c r="AT269" s="64">
        <f>AJ269*Z269</f>
        <v/>
      </c>
      <c r="AU269" s="64">
        <f>AK269*AA269</f>
        <v/>
      </c>
      <c r="AV269" s="64">
        <f>AL269*AB269</f>
        <v/>
      </c>
      <c r="AW269" s="64">
        <f>AM269*AC269</f>
        <v/>
      </c>
      <c r="AX269" s="64">
        <f>AN269*AD269</f>
        <v/>
      </c>
      <c r="AY269" s="64">
        <f>AO269*AE269</f>
        <v/>
      </c>
      <c r="AZ269" s="64">
        <f>INDEX(Projects[Automation Equipment],268)&amp;""</f>
        <v/>
      </c>
      <c r="BA269" s="64">
        <f>IF(OR(A269="",'Smart Search'!H13=0),"",MAX(0,BE269*BF269*MAX(0,1-BG269)))</f>
        <v/>
      </c>
      <c r="BB269" s="64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4">
        <f>IF('Smart Search'!G13=1,IFERROR(1/'Smart Search'!H13,0),0)</f>
        <v/>
      </c>
      <c r="BD269" s="64">
        <f>BB269*BC269</f>
        <v/>
      </c>
      <c r="BE269" s="64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IF(A269="","",N(INDEX(Projects[Act Mech Inst],268)))</f>
        <v/>
      </c>
      <c r="BK269" s="5">
        <f>IF(A269="","",N(INDEX(Projects[Act Elec Inst],268)))</f>
        <v/>
      </c>
      <c r="BL269" s="5">
        <f>IF(A269="","",N(INDEX(Projects[Act Project Management],268)))</f>
        <v/>
      </c>
      <c r="BM269" s="5">
        <f>IF(A269="","",N(INDEX(Projects[Act Systems Eng],268)))</f>
        <v/>
      </c>
      <c r="BN269" s="5">
        <f>IF(A269="","",N(INDEX(Projects[Act Mechanical Eng],268)))</f>
        <v/>
      </c>
      <c r="BO269" s="5">
        <f>IF(A269="","",N(INDEX(Projects[Act Structural Engineering],268)))</f>
        <v/>
      </c>
      <c r="BP269" s="5">
        <f>IF(A269="","",N(INDEX(Projects[Act Site Sup],268)))</f>
        <v/>
      </c>
      <c r="BQ269" s="5">
        <f>IF(A269="","",N(INDEX(Projects[Act Controls Commissioning],268)))</f>
        <v/>
      </c>
      <c r="BR269" s="5">
        <f>IF(A269="","",N(INDEX(Projects[Act Systems Commissioning],268)))</f>
        <v/>
      </c>
      <c r="BS269" s="5">
        <f>IF(A269="","",N(INDEX(Projects[Act Service Commissioning],268)))</f>
        <v/>
      </c>
      <c r="BT269" s="5">
        <f>IF(A269="","",N(INDEX(Projects[Act Controls Eng],268)))</f>
        <v/>
      </c>
      <c r="BU269" s="5">
        <f>IF(A269="","",N(INDEX(Projects[Act Controls Purchase],268)))</f>
        <v/>
      </c>
      <c r="BV269" s="5">
        <f>IF(A269="","",N(INDEX(Projects[Act Software Eng],268)))</f>
        <v/>
      </c>
      <c r="BW269" s="5">
        <f>IF(A269="","",N(INDEX(Projects[Act 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INDEX(Projects[Sold Value (USD M)],268)</f>
        <v/>
      </c>
      <c r="CE269" s="5" t="n"/>
      <c r="CF269" s="5">
        <f>IF(A269="","",N(INDEX(Projects[Est Mech Inst],268)))</f>
        <v/>
      </c>
      <c r="CG269" s="5">
        <f>IF(A269="","",N(INDEX(Projects[Est Elec Inst],268)))</f>
        <v/>
      </c>
      <c r="CH269" s="5">
        <f>IF(A269="","",N(INDEX(Projects[Est Project Management],268)))</f>
        <v/>
      </c>
      <c r="CI269" s="5">
        <f>IF(A269="","",N(INDEX(Projects[Est Systems Eng],268)))</f>
        <v/>
      </c>
      <c r="CJ269" s="5">
        <f>IF(A269="","",N(INDEX(Projects[Est Mechanical Eng],268)))</f>
        <v/>
      </c>
      <c r="CK269" s="5">
        <f>IF(A269="","",N(INDEX(Projects[Est Structural Engineering],268)))</f>
        <v/>
      </c>
      <c r="CL269" s="5">
        <f>IF(A269="","",N(INDEX(Projects[Est Site Sup],268)))</f>
        <v/>
      </c>
      <c r="CM269" s="5">
        <f>IF(A269="","",N(INDEX(Projects[Est Controls Commissioning],268)))</f>
        <v/>
      </c>
      <c r="CN269" s="5">
        <f>IF(A269="","",N(INDEX(Projects[Est Systems Commissioning],268)))</f>
        <v/>
      </c>
      <c r="CO269" s="5">
        <f>IF(A269="","",N(INDEX(Projects[Est Service Commissioning],268)))</f>
        <v/>
      </c>
      <c r="CP269" s="5">
        <f>IF(A269="","",N(INDEX(Projects[Est Controls Eng],268)))</f>
        <v/>
      </c>
      <c r="CQ269" s="5">
        <f>IF(A269="","",N(INDEX(Projects[Est Controls Purchase],268)))</f>
        <v/>
      </c>
      <c r="CR269" s="5">
        <f>IF(A269="","",N(INDEX(Projects[Est Software Eng],268)))</f>
        <v/>
      </c>
      <c r="CS269" s="5">
        <f>IF(A269="","",N(INDEX(Projects[Est Misc],268)))</f>
        <v/>
      </c>
      <c r="CT269" s="5">
        <f>IF(A269="","",SUM(CF269:CS269))</f>
        <v/>
      </c>
      <c r="CU269" s="5">
        <f>INDEX(Projects[Est Cost (M)],268)</f>
        <v/>
      </c>
      <c r="CV269" s="5">
        <f>INDEX(Projects[Act Cost (M)],268)</f>
        <v/>
      </c>
      <c r="CW269" s="5">
        <f>INDEX(Projects[Plan Mech Eng (wks)],268)</f>
        <v/>
      </c>
      <c r="CX269" s="5">
        <f>INDEX(Projects[Plan Controls Eng (wks)],268)</f>
        <v/>
      </c>
      <c r="CY269" s="5">
        <f>INDEX(Projects[Plan Systems Eng (wks)],268)</f>
        <v/>
      </c>
      <c r="CZ269" s="5">
        <f>INDEX(Projects[Plan Software Eng (wks)],268)</f>
        <v/>
      </c>
      <c r="DA269" s="5">
        <f>INDEX(Projects[Plan M&amp;E Installation (wks)],268)</f>
        <v/>
      </c>
      <c r="DB269" s="5">
        <f>INDEX(Projects[Plan Commissioning (wks)],268)</f>
        <v/>
      </c>
      <c r="DC269" s="5">
        <f>INDEX(Projects[Plan Total (wks)],268)</f>
        <v/>
      </c>
      <c r="DD269" s="5">
        <f>INDEX(Projects[Act Mech Eng (wks)],268)</f>
        <v/>
      </c>
      <c r="DE269" s="5">
        <f>INDEX(Projects[Act Controls Eng (wks)],268)</f>
        <v/>
      </c>
      <c r="DF269" s="5">
        <f>INDEX(Projects[Act Systems Eng (wks)],268)</f>
        <v/>
      </c>
      <c r="DG269" s="5">
        <f>INDEX(Projects[Act Software Eng (wks)],268)</f>
        <v/>
      </c>
      <c r="DH269" s="5">
        <f>INDEX(Projects[Act M&amp;E Installation (wks)],268)</f>
        <v/>
      </c>
      <c r="DI269" s="5">
        <f>INDEX(Projects[Act Commissioning (wks)],268)</f>
        <v/>
      </c>
      <c r="DJ269" s="5">
        <f>INDEX(Projects[Act Total (wks)],268)</f>
        <v/>
      </c>
    </row>
    <row r="270" ht="15" customHeight="1" s="82">
      <c r="A270" s="64">
        <f>INDEX(Projects[Project ID *],269)&amp;""</f>
        <v/>
      </c>
      <c r="B270" s="64">
        <f>INDEX(Projects[Project Name *],269)&amp;""</f>
        <v/>
      </c>
      <c r="C270" s="64">
        <f>INDEX(Projects[MS Shuttles],269)</f>
        <v/>
      </c>
      <c r="D270" s="64">
        <f>INDEX(Projects[MS Tote Locations],269)</f>
        <v/>
      </c>
      <c r="E270" s="64">
        <f>INDEX(Projects[AS Robots],269)</f>
        <v/>
      </c>
      <c r="F270" s="64">
        <f>INDEX(Projects[AS Tote Locations],269)</f>
        <v/>
      </c>
      <c r="G270" s="64">
        <f>INDEX(Projects[PS Shuttles],269)</f>
        <v/>
      </c>
      <c r="H270" s="64">
        <f>INDEX(Projects[PS Pallet Locations],269)</f>
        <v/>
      </c>
      <c r="I270" s="64">
        <f>INDEX(Projects[SRM Cranes],269)</f>
        <v/>
      </c>
      <c r="J270" s="64">
        <f>INDEX(Projects[SRM Pallet Locations],269)</f>
        <v/>
      </c>
      <c r="K270" s="64">
        <f>INDEX(Projects[Case Conv (m)],269)</f>
        <v/>
      </c>
      <c r="L270" s="64">
        <f>INDEX(Projects[Pallet Conv (m)],269)</f>
        <v/>
      </c>
      <c r="M270" s="64">
        <f>IF(N(DJ270)&gt;0,DD270,CW270)</f>
        <v/>
      </c>
      <c r="N270" s="64">
        <f>IF(N(DJ270)&gt;0,DE270,CX270)</f>
        <v/>
      </c>
      <c r="O270" s="64">
        <f>IF(N(DJ270)&gt;0,DF270,CY270)</f>
        <v/>
      </c>
      <c r="P270" s="64">
        <f>IF(N(DJ270)&gt;0,DG270,CZ270)</f>
        <v/>
      </c>
      <c r="Q270" s="64">
        <f>IF(N(DJ270)&gt;0,DH270,DA270)</f>
        <v/>
      </c>
      <c r="R270" s="64">
        <f>IF(N(DJ270)&gt;0,DI270,DB270)</f>
        <v/>
      </c>
      <c r="S270" s="64">
        <f>IF(N(DJ270)&gt;0,DJ270,DC270)</f>
        <v/>
      </c>
      <c r="T270" s="64">
        <f>INDEX(Projects[Currency],269)&amp;""</f>
        <v/>
      </c>
      <c r="U270" s="65">
        <f>INDEX(Projects[Sold Value (M)],269)</f>
        <v/>
      </c>
      <c r="V270" s="64">
        <f>IF('Smart Search'!B13=1,IFERROR(1/'Smart Search'!H13,0),0)</f>
        <v/>
      </c>
      <c r="W270" s="64">
        <f>IF('Smart Search'!B13=1,IFERROR(1/'Smart Search'!H13,0),0)</f>
        <v/>
      </c>
      <c r="X270" s="64">
        <f>IF('Smart Search'!C13=1,IFERROR(1/'Smart Search'!H13,0),0)</f>
        <v/>
      </c>
      <c r="Y270" s="64">
        <f>IF('Smart Search'!C13=1,IFERROR(1/'Smart Search'!H13,0),0)</f>
        <v/>
      </c>
      <c r="Z270" s="64">
        <f>IF('Smart Search'!D13=1,IFERROR(1/'Smart Search'!H13,0),0)</f>
        <v/>
      </c>
      <c r="AA270" s="64">
        <f>IF('Smart Search'!D13=1,IFERROR(1/'Smart Search'!H13,0),0)</f>
        <v/>
      </c>
      <c r="AB270" s="64">
        <f>IF('Smart Search'!E13=1,IFERROR(1/'Smart Search'!H13,0),0)</f>
        <v/>
      </c>
      <c r="AC270" s="64">
        <f>IF('Smart Search'!E13=1,IFERROR(1/'Smart Search'!H13,0),0)</f>
        <v/>
      </c>
      <c r="AD270" s="64">
        <f>IF('Smart Search'!F13=1,IFERROR(1/'Smart Search'!H13,0),0)</f>
        <v/>
      </c>
      <c r="AE270" s="64">
        <f>IF('Smart Search'!F13=1,IFERROR(1/'Smart Search'!H13,0),0)</f>
        <v/>
      </c>
      <c r="AF270" s="64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4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4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4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4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4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4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4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4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4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4">
        <f>AF270*V270</f>
        <v/>
      </c>
      <c r="AQ270" s="64">
        <f>AG270*W270</f>
        <v/>
      </c>
      <c r="AR270" s="64">
        <f>AH270*X270</f>
        <v/>
      </c>
      <c r="AS270" s="64">
        <f>AI270*Y270</f>
        <v/>
      </c>
      <c r="AT270" s="64">
        <f>AJ270*Z270</f>
        <v/>
      </c>
      <c r="AU270" s="64">
        <f>AK270*AA270</f>
        <v/>
      </c>
      <c r="AV270" s="64">
        <f>AL270*AB270</f>
        <v/>
      </c>
      <c r="AW270" s="64">
        <f>AM270*AC270</f>
        <v/>
      </c>
      <c r="AX270" s="64">
        <f>AN270*AD270</f>
        <v/>
      </c>
      <c r="AY270" s="64">
        <f>AO270*AE270</f>
        <v/>
      </c>
      <c r="AZ270" s="64">
        <f>INDEX(Projects[Automation Equipment],269)&amp;""</f>
        <v/>
      </c>
      <c r="BA270" s="64">
        <f>IF(OR(A270="",'Smart Search'!H13=0),"",MAX(0,BE270*BF270*MAX(0,1-BG270)))</f>
        <v/>
      </c>
      <c r="BB270" s="64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4">
        <f>IF('Smart Search'!G13=1,IFERROR(1/'Smart Search'!H13,0),0)</f>
        <v/>
      </c>
      <c r="BD270" s="64">
        <f>BB270*BC270</f>
        <v/>
      </c>
      <c r="BE270" s="64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IF(A270="","",N(INDEX(Projects[Act Mech Inst],269)))</f>
        <v/>
      </c>
      <c r="BK270" s="5">
        <f>IF(A270="","",N(INDEX(Projects[Act Elec Inst],269)))</f>
        <v/>
      </c>
      <c r="BL270" s="5">
        <f>IF(A270="","",N(INDEX(Projects[Act Project Management],269)))</f>
        <v/>
      </c>
      <c r="BM270" s="5">
        <f>IF(A270="","",N(INDEX(Projects[Act Systems Eng],269)))</f>
        <v/>
      </c>
      <c r="BN270" s="5">
        <f>IF(A270="","",N(INDEX(Projects[Act Mechanical Eng],269)))</f>
        <v/>
      </c>
      <c r="BO270" s="5">
        <f>IF(A270="","",N(INDEX(Projects[Act Structural Engineering],269)))</f>
        <v/>
      </c>
      <c r="BP270" s="5">
        <f>IF(A270="","",N(INDEX(Projects[Act Site Sup],269)))</f>
        <v/>
      </c>
      <c r="BQ270" s="5">
        <f>IF(A270="","",N(INDEX(Projects[Act Controls Commissioning],269)))</f>
        <v/>
      </c>
      <c r="BR270" s="5">
        <f>IF(A270="","",N(INDEX(Projects[Act Systems Commissioning],269)))</f>
        <v/>
      </c>
      <c r="BS270" s="5">
        <f>IF(A270="","",N(INDEX(Projects[Act Service Commissioning],269)))</f>
        <v/>
      </c>
      <c r="BT270" s="5">
        <f>IF(A270="","",N(INDEX(Projects[Act Controls Eng],269)))</f>
        <v/>
      </c>
      <c r="BU270" s="5">
        <f>IF(A270="","",N(INDEX(Projects[Act Controls Purchase],269)))</f>
        <v/>
      </c>
      <c r="BV270" s="5">
        <f>IF(A270="","",N(INDEX(Projects[Act Software Eng],269)))</f>
        <v/>
      </c>
      <c r="BW270" s="5">
        <f>IF(A270="","",N(INDEX(Projects[Act 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INDEX(Projects[Sold Value (USD M)],269)</f>
        <v/>
      </c>
      <c r="CE270" s="5" t="n"/>
      <c r="CF270" s="5">
        <f>IF(A270="","",N(INDEX(Projects[Est Mech Inst],269)))</f>
        <v/>
      </c>
      <c r="CG270" s="5">
        <f>IF(A270="","",N(INDEX(Projects[Est Elec Inst],269)))</f>
        <v/>
      </c>
      <c r="CH270" s="5">
        <f>IF(A270="","",N(INDEX(Projects[Est Project Management],269)))</f>
        <v/>
      </c>
      <c r="CI270" s="5">
        <f>IF(A270="","",N(INDEX(Projects[Est Systems Eng],269)))</f>
        <v/>
      </c>
      <c r="CJ270" s="5">
        <f>IF(A270="","",N(INDEX(Projects[Est Mechanical Eng],269)))</f>
        <v/>
      </c>
      <c r="CK270" s="5">
        <f>IF(A270="","",N(INDEX(Projects[Est Structural Engineering],269)))</f>
        <v/>
      </c>
      <c r="CL270" s="5">
        <f>IF(A270="","",N(INDEX(Projects[Est Site Sup],269)))</f>
        <v/>
      </c>
      <c r="CM270" s="5">
        <f>IF(A270="","",N(INDEX(Projects[Est Controls Commissioning],269)))</f>
        <v/>
      </c>
      <c r="CN270" s="5">
        <f>IF(A270="","",N(INDEX(Projects[Est Systems Commissioning],269)))</f>
        <v/>
      </c>
      <c r="CO270" s="5">
        <f>IF(A270="","",N(INDEX(Projects[Est Service Commissioning],269)))</f>
        <v/>
      </c>
      <c r="CP270" s="5">
        <f>IF(A270="","",N(INDEX(Projects[Est Controls Eng],269)))</f>
        <v/>
      </c>
      <c r="CQ270" s="5">
        <f>IF(A270="","",N(INDEX(Projects[Est Controls Purchase],269)))</f>
        <v/>
      </c>
      <c r="CR270" s="5">
        <f>IF(A270="","",N(INDEX(Projects[Est Software Eng],269)))</f>
        <v/>
      </c>
      <c r="CS270" s="5">
        <f>IF(A270="","",N(INDEX(Projects[Est Misc],269)))</f>
        <v/>
      </c>
      <c r="CT270" s="5">
        <f>IF(A270="","",SUM(CF270:CS270))</f>
        <v/>
      </c>
      <c r="CU270" s="5">
        <f>INDEX(Projects[Est Cost (M)],269)</f>
        <v/>
      </c>
      <c r="CV270" s="5">
        <f>INDEX(Projects[Act Cost (M)],269)</f>
        <v/>
      </c>
      <c r="CW270" s="5">
        <f>INDEX(Projects[Plan Mech Eng (wks)],269)</f>
        <v/>
      </c>
      <c r="CX270" s="5">
        <f>INDEX(Projects[Plan Controls Eng (wks)],269)</f>
        <v/>
      </c>
      <c r="CY270" s="5">
        <f>INDEX(Projects[Plan Systems Eng (wks)],269)</f>
        <v/>
      </c>
      <c r="CZ270" s="5">
        <f>INDEX(Projects[Plan Software Eng (wks)],269)</f>
        <v/>
      </c>
      <c r="DA270" s="5">
        <f>INDEX(Projects[Plan M&amp;E Installation (wks)],269)</f>
        <v/>
      </c>
      <c r="DB270" s="5">
        <f>INDEX(Projects[Plan Commissioning (wks)],269)</f>
        <v/>
      </c>
      <c r="DC270" s="5">
        <f>INDEX(Projects[Plan Total (wks)],269)</f>
        <v/>
      </c>
      <c r="DD270" s="5">
        <f>INDEX(Projects[Act Mech Eng (wks)],269)</f>
        <v/>
      </c>
      <c r="DE270" s="5">
        <f>INDEX(Projects[Act Controls Eng (wks)],269)</f>
        <v/>
      </c>
      <c r="DF270" s="5">
        <f>INDEX(Projects[Act Systems Eng (wks)],269)</f>
        <v/>
      </c>
      <c r="DG270" s="5">
        <f>INDEX(Projects[Act Software Eng (wks)],269)</f>
        <v/>
      </c>
      <c r="DH270" s="5">
        <f>INDEX(Projects[Act M&amp;E Installation (wks)],269)</f>
        <v/>
      </c>
      <c r="DI270" s="5">
        <f>INDEX(Projects[Act Commissioning (wks)],269)</f>
        <v/>
      </c>
      <c r="DJ270" s="5">
        <f>INDEX(Projects[Act Total (wks)],269)</f>
        <v/>
      </c>
    </row>
    <row r="271" ht="15" customHeight="1" s="82">
      <c r="A271" s="64">
        <f>INDEX(Projects[Project ID *],270)&amp;""</f>
        <v/>
      </c>
      <c r="B271" s="64">
        <f>INDEX(Projects[Project Name *],270)&amp;""</f>
        <v/>
      </c>
      <c r="C271" s="64">
        <f>INDEX(Projects[MS Shuttles],270)</f>
        <v/>
      </c>
      <c r="D271" s="64">
        <f>INDEX(Projects[MS Tote Locations],270)</f>
        <v/>
      </c>
      <c r="E271" s="64">
        <f>INDEX(Projects[AS Robots],270)</f>
        <v/>
      </c>
      <c r="F271" s="64">
        <f>INDEX(Projects[AS Tote Locations],270)</f>
        <v/>
      </c>
      <c r="G271" s="64">
        <f>INDEX(Projects[PS Shuttles],270)</f>
        <v/>
      </c>
      <c r="H271" s="64">
        <f>INDEX(Projects[PS Pallet Locations],270)</f>
        <v/>
      </c>
      <c r="I271" s="64">
        <f>INDEX(Projects[SRM Cranes],270)</f>
        <v/>
      </c>
      <c r="J271" s="64">
        <f>INDEX(Projects[SRM Pallet Locations],270)</f>
        <v/>
      </c>
      <c r="K271" s="64">
        <f>INDEX(Projects[Case Conv (m)],270)</f>
        <v/>
      </c>
      <c r="L271" s="64">
        <f>INDEX(Projects[Pallet Conv (m)],270)</f>
        <v/>
      </c>
      <c r="M271" s="64">
        <f>IF(N(DJ271)&gt;0,DD271,CW271)</f>
        <v/>
      </c>
      <c r="N271" s="64">
        <f>IF(N(DJ271)&gt;0,DE271,CX271)</f>
        <v/>
      </c>
      <c r="O271" s="64">
        <f>IF(N(DJ271)&gt;0,DF271,CY271)</f>
        <v/>
      </c>
      <c r="P271" s="64">
        <f>IF(N(DJ271)&gt;0,DG271,CZ271)</f>
        <v/>
      </c>
      <c r="Q271" s="64">
        <f>IF(N(DJ271)&gt;0,DH271,DA271)</f>
        <v/>
      </c>
      <c r="R271" s="64">
        <f>IF(N(DJ271)&gt;0,DI271,DB271)</f>
        <v/>
      </c>
      <c r="S271" s="64">
        <f>IF(N(DJ271)&gt;0,DJ271,DC271)</f>
        <v/>
      </c>
      <c r="T271" s="64">
        <f>INDEX(Projects[Currency],270)&amp;""</f>
        <v/>
      </c>
      <c r="U271" s="65">
        <f>INDEX(Projects[Sold Value (M)],270)</f>
        <v/>
      </c>
      <c r="V271" s="64">
        <f>IF('Smart Search'!B13=1,IFERROR(1/'Smart Search'!H13,0),0)</f>
        <v/>
      </c>
      <c r="W271" s="64">
        <f>IF('Smart Search'!B13=1,IFERROR(1/'Smart Search'!H13,0),0)</f>
        <v/>
      </c>
      <c r="X271" s="64">
        <f>IF('Smart Search'!C13=1,IFERROR(1/'Smart Search'!H13,0),0)</f>
        <v/>
      </c>
      <c r="Y271" s="64">
        <f>IF('Smart Search'!C13=1,IFERROR(1/'Smart Search'!H13,0),0)</f>
        <v/>
      </c>
      <c r="Z271" s="64">
        <f>IF('Smart Search'!D13=1,IFERROR(1/'Smart Search'!H13,0),0)</f>
        <v/>
      </c>
      <c r="AA271" s="64">
        <f>IF('Smart Search'!D13=1,IFERROR(1/'Smart Search'!H13,0),0)</f>
        <v/>
      </c>
      <c r="AB271" s="64">
        <f>IF('Smart Search'!E13=1,IFERROR(1/'Smart Search'!H13,0),0)</f>
        <v/>
      </c>
      <c r="AC271" s="64">
        <f>IF('Smart Search'!E13=1,IFERROR(1/'Smart Search'!H13,0),0)</f>
        <v/>
      </c>
      <c r="AD271" s="64">
        <f>IF('Smart Search'!F13=1,IFERROR(1/'Smart Search'!H13,0),0)</f>
        <v/>
      </c>
      <c r="AE271" s="64">
        <f>IF('Smart Search'!F13=1,IFERROR(1/'Smart Search'!H13,0),0)</f>
        <v/>
      </c>
      <c r="AF271" s="64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4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4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4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4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4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4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4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4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4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4">
        <f>AF271*V271</f>
        <v/>
      </c>
      <c r="AQ271" s="64">
        <f>AG271*W271</f>
        <v/>
      </c>
      <c r="AR271" s="64">
        <f>AH271*X271</f>
        <v/>
      </c>
      <c r="AS271" s="64">
        <f>AI271*Y271</f>
        <v/>
      </c>
      <c r="AT271" s="64">
        <f>AJ271*Z271</f>
        <v/>
      </c>
      <c r="AU271" s="64">
        <f>AK271*AA271</f>
        <v/>
      </c>
      <c r="AV271" s="64">
        <f>AL271*AB271</f>
        <v/>
      </c>
      <c r="AW271" s="64">
        <f>AM271*AC271</f>
        <v/>
      </c>
      <c r="AX271" s="64">
        <f>AN271*AD271</f>
        <v/>
      </c>
      <c r="AY271" s="64">
        <f>AO271*AE271</f>
        <v/>
      </c>
      <c r="AZ271" s="64">
        <f>INDEX(Projects[Automation Equipment],270)&amp;""</f>
        <v/>
      </c>
      <c r="BA271" s="64">
        <f>IF(OR(A271="",'Smart Search'!H13=0),"",MAX(0,BE271*BF271*MAX(0,1-BG271)))</f>
        <v/>
      </c>
      <c r="BB271" s="64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4">
        <f>IF('Smart Search'!G13=1,IFERROR(1/'Smart Search'!H13,0),0)</f>
        <v/>
      </c>
      <c r="BD271" s="64">
        <f>BB271*BC271</f>
        <v/>
      </c>
      <c r="BE271" s="64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IF(A271="","",N(INDEX(Projects[Act Mech Inst],270)))</f>
        <v/>
      </c>
      <c r="BK271" s="5">
        <f>IF(A271="","",N(INDEX(Projects[Act Elec Inst],270)))</f>
        <v/>
      </c>
      <c r="BL271" s="5">
        <f>IF(A271="","",N(INDEX(Projects[Act Project Management],270)))</f>
        <v/>
      </c>
      <c r="BM271" s="5">
        <f>IF(A271="","",N(INDEX(Projects[Act Systems Eng],270)))</f>
        <v/>
      </c>
      <c r="BN271" s="5">
        <f>IF(A271="","",N(INDEX(Projects[Act Mechanical Eng],270)))</f>
        <v/>
      </c>
      <c r="BO271" s="5">
        <f>IF(A271="","",N(INDEX(Projects[Act Structural Engineering],270)))</f>
        <v/>
      </c>
      <c r="BP271" s="5">
        <f>IF(A271="","",N(INDEX(Projects[Act Site Sup],270)))</f>
        <v/>
      </c>
      <c r="BQ271" s="5">
        <f>IF(A271="","",N(INDEX(Projects[Act Controls Commissioning],270)))</f>
        <v/>
      </c>
      <c r="BR271" s="5">
        <f>IF(A271="","",N(INDEX(Projects[Act Systems Commissioning],270)))</f>
        <v/>
      </c>
      <c r="BS271" s="5">
        <f>IF(A271="","",N(INDEX(Projects[Act Service Commissioning],270)))</f>
        <v/>
      </c>
      <c r="BT271" s="5">
        <f>IF(A271="","",N(INDEX(Projects[Act Controls Eng],270)))</f>
        <v/>
      </c>
      <c r="BU271" s="5">
        <f>IF(A271="","",N(INDEX(Projects[Act Controls Purchase],270)))</f>
        <v/>
      </c>
      <c r="BV271" s="5">
        <f>IF(A271="","",N(INDEX(Projects[Act Software Eng],270)))</f>
        <v/>
      </c>
      <c r="BW271" s="5">
        <f>IF(A271="","",N(INDEX(Projects[Act 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INDEX(Projects[Sold Value (USD M)],270)</f>
        <v/>
      </c>
      <c r="CE271" s="5" t="n"/>
      <c r="CF271" s="5">
        <f>IF(A271="","",N(INDEX(Projects[Est Mech Inst],270)))</f>
        <v/>
      </c>
      <c r="CG271" s="5">
        <f>IF(A271="","",N(INDEX(Projects[Est Elec Inst],270)))</f>
        <v/>
      </c>
      <c r="CH271" s="5">
        <f>IF(A271="","",N(INDEX(Projects[Est Project Management],270)))</f>
        <v/>
      </c>
      <c r="CI271" s="5">
        <f>IF(A271="","",N(INDEX(Projects[Est Systems Eng],270)))</f>
        <v/>
      </c>
      <c r="CJ271" s="5">
        <f>IF(A271="","",N(INDEX(Projects[Est Mechanical Eng],270)))</f>
        <v/>
      </c>
      <c r="CK271" s="5">
        <f>IF(A271="","",N(INDEX(Projects[Est Structural Engineering],270)))</f>
        <v/>
      </c>
      <c r="CL271" s="5">
        <f>IF(A271="","",N(INDEX(Projects[Est Site Sup],270)))</f>
        <v/>
      </c>
      <c r="CM271" s="5">
        <f>IF(A271="","",N(INDEX(Projects[Est Controls Commissioning],270)))</f>
        <v/>
      </c>
      <c r="CN271" s="5">
        <f>IF(A271="","",N(INDEX(Projects[Est Systems Commissioning],270)))</f>
        <v/>
      </c>
      <c r="CO271" s="5">
        <f>IF(A271="","",N(INDEX(Projects[Est Service Commissioning],270)))</f>
        <v/>
      </c>
      <c r="CP271" s="5">
        <f>IF(A271="","",N(INDEX(Projects[Est Controls Eng],270)))</f>
        <v/>
      </c>
      <c r="CQ271" s="5">
        <f>IF(A271="","",N(INDEX(Projects[Est Controls Purchase],270)))</f>
        <v/>
      </c>
      <c r="CR271" s="5">
        <f>IF(A271="","",N(INDEX(Projects[Est Software Eng],270)))</f>
        <v/>
      </c>
      <c r="CS271" s="5">
        <f>IF(A271="","",N(INDEX(Projects[Est Misc],270)))</f>
        <v/>
      </c>
      <c r="CT271" s="5">
        <f>IF(A271="","",SUM(CF271:CS271))</f>
        <v/>
      </c>
      <c r="CU271" s="5">
        <f>INDEX(Projects[Est Cost (M)],270)</f>
        <v/>
      </c>
      <c r="CV271" s="5">
        <f>INDEX(Projects[Act Cost (M)],270)</f>
        <v/>
      </c>
      <c r="CW271" s="5">
        <f>INDEX(Projects[Plan Mech Eng (wks)],270)</f>
        <v/>
      </c>
      <c r="CX271" s="5">
        <f>INDEX(Projects[Plan Controls Eng (wks)],270)</f>
        <v/>
      </c>
      <c r="CY271" s="5">
        <f>INDEX(Projects[Plan Systems Eng (wks)],270)</f>
        <v/>
      </c>
      <c r="CZ271" s="5">
        <f>INDEX(Projects[Plan Software Eng (wks)],270)</f>
        <v/>
      </c>
      <c r="DA271" s="5">
        <f>INDEX(Projects[Plan M&amp;E Installation (wks)],270)</f>
        <v/>
      </c>
      <c r="DB271" s="5">
        <f>INDEX(Projects[Plan Commissioning (wks)],270)</f>
        <v/>
      </c>
      <c r="DC271" s="5">
        <f>INDEX(Projects[Plan Total (wks)],270)</f>
        <v/>
      </c>
      <c r="DD271" s="5">
        <f>INDEX(Projects[Act Mech Eng (wks)],270)</f>
        <v/>
      </c>
      <c r="DE271" s="5">
        <f>INDEX(Projects[Act Controls Eng (wks)],270)</f>
        <v/>
      </c>
      <c r="DF271" s="5">
        <f>INDEX(Projects[Act Systems Eng (wks)],270)</f>
        <v/>
      </c>
      <c r="DG271" s="5">
        <f>INDEX(Projects[Act Software Eng (wks)],270)</f>
        <v/>
      </c>
      <c r="DH271" s="5">
        <f>INDEX(Projects[Act M&amp;E Installation (wks)],270)</f>
        <v/>
      </c>
      <c r="DI271" s="5">
        <f>INDEX(Projects[Act Commissioning (wks)],270)</f>
        <v/>
      </c>
      <c r="DJ271" s="5">
        <f>INDEX(Projects[Act Total (wks)],270)</f>
        <v/>
      </c>
    </row>
    <row r="272" ht="15" customHeight="1" s="82">
      <c r="A272" s="64">
        <f>INDEX(Projects[Project ID *],271)&amp;""</f>
        <v/>
      </c>
      <c r="B272" s="64">
        <f>INDEX(Projects[Project Name *],271)&amp;""</f>
        <v/>
      </c>
      <c r="C272" s="64">
        <f>INDEX(Projects[MS Shuttles],271)</f>
        <v/>
      </c>
      <c r="D272" s="64">
        <f>INDEX(Projects[MS Tote Locations],271)</f>
        <v/>
      </c>
      <c r="E272" s="64">
        <f>INDEX(Projects[AS Robots],271)</f>
        <v/>
      </c>
      <c r="F272" s="64">
        <f>INDEX(Projects[AS Tote Locations],271)</f>
        <v/>
      </c>
      <c r="G272" s="64">
        <f>INDEX(Projects[PS Shuttles],271)</f>
        <v/>
      </c>
      <c r="H272" s="64">
        <f>INDEX(Projects[PS Pallet Locations],271)</f>
        <v/>
      </c>
      <c r="I272" s="64">
        <f>INDEX(Projects[SRM Cranes],271)</f>
        <v/>
      </c>
      <c r="J272" s="64">
        <f>INDEX(Projects[SRM Pallet Locations],271)</f>
        <v/>
      </c>
      <c r="K272" s="64">
        <f>INDEX(Projects[Case Conv (m)],271)</f>
        <v/>
      </c>
      <c r="L272" s="64">
        <f>INDEX(Projects[Pallet Conv (m)],271)</f>
        <v/>
      </c>
      <c r="M272" s="64">
        <f>IF(N(DJ272)&gt;0,DD272,CW272)</f>
        <v/>
      </c>
      <c r="N272" s="64">
        <f>IF(N(DJ272)&gt;0,DE272,CX272)</f>
        <v/>
      </c>
      <c r="O272" s="64">
        <f>IF(N(DJ272)&gt;0,DF272,CY272)</f>
        <v/>
      </c>
      <c r="P272" s="64">
        <f>IF(N(DJ272)&gt;0,DG272,CZ272)</f>
        <v/>
      </c>
      <c r="Q272" s="64">
        <f>IF(N(DJ272)&gt;0,DH272,DA272)</f>
        <v/>
      </c>
      <c r="R272" s="64">
        <f>IF(N(DJ272)&gt;0,DI272,DB272)</f>
        <v/>
      </c>
      <c r="S272" s="64">
        <f>IF(N(DJ272)&gt;0,DJ272,DC272)</f>
        <v/>
      </c>
      <c r="T272" s="64">
        <f>INDEX(Projects[Currency],271)&amp;""</f>
        <v/>
      </c>
      <c r="U272" s="65">
        <f>INDEX(Projects[Sold Value (M)],271)</f>
        <v/>
      </c>
      <c r="V272" s="64">
        <f>IF('Smart Search'!B13=1,IFERROR(1/'Smart Search'!H13,0),0)</f>
        <v/>
      </c>
      <c r="W272" s="64">
        <f>IF('Smart Search'!B13=1,IFERROR(1/'Smart Search'!H13,0),0)</f>
        <v/>
      </c>
      <c r="X272" s="64">
        <f>IF('Smart Search'!C13=1,IFERROR(1/'Smart Search'!H13,0),0)</f>
        <v/>
      </c>
      <c r="Y272" s="64">
        <f>IF('Smart Search'!C13=1,IFERROR(1/'Smart Search'!H13,0),0)</f>
        <v/>
      </c>
      <c r="Z272" s="64">
        <f>IF('Smart Search'!D13=1,IFERROR(1/'Smart Search'!H13,0),0)</f>
        <v/>
      </c>
      <c r="AA272" s="64">
        <f>IF('Smart Search'!D13=1,IFERROR(1/'Smart Search'!H13,0),0)</f>
        <v/>
      </c>
      <c r="AB272" s="64">
        <f>IF('Smart Search'!E13=1,IFERROR(1/'Smart Search'!H13,0),0)</f>
        <v/>
      </c>
      <c r="AC272" s="64">
        <f>IF('Smart Search'!E13=1,IFERROR(1/'Smart Search'!H13,0),0)</f>
        <v/>
      </c>
      <c r="AD272" s="64">
        <f>IF('Smart Search'!F13=1,IFERROR(1/'Smart Search'!H13,0),0)</f>
        <v/>
      </c>
      <c r="AE272" s="64">
        <f>IF('Smart Search'!F13=1,IFERROR(1/'Smart Search'!H13,0),0)</f>
        <v/>
      </c>
      <c r="AF272" s="64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4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4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4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4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4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4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4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4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4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4">
        <f>AF272*V272</f>
        <v/>
      </c>
      <c r="AQ272" s="64">
        <f>AG272*W272</f>
        <v/>
      </c>
      <c r="AR272" s="64">
        <f>AH272*X272</f>
        <v/>
      </c>
      <c r="AS272" s="64">
        <f>AI272*Y272</f>
        <v/>
      </c>
      <c r="AT272" s="64">
        <f>AJ272*Z272</f>
        <v/>
      </c>
      <c r="AU272" s="64">
        <f>AK272*AA272</f>
        <v/>
      </c>
      <c r="AV272" s="64">
        <f>AL272*AB272</f>
        <v/>
      </c>
      <c r="AW272" s="64">
        <f>AM272*AC272</f>
        <v/>
      </c>
      <c r="AX272" s="64">
        <f>AN272*AD272</f>
        <v/>
      </c>
      <c r="AY272" s="64">
        <f>AO272*AE272</f>
        <v/>
      </c>
      <c r="AZ272" s="64">
        <f>INDEX(Projects[Automation Equipment],271)&amp;""</f>
        <v/>
      </c>
      <c r="BA272" s="64">
        <f>IF(OR(A272="",'Smart Search'!H13=0),"",MAX(0,BE272*BF272*MAX(0,1-BG272)))</f>
        <v/>
      </c>
      <c r="BB272" s="64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4">
        <f>IF('Smart Search'!G13=1,IFERROR(1/'Smart Search'!H13,0),0)</f>
        <v/>
      </c>
      <c r="BD272" s="64">
        <f>BB272*BC272</f>
        <v/>
      </c>
      <c r="BE272" s="64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IF(A272="","",N(INDEX(Projects[Act Mech Inst],271)))</f>
        <v/>
      </c>
      <c r="BK272" s="5">
        <f>IF(A272="","",N(INDEX(Projects[Act Elec Inst],271)))</f>
        <v/>
      </c>
      <c r="BL272" s="5">
        <f>IF(A272="","",N(INDEX(Projects[Act Project Management],271)))</f>
        <v/>
      </c>
      <c r="BM272" s="5">
        <f>IF(A272="","",N(INDEX(Projects[Act Systems Eng],271)))</f>
        <v/>
      </c>
      <c r="BN272" s="5">
        <f>IF(A272="","",N(INDEX(Projects[Act Mechanical Eng],271)))</f>
        <v/>
      </c>
      <c r="BO272" s="5">
        <f>IF(A272="","",N(INDEX(Projects[Act Structural Engineering],271)))</f>
        <v/>
      </c>
      <c r="BP272" s="5">
        <f>IF(A272="","",N(INDEX(Projects[Act Site Sup],271)))</f>
        <v/>
      </c>
      <c r="BQ272" s="5">
        <f>IF(A272="","",N(INDEX(Projects[Act Controls Commissioning],271)))</f>
        <v/>
      </c>
      <c r="BR272" s="5">
        <f>IF(A272="","",N(INDEX(Projects[Act Systems Commissioning],271)))</f>
        <v/>
      </c>
      <c r="BS272" s="5">
        <f>IF(A272="","",N(INDEX(Projects[Act Service Commissioning],271)))</f>
        <v/>
      </c>
      <c r="BT272" s="5">
        <f>IF(A272="","",N(INDEX(Projects[Act Controls Eng],271)))</f>
        <v/>
      </c>
      <c r="BU272" s="5">
        <f>IF(A272="","",N(INDEX(Projects[Act Controls Purchase],271)))</f>
        <v/>
      </c>
      <c r="BV272" s="5">
        <f>IF(A272="","",N(INDEX(Projects[Act Software Eng],271)))</f>
        <v/>
      </c>
      <c r="BW272" s="5">
        <f>IF(A272="","",N(INDEX(Projects[Act 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INDEX(Projects[Sold Value (USD M)],271)</f>
        <v/>
      </c>
      <c r="CE272" s="5" t="n"/>
      <c r="CF272" s="5">
        <f>IF(A272="","",N(INDEX(Projects[Est Mech Inst],271)))</f>
        <v/>
      </c>
      <c r="CG272" s="5">
        <f>IF(A272="","",N(INDEX(Projects[Est Elec Inst],271)))</f>
        <v/>
      </c>
      <c r="CH272" s="5">
        <f>IF(A272="","",N(INDEX(Projects[Est Project Management],271)))</f>
        <v/>
      </c>
      <c r="CI272" s="5">
        <f>IF(A272="","",N(INDEX(Projects[Est Systems Eng],271)))</f>
        <v/>
      </c>
      <c r="CJ272" s="5">
        <f>IF(A272="","",N(INDEX(Projects[Est Mechanical Eng],271)))</f>
        <v/>
      </c>
      <c r="CK272" s="5">
        <f>IF(A272="","",N(INDEX(Projects[Est Structural Engineering],271)))</f>
        <v/>
      </c>
      <c r="CL272" s="5">
        <f>IF(A272="","",N(INDEX(Projects[Est Site Sup],271)))</f>
        <v/>
      </c>
      <c r="CM272" s="5">
        <f>IF(A272="","",N(INDEX(Projects[Est Controls Commissioning],271)))</f>
        <v/>
      </c>
      <c r="CN272" s="5">
        <f>IF(A272="","",N(INDEX(Projects[Est Systems Commissioning],271)))</f>
        <v/>
      </c>
      <c r="CO272" s="5">
        <f>IF(A272="","",N(INDEX(Projects[Est Service Commissioning],271)))</f>
        <v/>
      </c>
      <c r="CP272" s="5">
        <f>IF(A272="","",N(INDEX(Projects[Est Controls Eng],271)))</f>
        <v/>
      </c>
      <c r="CQ272" s="5">
        <f>IF(A272="","",N(INDEX(Projects[Est Controls Purchase],271)))</f>
        <v/>
      </c>
      <c r="CR272" s="5">
        <f>IF(A272="","",N(INDEX(Projects[Est Software Eng],271)))</f>
        <v/>
      </c>
      <c r="CS272" s="5">
        <f>IF(A272="","",N(INDEX(Projects[Est Misc],271)))</f>
        <v/>
      </c>
      <c r="CT272" s="5">
        <f>IF(A272="","",SUM(CF272:CS272))</f>
        <v/>
      </c>
      <c r="CU272" s="5">
        <f>INDEX(Projects[Est Cost (M)],271)</f>
        <v/>
      </c>
      <c r="CV272" s="5">
        <f>INDEX(Projects[Act Cost (M)],271)</f>
        <v/>
      </c>
      <c r="CW272" s="5">
        <f>INDEX(Projects[Plan Mech Eng (wks)],271)</f>
        <v/>
      </c>
      <c r="CX272" s="5">
        <f>INDEX(Projects[Plan Controls Eng (wks)],271)</f>
        <v/>
      </c>
      <c r="CY272" s="5">
        <f>INDEX(Projects[Plan Systems Eng (wks)],271)</f>
        <v/>
      </c>
      <c r="CZ272" s="5">
        <f>INDEX(Projects[Plan Software Eng (wks)],271)</f>
        <v/>
      </c>
      <c r="DA272" s="5">
        <f>INDEX(Projects[Plan M&amp;E Installation (wks)],271)</f>
        <v/>
      </c>
      <c r="DB272" s="5">
        <f>INDEX(Projects[Plan Commissioning (wks)],271)</f>
        <v/>
      </c>
      <c r="DC272" s="5">
        <f>INDEX(Projects[Plan Total (wks)],271)</f>
        <v/>
      </c>
      <c r="DD272" s="5">
        <f>INDEX(Projects[Act Mech Eng (wks)],271)</f>
        <v/>
      </c>
      <c r="DE272" s="5">
        <f>INDEX(Projects[Act Controls Eng (wks)],271)</f>
        <v/>
      </c>
      <c r="DF272" s="5">
        <f>INDEX(Projects[Act Systems Eng (wks)],271)</f>
        <v/>
      </c>
      <c r="DG272" s="5">
        <f>INDEX(Projects[Act Software Eng (wks)],271)</f>
        <v/>
      </c>
      <c r="DH272" s="5">
        <f>INDEX(Projects[Act M&amp;E Installation (wks)],271)</f>
        <v/>
      </c>
      <c r="DI272" s="5">
        <f>INDEX(Projects[Act Commissioning (wks)],271)</f>
        <v/>
      </c>
      <c r="DJ272" s="5">
        <f>INDEX(Projects[Act Total (wks)],271)</f>
        <v/>
      </c>
    </row>
    <row r="273" ht="15" customHeight="1" s="82">
      <c r="A273" s="64">
        <f>INDEX(Projects[Project ID *],272)&amp;""</f>
        <v/>
      </c>
      <c r="B273" s="64">
        <f>INDEX(Projects[Project Name *],272)&amp;""</f>
        <v/>
      </c>
      <c r="C273" s="64">
        <f>INDEX(Projects[MS Shuttles],272)</f>
        <v/>
      </c>
      <c r="D273" s="64">
        <f>INDEX(Projects[MS Tote Locations],272)</f>
        <v/>
      </c>
      <c r="E273" s="64">
        <f>INDEX(Projects[AS Robots],272)</f>
        <v/>
      </c>
      <c r="F273" s="64">
        <f>INDEX(Projects[AS Tote Locations],272)</f>
        <v/>
      </c>
      <c r="G273" s="64">
        <f>INDEX(Projects[PS Shuttles],272)</f>
        <v/>
      </c>
      <c r="H273" s="64">
        <f>INDEX(Projects[PS Pallet Locations],272)</f>
        <v/>
      </c>
      <c r="I273" s="64">
        <f>INDEX(Projects[SRM Cranes],272)</f>
        <v/>
      </c>
      <c r="J273" s="64">
        <f>INDEX(Projects[SRM Pallet Locations],272)</f>
        <v/>
      </c>
      <c r="K273" s="64">
        <f>INDEX(Projects[Case Conv (m)],272)</f>
        <v/>
      </c>
      <c r="L273" s="64">
        <f>INDEX(Projects[Pallet Conv (m)],272)</f>
        <v/>
      </c>
      <c r="M273" s="64">
        <f>IF(N(DJ273)&gt;0,DD273,CW273)</f>
        <v/>
      </c>
      <c r="N273" s="64">
        <f>IF(N(DJ273)&gt;0,DE273,CX273)</f>
        <v/>
      </c>
      <c r="O273" s="64">
        <f>IF(N(DJ273)&gt;0,DF273,CY273)</f>
        <v/>
      </c>
      <c r="P273" s="64">
        <f>IF(N(DJ273)&gt;0,DG273,CZ273)</f>
        <v/>
      </c>
      <c r="Q273" s="64">
        <f>IF(N(DJ273)&gt;0,DH273,DA273)</f>
        <v/>
      </c>
      <c r="R273" s="64">
        <f>IF(N(DJ273)&gt;0,DI273,DB273)</f>
        <v/>
      </c>
      <c r="S273" s="64">
        <f>IF(N(DJ273)&gt;0,DJ273,DC273)</f>
        <v/>
      </c>
      <c r="T273" s="64">
        <f>INDEX(Projects[Currency],272)&amp;""</f>
        <v/>
      </c>
      <c r="U273" s="65">
        <f>INDEX(Projects[Sold Value (M)],272)</f>
        <v/>
      </c>
      <c r="V273" s="64">
        <f>IF('Smart Search'!B13=1,IFERROR(1/'Smart Search'!H13,0),0)</f>
        <v/>
      </c>
      <c r="W273" s="64">
        <f>IF('Smart Search'!B13=1,IFERROR(1/'Smart Search'!H13,0),0)</f>
        <v/>
      </c>
      <c r="X273" s="64">
        <f>IF('Smart Search'!C13=1,IFERROR(1/'Smart Search'!H13,0),0)</f>
        <v/>
      </c>
      <c r="Y273" s="64">
        <f>IF('Smart Search'!C13=1,IFERROR(1/'Smart Search'!H13,0),0)</f>
        <v/>
      </c>
      <c r="Z273" s="64">
        <f>IF('Smart Search'!D13=1,IFERROR(1/'Smart Search'!H13,0),0)</f>
        <v/>
      </c>
      <c r="AA273" s="64">
        <f>IF('Smart Search'!D13=1,IFERROR(1/'Smart Search'!H13,0),0)</f>
        <v/>
      </c>
      <c r="AB273" s="64">
        <f>IF('Smart Search'!E13=1,IFERROR(1/'Smart Search'!H13,0),0)</f>
        <v/>
      </c>
      <c r="AC273" s="64">
        <f>IF('Smart Search'!E13=1,IFERROR(1/'Smart Search'!H13,0),0)</f>
        <v/>
      </c>
      <c r="AD273" s="64">
        <f>IF('Smart Search'!F13=1,IFERROR(1/'Smart Search'!H13,0),0)</f>
        <v/>
      </c>
      <c r="AE273" s="64">
        <f>IF('Smart Search'!F13=1,IFERROR(1/'Smart Search'!H13,0),0)</f>
        <v/>
      </c>
      <c r="AF273" s="64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4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4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4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4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4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4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4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4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4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4">
        <f>AF273*V273</f>
        <v/>
      </c>
      <c r="AQ273" s="64">
        <f>AG273*W273</f>
        <v/>
      </c>
      <c r="AR273" s="64">
        <f>AH273*X273</f>
        <v/>
      </c>
      <c r="AS273" s="64">
        <f>AI273*Y273</f>
        <v/>
      </c>
      <c r="AT273" s="64">
        <f>AJ273*Z273</f>
        <v/>
      </c>
      <c r="AU273" s="64">
        <f>AK273*AA273</f>
        <v/>
      </c>
      <c r="AV273" s="64">
        <f>AL273*AB273</f>
        <v/>
      </c>
      <c r="AW273" s="64">
        <f>AM273*AC273</f>
        <v/>
      </c>
      <c r="AX273" s="64">
        <f>AN273*AD273</f>
        <v/>
      </c>
      <c r="AY273" s="64">
        <f>AO273*AE273</f>
        <v/>
      </c>
      <c r="AZ273" s="64">
        <f>INDEX(Projects[Automation Equipment],272)&amp;""</f>
        <v/>
      </c>
      <c r="BA273" s="64">
        <f>IF(OR(A273="",'Smart Search'!H13=0),"",MAX(0,BE273*BF273*MAX(0,1-BG273)))</f>
        <v/>
      </c>
      <c r="BB273" s="64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4">
        <f>IF('Smart Search'!G13=1,IFERROR(1/'Smart Search'!H13,0),0)</f>
        <v/>
      </c>
      <c r="BD273" s="64">
        <f>BB273*BC273</f>
        <v/>
      </c>
      <c r="BE273" s="64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IF(A273="","",N(INDEX(Projects[Act Mech Inst],272)))</f>
        <v/>
      </c>
      <c r="BK273" s="5">
        <f>IF(A273="","",N(INDEX(Projects[Act Elec Inst],272)))</f>
        <v/>
      </c>
      <c r="BL273" s="5">
        <f>IF(A273="","",N(INDEX(Projects[Act Project Management],272)))</f>
        <v/>
      </c>
      <c r="BM273" s="5">
        <f>IF(A273="","",N(INDEX(Projects[Act Systems Eng],272)))</f>
        <v/>
      </c>
      <c r="BN273" s="5">
        <f>IF(A273="","",N(INDEX(Projects[Act Mechanical Eng],272)))</f>
        <v/>
      </c>
      <c r="BO273" s="5">
        <f>IF(A273="","",N(INDEX(Projects[Act Structural Engineering],272)))</f>
        <v/>
      </c>
      <c r="BP273" s="5">
        <f>IF(A273="","",N(INDEX(Projects[Act Site Sup],272)))</f>
        <v/>
      </c>
      <c r="BQ273" s="5">
        <f>IF(A273="","",N(INDEX(Projects[Act Controls Commissioning],272)))</f>
        <v/>
      </c>
      <c r="BR273" s="5">
        <f>IF(A273="","",N(INDEX(Projects[Act Systems Commissioning],272)))</f>
        <v/>
      </c>
      <c r="BS273" s="5">
        <f>IF(A273="","",N(INDEX(Projects[Act Service Commissioning],272)))</f>
        <v/>
      </c>
      <c r="BT273" s="5">
        <f>IF(A273="","",N(INDEX(Projects[Act Controls Eng],272)))</f>
        <v/>
      </c>
      <c r="BU273" s="5">
        <f>IF(A273="","",N(INDEX(Projects[Act Controls Purchase],272)))</f>
        <v/>
      </c>
      <c r="BV273" s="5">
        <f>IF(A273="","",N(INDEX(Projects[Act Software Eng],272)))</f>
        <v/>
      </c>
      <c r="BW273" s="5">
        <f>IF(A273="","",N(INDEX(Projects[Act 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INDEX(Projects[Sold Value (USD M)],272)</f>
        <v/>
      </c>
      <c r="CE273" s="5" t="n"/>
      <c r="CF273" s="5">
        <f>IF(A273="","",N(INDEX(Projects[Est Mech Inst],272)))</f>
        <v/>
      </c>
      <c r="CG273" s="5">
        <f>IF(A273="","",N(INDEX(Projects[Est Elec Inst],272)))</f>
        <v/>
      </c>
      <c r="CH273" s="5">
        <f>IF(A273="","",N(INDEX(Projects[Est Project Management],272)))</f>
        <v/>
      </c>
      <c r="CI273" s="5">
        <f>IF(A273="","",N(INDEX(Projects[Est Systems Eng],272)))</f>
        <v/>
      </c>
      <c r="CJ273" s="5">
        <f>IF(A273="","",N(INDEX(Projects[Est Mechanical Eng],272)))</f>
        <v/>
      </c>
      <c r="CK273" s="5">
        <f>IF(A273="","",N(INDEX(Projects[Est Structural Engineering],272)))</f>
        <v/>
      </c>
      <c r="CL273" s="5">
        <f>IF(A273="","",N(INDEX(Projects[Est Site Sup],272)))</f>
        <v/>
      </c>
      <c r="CM273" s="5">
        <f>IF(A273="","",N(INDEX(Projects[Est Controls Commissioning],272)))</f>
        <v/>
      </c>
      <c r="CN273" s="5">
        <f>IF(A273="","",N(INDEX(Projects[Est Systems Commissioning],272)))</f>
        <v/>
      </c>
      <c r="CO273" s="5">
        <f>IF(A273="","",N(INDEX(Projects[Est Service Commissioning],272)))</f>
        <v/>
      </c>
      <c r="CP273" s="5">
        <f>IF(A273="","",N(INDEX(Projects[Est Controls Eng],272)))</f>
        <v/>
      </c>
      <c r="CQ273" s="5">
        <f>IF(A273="","",N(INDEX(Projects[Est Controls Purchase],272)))</f>
        <v/>
      </c>
      <c r="CR273" s="5">
        <f>IF(A273="","",N(INDEX(Projects[Est Software Eng],272)))</f>
        <v/>
      </c>
      <c r="CS273" s="5">
        <f>IF(A273="","",N(INDEX(Projects[Est Misc],272)))</f>
        <v/>
      </c>
      <c r="CT273" s="5">
        <f>IF(A273="","",SUM(CF273:CS273))</f>
        <v/>
      </c>
      <c r="CU273" s="5">
        <f>INDEX(Projects[Est Cost (M)],272)</f>
        <v/>
      </c>
      <c r="CV273" s="5">
        <f>INDEX(Projects[Act Cost (M)],272)</f>
        <v/>
      </c>
      <c r="CW273" s="5">
        <f>INDEX(Projects[Plan Mech Eng (wks)],272)</f>
        <v/>
      </c>
      <c r="CX273" s="5">
        <f>INDEX(Projects[Plan Controls Eng (wks)],272)</f>
        <v/>
      </c>
      <c r="CY273" s="5">
        <f>INDEX(Projects[Plan Systems Eng (wks)],272)</f>
        <v/>
      </c>
      <c r="CZ273" s="5">
        <f>INDEX(Projects[Plan Software Eng (wks)],272)</f>
        <v/>
      </c>
      <c r="DA273" s="5">
        <f>INDEX(Projects[Plan M&amp;E Installation (wks)],272)</f>
        <v/>
      </c>
      <c r="DB273" s="5">
        <f>INDEX(Projects[Plan Commissioning (wks)],272)</f>
        <v/>
      </c>
      <c r="DC273" s="5">
        <f>INDEX(Projects[Plan Total (wks)],272)</f>
        <v/>
      </c>
      <c r="DD273" s="5">
        <f>INDEX(Projects[Act Mech Eng (wks)],272)</f>
        <v/>
      </c>
      <c r="DE273" s="5">
        <f>INDEX(Projects[Act Controls Eng (wks)],272)</f>
        <v/>
      </c>
      <c r="DF273" s="5">
        <f>INDEX(Projects[Act Systems Eng (wks)],272)</f>
        <v/>
      </c>
      <c r="DG273" s="5">
        <f>INDEX(Projects[Act Software Eng (wks)],272)</f>
        <v/>
      </c>
      <c r="DH273" s="5">
        <f>INDEX(Projects[Act M&amp;E Installation (wks)],272)</f>
        <v/>
      </c>
      <c r="DI273" s="5">
        <f>INDEX(Projects[Act Commissioning (wks)],272)</f>
        <v/>
      </c>
      <c r="DJ273" s="5">
        <f>INDEX(Projects[Act Total (wks)],272)</f>
        <v/>
      </c>
    </row>
    <row r="274" ht="15" customHeight="1" s="82">
      <c r="A274" s="64">
        <f>INDEX(Projects[Project ID *],273)&amp;""</f>
        <v/>
      </c>
      <c r="B274" s="64">
        <f>INDEX(Projects[Project Name *],273)&amp;""</f>
        <v/>
      </c>
      <c r="C274" s="64">
        <f>INDEX(Projects[MS Shuttles],273)</f>
        <v/>
      </c>
      <c r="D274" s="64">
        <f>INDEX(Projects[MS Tote Locations],273)</f>
        <v/>
      </c>
      <c r="E274" s="64">
        <f>INDEX(Projects[AS Robots],273)</f>
        <v/>
      </c>
      <c r="F274" s="64">
        <f>INDEX(Projects[AS Tote Locations],273)</f>
        <v/>
      </c>
      <c r="G274" s="64">
        <f>INDEX(Projects[PS Shuttles],273)</f>
        <v/>
      </c>
      <c r="H274" s="64">
        <f>INDEX(Projects[PS Pallet Locations],273)</f>
        <v/>
      </c>
      <c r="I274" s="64">
        <f>INDEX(Projects[SRM Cranes],273)</f>
        <v/>
      </c>
      <c r="J274" s="64">
        <f>INDEX(Projects[SRM Pallet Locations],273)</f>
        <v/>
      </c>
      <c r="K274" s="64">
        <f>INDEX(Projects[Case Conv (m)],273)</f>
        <v/>
      </c>
      <c r="L274" s="64">
        <f>INDEX(Projects[Pallet Conv (m)],273)</f>
        <v/>
      </c>
      <c r="M274" s="64">
        <f>IF(N(DJ274)&gt;0,DD274,CW274)</f>
        <v/>
      </c>
      <c r="N274" s="64">
        <f>IF(N(DJ274)&gt;0,DE274,CX274)</f>
        <v/>
      </c>
      <c r="O274" s="64">
        <f>IF(N(DJ274)&gt;0,DF274,CY274)</f>
        <v/>
      </c>
      <c r="P274" s="64">
        <f>IF(N(DJ274)&gt;0,DG274,CZ274)</f>
        <v/>
      </c>
      <c r="Q274" s="64">
        <f>IF(N(DJ274)&gt;0,DH274,DA274)</f>
        <v/>
      </c>
      <c r="R274" s="64">
        <f>IF(N(DJ274)&gt;0,DI274,DB274)</f>
        <v/>
      </c>
      <c r="S274" s="64">
        <f>IF(N(DJ274)&gt;0,DJ274,DC274)</f>
        <v/>
      </c>
      <c r="T274" s="64">
        <f>INDEX(Projects[Currency],273)&amp;""</f>
        <v/>
      </c>
      <c r="U274" s="65">
        <f>INDEX(Projects[Sold Value (M)],273)</f>
        <v/>
      </c>
      <c r="V274" s="64">
        <f>IF('Smart Search'!B13=1,IFERROR(1/'Smart Search'!H13,0),0)</f>
        <v/>
      </c>
      <c r="W274" s="64">
        <f>IF('Smart Search'!B13=1,IFERROR(1/'Smart Search'!H13,0),0)</f>
        <v/>
      </c>
      <c r="X274" s="64">
        <f>IF('Smart Search'!C13=1,IFERROR(1/'Smart Search'!H13,0),0)</f>
        <v/>
      </c>
      <c r="Y274" s="64">
        <f>IF('Smart Search'!C13=1,IFERROR(1/'Smart Search'!H13,0),0)</f>
        <v/>
      </c>
      <c r="Z274" s="64">
        <f>IF('Smart Search'!D13=1,IFERROR(1/'Smart Search'!H13,0),0)</f>
        <v/>
      </c>
      <c r="AA274" s="64">
        <f>IF('Smart Search'!D13=1,IFERROR(1/'Smart Search'!H13,0),0)</f>
        <v/>
      </c>
      <c r="AB274" s="64">
        <f>IF('Smart Search'!E13=1,IFERROR(1/'Smart Search'!H13,0),0)</f>
        <v/>
      </c>
      <c r="AC274" s="64">
        <f>IF('Smart Search'!E13=1,IFERROR(1/'Smart Search'!H13,0),0)</f>
        <v/>
      </c>
      <c r="AD274" s="64">
        <f>IF('Smart Search'!F13=1,IFERROR(1/'Smart Search'!H13,0),0)</f>
        <v/>
      </c>
      <c r="AE274" s="64">
        <f>IF('Smart Search'!F13=1,IFERROR(1/'Smart Search'!H13,0),0)</f>
        <v/>
      </c>
      <c r="AF274" s="64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4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4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4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4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4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4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4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4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4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4">
        <f>AF274*V274</f>
        <v/>
      </c>
      <c r="AQ274" s="64">
        <f>AG274*W274</f>
        <v/>
      </c>
      <c r="AR274" s="64">
        <f>AH274*X274</f>
        <v/>
      </c>
      <c r="AS274" s="64">
        <f>AI274*Y274</f>
        <v/>
      </c>
      <c r="AT274" s="64">
        <f>AJ274*Z274</f>
        <v/>
      </c>
      <c r="AU274" s="64">
        <f>AK274*AA274</f>
        <v/>
      </c>
      <c r="AV274" s="64">
        <f>AL274*AB274</f>
        <v/>
      </c>
      <c r="AW274" s="64">
        <f>AM274*AC274</f>
        <v/>
      </c>
      <c r="AX274" s="64">
        <f>AN274*AD274</f>
        <v/>
      </c>
      <c r="AY274" s="64">
        <f>AO274*AE274</f>
        <v/>
      </c>
      <c r="AZ274" s="64">
        <f>INDEX(Projects[Automation Equipment],273)&amp;""</f>
        <v/>
      </c>
      <c r="BA274" s="64">
        <f>IF(OR(A274="",'Smart Search'!H13=0),"",MAX(0,BE274*BF274*MAX(0,1-BG274)))</f>
        <v/>
      </c>
      <c r="BB274" s="64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4">
        <f>IF('Smart Search'!G13=1,IFERROR(1/'Smart Search'!H13,0),0)</f>
        <v/>
      </c>
      <c r="BD274" s="64">
        <f>BB274*BC274</f>
        <v/>
      </c>
      <c r="BE274" s="64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IF(A274="","",N(INDEX(Projects[Act Mech Inst],273)))</f>
        <v/>
      </c>
      <c r="BK274" s="5">
        <f>IF(A274="","",N(INDEX(Projects[Act Elec Inst],273)))</f>
        <v/>
      </c>
      <c r="BL274" s="5">
        <f>IF(A274="","",N(INDEX(Projects[Act Project Management],273)))</f>
        <v/>
      </c>
      <c r="BM274" s="5">
        <f>IF(A274="","",N(INDEX(Projects[Act Systems Eng],273)))</f>
        <v/>
      </c>
      <c r="BN274" s="5">
        <f>IF(A274="","",N(INDEX(Projects[Act Mechanical Eng],273)))</f>
        <v/>
      </c>
      <c r="BO274" s="5">
        <f>IF(A274="","",N(INDEX(Projects[Act Structural Engineering],273)))</f>
        <v/>
      </c>
      <c r="BP274" s="5">
        <f>IF(A274="","",N(INDEX(Projects[Act Site Sup],273)))</f>
        <v/>
      </c>
      <c r="BQ274" s="5">
        <f>IF(A274="","",N(INDEX(Projects[Act Controls Commissioning],273)))</f>
        <v/>
      </c>
      <c r="BR274" s="5">
        <f>IF(A274="","",N(INDEX(Projects[Act Systems Commissioning],273)))</f>
        <v/>
      </c>
      <c r="BS274" s="5">
        <f>IF(A274="","",N(INDEX(Projects[Act Service Commissioning],273)))</f>
        <v/>
      </c>
      <c r="BT274" s="5">
        <f>IF(A274="","",N(INDEX(Projects[Act Controls Eng],273)))</f>
        <v/>
      </c>
      <c r="BU274" s="5">
        <f>IF(A274="","",N(INDEX(Projects[Act Controls Purchase],273)))</f>
        <v/>
      </c>
      <c r="BV274" s="5">
        <f>IF(A274="","",N(INDEX(Projects[Act Software Eng],273)))</f>
        <v/>
      </c>
      <c r="BW274" s="5">
        <f>IF(A274="","",N(INDEX(Projects[Act 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INDEX(Projects[Sold Value (USD M)],273)</f>
        <v/>
      </c>
      <c r="CE274" s="5" t="n"/>
      <c r="CF274" s="5">
        <f>IF(A274="","",N(INDEX(Projects[Est Mech Inst],273)))</f>
        <v/>
      </c>
      <c r="CG274" s="5">
        <f>IF(A274="","",N(INDEX(Projects[Est Elec Inst],273)))</f>
        <v/>
      </c>
      <c r="CH274" s="5">
        <f>IF(A274="","",N(INDEX(Projects[Est Project Management],273)))</f>
        <v/>
      </c>
      <c r="CI274" s="5">
        <f>IF(A274="","",N(INDEX(Projects[Est Systems Eng],273)))</f>
        <v/>
      </c>
      <c r="CJ274" s="5">
        <f>IF(A274="","",N(INDEX(Projects[Est Mechanical Eng],273)))</f>
        <v/>
      </c>
      <c r="CK274" s="5">
        <f>IF(A274="","",N(INDEX(Projects[Est Structural Engineering],273)))</f>
        <v/>
      </c>
      <c r="CL274" s="5">
        <f>IF(A274="","",N(INDEX(Projects[Est Site Sup],273)))</f>
        <v/>
      </c>
      <c r="CM274" s="5">
        <f>IF(A274="","",N(INDEX(Projects[Est Controls Commissioning],273)))</f>
        <v/>
      </c>
      <c r="CN274" s="5">
        <f>IF(A274="","",N(INDEX(Projects[Est Systems Commissioning],273)))</f>
        <v/>
      </c>
      <c r="CO274" s="5">
        <f>IF(A274="","",N(INDEX(Projects[Est Service Commissioning],273)))</f>
        <v/>
      </c>
      <c r="CP274" s="5">
        <f>IF(A274="","",N(INDEX(Projects[Est Controls Eng],273)))</f>
        <v/>
      </c>
      <c r="CQ274" s="5">
        <f>IF(A274="","",N(INDEX(Projects[Est Controls Purchase],273)))</f>
        <v/>
      </c>
      <c r="CR274" s="5">
        <f>IF(A274="","",N(INDEX(Projects[Est Software Eng],273)))</f>
        <v/>
      </c>
      <c r="CS274" s="5">
        <f>IF(A274="","",N(INDEX(Projects[Est Misc],273)))</f>
        <v/>
      </c>
      <c r="CT274" s="5">
        <f>IF(A274="","",SUM(CF274:CS274))</f>
        <v/>
      </c>
      <c r="CU274" s="5">
        <f>INDEX(Projects[Est Cost (M)],273)</f>
        <v/>
      </c>
      <c r="CV274" s="5">
        <f>INDEX(Projects[Act Cost (M)],273)</f>
        <v/>
      </c>
      <c r="CW274" s="5">
        <f>INDEX(Projects[Plan Mech Eng (wks)],273)</f>
        <v/>
      </c>
      <c r="CX274" s="5">
        <f>INDEX(Projects[Plan Controls Eng (wks)],273)</f>
        <v/>
      </c>
      <c r="CY274" s="5">
        <f>INDEX(Projects[Plan Systems Eng (wks)],273)</f>
        <v/>
      </c>
      <c r="CZ274" s="5">
        <f>INDEX(Projects[Plan Software Eng (wks)],273)</f>
        <v/>
      </c>
      <c r="DA274" s="5">
        <f>INDEX(Projects[Plan M&amp;E Installation (wks)],273)</f>
        <v/>
      </c>
      <c r="DB274" s="5">
        <f>INDEX(Projects[Plan Commissioning (wks)],273)</f>
        <v/>
      </c>
      <c r="DC274" s="5">
        <f>INDEX(Projects[Plan Total (wks)],273)</f>
        <v/>
      </c>
      <c r="DD274" s="5">
        <f>INDEX(Projects[Act Mech Eng (wks)],273)</f>
        <v/>
      </c>
      <c r="DE274" s="5">
        <f>INDEX(Projects[Act Controls Eng (wks)],273)</f>
        <v/>
      </c>
      <c r="DF274" s="5">
        <f>INDEX(Projects[Act Systems Eng (wks)],273)</f>
        <v/>
      </c>
      <c r="DG274" s="5">
        <f>INDEX(Projects[Act Software Eng (wks)],273)</f>
        <v/>
      </c>
      <c r="DH274" s="5">
        <f>INDEX(Projects[Act M&amp;E Installation (wks)],273)</f>
        <v/>
      </c>
      <c r="DI274" s="5">
        <f>INDEX(Projects[Act Commissioning (wks)],273)</f>
        <v/>
      </c>
      <c r="DJ274" s="5">
        <f>INDEX(Projects[Act Total (wks)],273)</f>
        <v/>
      </c>
    </row>
    <row r="275" ht="15" customHeight="1" s="82">
      <c r="A275" s="64">
        <f>INDEX(Projects[Project ID *],274)&amp;""</f>
        <v/>
      </c>
      <c r="B275" s="64">
        <f>INDEX(Projects[Project Name *],274)&amp;""</f>
        <v/>
      </c>
      <c r="C275" s="64">
        <f>INDEX(Projects[MS Shuttles],274)</f>
        <v/>
      </c>
      <c r="D275" s="64">
        <f>INDEX(Projects[MS Tote Locations],274)</f>
        <v/>
      </c>
      <c r="E275" s="64">
        <f>INDEX(Projects[AS Robots],274)</f>
        <v/>
      </c>
      <c r="F275" s="64">
        <f>INDEX(Projects[AS Tote Locations],274)</f>
        <v/>
      </c>
      <c r="G275" s="64">
        <f>INDEX(Projects[PS Shuttles],274)</f>
        <v/>
      </c>
      <c r="H275" s="64">
        <f>INDEX(Projects[PS Pallet Locations],274)</f>
        <v/>
      </c>
      <c r="I275" s="64">
        <f>INDEX(Projects[SRM Cranes],274)</f>
        <v/>
      </c>
      <c r="J275" s="64">
        <f>INDEX(Projects[SRM Pallet Locations],274)</f>
        <v/>
      </c>
      <c r="K275" s="64">
        <f>INDEX(Projects[Case Conv (m)],274)</f>
        <v/>
      </c>
      <c r="L275" s="64">
        <f>INDEX(Projects[Pallet Conv (m)],274)</f>
        <v/>
      </c>
      <c r="M275" s="64">
        <f>IF(N(DJ275)&gt;0,DD275,CW275)</f>
        <v/>
      </c>
      <c r="N275" s="64">
        <f>IF(N(DJ275)&gt;0,DE275,CX275)</f>
        <v/>
      </c>
      <c r="O275" s="64">
        <f>IF(N(DJ275)&gt;0,DF275,CY275)</f>
        <v/>
      </c>
      <c r="P275" s="64">
        <f>IF(N(DJ275)&gt;0,DG275,CZ275)</f>
        <v/>
      </c>
      <c r="Q275" s="64">
        <f>IF(N(DJ275)&gt;0,DH275,DA275)</f>
        <v/>
      </c>
      <c r="R275" s="64">
        <f>IF(N(DJ275)&gt;0,DI275,DB275)</f>
        <v/>
      </c>
      <c r="S275" s="64">
        <f>IF(N(DJ275)&gt;0,DJ275,DC275)</f>
        <v/>
      </c>
      <c r="T275" s="64">
        <f>INDEX(Projects[Currency],274)&amp;""</f>
        <v/>
      </c>
      <c r="U275" s="65">
        <f>INDEX(Projects[Sold Value (M)],274)</f>
        <v/>
      </c>
      <c r="V275" s="64">
        <f>IF('Smart Search'!B13=1,IFERROR(1/'Smart Search'!H13,0),0)</f>
        <v/>
      </c>
      <c r="W275" s="64">
        <f>IF('Smart Search'!B13=1,IFERROR(1/'Smart Search'!H13,0),0)</f>
        <v/>
      </c>
      <c r="X275" s="64">
        <f>IF('Smart Search'!C13=1,IFERROR(1/'Smart Search'!H13,0),0)</f>
        <v/>
      </c>
      <c r="Y275" s="64">
        <f>IF('Smart Search'!C13=1,IFERROR(1/'Smart Search'!H13,0),0)</f>
        <v/>
      </c>
      <c r="Z275" s="64">
        <f>IF('Smart Search'!D13=1,IFERROR(1/'Smart Search'!H13,0),0)</f>
        <v/>
      </c>
      <c r="AA275" s="64">
        <f>IF('Smart Search'!D13=1,IFERROR(1/'Smart Search'!H13,0),0)</f>
        <v/>
      </c>
      <c r="AB275" s="64">
        <f>IF('Smart Search'!E13=1,IFERROR(1/'Smart Search'!H13,0),0)</f>
        <v/>
      </c>
      <c r="AC275" s="64">
        <f>IF('Smart Search'!E13=1,IFERROR(1/'Smart Search'!H13,0),0)</f>
        <v/>
      </c>
      <c r="AD275" s="64">
        <f>IF('Smart Search'!F13=1,IFERROR(1/'Smart Search'!H13,0),0)</f>
        <v/>
      </c>
      <c r="AE275" s="64">
        <f>IF('Smart Search'!F13=1,IFERROR(1/'Smart Search'!H13,0),0)</f>
        <v/>
      </c>
      <c r="AF275" s="64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4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4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4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4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4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4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4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4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4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4">
        <f>AF275*V275</f>
        <v/>
      </c>
      <c r="AQ275" s="64">
        <f>AG275*W275</f>
        <v/>
      </c>
      <c r="AR275" s="64">
        <f>AH275*X275</f>
        <v/>
      </c>
      <c r="AS275" s="64">
        <f>AI275*Y275</f>
        <v/>
      </c>
      <c r="AT275" s="64">
        <f>AJ275*Z275</f>
        <v/>
      </c>
      <c r="AU275" s="64">
        <f>AK275*AA275</f>
        <v/>
      </c>
      <c r="AV275" s="64">
        <f>AL275*AB275</f>
        <v/>
      </c>
      <c r="AW275" s="64">
        <f>AM275*AC275</f>
        <v/>
      </c>
      <c r="AX275" s="64">
        <f>AN275*AD275</f>
        <v/>
      </c>
      <c r="AY275" s="64">
        <f>AO275*AE275</f>
        <v/>
      </c>
      <c r="AZ275" s="64">
        <f>INDEX(Projects[Automation Equipment],274)&amp;""</f>
        <v/>
      </c>
      <c r="BA275" s="64">
        <f>IF(OR(A275="",'Smart Search'!H13=0),"",MAX(0,BE275*BF275*MAX(0,1-BG275)))</f>
        <v/>
      </c>
      <c r="BB275" s="64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4">
        <f>IF('Smart Search'!G13=1,IFERROR(1/'Smart Search'!H13,0),0)</f>
        <v/>
      </c>
      <c r="BD275" s="64">
        <f>BB275*BC275</f>
        <v/>
      </c>
      <c r="BE275" s="64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IF(A275="","",N(INDEX(Projects[Act Mech Inst],274)))</f>
        <v/>
      </c>
      <c r="BK275" s="5">
        <f>IF(A275="","",N(INDEX(Projects[Act Elec Inst],274)))</f>
        <v/>
      </c>
      <c r="BL275" s="5">
        <f>IF(A275="","",N(INDEX(Projects[Act Project Management],274)))</f>
        <v/>
      </c>
      <c r="BM275" s="5">
        <f>IF(A275="","",N(INDEX(Projects[Act Systems Eng],274)))</f>
        <v/>
      </c>
      <c r="BN275" s="5">
        <f>IF(A275="","",N(INDEX(Projects[Act Mechanical Eng],274)))</f>
        <v/>
      </c>
      <c r="BO275" s="5">
        <f>IF(A275="","",N(INDEX(Projects[Act Structural Engineering],274)))</f>
        <v/>
      </c>
      <c r="BP275" s="5">
        <f>IF(A275="","",N(INDEX(Projects[Act Site Sup],274)))</f>
        <v/>
      </c>
      <c r="BQ275" s="5">
        <f>IF(A275="","",N(INDEX(Projects[Act Controls Commissioning],274)))</f>
        <v/>
      </c>
      <c r="BR275" s="5">
        <f>IF(A275="","",N(INDEX(Projects[Act Systems Commissioning],274)))</f>
        <v/>
      </c>
      <c r="BS275" s="5">
        <f>IF(A275="","",N(INDEX(Projects[Act Service Commissioning],274)))</f>
        <v/>
      </c>
      <c r="BT275" s="5">
        <f>IF(A275="","",N(INDEX(Projects[Act Controls Eng],274)))</f>
        <v/>
      </c>
      <c r="BU275" s="5">
        <f>IF(A275="","",N(INDEX(Projects[Act Controls Purchase],274)))</f>
        <v/>
      </c>
      <c r="BV275" s="5">
        <f>IF(A275="","",N(INDEX(Projects[Act Software Eng],274)))</f>
        <v/>
      </c>
      <c r="BW275" s="5">
        <f>IF(A275="","",N(INDEX(Projects[Act 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INDEX(Projects[Sold Value (USD M)],274)</f>
        <v/>
      </c>
      <c r="CE275" s="5" t="n"/>
      <c r="CF275" s="5">
        <f>IF(A275="","",N(INDEX(Projects[Est Mech Inst],274)))</f>
        <v/>
      </c>
      <c r="CG275" s="5">
        <f>IF(A275="","",N(INDEX(Projects[Est Elec Inst],274)))</f>
        <v/>
      </c>
      <c r="CH275" s="5">
        <f>IF(A275="","",N(INDEX(Projects[Est Project Management],274)))</f>
        <v/>
      </c>
      <c r="CI275" s="5">
        <f>IF(A275="","",N(INDEX(Projects[Est Systems Eng],274)))</f>
        <v/>
      </c>
      <c r="CJ275" s="5">
        <f>IF(A275="","",N(INDEX(Projects[Est Mechanical Eng],274)))</f>
        <v/>
      </c>
      <c r="CK275" s="5">
        <f>IF(A275="","",N(INDEX(Projects[Est Structural Engineering],274)))</f>
        <v/>
      </c>
      <c r="CL275" s="5">
        <f>IF(A275="","",N(INDEX(Projects[Est Site Sup],274)))</f>
        <v/>
      </c>
      <c r="CM275" s="5">
        <f>IF(A275="","",N(INDEX(Projects[Est Controls Commissioning],274)))</f>
        <v/>
      </c>
      <c r="CN275" s="5">
        <f>IF(A275="","",N(INDEX(Projects[Est Systems Commissioning],274)))</f>
        <v/>
      </c>
      <c r="CO275" s="5">
        <f>IF(A275="","",N(INDEX(Projects[Est Service Commissioning],274)))</f>
        <v/>
      </c>
      <c r="CP275" s="5">
        <f>IF(A275="","",N(INDEX(Projects[Est Controls Eng],274)))</f>
        <v/>
      </c>
      <c r="CQ275" s="5">
        <f>IF(A275="","",N(INDEX(Projects[Est Controls Purchase],274)))</f>
        <v/>
      </c>
      <c r="CR275" s="5">
        <f>IF(A275="","",N(INDEX(Projects[Est Software Eng],274)))</f>
        <v/>
      </c>
      <c r="CS275" s="5">
        <f>IF(A275="","",N(INDEX(Projects[Est Misc],274)))</f>
        <v/>
      </c>
      <c r="CT275" s="5">
        <f>IF(A275="","",SUM(CF275:CS275))</f>
        <v/>
      </c>
      <c r="CU275" s="5">
        <f>INDEX(Projects[Est Cost (M)],274)</f>
        <v/>
      </c>
      <c r="CV275" s="5">
        <f>INDEX(Projects[Act Cost (M)],274)</f>
        <v/>
      </c>
      <c r="CW275" s="5">
        <f>INDEX(Projects[Plan Mech Eng (wks)],274)</f>
        <v/>
      </c>
      <c r="CX275" s="5">
        <f>INDEX(Projects[Plan Controls Eng (wks)],274)</f>
        <v/>
      </c>
      <c r="CY275" s="5">
        <f>INDEX(Projects[Plan Systems Eng (wks)],274)</f>
        <v/>
      </c>
      <c r="CZ275" s="5">
        <f>INDEX(Projects[Plan Software Eng (wks)],274)</f>
        <v/>
      </c>
      <c r="DA275" s="5">
        <f>INDEX(Projects[Plan M&amp;E Installation (wks)],274)</f>
        <v/>
      </c>
      <c r="DB275" s="5">
        <f>INDEX(Projects[Plan Commissioning (wks)],274)</f>
        <v/>
      </c>
      <c r="DC275" s="5">
        <f>INDEX(Projects[Plan Total (wks)],274)</f>
        <v/>
      </c>
      <c r="DD275" s="5">
        <f>INDEX(Projects[Act Mech Eng (wks)],274)</f>
        <v/>
      </c>
      <c r="DE275" s="5">
        <f>INDEX(Projects[Act Controls Eng (wks)],274)</f>
        <v/>
      </c>
      <c r="DF275" s="5">
        <f>INDEX(Projects[Act Systems Eng (wks)],274)</f>
        <v/>
      </c>
      <c r="DG275" s="5">
        <f>INDEX(Projects[Act Software Eng (wks)],274)</f>
        <v/>
      </c>
      <c r="DH275" s="5">
        <f>INDEX(Projects[Act M&amp;E Installation (wks)],274)</f>
        <v/>
      </c>
      <c r="DI275" s="5">
        <f>INDEX(Projects[Act Commissioning (wks)],274)</f>
        <v/>
      </c>
      <c r="DJ275" s="5">
        <f>INDEX(Projects[Act Total (wks)],274)</f>
        <v/>
      </c>
    </row>
    <row r="276" ht="15" customHeight="1" s="82">
      <c r="A276" s="64">
        <f>INDEX(Projects[Project ID *],275)&amp;""</f>
        <v/>
      </c>
      <c r="B276" s="64">
        <f>INDEX(Projects[Project Name *],275)&amp;""</f>
        <v/>
      </c>
      <c r="C276" s="64">
        <f>INDEX(Projects[MS Shuttles],275)</f>
        <v/>
      </c>
      <c r="D276" s="64">
        <f>INDEX(Projects[MS Tote Locations],275)</f>
        <v/>
      </c>
      <c r="E276" s="64">
        <f>INDEX(Projects[AS Robots],275)</f>
        <v/>
      </c>
      <c r="F276" s="64">
        <f>INDEX(Projects[AS Tote Locations],275)</f>
        <v/>
      </c>
      <c r="G276" s="64">
        <f>INDEX(Projects[PS Shuttles],275)</f>
        <v/>
      </c>
      <c r="H276" s="64">
        <f>INDEX(Projects[PS Pallet Locations],275)</f>
        <v/>
      </c>
      <c r="I276" s="64">
        <f>INDEX(Projects[SRM Cranes],275)</f>
        <v/>
      </c>
      <c r="J276" s="64">
        <f>INDEX(Projects[SRM Pallet Locations],275)</f>
        <v/>
      </c>
      <c r="K276" s="64">
        <f>INDEX(Projects[Case Conv (m)],275)</f>
        <v/>
      </c>
      <c r="L276" s="64">
        <f>INDEX(Projects[Pallet Conv (m)],275)</f>
        <v/>
      </c>
      <c r="M276" s="64">
        <f>IF(N(DJ276)&gt;0,DD276,CW276)</f>
        <v/>
      </c>
      <c r="N276" s="64">
        <f>IF(N(DJ276)&gt;0,DE276,CX276)</f>
        <v/>
      </c>
      <c r="O276" s="64">
        <f>IF(N(DJ276)&gt;0,DF276,CY276)</f>
        <v/>
      </c>
      <c r="P276" s="64">
        <f>IF(N(DJ276)&gt;0,DG276,CZ276)</f>
        <v/>
      </c>
      <c r="Q276" s="64">
        <f>IF(N(DJ276)&gt;0,DH276,DA276)</f>
        <v/>
      </c>
      <c r="R276" s="64">
        <f>IF(N(DJ276)&gt;0,DI276,DB276)</f>
        <v/>
      </c>
      <c r="S276" s="64">
        <f>IF(N(DJ276)&gt;0,DJ276,DC276)</f>
        <v/>
      </c>
      <c r="T276" s="64">
        <f>INDEX(Projects[Currency],275)&amp;""</f>
        <v/>
      </c>
      <c r="U276" s="65">
        <f>INDEX(Projects[Sold Value (M)],275)</f>
        <v/>
      </c>
      <c r="V276" s="64">
        <f>IF('Smart Search'!B13=1,IFERROR(1/'Smart Search'!H13,0),0)</f>
        <v/>
      </c>
      <c r="W276" s="64">
        <f>IF('Smart Search'!B13=1,IFERROR(1/'Smart Search'!H13,0),0)</f>
        <v/>
      </c>
      <c r="X276" s="64">
        <f>IF('Smart Search'!C13=1,IFERROR(1/'Smart Search'!H13,0),0)</f>
        <v/>
      </c>
      <c r="Y276" s="64">
        <f>IF('Smart Search'!C13=1,IFERROR(1/'Smart Search'!H13,0),0)</f>
        <v/>
      </c>
      <c r="Z276" s="64">
        <f>IF('Smart Search'!D13=1,IFERROR(1/'Smart Search'!H13,0),0)</f>
        <v/>
      </c>
      <c r="AA276" s="64">
        <f>IF('Smart Search'!D13=1,IFERROR(1/'Smart Search'!H13,0),0)</f>
        <v/>
      </c>
      <c r="AB276" s="64">
        <f>IF('Smart Search'!E13=1,IFERROR(1/'Smart Search'!H13,0),0)</f>
        <v/>
      </c>
      <c r="AC276" s="64">
        <f>IF('Smart Search'!E13=1,IFERROR(1/'Smart Search'!H13,0),0)</f>
        <v/>
      </c>
      <c r="AD276" s="64">
        <f>IF('Smart Search'!F13=1,IFERROR(1/'Smart Search'!H13,0),0)</f>
        <v/>
      </c>
      <c r="AE276" s="64">
        <f>IF('Smart Search'!F13=1,IFERROR(1/'Smart Search'!H13,0),0)</f>
        <v/>
      </c>
      <c r="AF276" s="64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4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4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4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4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4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4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4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4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4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4">
        <f>AF276*V276</f>
        <v/>
      </c>
      <c r="AQ276" s="64">
        <f>AG276*W276</f>
        <v/>
      </c>
      <c r="AR276" s="64">
        <f>AH276*X276</f>
        <v/>
      </c>
      <c r="AS276" s="64">
        <f>AI276*Y276</f>
        <v/>
      </c>
      <c r="AT276" s="64">
        <f>AJ276*Z276</f>
        <v/>
      </c>
      <c r="AU276" s="64">
        <f>AK276*AA276</f>
        <v/>
      </c>
      <c r="AV276" s="64">
        <f>AL276*AB276</f>
        <v/>
      </c>
      <c r="AW276" s="64">
        <f>AM276*AC276</f>
        <v/>
      </c>
      <c r="AX276" s="64">
        <f>AN276*AD276</f>
        <v/>
      </c>
      <c r="AY276" s="64">
        <f>AO276*AE276</f>
        <v/>
      </c>
      <c r="AZ276" s="64">
        <f>INDEX(Projects[Automation Equipment],275)&amp;""</f>
        <v/>
      </c>
      <c r="BA276" s="64">
        <f>IF(OR(A276="",'Smart Search'!H13=0),"",MAX(0,BE276*BF276*MAX(0,1-BG276)))</f>
        <v/>
      </c>
      <c r="BB276" s="64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4">
        <f>IF('Smart Search'!G13=1,IFERROR(1/'Smart Search'!H13,0),0)</f>
        <v/>
      </c>
      <c r="BD276" s="64">
        <f>BB276*BC276</f>
        <v/>
      </c>
      <c r="BE276" s="64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IF(A276="","",N(INDEX(Projects[Act Mech Inst],275)))</f>
        <v/>
      </c>
      <c r="BK276" s="5">
        <f>IF(A276="","",N(INDEX(Projects[Act Elec Inst],275)))</f>
        <v/>
      </c>
      <c r="BL276" s="5">
        <f>IF(A276="","",N(INDEX(Projects[Act Project Management],275)))</f>
        <v/>
      </c>
      <c r="BM276" s="5">
        <f>IF(A276="","",N(INDEX(Projects[Act Systems Eng],275)))</f>
        <v/>
      </c>
      <c r="BN276" s="5">
        <f>IF(A276="","",N(INDEX(Projects[Act Mechanical Eng],275)))</f>
        <v/>
      </c>
      <c r="BO276" s="5">
        <f>IF(A276="","",N(INDEX(Projects[Act Structural Engineering],275)))</f>
        <v/>
      </c>
      <c r="BP276" s="5">
        <f>IF(A276="","",N(INDEX(Projects[Act Site Sup],275)))</f>
        <v/>
      </c>
      <c r="BQ276" s="5">
        <f>IF(A276="","",N(INDEX(Projects[Act Controls Commissioning],275)))</f>
        <v/>
      </c>
      <c r="BR276" s="5">
        <f>IF(A276="","",N(INDEX(Projects[Act Systems Commissioning],275)))</f>
        <v/>
      </c>
      <c r="BS276" s="5">
        <f>IF(A276="","",N(INDEX(Projects[Act Service Commissioning],275)))</f>
        <v/>
      </c>
      <c r="BT276" s="5">
        <f>IF(A276="","",N(INDEX(Projects[Act Controls Eng],275)))</f>
        <v/>
      </c>
      <c r="BU276" s="5">
        <f>IF(A276="","",N(INDEX(Projects[Act Controls Purchase],275)))</f>
        <v/>
      </c>
      <c r="BV276" s="5">
        <f>IF(A276="","",N(INDEX(Projects[Act Software Eng],275)))</f>
        <v/>
      </c>
      <c r="BW276" s="5">
        <f>IF(A276="","",N(INDEX(Projects[Act 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INDEX(Projects[Sold Value (USD M)],275)</f>
        <v/>
      </c>
      <c r="CE276" s="5" t="n"/>
      <c r="CF276" s="5">
        <f>IF(A276="","",N(INDEX(Projects[Est Mech Inst],275)))</f>
        <v/>
      </c>
      <c r="CG276" s="5">
        <f>IF(A276="","",N(INDEX(Projects[Est Elec Inst],275)))</f>
        <v/>
      </c>
      <c r="CH276" s="5">
        <f>IF(A276="","",N(INDEX(Projects[Est Project Management],275)))</f>
        <v/>
      </c>
      <c r="CI276" s="5">
        <f>IF(A276="","",N(INDEX(Projects[Est Systems Eng],275)))</f>
        <v/>
      </c>
      <c r="CJ276" s="5">
        <f>IF(A276="","",N(INDEX(Projects[Est Mechanical Eng],275)))</f>
        <v/>
      </c>
      <c r="CK276" s="5">
        <f>IF(A276="","",N(INDEX(Projects[Est Structural Engineering],275)))</f>
        <v/>
      </c>
      <c r="CL276" s="5">
        <f>IF(A276="","",N(INDEX(Projects[Est Site Sup],275)))</f>
        <v/>
      </c>
      <c r="CM276" s="5">
        <f>IF(A276="","",N(INDEX(Projects[Est Controls Commissioning],275)))</f>
        <v/>
      </c>
      <c r="CN276" s="5">
        <f>IF(A276="","",N(INDEX(Projects[Est Systems Commissioning],275)))</f>
        <v/>
      </c>
      <c r="CO276" s="5">
        <f>IF(A276="","",N(INDEX(Projects[Est Service Commissioning],275)))</f>
        <v/>
      </c>
      <c r="CP276" s="5">
        <f>IF(A276="","",N(INDEX(Projects[Est Controls Eng],275)))</f>
        <v/>
      </c>
      <c r="CQ276" s="5">
        <f>IF(A276="","",N(INDEX(Projects[Est Controls Purchase],275)))</f>
        <v/>
      </c>
      <c r="CR276" s="5">
        <f>IF(A276="","",N(INDEX(Projects[Est Software Eng],275)))</f>
        <v/>
      </c>
      <c r="CS276" s="5">
        <f>IF(A276="","",N(INDEX(Projects[Est Misc],275)))</f>
        <v/>
      </c>
      <c r="CT276" s="5">
        <f>IF(A276="","",SUM(CF276:CS276))</f>
        <v/>
      </c>
      <c r="CU276" s="5">
        <f>INDEX(Projects[Est Cost (M)],275)</f>
        <v/>
      </c>
      <c r="CV276" s="5">
        <f>INDEX(Projects[Act Cost (M)],275)</f>
        <v/>
      </c>
      <c r="CW276" s="5">
        <f>INDEX(Projects[Plan Mech Eng (wks)],275)</f>
        <v/>
      </c>
      <c r="CX276" s="5">
        <f>INDEX(Projects[Plan Controls Eng (wks)],275)</f>
        <v/>
      </c>
      <c r="CY276" s="5">
        <f>INDEX(Projects[Plan Systems Eng (wks)],275)</f>
        <v/>
      </c>
      <c r="CZ276" s="5">
        <f>INDEX(Projects[Plan Software Eng (wks)],275)</f>
        <v/>
      </c>
      <c r="DA276" s="5">
        <f>INDEX(Projects[Plan M&amp;E Installation (wks)],275)</f>
        <v/>
      </c>
      <c r="DB276" s="5">
        <f>INDEX(Projects[Plan Commissioning (wks)],275)</f>
        <v/>
      </c>
      <c r="DC276" s="5">
        <f>INDEX(Projects[Plan Total (wks)],275)</f>
        <v/>
      </c>
      <c r="DD276" s="5">
        <f>INDEX(Projects[Act Mech Eng (wks)],275)</f>
        <v/>
      </c>
      <c r="DE276" s="5">
        <f>INDEX(Projects[Act Controls Eng (wks)],275)</f>
        <v/>
      </c>
      <c r="DF276" s="5">
        <f>INDEX(Projects[Act Systems Eng (wks)],275)</f>
        <v/>
      </c>
      <c r="DG276" s="5">
        <f>INDEX(Projects[Act Software Eng (wks)],275)</f>
        <v/>
      </c>
      <c r="DH276" s="5">
        <f>INDEX(Projects[Act M&amp;E Installation (wks)],275)</f>
        <v/>
      </c>
      <c r="DI276" s="5">
        <f>INDEX(Projects[Act Commissioning (wks)],275)</f>
        <v/>
      </c>
      <c r="DJ276" s="5">
        <f>INDEX(Projects[Act Total (wks)],275)</f>
        <v/>
      </c>
    </row>
    <row r="277" ht="15" customHeight="1" s="82">
      <c r="A277" s="64">
        <f>INDEX(Projects[Project ID *],276)&amp;""</f>
        <v/>
      </c>
      <c r="B277" s="64">
        <f>INDEX(Projects[Project Name *],276)&amp;""</f>
        <v/>
      </c>
      <c r="C277" s="64">
        <f>INDEX(Projects[MS Shuttles],276)</f>
        <v/>
      </c>
      <c r="D277" s="64">
        <f>INDEX(Projects[MS Tote Locations],276)</f>
        <v/>
      </c>
      <c r="E277" s="64">
        <f>INDEX(Projects[AS Robots],276)</f>
        <v/>
      </c>
      <c r="F277" s="64">
        <f>INDEX(Projects[AS Tote Locations],276)</f>
        <v/>
      </c>
      <c r="G277" s="64">
        <f>INDEX(Projects[PS Shuttles],276)</f>
        <v/>
      </c>
      <c r="H277" s="64">
        <f>INDEX(Projects[PS Pallet Locations],276)</f>
        <v/>
      </c>
      <c r="I277" s="64">
        <f>INDEX(Projects[SRM Cranes],276)</f>
        <v/>
      </c>
      <c r="J277" s="64">
        <f>INDEX(Projects[SRM Pallet Locations],276)</f>
        <v/>
      </c>
      <c r="K277" s="64">
        <f>INDEX(Projects[Case Conv (m)],276)</f>
        <v/>
      </c>
      <c r="L277" s="64">
        <f>INDEX(Projects[Pallet Conv (m)],276)</f>
        <v/>
      </c>
      <c r="M277" s="64">
        <f>IF(N(DJ277)&gt;0,DD277,CW277)</f>
        <v/>
      </c>
      <c r="N277" s="64">
        <f>IF(N(DJ277)&gt;0,DE277,CX277)</f>
        <v/>
      </c>
      <c r="O277" s="64">
        <f>IF(N(DJ277)&gt;0,DF277,CY277)</f>
        <v/>
      </c>
      <c r="P277" s="64">
        <f>IF(N(DJ277)&gt;0,DG277,CZ277)</f>
        <v/>
      </c>
      <c r="Q277" s="64">
        <f>IF(N(DJ277)&gt;0,DH277,DA277)</f>
        <v/>
      </c>
      <c r="R277" s="64">
        <f>IF(N(DJ277)&gt;0,DI277,DB277)</f>
        <v/>
      </c>
      <c r="S277" s="64">
        <f>IF(N(DJ277)&gt;0,DJ277,DC277)</f>
        <v/>
      </c>
      <c r="T277" s="64">
        <f>INDEX(Projects[Currency],276)&amp;""</f>
        <v/>
      </c>
      <c r="U277" s="65">
        <f>INDEX(Projects[Sold Value (M)],276)</f>
        <v/>
      </c>
      <c r="V277" s="64">
        <f>IF('Smart Search'!B13=1,IFERROR(1/'Smart Search'!H13,0),0)</f>
        <v/>
      </c>
      <c r="W277" s="64">
        <f>IF('Smart Search'!B13=1,IFERROR(1/'Smart Search'!H13,0),0)</f>
        <v/>
      </c>
      <c r="X277" s="64">
        <f>IF('Smart Search'!C13=1,IFERROR(1/'Smart Search'!H13,0),0)</f>
        <v/>
      </c>
      <c r="Y277" s="64">
        <f>IF('Smart Search'!C13=1,IFERROR(1/'Smart Search'!H13,0),0)</f>
        <v/>
      </c>
      <c r="Z277" s="64">
        <f>IF('Smart Search'!D13=1,IFERROR(1/'Smart Search'!H13,0),0)</f>
        <v/>
      </c>
      <c r="AA277" s="64">
        <f>IF('Smart Search'!D13=1,IFERROR(1/'Smart Search'!H13,0),0)</f>
        <v/>
      </c>
      <c r="AB277" s="64">
        <f>IF('Smart Search'!E13=1,IFERROR(1/'Smart Search'!H13,0),0)</f>
        <v/>
      </c>
      <c r="AC277" s="64">
        <f>IF('Smart Search'!E13=1,IFERROR(1/'Smart Search'!H13,0),0)</f>
        <v/>
      </c>
      <c r="AD277" s="64">
        <f>IF('Smart Search'!F13=1,IFERROR(1/'Smart Search'!H13,0),0)</f>
        <v/>
      </c>
      <c r="AE277" s="64">
        <f>IF('Smart Search'!F13=1,IFERROR(1/'Smart Search'!H13,0),0)</f>
        <v/>
      </c>
      <c r="AF277" s="64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4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4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4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4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4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4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4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4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4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4">
        <f>AF277*V277</f>
        <v/>
      </c>
      <c r="AQ277" s="64">
        <f>AG277*W277</f>
        <v/>
      </c>
      <c r="AR277" s="64">
        <f>AH277*X277</f>
        <v/>
      </c>
      <c r="AS277" s="64">
        <f>AI277*Y277</f>
        <v/>
      </c>
      <c r="AT277" s="64">
        <f>AJ277*Z277</f>
        <v/>
      </c>
      <c r="AU277" s="64">
        <f>AK277*AA277</f>
        <v/>
      </c>
      <c r="AV277" s="64">
        <f>AL277*AB277</f>
        <v/>
      </c>
      <c r="AW277" s="64">
        <f>AM277*AC277</f>
        <v/>
      </c>
      <c r="AX277" s="64">
        <f>AN277*AD277</f>
        <v/>
      </c>
      <c r="AY277" s="64">
        <f>AO277*AE277</f>
        <v/>
      </c>
      <c r="AZ277" s="64">
        <f>INDEX(Projects[Automation Equipment],276)&amp;""</f>
        <v/>
      </c>
      <c r="BA277" s="64">
        <f>IF(OR(A277="",'Smart Search'!H13=0),"",MAX(0,BE277*BF277*MAX(0,1-BG277)))</f>
        <v/>
      </c>
      <c r="BB277" s="64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4">
        <f>IF('Smart Search'!G13=1,IFERROR(1/'Smart Search'!H13,0),0)</f>
        <v/>
      </c>
      <c r="BD277" s="64">
        <f>BB277*BC277</f>
        <v/>
      </c>
      <c r="BE277" s="64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IF(A277="","",N(INDEX(Projects[Act Mech Inst],276)))</f>
        <v/>
      </c>
      <c r="BK277" s="5">
        <f>IF(A277="","",N(INDEX(Projects[Act Elec Inst],276)))</f>
        <v/>
      </c>
      <c r="BL277" s="5">
        <f>IF(A277="","",N(INDEX(Projects[Act Project Management],276)))</f>
        <v/>
      </c>
      <c r="BM277" s="5">
        <f>IF(A277="","",N(INDEX(Projects[Act Systems Eng],276)))</f>
        <v/>
      </c>
      <c r="BN277" s="5">
        <f>IF(A277="","",N(INDEX(Projects[Act Mechanical Eng],276)))</f>
        <v/>
      </c>
      <c r="BO277" s="5">
        <f>IF(A277="","",N(INDEX(Projects[Act Structural Engineering],276)))</f>
        <v/>
      </c>
      <c r="BP277" s="5">
        <f>IF(A277="","",N(INDEX(Projects[Act Site Sup],276)))</f>
        <v/>
      </c>
      <c r="BQ277" s="5">
        <f>IF(A277="","",N(INDEX(Projects[Act Controls Commissioning],276)))</f>
        <v/>
      </c>
      <c r="BR277" s="5">
        <f>IF(A277="","",N(INDEX(Projects[Act Systems Commissioning],276)))</f>
        <v/>
      </c>
      <c r="BS277" s="5">
        <f>IF(A277="","",N(INDEX(Projects[Act Service Commissioning],276)))</f>
        <v/>
      </c>
      <c r="BT277" s="5">
        <f>IF(A277="","",N(INDEX(Projects[Act Controls Eng],276)))</f>
        <v/>
      </c>
      <c r="BU277" s="5">
        <f>IF(A277="","",N(INDEX(Projects[Act Controls Purchase],276)))</f>
        <v/>
      </c>
      <c r="BV277" s="5">
        <f>IF(A277="","",N(INDEX(Projects[Act Software Eng],276)))</f>
        <v/>
      </c>
      <c r="BW277" s="5">
        <f>IF(A277="","",N(INDEX(Projects[Act 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INDEX(Projects[Sold Value (USD M)],276)</f>
        <v/>
      </c>
      <c r="CE277" s="5" t="n"/>
      <c r="CF277" s="5">
        <f>IF(A277="","",N(INDEX(Projects[Est Mech Inst],276)))</f>
        <v/>
      </c>
      <c r="CG277" s="5">
        <f>IF(A277="","",N(INDEX(Projects[Est Elec Inst],276)))</f>
        <v/>
      </c>
      <c r="CH277" s="5">
        <f>IF(A277="","",N(INDEX(Projects[Est Project Management],276)))</f>
        <v/>
      </c>
      <c r="CI277" s="5">
        <f>IF(A277="","",N(INDEX(Projects[Est Systems Eng],276)))</f>
        <v/>
      </c>
      <c r="CJ277" s="5">
        <f>IF(A277="","",N(INDEX(Projects[Est Mechanical Eng],276)))</f>
        <v/>
      </c>
      <c r="CK277" s="5">
        <f>IF(A277="","",N(INDEX(Projects[Est Structural Engineering],276)))</f>
        <v/>
      </c>
      <c r="CL277" s="5">
        <f>IF(A277="","",N(INDEX(Projects[Est Site Sup],276)))</f>
        <v/>
      </c>
      <c r="CM277" s="5">
        <f>IF(A277="","",N(INDEX(Projects[Est Controls Commissioning],276)))</f>
        <v/>
      </c>
      <c r="CN277" s="5">
        <f>IF(A277="","",N(INDEX(Projects[Est Systems Commissioning],276)))</f>
        <v/>
      </c>
      <c r="CO277" s="5">
        <f>IF(A277="","",N(INDEX(Projects[Est Service Commissioning],276)))</f>
        <v/>
      </c>
      <c r="CP277" s="5">
        <f>IF(A277="","",N(INDEX(Projects[Est Controls Eng],276)))</f>
        <v/>
      </c>
      <c r="CQ277" s="5">
        <f>IF(A277="","",N(INDEX(Projects[Est Controls Purchase],276)))</f>
        <v/>
      </c>
      <c r="CR277" s="5">
        <f>IF(A277="","",N(INDEX(Projects[Est Software Eng],276)))</f>
        <v/>
      </c>
      <c r="CS277" s="5">
        <f>IF(A277="","",N(INDEX(Projects[Est Misc],276)))</f>
        <v/>
      </c>
      <c r="CT277" s="5">
        <f>IF(A277="","",SUM(CF277:CS277))</f>
        <v/>
      </c>
      <c r="CU277" s="5">
        <f>INDEX(Projects[Est Cost (M)],276)</f>
        <v/>
      </c>
      <c r="CV277" s="5">
        <f>INDEX(Projects[Act Cost (M)],276)</f>
        <v/>
      </c>
      <c r="CW277" s="5">
        <f>INDEX(Projects[Plan Mech Eng (wks)],276)</f>
        <v/>
      </c>
      <c r="CX277" s="5">
        <f>INDEX(Projects[Plan Controls Eng (wks)],276)</f>
        <v/>
      </c>
      <c r="CY277" s="5">
        <f>INDEX(Projects[Plan Systems Eng (wks)],276)</f>
        <v/>
      </c>
      <c r="CZ277" s="5">
        <f>INDEX(Projects[Plan Software Eng (wks)],276)</f>
        <v/>
      </c>
      <c r="DA277" s="5">
        <f>INDEX(Projects[Plan M&amp;E Installation (wks)],276)</f>
        <v/>
      </c>
      <c r="DB277" s="5">
        <f>INDEX(Projects[Plan Commissioning (wks)],276)</f>
        <v/>
      </c>
      <c r="DC277" s="5">
        <f>INDEX(Projects[Plan Total (wks)],276)</f>
        <v/>
      </c>
      <c r="DD277" s="5">
        <f>INDEX(Projects[Act Mech Eng (wks)],276)</f>
        <v/>
      </c>
      <c r="DE277" s="5">
        <f>INDEX(Projects[Act Controls Eng (wks)],276)</f>
        <v/>
      </c>
      <c r="DF277" s="5">
        <f>INDEX(Projects[Act Systems Eng (wks)],276)</f>
        <v/>
      </c>
      <c r="DG277" s="5">
        <f>INDEX(Projects[Act Software Eng (wks)],276)</f>
        <v/>
      </c>
      <c r="DH277" s="5">
        <f>INDEX(Projects[Act M&amp;E Installation (wks)],276)</f>
        <v/>
      </c>
      <c r="DI277" s="5">
        <f>INDEX(Projects[Act Commissioning (wks)],276)</f>
        <v/>
      </c>
      <c r="DJ277" s="5">
        <f>INDEX(Projects[Act Total (wks)],276)</f>
        <v/>
      </c>
    </row>
    <row r="278" ht="15" customHeight="1" s="82">
      <c r="A278" s="64">
        <f>INDEX(Projects[Project ID *],277)&amp;""</f>
        <v/>
      </c>
      <c r="B278" s="64">
        <f>INDEX(Projects[Project Name *],277)&amp;""</f>
        <v/>
      </c>
      <c r="C278" s="64">
        <f>INDEX(Projects[MS Shuttles],277)</f>
        <v/>
      </c>
      <c r="D278" s="64">
        <f>INDEX(Projects[MS Tote Locations],277)</f>
        <v/>
      </c>
      <c r="E278" s="64">
        <f>INDEX(Projects[AS Robots],277)</f>
        <v/>
      </c>
      <c r="F278" s="64">
        <f>INDEX(Projects[AS Tote Locations],277)</f>
        <v/>
      </c>
      <c r="G278" s="64">
        <f>INDEX(Projects[PS Shuttles],277)</f>
        <v/>
      </c>
      <c r="H278" s="64">
        <f>INDEX(Projects[PS Pallet Locations],277)</f>
        <v/>
      </c>
      <c r="I278" s="64">
        <f>INDEX(Projects[SRM Cranes],277)</f>
        <v/>
      </c>
      <c r="J278" s="64">
        <f>INDEX(Projects[SRM Pallet Locations],277)</f>
        <v/>
      </c>
      <c r="K278" s="64">
        <f>INDEX(Projects[Case Conv (m)],277)</f>
        <v/>
      </c>
      <c r="L278" s="64">
        <f>INDEX(Projects[Pallet Conv (m)],277)</f>
        <v/>
      </c>
      <c r="M278" s="64">
        <f>IF(N(DJ278)&gt;0,DD278,CW278)</f>
        <v/>
      </c>
      <c r="N278" s="64">
        <f>IF(N(DJ278)&gt;0,DE278,CX278)</f>
        <v/>
      </c>
      <c r="O278" s="64">
        <f>IF(N(DJ278)&gt;0,DF278,CY278)</f>
        <v/>
      </c>
      <c r="P278" s="64">
        <f>IF(N(DJ278)&gt;0,DG278,CZ278)</f>
        <v/>
      </c>
      <c r="Q278" s="64">
        <f>IF(N(DJ278)&gt;0,DH278,DA278)</f>
        <v/>
      </c>
      <c r="R278" s="64">
        <f>IF(N(DJ278)&gt;0,DI278,DB278)</f>
        <v/>
      </c>
      <c r="S278" s="64">
        <f>IF(N(DJ278)&gt;0,DJ278,DC278)</f>
        <v/>
      </c>
      <c r="T278" s="64">
        <f>INDEX(Projects[Currency],277)&amp;""</f>
        <v/>
      </c>
      <c r="U278" s="65">
        <f>INDEX(Projects[Sold Value (M)],277)</f>
        <v/>
      </c>
      <c r="V278" s="64">
        <f>IF('Smart Search'!B13=1,IFERROR(1/'Smart Search'!H13,0),0)</f>
        <v/>
      </c>
      <c r="W278" s="64">
        <f>IF('Smart Search'!B13=1,IFERROR(1/'Smart Search'!H13,0),0)</f>
        <v/>
      </c>
      <c r="X278" s="64">
        <f>IF('Smart Search'!C13=1,IFERROR(1/'Smart Search'!H13,0),0)</f>
        <v/>
      </c>
      <c r="Y278" s="64">
        <f>IF('Smart Search'!C13=1,IFERROR(1/'Smart Search'!H13,0),0)</f>
        <v/>
      </c>
      <c r="Z278" s="64">
        <f>IF('Smart Search'!D13=1,IFERROR(1/'Smart Search'!H13,0),0)</f>
        <v/>
      </c>
      <c r="AA278" s="64">
        <f>IF('Smart Search'!D13=1,IFERROR(1/'Smart Search'!H13,0),0)</f>
        <v/>
      </c>
      <c r="AB278" s="64">
        <f>IF('Smart Search'!E13=1,IFERROR(1/'Smart Search'!H13,0),0)</f>
        <v/>
      </c>
      <c r="AC278" s="64">
        <f>IF('Smart Search'!E13=1,IFERROR(1/'Smart Search'!H13,0),0)</f>
        <v/>
      </c>
      <c r="AD278" s="64">
        <f>IF('Smart Search'!F13=1,IFERROR(1/'Smart Search'!H13,0),0)</f>
        <v/>
      </c>
      <c r="AE278" s="64">
        <f>IF('Smart Search'!F13=1,IFERROR(1/'Smart Search'!H13,0),0)</f>
        <v/>
      </c>
      <c r="AF278" s="64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4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4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4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4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4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4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4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4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4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4">
        <f>AF278*V278</f>
        <v/>
      </c>
      <c r="AQ278" s="64">
        <f>AG278*W278</f>
        <v/>
      </c>
      <c r="AR278" s="64">
        <f>AH278*X278</f>
        <v/>
      </c>
      <c r="AS278" s="64">
        <f>AI278*Y278</f>
        <v/>
      </c>
      <c r="AT278" s="64">
        <f>AJ278*Z278</f>
        <v/>
      </c>
      <c r="AU278" s="64">
        <f>AK278*AA278</f>
        <v/>
      </c>
      <c r="AV278" s="64">
        <f>AL278*AB278</f>
        <v/>
      </c>
      <c r="AW278" s="64">
        <f>AM278*AC278</f>
        <v/>
      </c>
      <c r="AX278" s="64">
        <f>AN278*AD278</f>
        <v/>
      </c>
      <c r="AY278" s="64">
        <f>AO278*AE278</f>
        <v/>
      </c>
      <c r="AZ278" s="64">
        <f>INDEX(Projects[Automation Equipment],277)&amp;""</f>
        <v/>
      </c>
      <c r="BA278" s="64">
        <f>IF(OR(A278="",'Smart Search'!H13=0),"",MAX(0,BE278*BF278*MAX(0,1-BG278)))</f>
        <v/>
      </c>
      <c r="BB278" s="64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4">
        <f>IF('Smart Search'!G13=1,IFERROR(1/'Smart Search'!H13,0),0)</f>
        <v/>
      </c>
      <c r="BD278" s="64">
        <f>BB278*BC278</f>
        <v/>
      </c>
      <c r="BE278" s="64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IF(A278="","",N(INDEX(Projects[Act Mech Inst],277)))</f>
        <v/>
      </c>
      <c r="BK278" s="5">
        <f>IF(A278="","",N(INDEX(Projects[Act Elec Inst],277)))</f>
        <v/>
      </c>
      <c r="BL278" s="5">
        <f>IF(A278="","",N(INDEX(Projects[Act Project Management],277)))</f>
        <v/>
      </c>
      <c r="BM278" s="5">
        <f>IF(A278="","",N(INDEX(Projects[Act Systems Eng],277)))</f>
        <v/>
      </c>
      <c r="BN278" s="5">
        <f>IF(A278="","",N(INDEX(Projects[Act Mechanical Eng],277)))</f>
        <v/>
      </c>
      <c r="BO278" s="5">
        <f>IF(A278="","",N(INDEX(Projects[Act Structural Engineering],277)))</f>
        <v/>
      </c>
      <c r="BP278" s="5">
        <f>IF(A278="","",N(INDEX(Projects[Act Site Sup],277)))</f>
        <v/>
      </c>
      <c r="BQ278" s="5">
        <f>IF(A278="","",N(INDEX(Projects[Act Controls Commissioning],277)))</f>
        <v/>
      </c>
      <c r="BR278" s="5">
        <f>IF(A278="","",N(INDEX(Projects[Act Systems Commissioning],277)))</f>
        <v/>
      </c>
      <c r="BS278" s="5">
        <f>IF(A278="","",N(INDEX(Projects[Act Service Commissioning],277)))</f>
        <v/>
      </c>
      <c r="BT278" s="5">
        <f>IF(A278="","",N(INDEX(Projects[Act Controls Eng],277)))</f>
        <v/>
      </c>
      <c r="BU278" s="5">
        <f>IF(A278="","",N(INDEX(Projects[Act Controls Purchase],277)))</f>
        <v/>
      </c>
      <c r="BV278" s="5">
        <f>IF(A278="","",N(INDEX(Projects[Act Software Eng],277)))</f>
        <v/>
      </c>
      <c r="BW278" s="5">
        <f>IF(A278="","",N(INDEX(Projects[Act 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INDEX(Projects[Sold Value (USD M)],277)</f>
        <v/>
      </c>
      <c r="CE278" s="5" t="n"/>
      <c r="CF278" s="5">
        <f>IF(A278="","",N(INDEX(Projects[Est Mech Inst],277)))</f>
        <v/>
      </c>
      <c r="CG278" s="5">
        <f>IF(A278="","",N(INDEX(Projects[Est Elec Inst],277)))</f>
        <v/>
      </c>
      <c r="CH278" s="5">
        <f>IF(A278="","",N(INDEX(Projects[Est Project Management],277)))</f>
        <v/>
      </c>
      <c r="CI278" s="5">
        <f>IF(A278="","",N(INDEX(Projects[Est Systems Eng],277)))</f>
        <v/>
      </c>
      <c r="CJ278" s="5">
        <f>IF(A278="","",N(INDEX(Projects[Est Mechanical Eng],277)))</f>
        <v/>
      </c>
      <c r="CK278" s="5">
        <f>IF(A278="","",N(INDEX(Projects[Est Structural Engineering],277)))</f>
        <v/>
      </c>
      <c r="CL278" s="5">
        <f>IF(A278="","",N(INDEX(Projects[Est Site Sup],277)))</f>
        <v/>
      </c>
      <c r="CM278" s="5">
        <f>IF(A278="","",N(INDEX(Projects[Est Controls Commissioning],277)))</f>
        <v/>
      </c>
      <c r="CN278" s="5">
        <f>IF(A278="","",N(INDEX(Projects[Est Systems Commissioning],277)))</f>
        <v/>
      </c>
      <c r="CO278" s="5">
        <f>IF(A278="","",N(INDEX(Projects[Est Service Commissioning],277)))</f>
        <v/>
      </c>
      <c r="CP278" s="5">
        <f>IF(A278="","",N(INDEX(Projects[Est Controls Eng],277)))</f>
        <v/>
      </c>
      <c r="CQ278" s="5">
        <f>IF(A278="","",N(INDEX(Projects[Est Controls Purchase],277)))</f>
        <v/>
      </c>
      <c r="CR278" s="5">
        <f>IF(A278="","",N(INDEX(Projects[Est Software Eng],277)))</f>
        <v/>
      </c>
      <c r="CS278" s="5">
        <f>IF(A278="","",N(INDEX(Projects[Est Misc],277)))</f>
        <v/>
      </c>
      <c r="CT278" s="5">
        <f>IF(A278="","",SUM(CF278:CS278))</f>
        <v/>
      </c>
      <c r="CU278" s="5">
        <f>INDEX(Projects[Est Cost (M)],277)</f>
        <v/>
      </c>
      <c r="CV278" s="5">
        <f>INDEX(Projects[Act Cost (M)],277)</f>
        <v/>
      </c>
      <c r="CW278" s="5">
        <f>INDEX(Projects[Plan Mech Eng (wks)],277)</f>
        <v/>
      </c>
      <c r="CX278" s="5">
        <f>INDEX(Projects[Plan Controls Eng (wks)],277)</f>
        <v/>
      </c>
      <c r="CY278" s="5">
        <f>INDEX(Projects[Plan Systems Eng (wks)],277)</f>
        <v/>
      </c>
      <c r="CZ278" s="5">
        <f>INDEX(Projects[Plan Software Eng (wks)],277)</f>
        <v/>
      </c>
      <c r="DA278" s="5">
        <f>INDEX(Projects[Plan M&amp;E Installation (wks)],277)</f>
        <v/>
      </c>
      <c r="DB278" s="5">
        <f>INDEX(Projects[Plan Commissioning (wks)],277)</f>
        <v/>
      </c>
      <c r="DC278" s="5">
        <f>INDEX(Projects[Plan Total (wks)],277)</f>
        <v/>
      </c>
      <c r="DD278" s="5">
        <f>INDEX(Projects[Act Mech Eng (wks)],277)</f>
        <v/>
      </c>
      <c r="DE278" s="5">
        <f>INDEX(Projects[Act Controls Eng (wks)],277)</f>
        <v/>
      </c>
      <c r="DF278" s="5">
        <f>INDEX(Projects[Act Systems Eng (wks)],277)</f>
        <v/>
      </c>
      <c r="DG278" s="5">
        <f>INDEX(Projects[Act Software Eng (wks)],277)</f>
        <v/>
      </c>
      <c r="DH278" s="5">
        <f>INDEX(Projects[Act M&amp;E Installation (wks)],277)</f>
        <v/>
      </c>
      <c r="DI278" s="5">
        <f>INDEX(Projects[Act Commissioning (wks)],277)</f>
        <v/>
      </c>
      <c r="DJ278" s="5">
        <f>INDEX(Projects[Act Total (wks)],277)</f>
        <v/>
      </c>
    </row>
    <row r="279" ht="15" customHeight="1" s="82">
      <c r="A279" s="64">
        <f>INDEX(Projects[Project ID *],278)&amp;""</f>
        <v/>
      </c>
      <c r="B279" s="64">
        <f>INDEX(Projects[Project Name *],278)&amp;""</f>
        <v/>
      </c>
      <c r="C279" s="64">
        <f>INDEX(Projects[MS Shuttles],278)</f>
        <v/>
      </c>
      <c r="D279" s="64">
        <f>INDEX(Projects[MS Tote Locations],278)</f>
        <v/>
      </c>
      <c r="E279" s="64">
        <f>INDEX(Projects[AS Robots],278)</f>
        <v/>
      </c>
      <c r="F279" s="64">
        <f>INDEX(Projects[AS Tote Locations],278)</f>
        <v/>
      </c>
      <c r="G279" s="64">
        <f>INDEX(Projects[PS Shuttles],278)</f>
        <v/>
      </c>
      <c r="H279" s="64">
        <f>INDEX(Projects[PS Pallet Locations],278)</f>
        <v/>
      </c>
      <c r="I279" s="64">
        <f>INDEX(Projects[SRM Cranes],278)</f>
        <v/>
      </c>
      <c r="J279" s="64">
        <f>INDEX(Projects[SRM Pallet Locations],278)</f>
        <v/>
      </c>
      <c r="K279" s="64">
        <f>INDEX(Projects[Case Conv (m)],278)</f>
        <v/>
      </c>
      <c r="L279" s="64">
        <f>INDEX(Projects[Pallet Conv (m)],278)</f>
        <v/>
      </c>
      <c r="M279" s="64">
        <f>IF(N(DJ279)&gt;0,DD279,CW279)</f>
        <v/>
      </c>
      <c r="N279" s="64">
        <f>IF(N(DJ279)&gt;0,DE279,CX279)</f>
        <v/>
      </c>
      <c r="O279" s="64">
        <f>IF(N(DJ279)&gt;0,DF279,CY279)</f>
        <v/>
      </c>
      <c r="P279" s="64">
        <f>IF(N(DJ279)&gt;0,DG279,CZ279)</f>
        <v/>
      </c>
      <c r="Q279" s="64">
        <f>IF(N(DJ279)&gt;0,DH279,DA279)</f>
        <v/>
      </c>
      <c r="R279" s="64">
        <f>IF(N(DJ279)&gt;0,DI279,DB279)</f>
        <v/>
      </c>
      <c r="S279" s="64">
        <f>IF(N(DJ279)&gt;0,DJ279,DC279)</f>
        <v/>
      </c>
      <c r="T279" s="64">
        <f>INDEX(Projects[Currency],278)&amp;""</f>
        <v/>
      </c>
      <c r="U279" s="65">
        <f>INDEX(Projects[Sold Value (M)],278)</f>
        <v/>
      </c>
      <c r="V279" s="64">
        <f>IF('Smart Search'!B13=1,IFERROR(1/'Smart Search'!H13,0),0)</f>
        <v/>
      </c>
      <c r="W279" s="64">
        <f>IF('Smart Search'!B13=1,IFERROR(1/'Smart Search'!H13,0),0)</f>
        <v/>
      </c>
      <c r="X279" s="64">
        <f>IF('Smart Search'!C13=1,IFERROR(1/'Smart Search'!H13,0),0)</f>
        <v/>
      </c>
      <c r="Y279" s="64">
        <f>IF('Smart Search'!C13=1,IFERROR(1/'Smart Search'!H13,0),0)</f>
        <v/>
      </c>
      <c r="Z279" s="64">
        <f>IF('Smart Search'!D13=1,IFERROR(1/'Smart Search'!H13,0),0)</f>
        <v/>
      </c>
      <c r="AA279" s="64">
        <f>IF('Smart Search'!D13=1,IFERROR(1/'Smart Search'!H13,0),0)</f>
        <v/>
      </c>
      <c r="AB279" s="64">
        <f>IF('Smart Search'!E13=1,IFERROR(1/'Smart Search'!H13,0),0)</f>
        <v/>
      </c>
      <c r="AC279" s="64">
        <f>IF('Smart Search'!E13=1,IFERROR(1/'Smart Search'!H13,0),0)</f>
        <v/>
      </c>
      <c r="AD279" s="64">
        <f>IF('Smart Search'!F13=1,IFERROR(1/'Smart Search'!H13,0),0)</f>
        <v/>
      </c>
      <c r="AE279" s="64">
        <f>IF('Smart Search'!F13=1,IFERROR(1/'Smart Search'!H13,0),0)</f>
        <v/>
      </c>
      <c r="AF279" s="64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4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4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4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4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4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4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4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4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4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4">
        <f>AF279*V279</f>
        <v/>
      </c>
      <c r="AQ279" s="64">
        <f>AG279*W279</f>
        <v/>
      </c>
      <c r="AR279" s="64">
        <f>AH279*X279</f>
        <v/>
      </c>
      <c r="AS279" s="64">
        <f>AI279*Y279</f>
        <v/>
      </c>
      <c r="AT279" s="64">
        <f>AJ279*Z279</f>
        <v/>
      </c>
      <c r="AU279" s="64">
        <f>AK279*AA279</f>
        <v/>
      </c>
      <c r="AV279" s="64">
        <f>AL279*AB279</f>
        <v/>
      </c>
      <c r="AW279" s="64">
        <f>AM279*AC279</f>
        <v/>
      </c>
      <c r="AX279" s="64">
        <f>AN279*AD279</f>
        <v/>
      </c>
      <c r="AY279" s="64">
        <f>AO279*AE279</f>
        <v/>
      </c>
      <c r="AZ279" s="64">
        <f>INDEX(Projects[Automation Equipment],278)&amp;""</f>
        <v/>
      </c>
      <c r="BA279" s="64">
        <f>IF(OR(A279="",'Smart Search'!H13=0),"",MAX(0,BE279*BF279*MAX(0,1-BG279)))</f>
        <v/>
      </c>
      <c r="BB279" s="64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4">
        <f>IF('Smart Search'!G13=1,IFERROR(1/'Smart Search'!H13,0),0)</f>
        <v/>
      </c>
      <c r="BD279" s="64">
        <f>BB279*BC279</f>
        <v/>
      </c>
      <c r="BE279" s="64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IF(A279="","",N(INDEX(Projects[Act Mech Inst],278)))</f>
        <v/>
      </c>
      <c r="BK279" s="5">
        <f>IF(A279="","",N(INDEX(Projects[Act Elec Inst],278)))</f>
        <v/>
      </c>
      <c r="BL279" s="5">
        <f>IF(A279="","",N(INDEX(Projects[Act Project Management],278)))</f>
        <v/>
      </c>
      <c r="BM279" s="5">
        <f>IF(A279="","",N(INDEX(Projects[Act Systems Eng],278)))</f>
        <v/>
      </c>
      <c r="BN279" s="5">
        <f>IF(A279="","",N(INDEX(Projects[Act Mechanical Eng],278)))</f>
        <v/>
      </c>
      <c r="BO279" s="5">
        <f>IF(A279="","",N(INDEX(Projects[Act Structural Engineering],278)))</f>
        <v/>
      </c>
      <c r="BP279" s="5">
        <f>IF(A279="","",N(INDEX(Projects[Act Site Sup],278)))</f>
        <v/>
      </c>
      <c r="BQ279" s="5">
        <f>IF(A279="","",N(INDEX(Projects[Act Controls Commissioning],278)))</f>
        <v/>
      </c>
      <c r="BR279" s="5">
        <f>IF(A279="","",N(INDEX(Projects[Act Systems Commissioning],278)))</f>
        <v/>
      </c>
      <c r="BS279" s="5">
        <f>IF(A279="","",N(INDEX(Projects[Act Service Commissioning],278)))</f>
        <v/>
      </c>
      <c r="BT279" s="5">
        <f>IF(A279="","",N(INDEX(Projects[Act Controls Eng],278)))</f>
        <v/>
      </c>
      <c r="BU279" s="5">
        <f>IF(A279="","",N(INDEX(Projects[Act Controls Purchase],278)))</f>
        <v/>
      </c>
      <c r="BV279" s="5">
        <f>IF(A279="","",N(INDEX(Projects[Act Software Eng],278)))</f>
        <v/>
      </c>
      <c r="BW279" s="5">
        <f>IF(A279="","",N(INDEX(Projects[Act 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INDEX(Projects[Sold Value (USD M)],278)</f>
        <v/>
      </c>
      <c r="CE279" s="5" t="n"/>
      <c r="CF279" s="5">
        <f>IF(A279="","",N(INDEX(Projects[Est Mech Inst],278)))</f>
        <v/>
      </c>
      <c r="CG279" s="5">
        <f>IF(A279="","",N(INDEX(Projects[Est Elec Inst],278)))</f>
        <v/>
      </c>
      <c r="CH279" s="5">
        <f>IF(A279="","",N(INDEX(Projects[Est Project Management],278)))</f>
        <v/>
      </c>
      <c r="CI279" s="5">
        <f>IF(A279="","",N(INDEX(Projects[Est Systems Eng],278)))</f>
        <v/>
      </c>
      <c r="CJ279" s="5">
        <f>IF(A279="","",N(INDEX(Projects[Est Mechanical Eng],278)))</f>
        <v/>
      </c>
      <c r="CK279" s="5">
        <f>IF(A279="","",N(INDEX(Projects[Est Structural Engineering],278)))</f>
        <v/>
      </c>
      <c r="CL279" s="5">
        <f>IF(A279="","",N(INDEX(Projects[Est Site Sup],278)))</f>
        <v/>
      </c>
      <c r="CM279" s="5">
        <f>IF(A279="","",N(INDEX(Projects[Est Controls Commissioning],278)))</f>
        <v/>
      </c>
      <c r="CN279" s="5">
        <f>IF(A279="","",N(INDEX(Projects[Est Systems Commissioning],278)))</f>
        <v/>
      </c>
      <c r="CO279" s="5">
        <f>IF(A279="","",N(INDEX(Projects[Est Service Commissioning],278)))</f>
        <v/>
      </c>
      <c r="CP279" s="5">
        <f>IF(A279="","",N(INDEX(Projects[Est Controls Eng],278)))</f>
        <v/>
      </c>
      <c r="CQ279" s="5">
        <f>IF(A279="","",N(INDEX(Projects[Est Controls Purchase],278)))</f>
        <v/>
      </c>
      <c r="CR279" s="5">
        <f>IF(A279="","",N(INDEX(Projects[Est Software Eng],278)))</f>
        <v/>
      </c>
      <c r="CS279" s="5">
        <f>IF(A279="","",N(INDEX(Projects[Est Misc],278)))</f>
        <v/>
      </c>
      <c r="CT279" s="5">
        <f>IF(A279="","",SUM(CF279:CS279))</f>
        <v/>
      </c>
      <c r="CU279" s="5">
        <f>INDEX(Projects[Est Cost (M)],278)</f>
        <v/>
      </c>
      <c r="CV279" s="5">
        <f>INDEX(Projects[Act Cost (M)],278)</f>
        <v/>
      </c>
      <c r="CW279" s="5">
        <f>INDEX(Projects[Plan Mech Eng (wks)],278)</f>
        <v/>
      </c>
      <c r="CX279" s="5">
        <f>INDEX(Projects[Plan Controls Eng (wks)],278)</f>
        <v/>
      </c>
      <c r="CY279" s="5">
        <f>INDEX(Projects[Plan Systems Eng (wks)],278)</f>
        <v/>
      </c>
      <c r="CZ279" s="5">
        <f>INDEX(Projects[Plan Software Eng (wks)],278)</f>
        <v/>
      </c>
      <c r="DA279" s="5">
        <f>INDEX(Projects[Plan M&amp;E Installation (wks)],278)</f>
        <v/>
      </c>
      <c r="DB279" s="5">
        <f>INDEX(Projects[Plan Commissioning (wks)],278)</f>
        <v/>
      </c>
      <c r="DC279" s="5">
        <f>INDEX(Projects[Plan Total (wks)],278)</f>
        <v/>
      </c>
      <c r="DD279" s="5">
        <f>INDEX(Projects[Act Mech Eng (wks)],278)</f>
        <v/>
      </c>
      <c r="DE279" s="5">
        <f>INDEX(Projects[Act Controls Eng (wks)],278)</f>
        <v/>
      </c>
      <c r="DF279" s="5">
        <f>INDEX(Projects[Act Systems Eng (wks)],278)</f>
        <v/>
      </c>
      <c r="DG279" s="5">
        <f>INDEX(Projects[Act Software Eng (wks)],278)</f>
        <v/>
      </c>
      <c r="DH279" s="5">
        <f>INDEX(Projects[Act M&amp;E Installation (wks)],278)</f>
        <v/>
      </c>
      <c r="DI279" s="5">
        <f>INDEX(Projects[Act Commissioning (wks)],278)</f>
        <v/>
      </c>
      <c r="DJ279" s="5">
        <f>INDEX(Projects[Act Total (wks)],278)</f>
        <v/>
      </c>
    </row>
    <row r="280" ht="15" customHeight="1" s="82">
      <c r="A280" s="64">
        <f>INDEX(Projects[Project ID *],279)&amp;""</f>
        <v/>
      </c>
      <c r="B280" s="64">
        <f>INDEX(Projects[Project Name *],279)&amp;""</f>
        <v/>
      </c>
      <c r="C280" s="64">
        <f>INDEX(Projects[MS Shuttles],279)</f>
        <v/>
      </c>
      <c r="D280" s="64">
        <f>INDEX(Projects[MS Tote Locations],279)</f>
        <v/>
      </c>
      <c r="E280" s="64">
        <f>INDEX(Projects[AS Robots],279)</f>
        <v/>
      </c>
      <c r="F280" s="64">
        <f>INDEX(Projects[AS Tote Locations],279)</f>
        <v/>
      </c>
      <c r="G280" s="64">
        <f>INDEX(Projects[PS Shuttles],279)</f>
        <v/>
      </c>
      <c r="H280" s="64">
        <f>INDEX(Projects[PS Pallet Locations],279)</f>
        <v/>
      </c>
      <c r="I280" s="64">
        <f>INDEX(Projects[SRM Cranes],279)</f>
        <v/>
      </c>
      <c r="J280" s="64">
        <f>INDEX(Projects[SRM Pallet Locations],279)</f>
        <v/>
      </c>
      <c r="K280" s="64">
        <f>INDEX(Projects[Case Conv (m)],279)</f>
        <v/>
      </c>
      <c r="L280" s="64">
        <f>INDEX(Projects[Pallet Conv (m)],279)</f>
        <v/>
      </c>
      <c r="M280" s="64">
        <f>IF(N(DJ280)&gt;0,DD280,CW280)</f>
        <v/>
      </c>
      <c r="N280" s="64">
        <f>IF(N(DJ280)&gt;0,DE280,CX280)</f>
        <v/>
      </c>
      <c r="O280" s="64">
        <f>IF(N(DJ280)&gt;0,DF280,CY280)</f>
        <v/>
      </c>
      <c r="P280" s="64">
        <f>IF(N(DJ280)&gt;0,DG280,CZ280)</f>
        <v/>
      </c>
      <c r="Q280" s="64">
        <f>IF(N(DJ280)&gt;0,DH280,DA280)</f>
        <v/>
      </c>
      <c r="R280" s="64">
        <f>IF(N(DJ280)&gt;0,DI280,DB280)</f>
        <v/>
      </c>
      <c r="S280" s="64">
        <f>IF(N(DJ280)&gt;0,DJ280,DC280)</f>
        <v/>
      </c>
      <c r="T280" s="64">
        <f>INDEX(Projects[Currency],279)&amp;""</f>
        <v/>
      </c>
      <c r="U280" s="65">
        <f>INDEX(Projects[Sold Value (M)],279)</f>
        <v/>
      </c>
      <c r="V280" s="64">
        <f>IF('Smart Search'!B13=1,IFERROR(1/'Smart Search'!H13,0),0)</f>
        <v/>
      </c>
      <c r="W280" s="64">
        <f>IF('Smart Search'!B13=1,IFERROR(1/'Smart Search'!H13,0),0)</f>
        <v/>
      </c>
      <c r="X280" s="64">
        <f>IF('Smart Search'!C13=1,IFERROR(1/'Smart Search'!H13,0),0)</f>
        <v/>
      </c>
      <c r="Y280" s="64">
        <f>IF('Smart Search'!C13=1,IFERROR(1/'Smart Search'!H13,0),0)</f>
        <v/>
      </c>
      <c r="Z280" s="64">
        <f>IF('Smart Search'!D13=1,IFERROR(1/'Smart Search'!H13,0),0)</f>
        <v/>
      </c>
      <c r="AA280" s="64">
        <f>IF('Smart Search'!D13=1,IFERROR(1/'Smart Search'!H13,0),0)</f>
        <v/>
      </c>
      <c r="AB280" s="64">
        <f>IF('Smart Search'!E13=1,IFERROR(1/'Smart Search'!H13,0),0)</f>
        <v/>
      </c>
      <c r="AC280" s="64">
        <f>IF('Smart Search'!E13=1,IFERROR(1/'Smart Search'!H13,0),0)</f>
        <v/>
      </c>
      <c r="AD280" s="64">
        <f>IF('Smart Search'!F13=1,IFERROR(1/'Smart Search'!H13,0),0)</f>
        <v/>
      </c>
      <c r="AE280" s="64">
        <f>IF('Smart Search'!F13=1,IFERROR(1/'Smart Search'!H13,0),0)</f>
        <v/>
      </c>
      <c r="AF280" s="64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4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4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4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4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4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4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4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4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4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4">
        <f>AF280*V280</f>
        <v/>
      </c>
      <c r="AQ280" s="64">
        <f>AG280*W280</f>
        <v/>
      </c>
      <c r="AR280" s="64">
        <f>AH280*X280</f>
        <v/>
      </c>
      <c r="AS280" s="64">
        <f>AI280*Y280</f>
        <v/>
      </c>
      <c r="AT280" s="64">
        <f>AJ280*Z280</f>
        <v/>
      </c>
      <c r="AU280" s="64">
        <f>AK280*AA280</f>
        <v/>
      </c>
      <c r="AV280" s="64">
        <f>AL280*AB280</f>
        <v/>
      </c>
      <c r="AW280" s="64">
        <f>AM280*AC280</f>
        <v/>
      </c>
      <c r="AX280" s="64">
        <f>AN280*AD280</f>
        <v/>
      </c>
      <c r="AY280" s="64">
        <f>AO280*AE280</f>
        <v/>
      </c>
      <c r="AZ280" s="64">
        <f>INDEX(Projects[Automation Equipment],279)&amp;""</f>
        <v/>
      </c>
      <c r="BA280" s="64">
        <f>IF(OR(A280="",'Smart Search'!H13=0),"",MAX(0,BE280*BF280*MAX(0,1-BG280)))</f>
        <v/>
      </c>
      <c r="BB280" s="64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4">
        <f>IF('Smart Search'!G13=1,IFERROR(1/'Smart Search'!H13,0),0)</f>
        <v/>
      </c>
      <c r="BD280" s="64">
        <f>BB280*BC280</f>
        <v/>
      </c>
      <c r="BE280" s="64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IF(A280="","",N(INDEX(Projects[Act Mech Inst],279)))</f>
        <v/>
      </c>
      <c r="BK280" s="5">
        <f>IF(A280="","",N(INDEX(Projects[Act Elec Inst],279)))</f>
        <v/>
      </c>
      <c r="BL280" s="5">
        <f>IF(A280="","",N(INDEX(Projects[Act Project Management],279)))</f>
        <v/>
      </c>
      <c r="BM280" s="5">
        <f>IF(A280="","",N(INDEX(Projects[Act Systems Eng],279)))</f>
        <v/>
      </c>
      <c r="BN280" s="5">
        <f>IF(A280="","",N(INDEX(Projects[Act Mechanical Eng],279)))</f>
        <v/>
      </c>
      <c r="BO280" s="5">
        <f>IF(A280="","",N(INDEX(Projects[Act Structural Engineering],279)))</f>
        <v/>
      </c>
      <c r="BP280" s="5">
        <f>IF(A280="","",N(INDEX(Projects[Act Site Sup],279)))</f>
        <v/>
      </c>
      <c r="BQ280" s="5">
        <f>IF(A280="","",N(INDEX(Projects[Act Controls Commissioning],279)))</f>
        <v/>
      </c>
      <c r="BR280" s="5">
        <f>IF(A280="","",N(INDEX(Projects[Act Systems Commissioning],279)))</f>
        <v/>
      </c>
      <c r="BS280" s="5">
        <f>IF(A280="","",N(INDEX(Projects[Act Service Commissioning],279)))</f>
        <v/>
      </c>
      <c r="BT280" s="5">
        <f>IF(A280="","",N(INDEX(Projects[Act Controls Eng],279)))</f>
        <v/>
      </c>
      <c r="BU280" s="5">
        <f>IF(A280="","",N(INDEX(Projects[Act Controls Purchase],279)))</f>
        <v/>
      </c>
      <c r="BV280" s="5">
        <f>IF(A280="","",N(INDEX(Projects[Act Software Eng],279)))</f>
        <v/>
      </c>
      <c r="BW280" s="5">
        <f>IF(A280="","",N(INDEX(Projects[Act 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INDEX(Projects[Sold Value (USD M)],279)</f>
        <v/>
      </c>
      <c r="CE280" s="5" t="n"/>
      <c r="CF280" s="5">
        <f>IF(A280="","",N(INDEX(Projects[Est Mech Inst],279)))</f>
        <v/>
      </c>
      <c r="CG280" s="5">
        <f>IF(A280="","",N(INDEX(Projects[Est Elec Inst],279)))</f>
        <v/>
      </c>
      <c r="CH280" s="5">
        <f>IF(A280="","",N(INDEX(Projects[Est Project Management],279)))</f>
        <v/>
      </c>
      <c r="CI280" s="5">
        <f>IF(A280="","",N(INDEX(Projects[Est Systems Eng],279)))</f>
        <v/>
      </c>
      <c r="CJ280" s="5">
        <f>IF(A280="","",N(INDEX(Projects[Est Mechanical Eng],279)))</f>
        <v/>
      </c>
      <c r="CK280" s="5">
        <f>IF(A280="","",N(INDEX(Projects[Est Structural Engineering],279)))</f>
        <v/>
      </c>
      <c r="CL280" s="5">
        <f>IF(A280="","",N(INDEX(Projects[Est Site Sup],279)))</f>
        <v/>
      </c>
      <c r="CM280" s="5">
        <f>IF(A280="","",N(INDEX(Projects[Est Controls Commissioning],279)))</f>
        <v/>
      </c>
      <c r="CN280" s="5">
        <f>IF(A280="","",N(INDEX(Projects[Est Systems Commissioning],279)))</f>
        <v/>
      </c>
      <c r="CO280" s="5">
        <f>IF(A280="","",N(INDEX(Projects[Est Service Commissioning],279)))</f>
        <v/>
      </c>
      <c r="CP280" s="5">
        <f>IF(A280="","",N(INDEX(Projects[Est Controls Eng],279)))</f>
        <v/>
      </c>
      <c r="CQ280" s="5">
        <f>IF(A280="","",N(INDEX(Projects[Est Controls Purchase],279)))</f>
        <v/>
      </c>
      <c r="CR280" s="5">
        <f>IF(A280="","",N(INDEX(Projects[Est Software Eng],279)))</f>
        <v/>
      </c>
      <c r="CS280" s="5">
        <f>IF(A280="","",N(INDEX(Projects[Est Misc],279)))</f>
        <v/>
      </c>
      <c r="CT280" s="5">
        <f>IF(A280="","",SUM(CF280:CS280))</f>
        <v/>
      </c>
      <c r="CU280" s="5">
        <f>INDEX(Projects[Est Cost (M)],279)</f>
        <v/>
      </c>
      <c r="CV280" s="5">
        <f>INDEX(Projects[Act Cost (M)],279)</f>
        <v/>
      </c>
      <c r="CW280" s="5">
        <f>INDEX(Projects[Plan Mech Eng (wks)],279)</f>
        <v/>
      </c>
      <c r="CX280" s="5">
        <f>INDEX(Projects[Plan Controls Eng (wks)],279)</f>
        <v/>
      </c>
      <c r="CY280" s="5">
        <f>INDEX(Projects[Plan Systems Eng (wks)],279)</f>
        <v/>
      </c>
      <c r="CZ280" s="5">
        <f>INDEX(Projects[Plan Software Eng (wks)],279)</f>
        <v/>
      </c>
      <c r="DA280" s="5">
        <f>INDEX(Projects[Plan M&amp;E Installation (wks)],279)</f>
        <v/>
      </c>
      <c r="DB280" s="5">
        <f>INDEX(Projects[Plan Commissioning (wks)],279)</f>
        <v/>
      </c>
      <c r="DC280" s="5">
        <f>INDEX(Projects[Plan Total (wks)],279)</f>
        <v/>
      </c>
      <c r="DD280" s="5">
        <f>INDEX(Projects[Act Mech Eng (wks)],279)</f>
        <v/>
      </c>
      <c r="DE280" s="5">
        <f>INDEX(Projects[Act Controls Eng (wks)],279)</f>
        <v/>
      </c>
      <c r="DF280" s="5">
        <f>INDEX(Projects[Act Systems Eng (wks)],279)</f>
        <v/>
      </c>
      <c r="DG280" s="5">
        <f>INDEX(Projects[Act Software Eng (wks)],279)</f>
        <v/>
      </c>
      <c r="DH280" s="5">
        <f>INDEX(Projects[Act M&amp;E Installation (wks)],279)</f>
        <v/>
      </c>
      <c r="DI280" s="5">
        <f>INDEX(Projects[Act Commissioning (wks)],279)</f>
        <v/>
      </c>
      <c r="DJ280" s="5">
        <f>INDEX(Projects[Act Total (wks)],279)</f>
        <v/>
      </c>
    </row>
    <row r="281" ht="15" customHeight="1" s="82">
      <c r="A281" s="64">
        <f>INDEX(Projects[Project ID *],280)&amp;""</f>
        <v/>
      </c>
      <c r="B281" s="64">
        <f>INDEX(Projects[Project Name *],280)&amp;""</f>
        <v/>
      </c>
      <c r="C281" s="64">
        <f>INDEX(Projects[MS Shuttles],280)</f>
        <v/>
      </c>
      <c r="D281" s="64">
        <f>INDEX(Projects[MS Tote Locations],280)</f>
        <v/>
      </c>
      <c r="E281" s="64">
        <f>INDEX(Projects[AS Robots],280)</f>
        <v/>
      </c>
      <c r="F281" s="64">
        <f>INDEX(Projects[AS Tote Locations],280)</f>
        <v/>
      </c>
      <c r="G281" s="64">
        <f>INDEX(Projects[PS Shuttles],280)</f>
        <v/>
      </c>
      <c r="H281" s="64">
        <f>INDEX(Projects[PS Pallet Locations],280)</f>
        <v/>
      </c>
      <c r="I281" s="64">
        <f>INDEX(Projects[SRM Cranes],280)</f>
        <v/>
      </c>
      <c r="J281" s="64">
        <f>INDEX(Projects[SRM Pallet Locations],280)</f>
        <v/>
      </c>
      <c r="K281" s="64">
        <f>INDEX(Projects[Case Conv (m)],280)</f>
        <v/>
      </c>
      <c r="L281" s="64">
        <f>INDEX(Projects[Pallet Conv (m)],280)</f>
        <v/>
      </c>
      <c r="M281" s="64">
        <f>IF(N(DJ281)&gt;0,DD281,CW281)</f>
        <v/>
      </c>
      <c r="N281" s="64">
        <f>IF(N(DJ281)&gt;0,DE281,CX281)</f>
        <v/>
      </c>
      <c r="O281" s="64">
        <f>IF(N(DJ281)&gt;0,DF281,CY281)</f>
        <v/>
      </c>
      <c r="P281" s="64">
        <f>IF(N(DJ281)&gt;0,DG281,CZ281)</f>
        <v/>
      </c>
      <c r="Q281" s="64">
        <f>IF(N(DJ281)&gt;0,DH281,DA281)</f>
        <v/>
      </c>
      <c r="R281" s="64">
        <f>IF(N(DJ281)&gt;0,DI281,DB281)</f>
        <v/>
      </c>
      <c r="S281" s="64">
        <f>IF(N(DJ281)&gt;0,DJ281,DC281)</f>
        <v/>
      </c>
      <c r="T281" s="64">
        <f>INDEX(Projects[Currency],280)&amp;""</f>
        <v/>
      </c>
      <c r="U281" s="65">
        <f>INDEX(Projects[Sold Value (M)],280)</f>
        <v/>
      </c>
      <c r="V281" s="64">
        <f>IF('Smart Search'!B13=1,IFERROR(1/'Smart Search'!H13,0),0)</f>
        <v/>
      </c>
      <c r="W281" s="64">
        <f>IF('Smart Search'!B13=1,IFERROR(1/'Smart Search'!H13,0),0)</f>
        <v/>
      </c>
      <c r="X281" s="64">
        <f>IF('Smart Search'!C13=1,IFERROR(1/'Smart Search'!H13,0),0)</f>
        <v/>
      </c>
      <c r="Y281" s="64">
        <f>IF('Smart Search'!C13=1,IFERROR(1/'Smart Search'!H13,0),0)</f>
        <v/>
      </c>
      <c r="Z281" s="64">
        <f>IF('Smart Search'!D13=1,IFERROR(1/'Smart Search'!H13,0),0)</f>
        <v/>
      </c>
      <c r="AA281" s="64">
        <f>IF('Smart Search'!D13=1,IFERROR(1/'Smart Search'!H13,0),0)</f>
        <v/>
      </c>
      <c r="AB281" s="64">
        <f>IF('Smart Search'!E13=1,IFERROR(1/'Smart Search'!H13,0),0)</f>
        <v/>
      </c>
      <c r="AC281" s="64">
        <f>IF('Smart Search'!E13=1,IFERROR(1/'Smart Search'!H13,0),0)</f>
        <v/>
      </c>
      <c r="AD281" s="64">
        <f>IF('Smart Search'!F13=1,IFERROR(1/'Smart Search'!H13,0),0)</f>
        <v/>
      </c>
      <c r="AE281" s="64">
        <f>IF('Smart Search'!F13=1,IFERROR(1/'Smart Search'!H13,0),0)</f>
        <v/>
      </c>
      <c r="AF281" s="64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4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4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4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4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4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4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4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4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4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4">
        <f>AF281*V281</f>
        <v/>
      </c>
      <c r="AQ281" s="64">
        <f>AG281*W281</f>
        <v/>
      </c>
      <c r="AR281" s="64">
        <f>AH281*X281</f>
        <v/>
      </c>
      <c r="AS281" s="64">
        <f>AI281*Y281</f>
        <v/>
      </c>
      <c r="AT281" s="64">
        <f>AJ281*Z281</f>
        <v/>
      </c>
      <c r="AU281" s="64">
        <f>AK281*AA281</f>
        <v/>
      </c>
      <c r="AV281" s="64">
        <f>AL281*AB281</f>
        <v/>
      </c>
      <c r="AW281" s="64">
        <f>AM281*AC281</f>
        <v/>
      </c>
      <c r="AX281" s="64">
        <f>AN281*AD281</f>
        <v/>
      </c>
      <c r="AY281" s="64">
        <f>AO281*AE281</f>
        <v/>
      </c>
      <c r="AZ281" s="64">
        <f>INDEX(Projects[Automation Equipment],280)&amp;""</f>
        <v/>
      </c>
      <c r="BA281" s="64">
        <f>IF(OR(A281="",'Smart Search'!H13=0),"",MAX(0,BE281*BF281*MAX(0,1-BG281)))</f>
        <v/>
      </c>
      <c r="BB281" s="64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4">
        <f>IF('Smart Search'!G13=1,IFERROR(1/'Smart Search'!H13,0),0)</f>
        <v/>
      </c>
      <c r="BD281" s="64">
        <f>BB281*BC281</f>
        <v/>
      </c>
      <c r="BE281" s="64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IF(A281="","",N(INDEX(Projects[Act Mech Inst],280)))</f>
        <v/>
      </c>
      <c r="BK281" s="5">
        <f>IF(A281="","",N(INDEX(Projects[Act Elec Inst],280)))</f>
        <v/>
      </c>
      <c r="BL281" s="5">
        <f>IF(A281="","",N(INDEX(Projects[Act Project Management],280)))</f>
        <v/>
      </c>
      <c r="BM281" s="5">
        <f>IF(A281="","",N(INDEX(Projects[Act Systems Eng],280)))</f>
        <v/>
      </c>
      <c r="BN281" s="5">
        <f>IF(A281="","",N(INDEX(Projects[Act Mechanical Eng],280)))</f>
        <v/>
      </c>
      <c r="BO281" s="5">
        <f>IF(A281="","",N(INDEX(Projects[Act Structural Engineering],280)))</f>
        <v/>
      </c>
      <c r="BP281" s="5">
        <f>IF(A281="","",N(INDEX(Projects[Act Site Sup],280)))</f>
        <v/>
      </c>
      <c r="BQ281" s="5">
        <f>IF(A281="","",N(INDEX(Projects[Act Controls Commissioning],280)))</f>
        <v/>
      </c>
      <c r="BR281" s="5">
        <f>IF(A281="","",N(INDEX(Projects[Act Systems Commissioning],280)))</f>
        <v/>
      </c>
      <c r="BS281" s="5">
        <f>IF(A281="","",N(INDEX(Projects[Act Service Commissioning],280)))</f>
        <v/>
      </c>
      <c r="BT281" s="5">
        <f>IF(A281="","",N(INDEX(Projects[Act Controls Eng],280)))</f>
        <v/>
      </c>
      <c r="BU281" s="5">
        <f>IF(A281="","",N(INDEX(Projects[Act Controls Purchase],280)))</f>
        <v/>
      </c>
      <c r="BV281" s="5">
        <f>IF(A281="","",N(INDEX(Projects[Act Software Eng],280)))</f>
        <v/>
      </c>
      <c r="BW281" s="5">
        <f>IF(A281="","",N(INDEX(Projects[Act 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INDEX(Projects[Sold Value (USD M)],280)</f>
        <v/>
      </c>
      <c r="CE281" s="5" t="n"/>
      <c r="CF281" s="5">
        <f>IF(A281="","",N(INDEX(Projects[Est Mech Inst],280)))</f>
        <v/>
      </c>
      <c r="CG281" s="5">
        <f>IF(A281="","",N(INDEX(Projects[Est Elec Inst],280)))</f>
        <v/>
      </c>
      <c r="CH281" s="5">
        <f>IF(A281="","",N(INDEX(Projects[Est Project Management],280)))</f>
        <v/>
      </c>
      <c r="CI281" s="5">
        <f>IF(A281="","",N(INDEX(Projects[Est Systems Eng],280)))</f>
        <v/>
      </c>
      <c r="CJ281" s="5">
        <f>IF(A281="","",N(INDEX(Projects[Est Mechanical Eng],280)))</f>
        <v/>
      </c>
      <c r="CK281" s="5">
        <f>IF(A281="","",N(INDEX(Projects[Est Structural Engineering],280)))</f>
        <v/>
      </c>
      <c r="CL281" s="5">
        <f>IF(A281="","",N(INDEX(Projects[Est Site Sup],280)))</f>
        <v/>
      </c>
      <c r="CM281" s="5">
        <f>IF(A281="","",N(INDEX(Projects[Est Controls Commissioning],280)))</f>
        <v/>
      </c>
      <c r="CN281" s="5">
        <f>IF(A281="","",N(INDEX(Projects[Est Systems Commissioning],280)))</f>
        <v/>
      </c>
      <c r="CO281" s="5">
        <f>IF(A281="","",N(INDEX(Projects[Est Service Commissioning],280)))</f>
        <v/>
      </c>
      <c r="CP281" s="5">
        <f>IF(A281="","",N(INDEX(Projects[Est Controls Eng],280)))</f>
        <v/>
      </c>
      <c r="CQ281" s="5">
        <f>IF(A281="","",N(INDEX(Projects[Est Controls Purchase],280)))</f>
        <v/>
      </c>
      <c r="CR281" s="5">
        <f>IF(A281="","",N(INDEX(Projects[Est Software Eng],280)))</f>
        <v/>
      </c>
      <c r="CS281" s="5">
        <f>IF(A281="","",N(INDEX(Projects[Est Misc],280)))</f>
        <v/>
      </c>
      <c r="CT281" s="5">
        <f>IF(A281="","",SUM(CF281:CS281))</f>
        <v/>
      </c>
      <c r="CU281" s="5">
        <f>INDEX(Projects[Est Cost (M)],280)</f>
        <v/>
      </c>
      <c r="CV281" s="5">
        <f>INDEX(Projects[Act Cost (M)],280)</f>
        <v/>
      </c>
      <c r="CW281" s="5">
        <f>INDEX(Projects[Plan Mech Eng (wks)],280)</f>
        <v/>
      </c>
      <c r="CX281" s="5">
        <f>INDEX(Projects[Plan Controls Eng (wks)],280)</f>
        <v/>
      </c>
      <c r="CY281" s="5">
        <f>INDEX(Projects[Plan Systems Eng (wks)],280)</f>
        <v/>
      </c>
      <c r="CZ281" s="5">
        <f>INDEX(Projects[Plan Software Eng (wks)],280)</f>
        <v/>
      </c>
      <c r="DA281" s="5">
        <f>INDEX(Projects[Plan M&amp;E Installation (wks)],280)</f>
        <v/>
      </c>
      <c r="DB281" s="5">
        <f>INDEX(Projects[Plan Commissioning (wks)],280)</f>
        <v/>
      </c>
      <c r="DC281" s="5">
        <f>INDEX(Projects[Plan Total (wks)],280)</f>
        <v/>
      </c>
      <c r="DD281" s="5">
        <f>INDEX(Projects[Act Mech Eng (wks)],280)</f>
        <v/>
      </c>
      <c r="DE281" s="5">
        <f>INDEX(Projects[Act Controls Eng (wks)],280)</f>
        <v/>
      </c>
      <c r="DF281" s="5">
        <f>INDEX(Projects[Act Systems Eng (wks)],280)</f>
        <v/>
      </c>
      <c r="DG281" s="5">
        <f>INDEX(Projects[Act Software Eng (wks)],280)</f>
        <v/>
      </c>
      <c r="DH281" s="5">
        <f>INDEX(Projects[Act M&amp;E Installation (wks)],280)</f>
        <v/>
      </c>
      <c r="DI281" s="5">
        <f>INDEX(Projects[Act Commissioning (wks)],280)</f>
        <v/>
      </c>
      <c r="DJ281" s="5">
        <f>INDEX(Projects[Act Total (wks)],280)</f>
        <v/>
      </c>
    </row>
    <row r="282" ht="15" customHeight="1" s="82">
      <c r="A282" s="64">
        <f>INDEX(Projects[Project ID *],281)&amp;""</f>
        <v/>
      </c>
      <c r="B282" s="64">
        <f>INDEX(Projects[Project Name *],281)&amp;""</f>
        <v/>
      </c>
      <c r="C282" s="64">
        <f>INDEX(Projects[MS Shuttles],281)</f>
        <v/>
      </c>
      <c r="D282" s="64">
        <f>INDEX(Projects[MS Tote Locations],281)</f>
        <v/>
      </c>
      <c r="E282" s="64">
        <f>INDEX(Projects[AS Robots],281)</f>
        <v/>
      </c>
      <c r="F282" s="64">
        <f>INDEX(Projects[AS Tote Locations],281)</f>
        <v/>
      </c>
      <c r="G282" s="64">
        <f>INDEX(Projects[PS Shuttles],281)</f>
        <v/>
      </c>
      <c r="H282" s="64">
        <f>INDEX(Projects[PS Pallet Locations],281)</f>
        <v/>
      </c>
      <c r="I282" s="64">
        <f>INDEX(Projects[SRM Cranes],281)</f>
        <v/>
      </c>
      <c r="J282" s="64">
        <f>INDEX(Projects[SRM Pallet Locations],281)</f>
        <v/>
      </c>
      <c r="K282" s="64">
        <f>INDEX(Projects[Case Conv (m)],281)</f>
        <v/>
      </c>
      <c r="L282" s="64">
        <f>INDEX(Projects[Pallet Conv (m)],281)</f>
        <v/>
      </c>
      <c r="M282" s="64">
        <f>IF(N(DJ282)&gt;0,DD282,CW282)</f>
        <v/>
      </c>
      <c r="N282" s="64">
        <f>IF(N(DJ282)&gt;0,DE282,CX282)</f>
        <v/>
      </c>
      <c r="O282" s="64">
        <f>IF(N(DJ282)&gt;0,DF282,CY282)</f>
        <v/>
      </c>
      <c r="P282" s="64">
        <f>IF(N(DJ282)&gt;0,DG282,CZ282)</f>
        <v/>
      </c>
      <c r="Q282" s="64">
        <f>IF(N(DJ282)&gt;0,DH282,DA282)</f>
        <v/>
      </c>
      <c r="R282" s="64">
        <f>IF(N(DJ282)&gt;0,DI282,DB282)</f>
        <v/>
      </c>
      <c r="S282" s="64">
        <f>IF(N(DJ282)&gt;0,DJ282,DC282)</f>
        <v/>
      </c>
      <c r="T282" s="64">
        <f>INDEX(Projects[Currency],281)&amp;""</f>
        <v/>
      </c>
      <c r="U282" s="65">
        <f>INDEX(Projects[Sold Value (M)],281)</f>
        <v/>
      </c>
      <c r="V282" s="64">
        <f>IF('Smart Search'!B13=1,IFERROR(1/'Smart Search'!H13,0),0)</f>
        <v/>
      </c>
      <c r="W282" s="64">
        <f>IF('Smart Search'!B13=1,IFERROR(1/'Smart Search'!H13,0),0)</f>
        <v/>
      </c>
      <c r="X282" s="64">
        <f>IF('Smart Search'!C13=1,IFERROR(1/'Smart Search'!H13,0),0)</f>
        <v/>
      </c>
      <c r="Y282" s="64">
        <f>IF('Smart Search'!C13=1,IFERROR(1/'Smart Search'!H13,0),0)</f>
        <v/>
      </c>
      <c r="Z282" s="64">
        <f>IF('Smart Search'!D13=1,IFERROR(1/'Smart Search'!H13,0),0)</f>
        <v/>
      </c>
      <c r="AA282" s="64">
        <f>IF('Smart Search'!D13=1,IFERROR(1/'Smart Search'!H13,0),0)</f>
        <v/>
      </c>
      <c r="AB282" s="64">
        <f>IF('Smart Search'!E13=1,IFERROR(1/'Smart Search'!H13,0),0)</f>
        <v/>
      </c>
      <c r="AC282" s="64">
        <f>IF('Smart Search'!E13=1,IFERROR(1/'Smart Search'!H13,0),0)</f>
        <v/>
      </c>
      <c r="AD282" s="64">
        <f>IF('Smart Search'!F13=1,IFERROR(1/'Smart Search'!H13,0),0)</f>
        <v/>
      </c>
      <c r="AE282" s="64">
        <f>IF('Smart Search'!F13=1,IFERROR(1/'Smart Search'!H13,0),0)</f>
        <v/>
      </c>
      <c r="AF282" s="64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4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4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4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4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4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4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4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4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4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4">
        <f>AF282*V282</f>
        <v/>
      </c>
      <c r="AQ282" s="64">
        <f>AG282*W282</f>
        <v/>
      </c>
      <c r="AR282" s="64">
        <f>AH282*X282</f>
        <v/>
      </c>
      <c r="AS282" s="64">
        <f>AI282*Y282</f>
        <v/>
      </c>
      <c r="AT282" s="64">
        <f>AJ282*Z282</f>
        <v/>
      </c>
      <c r="AU282" s="64">
        <f>AK282*AA282</f>
        <v/>
      </c>
      <c r="AV282" s="64">
        <f>AL282*AB282</f>
        <v/>
      </c>
      <c r="AW282" s="64">
        <f>AM282*AC282</f>
        <v/>
      </c>
      <c r="AX282" s="64">
        <f>AN282*AD282</f>
        <v/>
      </c>
      <c r="AY282" s="64">
        <f>AO282*AE282</f>
        <v/>
      </c>
      <c r="AZ282" s="64">
        <f>INDEX(Projects[Automation Equipment],281)&amp;""</f>
        <v/>
      </c>
      <c r="BA282" s="64">
        <f>IF(OR(A282="",'Smart Search'!H13=0),"",MAX(0,BE282*BF282*MAX(0,1-BG282)))</f>
        <v/>
      </c>
      <c r="BB282" s="64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4">
        <f>IF('Smart Search'!G13=1,IFERROR(1/'Smart Search'!H13,0),0)</f>
        <v/>
      </c>
      <c r="BD282" s="64">
        <f>BB282*BC282</f>
        <v/>
      </c>
      <c r="BE282" s="64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IF(A282="","",N(INDEX(Projects[Act Mech Inst],281)))</f>
        <v/>
      </c>
      <c r="BK282" s="5">
        <f>IF(A282="","",N(INDEX(Projects[Act Elec Inst],281)))</f>
        <v/>
      </c>
      <c r="BL282" s="5">
        <f>IF(A282="","",N(INDEX(Projects[Act Project Management],281)))</f>
        <v/>
      </c>
      <c r="BM282" s="5">
        <f>IF(A282="","",N(INDEX(Projects[Act Systems Eng],281)))</f>
        <v/>
      </c>
      <c r="BN282" s="5">
        <f>IF(A282="","",N(INDEX(Projects[Act Mechanical Eng],281)))</f>
        <v/>
      </c>
      <c r="BO282" s="5">
        <f>IF(A282="","",N(INDEX(Projects[Act Structural Engineering],281)))</f>
        <v/>
      </c>
      <c r="BP282" s="5">
        <f>IF(A282="","",N(INDEX(Projects[Act Site Sup],281)))</f>
        <v/>
      </c>
      <c r="BQ282" s="5">
        <f>IF(A282="","",N(INDEX(Projects[Act Controls Commissioning],281)))</f>
        <v/>
      </c>
      <c r="BR282" s="5">
        <f>IF(A282="","",N(INDEX(Projects[Act Systems Commissioning],281)))</f>
        <v/>
      </c>
      <c r="BS282" s="5">
        <f>IF(A282="","",N(INDEX(Projects[Act Service Commissioning],281)))</f>
        <v/>
      </c>
      <c r="BT282" s="5">
        <f>IF(A282="","",N(INDEX(Projects[Act Controls Eng],281)))</f>
        <v/>
      </c>
      <c r="BU282" s="5">
        <f>IF(A282="","",N(INDEX(Projects[Act Controls Purchase],281)))</f>
        <v/>
      </c>
      <c r="BV282" s="5">
        <f>IF(A282="","",N(INDEX(Projects[Act Software Eng],281)))</f>
        <v/>
      </c>
      <c r="BW282" s="5">
        <f>IF(A282="","",N(INDEX(Projects[Act 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INDEX(Projects[Sold Value (USD M)],281)</f>
        <v/>
      </c>
      <c r="CE282" s="5" t="n"/>
      <c r="CF282" s="5">
        <f>IF(A282="","",N(INDEX(Projects[Est Mech Inst],281)))</f>
        <v/>
      </c>
      <c r="CG282" s="5">
        <f>IF(A282="","",N(INDEX(Projects[Est Elec Inst],281)))</f>
        <v/>
      </c>
      <c r="CH282" s="5">
        <f>IF(A282="","",N(INDEX(Projects[Est Project Management],281)))</f>
        <v/>
      </c>
      <c r="CI282" s="5">
        <f>IF(A282="","",N(INDEX(Projects[Est Systems Eng],281)))</f>
        <v/>
      </c>
      <c r="CJ282" s="5">
        <f>IF(A282="","",N(INDEX(Projects[Est Mechanical Eng],281)))</f>
        <v/>
      </c>
      <c r="CK282" s="5">
        <f>IF(A282="","",N(INDEX(Projects[Est Structural Engineering],281)))</f>
        <v/>
      </c>
      <c r="CL282" s="5">
        <f>IF(A282="","",N(INDEX(Projects[Est Site Sup],281)))</f>
        <v/>
      </c>
      <c r="CM282" s="5">
        <f>IF(A282="","",N(INDEX(Projects[Est Controls Commissioning],281)))</f>
        <v/>
      </c>
      <c r="CN282" s="5">
        <f>IF(A282="","",N(INDEX(Projects[Est Systems Commissioning],281)))</f>
        <v/>
      </c>
      <c r="CO282" s="5">
        <f>IF(A282="","",N(INDEX(Projects[Est Service Commissioning],281)))</f>
        <v/>
      </c>
      <c r="CP282" s="5">
        <f>IF(A282="","",N(INDEX(Projects[Est Controls Eng],281)))</f>
        <v/>
      </c>
      <c r="CQ282" s="5">
        <f>IF(A282="","",N(INDEX(Projects[Est Controls Purchase],281)))</f>
        <v/>
      </c>
      <c r="CR282" s="5">
        <f>IF(A282="","",N(INDEX(Projects[Est Software Eng],281)))</f>
        <v/>
      </c>
      <c r="CS282" s="5">
        <f>IF(A282="","",N(INDEX(Projects[Est Misc],281)))</f>
        <v/>
      </c>
      <c r="CT282" s="5">
        <f>IF(A282="","",SUM(CF282:CS282))</f>
        <v/>
      </c>
      <c r="CU282" s="5">
        <f>INDEX(Projects[Est Cost (M)],281)</f>
        <v/>
      </c>
      <c r="CV282" s="5">
        <f>INDEX(Projects[Act Cost (M)],281)</f>
        <v/>
      </c>
      <c r="CW282" s="5">
        <f>INDEX(Projects[Plan Mech Eng (wks)],281)</f>
        <v/>
      </c>
      <c r="CX282" s="5">
        <f>INDEX(Projects[Plan Controls Eng (wks)],281)</f>
        <v/>
      </c>
      <c r="CY282" s="5">
        <f>INDEX(Projects[Plan Systems Eng (wks)],281)</f>
        <v/>
      </c>
      <c r="CZ282" s="5">
        <f>INDEX(Projects[Plan Software Eng (wks)],281)</f>
        <v/>
      </c>
      <c r="DA282" s="5">
        <f>INDEX(Projects[Plan M&amp;E Installation (wks)],281)</f>
        <v/>
      </c>
      <c r="DB282" s="5">
        <f>INDEX(Projects[Plan Commissioning (wks)],281)</f>
        <v/>
      </c>
      <c r="DC282" s="5">
        <f>INDEX(Projects[Plan Total (wks)],281)</f>
        <v/>
      </c>
      <c r="DD282" s="5">
        <f>INDEX(Projects[Act Mech Eng (wks)],281)</f>
        <v/>
      </c>
      <c r="DE282" s="5">
        <f>INDEX(Projects[Act Controls Eng (wks)],281)</f>
        <v/>
      </c>
      <c r="DF282" s="5">
        <f>INDEX(Projects[Act Systems Eng (wks)],281)</f>
        <v/>
      </c>
      <c r="DG282" s="5">
        <f>INDEX(Projects[Act Software Eng (wks)],281)</f>
        <v/>
      </c>
      <c r="DH282" s="5">
        <f>INDEX(Projects[Act M&amp;E Installation (wks)],281)</f>
        <v/>
      </c>
      <c r="DI282" s="5">
        <f>INDEX(Projects[Act Commissioning (wks)],281)</f>
        <v/>
      </c>
      <c r="DJ282" s="5">
        <f>INDEX(Projects[Act Total (wks)],281)</f>
        <v/>
      </c>
    </row>
    <row r="283" ht="15" customHeight="1" s="82">
      <c r="A283" s="64">
        <f>INDEX(Projects[Project ID *],282)&amp;""</f>
        <v/>
      </c>
      <c r="B283" s="64">
        <f>INDEX(Projects[Project Name *],282)&amp;""</f>
        <v/>
      </c>
      <c r="C283" s="64">
        <f>INDEX(Projects[MS Shuttles],282)</f>
        <v/>
      </c>
      <c r="D283" s="64">
        <f>INDEX(Projects[MS Tote Locations],282)</f>
        <v/>
      </c>
      <c r="E283" s="64">
        <f>INDEX(Projects[AS Robots],282)</f>
        <v/>
      </c>
      <c r="F283" s="64">
        <f>INDEX(Projects[AS Tote Locations],282)</f>
        <v/>
      </c>
      <c r="G283" s="64">
        <f>INDEX(Projects[PS Shuttles],282)</f>
        <v/>
      </c>
      <c r="H283" s="64">
        <f>INDEX(Projects[PS Pallet Locations],282)</f>
        <v/>
      </c>
      <c r="I283" s="64">
        <f>INDEX(Projects[SRM Cranes],282)</f>
        <v/>
      </c>
      <c r="J283" s="64">
        <f>INDEX(Projects[SRM Pallet Locations],282)</f>
        <v/>
      </c>
      <c r="K283" s="64">
        <f>INDEX(Projects[Case Conv (m)],282)</f>
        <v/>
      </c>
      <c r="L283" s="64">
        <f>INDEX(Projects[Pallet Conv (m)],282)</f>
        <v/>
      </c>
      <c r="M283" s="64">
        <f>IF(N(DJ283)&gt;0,DD283,CW283)</f>
        <v/>
      </c>
      <c r="N283" s="64">
        <f>IF(N(DJ283)&gt;0,DE283,CX283)</f>
        <v/>
      </c>
      <c r="O283" s="64">
        <f>IF(N(DJ283)&gt;0,DF283,CY283)</f>
        <v/>
      </c>
      <c r="P283" s="64">
        <f>IF(N(DJ283)&gt;0,DG283,CZ283)</f>
        <v/>
      </c>
      <c r="Q283" s="64">
        <f>IF(N(DJ283)&gt;0,DH283,DA283)</f>
        <v/>
      </c>
      <c r="R283" s="64">
        <f>IF(N(DJ283)&gt;0,DI283,DB283)</f>
        <v/>
      </c>
      <c r="S283" s="64">
        <f>IF(N(DJ283)&gt;0,DJ283,DC283)</f>
        <v/>
      </c>
      <c r="T283" s="64">
        <f>INDEX(Projects[Currency],282)&amp;""</f>
        <v/>
      </c>
      <c r="U283" s="65">
        <f>INDEX(Projects[Sold Value (M)],282)</f>
        <v/>
      </c>
      <c r="V283" s="64">
        <f>IF('Smart Search'!B13=1,IFERROR(1/'Smart Search'!H13,0),0)</f>
        <v/>
      </c>
      <c r="W283" s="64">
        <f>IF('Smart Search'!B13=1,IFERROR(1/'Smart Search'!H13,0),0)</f>
        <v/>
      </c>
      <c r="X283" s="64">
        <f>IF('Smart Search'!C13=1,IFERROR(1/'Smart Search'!H13,0),0)</f>
        <v/>
      </c>
      <c r="Y283" s="64">
        <f>IF('Smart Search'!C13=1,IFERROR(1/'Smart Search'!H13,0),0)</f>
        <v/>
      </c>
      <c r="Z283" s="64">
        <f>IF('Smart Search'!D13=1,IFERROR(1/'Smart Search'!H13,0),0)</f>
        <v/>
      </c>
      <c r="AA283" s="64">
        <f>IF('Smart Search'!D13=1,IFERROR(1/'Smart Search'!H13,0),0)</f>
        <v/>
      </c>
      <c r="AB283" s="64">
        <f>IF('Smart Search'!E13=1,IFERROR(1/'Smart Search'!H13,0),0)</f>
        <v/>
      </c>
      <c r="AC283" s="64">
        <f>IF('Smart Search'!E13=1,IFERROR(1/'Smart Search'!H13,0),0)</f>
        <v/>
      </c>
      <c r="AD283" s="64">
        <f>IF('Smart Search'!F13=1,IFERROR(1/'Smart Search'!H13,0),0)</f>
        <v/>
      </c>
      <c r="AE283" s="64">
        <f>IF('Smart Search'!F13=1,IFERROR(1/'Smart Search'!H13,0),0)</f>
        <v/>
      </c>
      <c r="AF283" s="64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4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4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4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4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4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4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4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4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4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4">
        <f>AF283*V283</f>
        <v/>
      </c>
      <c r="AQ283" s="64">
        <f>AG283*W283</f>
        <v/>
      </c>
      <c r="AR283" s="64">
        <f>AH283*X283</f>
        <v/>
      </c>
      <c r="AS283" s="64">
        <f>AI283*Y283</f>
        <v/>
      </c>
      <c r="AT283" s="64">
        <f>AJ283*Z283</f>
        <v/>
      </c>
      <c r="AU283" s="64">
        <f>AK283*AA283</f>
        <v/>
      </c>
      <c r="AV283" s="64">
        <f>AL283*AB283</f>
        <v/>
      </c>
      <c r="AW283" s="64">
        <f>AM283*AC283</f>
        <v/>
      </c>
      <c r="AX283" s="64">
        <f>AN283*AD283</f>
        <v/>
      </c>
      <c r="AY283" s="64">
        <f>AO283*AE283</f>
        <v/>
      </c>
      <c r="AZ283" s="64">
        <f>INDEX(Projects[Automation Equipment],282)&amp;""</f>
        <v/>
      </c>
      <c r="BA283" s="64">
        <f>IF(OR(A283="",'Smart Search'!H13=0),"",MAX(0,BE283*BF283*MAX(0,1-BG283)))</f>
        <v/>
      </c>
      <c r="BB283" s="64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4">
        <f>IF('Smart Search'!G13=1,IFERROR(1/'Smart Search'!H13,0),0)</f>
        <v/>
      </c>
      <c r="BD283" s="64">
        <f>BB283*BC283</f>
        <v/>
      </c>
      <c r="BE283" s="64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IF(A283="","",N(INDEX(Projects[Act Mech Inst],282)))</f>
        <v/>
      </c>
      <c r="BK283" s="5">
        <f>IF(A283="","",N(INDEX(Projects[Act Elec Inst],282)))</f>
        <v/>
      </c>
      <c r="BL283" s="5">
        <f>IF(A283="","",N(INDEX(Projects[Act Project Management],282)))</f>
        <v/>
      </c>
      <c r="BM283" s="5">
        <f>IF(A283="","",N(INDEX(Projects[Act Systems Eng],282)))</f>
        <v/>
      </c>
      <c r="BN283" s="5">
        <f>IF(A283="","",N(INDEX(Projects[Act Mechanical Eng],282)))</f>
        <v/>
      </c>
      <c r="BO283" s="5">
        <f>IF(A283="","",N(INDEX(Projects[Act Structural Engineering],282)))</f>
        <v/>
      </c>
      <c r="BP283" s="5">
        <f>IF(A283="","",N(INDEX(Projects[Act Site Sup],282)))</f>
        <v/>
      </c>
      <c r="BQ283" s="5">
        <f>IF(A283="","",N(INDEX(Projects[Act Controls Commissioning],282)))</f>
        <v/>
      </c>
      <c r="BR283" s="5">
        <f>IF(A283="","",N(INDEX(Projects[Act Systems Commissioning],282)))</f>
        <v/>
      </c>
      <c r="BS283" s="5">
        <f>IF(A283="","",N(INDEX(Projects[Act Service Commissioning],282)))</f>
        <v/>
      </c>
      <c r="BT283" s="5">
        <f>IF(A283="","",N(INDEX(Projects[Act Controls Eng],282)))</f>
        <v/>
      </c>
      <c r="BU283" s="5">
        <f>IF(A283="","",N(INDEX(Projects[Act Controls Purchase],282)))</f>
        <v/>
      </c>
      <c r="BV283" s="5">
        <f>IF(A283="","",N(INDEX(Projects[Act Software Eng],282)))</f>
        <v/>
      </c>
      <c r="BW283" s="5">
        <f>IF(A283="","",N(INDEX(Projects[Act 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INDEX(Projects[Sold Value (USD M)],282)</f>
        <v/>
      </c>
      <c r="CE283" s="5" t="n"/>
      <c r="CF283" s="5">
        <f>IF(A283="","",N(INDEX(Projects[Est Mech Inst],282)))</f>
        <v/>
      </c>
      <c r="CG283" s="5">
        <f>IF(A283="","",N(INDEX(Projects[Est Elec Inst],282)))</f>
        <v/>
      </c>
      <c r="CH283" s="5">
        <f>IF(A283="","",N(INDEX(Projects[Est Project Management],282)))</f>
        <v/>
      </c>
      <c r="CI283" s="5">
        <f>IF(A283="","",N(INDEX(Projects[Est Systems Eng],282)))</f>
        <v/>
      </c>
      <c r="CJ283" s="5">
        <f>IF(A283="","",N(INDEX(Projects[Est Mechanical Eng],282)))</f>
        <v/>
      </c>
      <c r="CK283" s="5">
        <f>IF(A283="","",N(INDEX(Projects[Est Structural Engineering],282)))</f>
        <v/>
      </c>
      <c r="CL283" s="5">
        <f>IF(A283="","",N(INDEX(Projects[Est Site Sup],282)))</f>
        <v/>
      </c>
      <c r="CM283" s="5">
        <f>IF(A283="","",N(INDEX(Projects[Est Controls Commissioning],282)))</f>
        <v/>
      </c>
      <c r="CN283" s="5">
        <f>IF(A283="","",N(INDEX(Projects[Est Systems Commissioning],282)))</f>
        <v/>
      </c>
      <c r="CO283" s="5">
        <f>IF(A283="","",N(INDEX(Projects[Est Service Commissioning],282)))</f>
        <v/>
      </c>
      <c r="CP283" s="5">
        <f>IF(A283="","",N(INDEX(Projects[Est Controls Eng],282)))</f>
        <v/>
      </c>
      <c r="CQ283" s="5">
        <f>IF(A283="","",N(INDEX(Projects[Est Controls Purchase],282)))</f>
        <v/>
      </c>
      <c r="CR283" s="5">
        <f>IF(A283="","",N(INDEX(Projects[Est Software Eng],282)))</f>
        <v/>
      </c>
      <c r="CS283" s="5">
        <f>IF(A283="","",N(INDEX(Projects[Est Misc],282)))</f>
        <v/>
      </c>
      <c r="CT283" s="5">
        <f>IF(A283="","",SUM(CF283:CS283))</f>
        <v/>
      </c>
      <c r="CU283" s="5">
        <f>INDEX(Projects[Est Cost (M)],282)</f>
        <v/>
      </c>
      <c r="CV283" s="5">
        <f>INDEX(Projects[Act Cost (M)],282)</f>
        <v/>
      </c>
      <c r="CW283" s="5">
        <f>INDEX(Projects[Plan Mech Eng (wks)],282)</f>
        <v/>
      </c>
      <c r="CX283" s="5">
        <f>INDEX(Projects[Plan Controls Eng (wks)],282)</f>
        <v/>
      </c>
      <c r="CY283" s="5">
        <f>INDEX(Projects[Plan Systems Eng (wks)],282)</f>
        <v/>
      </c>
      <c r="CZ283" s="5">
        <f>INDEX(Projects[Plan Software Eng (wks)],282)</f>
        <v/>
      </c>
      <c r="DA283" s="5">
        <f>INDEX(Projects[Plan M&amp;E Installation (wks)],282)</f>
        <v/>
      </c>
      <c r="DB283" s="5">
        <f>INDEX(Projects[Plan Commissioning (wks)],282)</f>
        <v/>
      </c>
      <c r="DC283" s="5">
        <f>INDEX(Projects[Plan Total (wks)],282)</f>
        <v/>
      </c>
      <c r="DD283" s="5">
        <f>INDEX(Projects[Act Mech Eng (wks)],282)</f>
        <v/>
      </c>
      <c r="DE283" s="5">
        <f>INDEX(Projects[Act Controls Eng (wks)],282)</f>
        <v/>
      </c>
      <c r="DF283" s="5">
        <f>INDEX(Projects[Act Systems Eng (wks)],282)</f>
        <v/>
      </c>
      <c r="DG283" s="5">
        <f>INDEX(Projects[Act Software Eng (wks)],282)</f>
        <v/>
      </c>
      <c r="DH283" s="5">
        <f>INDEX(Projects[Act M&amp;E Installation (wks)],282)</f>
        <v/>
      </c>
      <c r="DI283" s="5">
        <f>INDEX(Projects[Act Commissioning (wks)],282)</f>
        <v/>
      </c>
      <c r="DJ283" s="5">
        <f>INDEX(Projects[Act Total (wks)],282)</f>
        <v/>
      </c>
    </row>
    <row r="284" ht="15" customHeight="1" s="82">
      <c r="A284" s="64">
        <f>INDEX(Projects[Project ID *],283)&amp;""</f>
        <v/>
      </c>
      <c r="B284" s="64">
        <f>INDEX(Projects[Project Name *],283)&amp;""</f>
        <v/>
      </c>
      <c r="C284" s="64">
        <f>INDEX(Projects[MS Shuttles],283)</f>
        <v/>
      </c>
      <c r="D284" s="64">
        <f>INDEX(Projects[MS Tote Locations],283)</f>
        <v/>
      </c>
      <c r="E284" s="64">
        <f>INDEX(Projects[AS Robots],283)</f>
        <v/>
      </c>
      <c r="F284" s="64">
        <f>INDEX(Projects[AS Tote Locations],283)</f>
        <v/>
      </c>
      <c r="G284" s="64">
        <f>INDEX(Projects[PS Shuttles],283)</f>
        <v/>
      </c>
      <c r="H284" s="64">
        <f>INDEX(Projects[PS Pallet Locations],283)</f>
        <v/>
      </c>
      <c r="I284" s="64">
        <f>INDEX(Projects[SRM Cranes],283)</f>
        <v/>
      </c>
      <c r="J284" s="64">
        <f>INDEX(Projects[SRM Pallet Locations],283)</f>
        <v/>
      </c>
      <c r="K284" s="64">
        <f>INDEX(Projects[Case Conv (m)],283)</f>
        <v/>
      </c>
      <c r="L284" s="64">
        <f>INDEX(Projects[Pallet Conv (m)],283)</f>
        <v/>
      </c>
      <c r="M284" s="64">
        <f>IF(N(DJ284)&gt;0,DD284,CW284)</f>
        <v/>
      </c>
      <c r="N284" s="64">
        <f>IF(N(DJ284)&gt;0,DE284,CX284)</f>
        <v/>
      </c>
      <c r="O284" s="64">
        <f>IF(N(DJ284)&gt;0,DF284,CY284)</f>
        <v/>
      </c>
      <c r="P284" s="64">
        <f>IF(N(DJ284)&gt;0,DG284,CZ284)</f>
        <v/>
      </c>
      <c r="Q284" s="64">
        <f>IF(N(DJ284)&gt;0,DH284,DA284)</f>
        <v/>
      </c>
      <c r="R284" s="64">
        <f>IF(N(DJ284)&gt;0,DI284,DB284)</f>
        <v/>
      </c>
      <c r="S284" s="64">
        <f>IF(N(DJ284)&gt;0,DJ284,DC284)</f>
        <v/>
      </c>
      <c r="T284" s="64">
        <f>INDEX(Projects[Currency],283)&amp;""</f>
        <v/>
      </c>
      <c r="U284" s="65">
        <f>INDEX(Projects[Sold Value (M)],283)</f>
        <v/>
      </c>
      <c r="V284" s="64">
        <f>IF('Smart Search'!B13=1,IFERROR(1/'Smart Search'!H13,0),0)</f>
        <v/>
      </c>
      <c r="W284" s="64">
        <f>IF('Smart Search'!B13=1,IFERROR(1/'Smart Search'!H13,0),0)</f>
        <v/>
      </c>
      <c r="X284" s="64">
        <f>IF('Smart Search'!C13=1,IFERROR(1/'Smart Search'!H13,0),0)</f>
        <v/>
      </c>
      <c r="Y284" s="64">
        <f>IF('Smart Search'!C13=1,IFERROR(1/'Smart Search'!H13,0),0)</f>
        <v/>
      </c>
      <c r="Z284" s="64">
        <f>IF('Smart Search'!D13=1,IFERROR(1/'Smart Search'!H13,0),0)</f>
        <v/>
      </c>
      <c r="AA284" s="64">
        <f>IF('Smart Search'!D13=1,IFERROR(1/'Smart Search'!H13,0),0)</f>
        <v/>
      </c>
      <c r="AB284" s="64">
        <f>IF('Smart Search'!E13=1,IFERROR(1/'Smart Search'!H13,0),0)</f>
        <v/>
      </c>
      <c r="AC284" s="64">
        <f>IF('Smart Search'!E13=1,IFERROR(1/'Smart Search'!H13,0),0)</f>
        <v/>
      </c>
      <c r="AD284" s="64">
        <f>IF('Smart Search'!F13=1,IFERROR(1/'Smart Search'!H13,0),0)</f>
        <v/>
      </c>
      <c r="AE284" s="64">
        <f>IF('Smart Search'!F13=1,IFERROR(1/'Smart Search'!H13,0),0)</f>
        <v/>
      </c>
      <c r="AF284" s="64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4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4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4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4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4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4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4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4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4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4">
        <f>AF284*V284</f>
        <v/>
      </c>
      <c r="AQ284" s="64">
        <f>AG284*W284</f>
        <v/>
      </c>
      <c r="AR284" s="64">
        <f>AH284*X284</f>
        <v/>
      </c>
      <c r="AS284" s="64">
        <f>AI284*Y284</f>
        <v/>
      </c>
      <c r="AT284" s="64">
        <f>AJ284*Z284</f>
        <v/>
      </c>
      <c r="AU284" s="64">
        <f>AK284*AA284</f>
        <v/>
      </c>
      <c r="AV284" s="64">
        <f>AL284*AB284</f>
        <v/>
      </c>
      <c r="AW284" s="64">
        <f>AM284*AC284</f>
        <v/>
      </c>
      <c r="AX284" s="64">
        <f>AN284*AD284</f>
        <v/>
      </c>
      <c r="AY284" s="64">
        <f>AO284*AE284</f>
        <v/>
      </c>
      <c r="AZ284" s="64">
        <f>INDEX(Projects[Automation Equipment],283)&amp;""</f>
        <v/>
      </c>
      <c r="BA284" s="64">
        <f>IF(OR(A284="",'Smart Search'!H13=0),"",MAX(0,BE284*BF284*MAX(0,1-BG284)))</f>
        <v/>
      </c>
      <c r="BB284" s="64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4">
        <f>IF('Smart Search'!G13=1,IFERROR(1/'Smart Search'!H13,0),0)</f>
        <v/>
      </c>
      <c r="BD284" s="64">
        <f>BB284*BC284</f>
        <v/>
      </c>
      <c r="BE284" s="64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IF(A284="","",N(INDEX(Projects[Act Mech Inst],283)))</f>
        <v/>
      </c>
      <c r="BK284" s="5">
        <f>IF(A284="","",N(INDEX(Projects[Act Elec Inst],283)))</f>
        <v/>
      </c>
      <c r="BL284" s="5">
        <f>IF(A284="","",N(INDEX(Projects[Act Project Management],283)))</f>
        <v/>
      </c>
      <c r="BM284" s="5">
        <f>IF(A284="","",N(INDEX(Projects[Act Systems Eng],283)))</f>
        <v/>
      </c>
      <c r="BN284" s="5">
        <f>IF(A284="","",N(INDEX(Projects[Act Mechanical Eng],283)))</f>
        <v/>
      </c>
      <c r="BO284" s="5">
        <f>IF(A284="","",N(INDEX(Projects[Act Structural Engineering],283)))</f>
        <v/>
      </c>
      <c r="BP284" s="5">
        <f>IF(A284="","",N(INDEX(Projects[Act Site Sup],283)))</f>
        <v/>
      </c>
      <c r="BQ284" s="5">
        <f>IF(A284="","",N(INDEX(Projects[Act Controls Commissioning],283)))</f>
        <v/>
      </c>
      <c r="BR284" s="5">
        <f>IF(A284="","",N(INDEX(Projects[Act Systems Commissioning],283)))</f>
        <v/>
      </c>
      <c r="BS284" s="5">
        <f>IF(A284="","",N(INDEX(Projects[Act Service Commissioning],283)))</f>
        <v/>
      </c>
      <c r="BT284" s="5">
        <f>IF(A284="","",N(INDEX(Projects[Act Controls Eng],283)))</f>
        <v/>
      </c>
      <c r="BU284" s="5">
        <f>IF(A284="","",N(INDEX(Projects[Act Controls Purchase],283)))</f>
        <v/>
      </c>
      <c r="BV284" s="5">
        <f>IF(A284="","",N(INDEX(Projects[Act Software Eng],283)))</f>
        <v/>
      </c>
      <c r="BW284" s="5">
        <f>IF(A284="","",N(INDEX(Projects[Act 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INDEX(Projects[Sold Value (USD M)],283)</f>
        <v/>
      </c>
      <c r="CE284" s="5" t="n"/>
      <c r="CF284" s="5">
        <f>IF(A284="","",N(INDEX(Projects[Est Mech Inst],283)))</f>
        <v/>
      </c>
      <c r="CG284" s="5">
        <f>IF(A284="","",N(INDEX(Projects[Est Elec Inst],283)))</f>
        <v/>
      </c>
      <c r="CH284" s="5">
        <f>IF(A284="","",N(INDEX(Projects[Est Project Management],283)))</f>
        <v/>
      </c>
      <c r="CI284" s="5">
        <f>IF(A284="","",N(INDEX(Projects[Est Systems Eng],283)))</f>
        <v/>
      </c>
      <c r="CJ284" s="5">
        <f>IF(A284="","",N(INDEX(Projects[Est Mechanical Eng],283)))</f>
        <v/>
      </c>
      <c r="CK284" s="5">
        <f>IF(A284="","",N(INDEX(Projects[Est Structural Engineering],283)))</f>
        <v/>
      </c>
      <c r="CL284" s="5">
        <f>IF(A284="","",N(INDEX(Projects[Est Site Sup],283)))</f>
        <v/>
      </c>
      <c r="CM284" s="5">
        <f>IF(A284="","",N(INDEX(Projects[Est Controls Commissioning],283)))</f>
        <v/>
      </c>
      <c r="CN284" s="5">
        <f>IF(A284="","",N(INDEX(Projects[Est Systems Commissioning],283)))</f>
        <v/>
      </c>
      <c r="CO284" s="5">
        <f>IF(A284="","",N(INDEX(Projects[Est Service Commissioning],283)))</f>
        <v/>
      </c>
      <c r="CP284" s="5">
        <f>IF(A284="","",N(INDEX(Projects[Est Controls Eng],283)))</f>
        <v/>
      </c>
      <c r="CQ284" s="5">
        <f>IF(A284="","",N(INDEX(Projects[Est Controls Purchase],283)))</f>
        <v/>
      </c>
      <c r="CR284" s="5">
        <f>IF(A284="","",N(INDEX(Projects[Est Software Eng],283)))</f>
        <v/>
      </c>
      <c r="CS284" s="5">
        <f>IF(A284="","",N(INDEX(Projects[Est Misc],283)))</f>
        <v/>
      </c>
      <c r="CT284" s="5">
        <f>IF(A284="","",SUM(CF284:CS284))</f>
        <v/>
      </c>
      <c r="CU284" s="5">
        <f>INDEX(Projects[Est Cost (M)],283)</f>
        <v/>
      </c>
      <c r="CV284" s="5">
        <f>INDEX(Projects[Act Cost (M)],283)</f>
        <v/>
      </c>
      <c r="CW284" s="5">
        <f>INDEX(Projects[Plan Mech Eng (wks)],283)</f>
        <v/>
      </c>
      <c r="CX284" s="5">
        <f>INDEX(Projects[Plan Controls Eng (wks)],283)</f>
        <v/>
      </c>
      <c r="CY284" s="5">
        <f>INDEX(Projects[Plan Systems Eng (wks)],283)</f>
        <v/>
      </c>
      <c r="CZ284" s="5">
        <f>INDEX(Projects[Plan Software Eng (wks)],283)</f>
        <v/>
      </c>
      <c r="DA284" s="5">
        <f>INDEX(Projects[Plan M&amp;E Installation (wks)],283)</f>
        <v/>
      </c>
      <c r="DB284" s="5">
        <f>INDEX(Projects[Plan Commissioning (wks)],283)</f>
        <v/>
      </c>
      <c r="DC284" s="5">
        <f>INDEX(Projects[Plan Total (wks)],283)</f>
        <v/>
      </c>
      <c r="DD284" s="5">
        <f>INDEX(Projects[Act Mech Eng (wks)],283)</f>
        <v/>
      </c>
      <c r="DE284" s="5">
        <f>INDEX(Projects[Act Controls Eng (wks)],283)</f>
        <v/>
      </c>
      <c r="DF284" s="5">
        <f>INDEX(Projects[Act Systems Eng (wks)],283)</f>
        <v/>
      </c>
      <c r="DG284" s="5">
        <f>INDEX(Projects[Act Software Eng (wks)],283)</f>
        <v/>
      </c>
      <c r="DH284" s="5">
        <f>INDEX(Projects[Act M&amp;E Installation (wks)],283)</f>
        <v/>
      </c>
      <c r="DI284" s="5">
        <f>INDEX(Projects[Act Commissioning (wks)],283)</f>
        <v/>
      </c>
      <c r="DJ284" s="5">
        <f>INDEX(Projects[Act Total (wks)],283)</f>
        <v/>
      </c>
    </row>
    <row r="285" ht="15" customHeight="1" s="82">
      <c r="A285" s="64">
        <f>INDEX(Projects[Project ID *],284)&amp;""</f>
        <v/>
      </c>
      <c r="B285" s="64">
        <f>INDEX(Projects[Project Name *],284)&amp;""</f>
        <v/>
      </c>
      <c r="C285" s="64">
        <f>INDEX(Projects[MS Shuttles],284)</f>
        <v/>
      </c>
      <c r="D285" s="64">
        <f>INDEX(Projects[MS Tote Locations],284)</f>
        <v/>
      </c>
      <c r="E285" s="64">
        <f>INDEX(Projects[AS Robots],284)</f>
        <v/>
      </c>
      <c r="F285" s="64">
        <f>INDEX(Projects[AS Tote Locations],284)</f>
        <v/>
      </c>
      <c r="G285" s="64">
        <f>INDEX(Projects[PS Shuttles],284)</f>
        <v/>
      </c>
      <c r="H285" s="64">
        <f>INDEX(Projects[PS Pallet Locations],284)</f>
        <v/>
      </c>
      <c r="I285" s="64">
        <f>INDEX(Projects[SRM Cranes],284)</f>
        <v/>
      </c>
      <c r="J285" s="64">
        <f>INDEX(Projects[SRM Pallet Locations],284)</f>
        <v/>
      </c>
      <c r="K285" s="64">
        <f>INDEX(Projects[Case Conv (m)],284)</f>
        <v/>
      </c>
      <c r="L285" s="64">
        <f>INDEX(Projects[Pallet Conv (m)],284)</f>
        <v/>
      </c>
      <c r="M285" s="64">
        <f>IF(N(DJ285)&gt;0,DD285,CW285)</f>
        <v/>
      </c>
      <c r="N285" s="64">
        <f>IF(N(DJ285)&gt;0,DE285,CX285)</f>
        <v/>
      </c>
      <c r="O285" s="64">
        <f>IF(N(DJ285)&gt;0,DF285,CY285)</f>
        <v/>
      </c>
      <c r="P285" s="64">
        <f>IF(N(DJ285)&gt;0,DG285,CZ285)</f>
        <v/>
      </c>
      <c r="Q285" s="64">
        <f>IF(N(DJ285)&gt;0,DH285,DA285)</f>
        <v/>
      </c>
      <c r="R285" s="64">
        <f>IF(N(DJ285)&gt;0,DI285,DB285)</f>
        <v/>
      </c>
      <c r="S285" s="64">
        <f>IF(N(DJ285)&gt;0,DJ285,DC285)</f>
        <v/>
      </c>
      <c r="T285" s="64">
        <f>INDEX(Projects[Currency],284)&amp;""</f>
        <v/>
      </c>
      <c r="U285" s="65">
        <f>INDEX(Projects[Sold Value (M)],284)</f>
        <v/>
      </c>
      <c r="V285" s="64">
        <f>IF('Smart Search'!B13=1,IFERROR(1/'Smart Search'!H13,0),0)</f>
        <v/>
      </c>
      <c r="W285" s="64">
        <f>IF('Smart Search'!B13=1,IFERROR(1/'Smart Search'!H13,0),0)</f>
        <v/>
      </c>
      <c r="X285" s="64">
        <f>IF('Smart Search'!C13=1,IFERROR(1/'Smart Search'!H13,0),0)</f>
        <v/>
      </c>
      <c r="Y285" s="64">
        <f>IF('Smart Search'!C13=1,IFERROR(1/'Smart Search'!H13,0),0)</f>
        <v/>
      </c>
      <c r="Z285" s="64">
        <f>IF('Smart Search'!D13=1,IFERROR(1/'Smart Search'!H13,0),0)</f>
        <v/>
      </c>
      <c r="AA285" s="64">
        <f>IF('Smart Search'!D13=1,IFERROR(1/'Smart Search'!H13,0),0)</f>
        <v/>
      </c>
      <c r="AB285" s="64">
        <f>IF('Smart Search'!E13=1,IFERROR(1/'Smart Search'!H13,0),0)</f>
        <v/>
      </c>
      <c r="AC285" s="64">
        <f>IF('Smart Search'!E13=1,IFERROR(1/'Smart Search'!H13,0),0)</f>
        <v/>
      </c>
      <c r="AD285" s="64">
        <f>IF('Smart Search'!F13=1,IFERROR(1/'Smart Search'!H13,0),0)</f>
        <v/>
      </c>
      <c r="AE285" s="64">
        <f>IF('Smart Search'!F13=1,IFERROR(1/'Smart Search'!H13,0),0)</f>
        <v/>
      </c>
      <c r="AF285" s="64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4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4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4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4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4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4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4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4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4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4">
        <f>AF285*V285</f>
        <v/>
      </c>
      <c r="AQ285" s="64">
        <f>AG285*W285</f>
        <v/>
      </c>
      <c r="AR285" s="64">
        <f>AH285*X285</f>
        <v/>
      </c>
      <c r="AS285" s="64">
        <f>AI285*Y285</f>
        <v/>
      </c>
      <c r="AT285" s="64">
        <f>AJ285*Z285</f>
        <v/>
      </c>
      <c r="AU285" s="64">
        <f>AK285*AA285</f>
        <v/>
      </c>
      <c r="AV285" s="64">
        <f>AL285*AB285</f>
        <v/>
      </c>
      <c r="AW285" s="64">
        <f>AM285*AC285</f>
        <v/>
      </c>
      <c r="AX285" s="64">
        <f>AN285*AD285</f>
        <v/>
      </c>
      <c r="AY285" s="64">
        <f>AO285*AE285</f>
        <v/>
      </c>
      <c r="AZ285" s="64">
        <f>INDEX(Projects[Automation Equipment],284)&amp;""</f>
        <v/>
      </c>
      <c r="BA285" s="64">
        <f>IF(OR(A285="",'Smart Search'!H13=0),"",MAX(0,BE285*BF285*MAX(0,1-BG285)))</f>
        <v/>
      </c>
      <c r="BB285" s="64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4">
        <f>IF('Smart Search'!G13=1,IFERROR(1/'Smart Search'!H13,0),0)</f>
        <v/>
      </c>
      <c r="BD285" s="64">
        <f>BB285*BC285</f>
        <v/>
      </c>
      <c r="BE285" s="64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IF(A285="","",N(INDEX(Projects[Act Mech Inst],284)))</f>
        <v/>
      </c>
      <c r="BK285" s="5">
        <f>IF(A285="","",N(INDEX(Projects[Act Elec Inst],284)))</f>
        <v/>
      </c>
      <c r="BL285" s="5">
        <f>IF(A285="","",N(INDEX(Projects[Act Project Management],284)))</f>
        <v/>
      </c>
      <c r="BM285" s="5">
        <f>IF(A285="","",N(INDEX(Projects[Act Systems Eng],284)))</f>
        <v/>
      </c>
      <c r="BN285" s="5">
        <f>IF(A285="","",N(INDEX(Projects[Act Mechanical Eng],284)))</f>
        <v/>
      </c>
      <c r="BO285" s="5">
        <f>IF(A285="","",N(INDEX(Projects[Act Structural Engineering],284)))</f>
        <v/>
      </c>
      <c r="BP285" s="5">
        <f>IF(A285="","",N(INDEX(Projects[Act Site Sup],284)))</f>
        <v/>
      </c>
      <c r="BQ285" s="5">
        <f>IF(A285="","",N(INDEX(Projects[Act Controls Commissioning],284)))</f>
        <v/>
      </c>
      <c r="BR285" s="5">
        <f>IF(A285="","",N(INDEX(Projects[Act Systems Commissioning],284)))</f>
        <v/>
      </c>
      <c r="BS285" s="5">
        <f>IF(A285="","",N(INDEX(Projects[Act Service Commissioning],284)))</f>
        <v/>
      </c>
      <c r="BT285" s="5">
        <f>IF(A285="","",N(INDEX(Projects[Act Controls Eng],284)))</f>
        <v/>
      </c>
      <c r="BU285" s="5">
        <f>IF(A285="","",N(INDEX(Projects[Act Controls Purchase],284)))</f>
        <v/>
      </c>
      <c r="BV285" s="5">
        <f>IF(A285="","",N(INDEX(Projects[Act Software Eng],284)))</f>
        <v/>
      </c>
      <c r="BW285" s="5">
        <f>IF(A285="","",N(INDEX(Projects[Act 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INDEX(Projects[Sold Value (USD M)],284)</f>
        <v/>
      </c>
      <c r="CE285" s="5" t="n"/>
      <c r="CF285" s="5">
        <f>IF(A285="","",N(INDEX(Projects[Est Mech Inst],284)))</f>
        <v/>
      </c>
      <c r="CG285" s="5">
        <f>IF(A285="","",N(INDEX(Projects[Est Elec Inst],284)))</f>
        <v/>
      </c>
      <c r="CH285" s="5">
        <f>IF(A285="","",N(INDEX(Projects[Est Project Management],284)))</f>
        <v/>
      </c>
      <c r="CI285" s="5">
        <f>IF(A285="","",N(INDEX(Projects[Est Systems Eng],284)))</f>
        <v/>
      </c>
      <c r="CJ285" s="5">
        <f>IF(A285="","",N(INDEX(Projects[Est Mechanical Eng],284)))</f>
        <v/>
      </c>
      <c r="CK285" s="5">
        <f>IF(A285="","",N(INDEX(Projects[Est Structural Engineering],284)))</f>
        <v/>
      </c>
      <c r="CL285" s="5">
        <f>IF(A285="","",N(INDEX(Projects[Est Site Sup],284)))</f>
        <v/>
      </c>
      <c r="CM285" s="5">
        <f>IF(A285="","",N(INDEX(Projects[Est Controls Commissioning],284)))</f>
        <v/>
      </c>
      <c r="CN285" s="5">
        <f>IF(A285="","",N(INDEX(Projects[Est Systems Commissioning],284)))</f>
        <v/>
      </c>
      <c r="CO285" s="5">
        <f>IF(A285="","",N(INDEX(Projects[Est Service Commissioning],284)))</f>
        <v/>
      </c>
      <c r="CP285" s="5">
        <f>IF(A285="","",N(INDEX(Projects[Est Controls Eng],284)))</f>
        <v/>
      </c>
      <c r="CQ285" s="5">
        <f>IF(A285="","",N(INDEX(Projects[Est Controls Purchase],284)))</f>
        <v/>
      </c>
      <c r="CR285" s="5">
        <f>IF(A285="","",N(INDEX(Projects[Est Software Eng],284)))</f>
        <v/>
      </c>
      <c r="CS285" s="5">
        <f>IF(A285="","",N(INDEX(Projects[Est Misc],284)))</f>
        <v/>
      </c>
      <c r="CT285" s="5">
        <f>IF(A285="","",SUM(CF285:CS285))</f>
        <v/>
      </c>
      <c r="CU285" s="5">
        <f>INDEX(Projects[Est Cost (M)],284)</f>
        <v/>
      </c>
      <c r="CV285" s="5">
        <f>INDEX(Projects[Act Cost (M)],284)</f>
        <v/>
      </c>
      <c r="CW285" s="5">
        <f>INDEX(Projects[Plan Mech Eng (wks)],284)</f>
        <v/>
      </c>
      <c r="CX285" s="5">
        <f>INDEX(Projects[Plan Controls Eng (wks)],284)</f>
        <v/>
      </c>
      <c r="CY285" s="5">
        <f>INDEX(Projects[Plan Systems Eng (wks)],284)</f>
        <v/>
      </c>
      <c r="CZ285" s="5">
        <f>INDEX(Projects[Plan Software Eng (wks)],284)</f>
        <v/>
      </c>
      <c r="DA285" s="5">
        <f>INDEX(Projects[Plan M&amp;E Installation (wks)],284)</f>
        <v/>
      </c>
      <c r="DB285" s="5">
        <f>INDEX(Projects[Plan Commissioning (wks)],284)</f>
        <v/>
      </c>
      <c r="DC285" s="5">
        <f>INDEX(Projects[Plan Total (wks)],284)</f>
        <v/>
      </c>
      <c r="DD285" s="5">
        <f>INDEX(Projects[Act Mech Eng (wks)],284)</f>
        <v/>
      </c>
      <c r="DE285" s="5">
        <f>INDEX(Projects[Act Controls Eng (wks)],284)</f>
        <v/>
      </c>
      <c r="DF285" s="5">
        <f>INDEX(Projects[Act Systems Eng (wks)],284)</f>
        <v/>
      </c>
      <c r="DG285" s="5">
        <f>INDEX(Projects[Act Software Eng (wks)],284)</f>
        <v/>
      </c>
      <c r="DH285" s="5">
        <f>INDEX(Projects[Act M&amp;E Installation (wks)],284)</f>
        <v/>
      </c>
      <c r="DI285" s="5">
        <f>INDEX(Projects[Act Commissioning (wks)],284)</f>
        <v/>
      </c>
      <c r="DJ285" s="5">
        <f>INDEX(Projects[Act Total (wks)],284)</f>
        <v/>
      </c>
    </row>
    <row r="286" ht="15" customHeight="1" s="82">
      <c r="A286" s="64">
        <f>INDEX(Projects[Project ID *],285)&amp;""</f>
        <v/>
      </c>
      <c r="B286" s="64">
        <f>INDEX(Projects[Project Name *],285)&amp;""</f>
        <v/>
      </c>
      <c r="C286" s="64">
        <f>INDEX(Projects[MS Shuttles],285)</f>
        <v/>
      </c>
      <c r="D286" s="64">
        <f>INDEX(Projects[MS Tote Locations],285)</f>
        <v/>
      </c>
      <c r="E286" s="64">
        <f>INDEX(Projects[AS Robots],285)</f>
        <v/>
      </c>
      <c r="F286" s="64">
        <f>INDEX(Projects[AS Tote Locations],285)</f>
        <v/>
      </c>
      <c r="G286" s="64">
        <f>INDEX(Projects[PS Shuttles],285)</f>
        <v/>
      </c>
      <c r="H286" s="64">
        <f>INDEX(Projects[PS Pallet Locations],285)</f>
        <v/>
      </c>
      <c r="I286" s="64">
        <f>INDEX(Projects[SRM Cranes],285)</f>
        <v/>
      </c>
      <c r="J286" s="64">
        <f>INDEX(Projects[SRM Pallet Locations],285)</f>
        <v/>
      </c>
      <c r="K286" s="64">
        <f>INDEX(Projects[Case Conv (m)],285)</f>
        <v/>
      </c>
      <c r="L286" s="64">
        <f>INDEX(Projects[Pallet Conv (m)],285)</f>
        <v/>
      </c>
      <c r="M286" s="64">
        <f>IF(N(DJ286)&gt;0,DD286,CW286)</f>
        <v/>
      </c>
      <c r="N286" s="64">
        <f>IF(N(DJ286)&gt;0,DE286,CX286)</f>
        <v/>
      </c>
      <c r="O286" s="64">
        <f>IF(N(DJ286)&gt;0,DF286,CY286)</f>
        <v/>
      </c>
      <c r="P286" s="64">
        <f>IF(N(DJ286)&gt;0,DG286,CZ286)</f>
        <v/>
      </c>
      <c r="Q286" s="64">
        <f>IF(N(DJ286)&gt;0,DH286,DA286)</f>
        <v/>
      </c>
      <c r="R286" s="64">
        <f>IF(N(DJ286)&gt;0,DI286,DB286)</f>
        <v/>
      </c>
      <c r="S286" s="64">
        <f>IF(N(DJ286)&gt;0,DJ286,DC286)</f>
        <v/>
      </c>
      <c r="T286" s="64">
        <f>INDEX(Projects[Currency],285)&amp;""</f>
        <v/>
      </c>
      <c r="U286" s="65">
        <f>INDEX(Projects[Sold Value (M)],285)</f>
        <v/>
      </c>
      <c r="V286" s="64">
        <f>IF('Smart Search'!B13=1,IFERROR(1/'Smart Search'!H13,0),0)</f>
        <v/>
      </c>
      <c r="W286" s="64">
        <f>IF('Smart Search'!B13=1,IFERROR(1/'Smart Search'!H13,0),0)</f>
        <v/>
      </c>
      <c r="X286" s="64">
        <f>IF('Smart Search'!C13=1,IFERROR(1/'Smart Search'!H13,0),0)</f>
        <v/>
      </c>
      <c r="Y286" s="64">
        <f>IF('Smart Search'!C13=1,IFERROR(1/'Smart Search'!H13,0),0)</f>
        <v/>
      </c>
      <c r="Z286" s="64">
        <f>IF('Smart Search'!D13=1,IFERROR(1/'Smart Search'!H13,0),0)</f>
        <v/>
      </c>
      <c r="AA286" s="64">
        <f>IF('Smart Search'!D13=1,IFERROR(1/'Smart Search'!H13,0),0)</f>
        <v/>
      </c>
      <c r="AB286" s="64">
        <f>IF('Smart Search'!E13=1,IFERROR(1/'Smart Search'!H13,0),0)</f>
        <v/>
      </c>
      <c r="AC286" s="64">
        <f>IF('Smart Search'!E13=1,IFERROR(1/'Smart Search'!H13,0),0)</f>
        <v/>
      </c>
      <c r="AD286" s="64">
        <f>IF('Smart Search'!F13=1,IFERROR(1/'Smart Search'!H13,0),0)</f>
        <v/>
      </c>
      <c r="AE286" s="64">
        <f>IF('Smart Search'!F13=1,IFERROR(1/'Smart Search'!H13,0),0)</f>
        <v/>
      </c>
      <c r="AF286" s="64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4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4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4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4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4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4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4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4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4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4">
        <f>AF286*V286</f>
        <v/>
      </c>
      <c r="AQ286" s="64">
        <f>AG286*W286</f>
        <v/>
      </c>
      <c r="AR286" s="64">
        <f>AH286*X286</f>
        <v/>
      </c>
      <c r="AS286" s="64">
        <f>AI286*Y286</f>
        <v/>
      </c>
      <c r="AT286" s="64">
        <f>AJ286*Z286</f>
        <v/>
      </c>
      <c r="AU286" s="64">
        <f>AK286*AA286</f>
        <v/>
      </c>
      <c r="AV286" s="64">
        <f>AL286*AB286</f>
        <v/>
      </c>
      <c r="AW286" s="64">
        <f>AM286*AC286</f>
        <v/>
      </c>
      <c r="AX286" s="64">
        <f>AN286*AD286</f>
        <v/>
      </c>
      <c r="AY286" s="64">
        <f>AO286*AE286</f>
        <v/>
      </c>
      <c r="AZ286" s="64">
        <f>INDEX(Projects[Automation Equipment],285)&amp;""</f>
        <v/>
      </c>
      <c r="BA286" s="64">
        <f>IF(OR(A286="",'Smart Search'!H13=0),"",MAX(0,BE286*BF286*MAX(0,1-BG286)))</f>
        <v/>
      </c>
      <c r="BB286" s="64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4">
        <f>IF('Smart Search'!G13=1,IFERROR(1/'Smart Search'!H13,0),0)</f>
        <v/>
      </c>
      <c r="BD286" s="64">
        <f>BB286*BC286</f>
        <v/>
      </c>
      <c r="BE286" s="64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IF(A286="","",N(INDEX(Projects[Act Mech Inst],285)))</f>
        <v/>
      </c>
      <c r="BK286" s="5">
        <f>IF(A286="","",N(INDEX(Projects[Act Elec Inst],285)))</f>
        <v/>
      </c>
      <c r="BL286" s="5">
        <f>IF(A286="","",N(INDEX(Projects[Act Project Management],285)))</f>
        <v/>
      </c>
      <c r="BM286" s="5">
        <f>IF(A286="","",N(INDEX(Projects[Act Systems Eng],285)))</f>
        <v/>
      </c>
      <c r="BN286" s="5">
        <f>IF(A286="","",N(INDEX(Projects[Act Mechanical Eng],285)))</f>
        <v/>
      </c>
      <c r="BO286" s="5">
        <f>IF(A286="","",N(INDEX(Projects[Act Structural Engineering],285)))</f>
        <v/>
      </c>
      <c r="BP286" s="5">
        <f>IF(A286="","",N(INDEX(Projects[Act Site Sup],285)))</f>
        <v/>
      </c>
      <c r="BQ286" s="5">
        <f>IF(A286="","",N(INDEX(Projects[Act Controls Commissioning],285)))</f>
        <v/>
      </c>
      <c r="BR286" s="5">
        <f>IF(A286="","",N(INDEX(Projects[Act Systems Commissioning],285)))</f>
        <v/>
      </c>
      <c r="BS286" s="5">
        <f>IF(A286="","",N(INDEX(Projects[Act Service Commissioning],285)))</f>
        <v/>
      </c>
      <c r="BT286" s="5">
        <f>IF(A286="","",N(INDEX(Projects[Act Controls Eng],285)))</f>
        <v/>
      </c>
      <c r="BU286" s="5">
        <f>IF(A286="","",N(INDEX(Projects[Act Controls Purchase],285)))</f>
        <v/>
      </c>
      <c r="BV286" s="5">
        <f>IF(A286="","",N(INDEX(Projects[Act Software Eng],285)))</f>
        <v/>
      </c>
      <c r="BW286" s="5">
        <f>IF(A286="","",N(INDEX(Projects[Act 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INDEX(Projects[Sold Value (USD M)],285)</f>
        <v/>
      </c>
      <c r="CE286" s="5" t="n"/>
      <c r="CF286" s="5">
        <f>IF(A286="","",N(INDEX(Projects[Est Mech Inst],285)))</f>
        <v/>
      </c>
      <c r="CG286" s="5">
        <f>IF(A286="","",N(INDEX(Projects[Est Elec Inst],285)))</f>
        <v/>
      </c>
      <c r="CH286" s="5">
        <f>IF(A286="","",N(INDEX(Projects[Est Project Management],285)))</f>
        <v/>
      </c>
      <c r="CI286" s="5">
        <f>IF(A286="","",N(INDEX(Projects[Est Systems Eng],285)))</f>
        <v/>
      </c>
      <c r="CJ286" s="5">
        <f>IF(A286="","",N(INDEX(Projects[Est Mechanical Eng],285)))</f>
        <v/>
      </c>
      <c r="CK286" s="5">
        <f>IF(A286="","",N(INDEX(Projects[Est Structural Engineering],285)))</f>
        <v/>
      </c>
      <c r="CL286" s="5">
        <f>IF(A286="","",N(INDEX(Projects[Est Site Sup],285)))</f>
        <v/>
      </c>
      <c r="CM286" s="5">
        <f>IF(A286="","",N(INDEX(Projects[Est Controls Commissioning],285)))</f>
        <v/>
      </c>
      <c r="CN286" s="5">
        <f>IF(A286="","",N(INDEX(Projects[Est Systems Commissioning],285)))</f>
        <v/>
      </c>
      <c r="CO286" s="5">
        <f>IF(A286="","",N(INDEX(Projects[Est Service Commissioning],285)))</f>
        <v/>
      </c>
      <c r="CP286" s="5">
        <f>IF(A286="","",N(INDEX(Projects[Est Controls Eng],285)))</f>
        <v/>
      </c>
      <c r="CQ286" s="5">
        <f>IF(A286="","",N(INDEX(Projects[Est Controls Purchase],285)))</f>
        <v/>
      </c>
      <c r="CR286" s="5">
        <f>IF(A286="","",N(INDEX(Projects[Est Software Eng],285)))</f>
        <v/>
      </c>
      <c r="CS286" s="5">
        <f>IF(A286="","",N(INDEX(Projects[Est Misc],285)))</f>
        <v/>
      </c>
      <c r="CT286" s="5">
        <f>IF(A286="","",SUM(CF286:CS286))</f>
        <v/>
      </c>
      <c r="CU286" s="5">
        <f>INDEX(Projects[Est Cost (M)],285)</f>
        <v/>
      </c>
      <c r="CV286" s="5">
        <f>INDEX(Projects[Act Cost (M)],285)</f>
        <v/>
      </c>
      <c r="CW286" s="5">
        <f>INDEX(Projects[Plan Mech Eng (wks)],285)</f>
        <v/>
      </c>
      <c r="CX286" s="5">
        <f>INDEX(Projects[Plan Controls Eng (wks)],285)</f>
        <v/>
      </c>
      <c r="CY286" s="5">
        <f>INDEX(Projects[Plan Systems Eng (wks)],285)</f>
        <v/>
      </c>
      <c r="CZ286" s="5">
        <f>INDEX(Projects[Plan Software Eng (wks)],285)</f>
        <v/>
      </c>
      <c r="DA286" s="5">
        <f>INDEX(Projects[Plan M&amp;E Installation (wks)],285)</f>
        <v/>
      </c>
      <c r="DB286" s="5">
        <f>INDEX(Projects[Plan Commissioning (wks)],285)</f>
        <v/>
      </c>
      <c r="DC286" s="5">
        <f>INDEX(Projects[Plan Total (wks)],285)</f>
        <v/>
      </c>
      <c r="DD286" s="5">
        <f>INDEX(Projects[Act Mech Eng (wks)],285)</f>
        <v/>
      </c>
      <c r="DE286" s="5">
        <f>INDEX(Projects[Act Controls Eng (wks)],285)</f>
        <v/>
      </c>
      <c r="DF286" s="5">
        <f>INDEX(Projects[Act Systems Eng (wks)],285)</f>
        <v/>
      </c>
      <c r="DG286" s="5">
        <f>INDEX(Projects[Act Software Eng (wks)],285)</f>
        <v/>
      </c>
      <c r="DH286" s="5">
        <f>INDEX(Projects[Act M&amp;E Installation (wks)],285)</f>
        <v/>
      </c>
      <c r="DI286" s="5">
        <f>INDEX(Projects[Act Commissioning (wks)],285)</f>
        <v/>
      </c>
      <c r="DJ286" s="5">
        <f>INDEX(Projects[Act Total (wks)],285)</f>
        <v/>
      </c>
    </row>
    <row r="287" ht="15" customHeight="1" s="82">
      <c r="A287" s="64">
        <f>INDEX(Projects[Project ID *],286)&amp;""</f>
        <v/>
      </c>
      <c r="B287" s="64">
        <f>INDEX(Projects[Project Name *],286)&amp;""</f>
        <v/>
      </c>
      <c r="C287" s="64">
        <f>INDEX(Projects[MS Shuttles],286)</f>
        <v/>
      </c>
      <c r="D287" s="64">
        <f>INDEX(Projects[MS Tote Locations],286)</f>
        <v/>
      </c>
      <c r="E287" s="64">
        <f>INDEX(Projects[AS Robots],286)</f>
        <v/>
      </c>
      <c r="F287" s="64">
        <f>INDEX(Projects[AS Tote Locations],286)</f>
        <v/>
      </c>
      <c r="G287" s="64">
        <f>INDEX(Projects[PS Shuttles],286)</f>
        <v/>
      </c>
      <c r="H287" s="64">
        <f>INDEX(Projects[PS Pallet Locations],286)</f>
        <v/>
      </c>
      <c r="I287" s="64">
        <f>INDEX(Projects[SRM Cranes],286)</f>
        <v/>
      </c>
      <c r="J287" s="64">
        <f>INDEX(Projects[SRM Pallet Locations],286)</f>
        <v/>
      </c>
      <c r="K287" s="64">
        <f>INDEX(Projects[Case Conv (m)],286)</f>
        <v/>
      </c>
      <c r="L287" s="64">
        <f>INDEX(Projects[Pallet Conv (m)],286)</f>
        <v/>
      </c>
      <c r="M287" s="64">
        <f>IF(N(DJ287)&gt;0,DD287,CW287)</f>
        <v/>
      </c>
      <c r="N287" s="64">
        <f>IF(N(DJ287)&gt;0,DE287,CX287)</f>
        <v/>
      </c>
      <c r="O287" s="64">
        <f>IF(N(DJ287)&gt;0,DF287,CY287)</f>
        <v/>
      </c>
      <c r="P287" s="64">
        <f>IF(N(DJ287)&gt;0,DG287,CZ287)</f>
        <v/>
      </c>
      <c r="Q287" s="64">
        <f>IF(N(DJ287)&gt;0,DH287,DA287)</f>
        <v/>
      </c>
      <c r="R287" s="64">
        <f>IF(N(DJ287)&gt;0,DI287,DB287)</f>
        <v/>
      </c>
      <c r="S287" s="64">
        <f>IF(N(DJ287)&gt;0,DJ287,DC287)</f>
        <v/>
      </c>
      <c r="T287" s="64">
        <f>INDEX(Projects[Currency],286)&amp;""</f>
        <v/>
      </c>
      <c r="U287" s="65">
        <f>INDEX(Projects[Sold Value (M)],286)</f>
        <v/>
      </c>
      <c r="V287" s="64">
        <f>IF('Smart Search'!B13=1,IFERROR(1/'Smart Search'!H13,0),0)</f>
        <v/>
      </c>
      <c r="W287" s="64">
        <f>IF('Smart Search'!B13=1,IFERROR(1/'Smart Search'!H13,0),0)</f>
        <v/>
      </c>
      <c r="X287" s="64">
        <f>IF('Smart Search'!C13=1,IFERROR(1/'Smart Search'!H13,0),0)</f>
        <v/>
      </c>
      <c r="Y287" s="64">
        <f>IF('Smart Search'!C13=1,IFERROR(1/'Smart Search'!H13,0),0)</f>
        <v/>
      </c>
      <c r="Z287" s="64">
        <f>IF('Smart Search'!D13=1,IFERROR(1/'Smart Search'!H13,0),0)</f>
        <v/>
      </c>
      <c r="AA287" s="64">
        <f>IF('Smart Search'!D13=1,IFERROR(1/'Smart Search'!H13,0),0)</f>
        <v/>
      </c>
      <c r="AB287" s="64">
        <f>IF('Smart Search'!E13=1,IFERROR(1/'Smart Search'!H13,0),0)</f>
        <v/>
      </c>
      <c r="AC287" s="64">
        <f>IF('Smart Search'!E13=1,IFERROR(1/'Smart Search'!H13,0),0)</f>
        <v/>
      </c>
      <c r="AD287" s="64">
        <f>IF('Smart Search'!F13=1,IFERROR(1/'Smart Search'!H13,0),0)</f>
        <v/>
      </c>
      <c r="AE287" s="64">
        <f>IF('Smart Search'!F13=1,IFERROR(1/'Smart Search'!H13,0),0)</f>
        <v/>
      </c>
      <c r="AF287" s="64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4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4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4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4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4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4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4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4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4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4">
        <f>AF287*V287</f>
        <v/>
      </c>
      <c r="AQ287" s="64">
        <f>AG287*W287</f>
        <v/>
      </c>
      <c r="AR287" s="64">
        <f>AH287*X287</f>
        <v/>
      </c>
      <c r="AS287" s="64">
        <f>AI287*Y287</f>
        <v/>
      </c>
      <c r="AT287" s="64">
        <f>AJ287*Z287</f>
        <v/>
      </c>
      <c r="AU287" s="64">
        <f>AK287*AA287</f>
        <v/>
      </c>
      <c r="AV287" s="64">
        <f>AL287*AB287</f>
        <v/>
      </c>
      <c r="AW287" s="64">
        <f>AM287*AC287</f>
        <v/>
      </c>
      <c r="AX287" s="64">
        <f>AN287*AD287</f>
        <v/>
      </c>
      <c r="AY287" s="64">
        <f>AO287*AE287</f>
        <v/>
      </c>
      <c r="AZ287" s="64">
        <f>INDEX(Projects[Automation Equipment],286)&amp;""</f>
        <v/>
      </c>
      <c r="BA287" s="64">
        <f>IF(OR(A287="",'Smart Search'!H13=0),"",MAX(0,BE287*BF287*MAX(0,1-BG287)))</f>
        <v/>
      </c>
      <c r="BB287" s="64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4">
        <f>IF('Smart Search'!G13=1,IFERROR(1/'Smart Search'!H13,0),0)</f>
        <v/>
      </c>
      <c r="BD287" s="64">
        <f>BB287*BC287</f>
        <v/>
      </c>
      <c r="BE287" s="64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IF(A287="","",N(INDEX(Projects[Act Mech Inst],286)))</f>
        <v/>
      </c>
      <c r="BK287" s="5">
        <f>IF(A287="","",N(INDEX(Projects[Act Elec Inst],286)))</f>
        <v/>
      </c>
      <c r="BL287" s="5">
        <f>IF(A287="","",N(INDEX(Projects[Act Project Management],286)))</f>
        <v/>
      </c>
      <c r="BM287" s="5">
        <f>IF(A287="","",N(INDEX(Projects[Act Systems Eng],286)))</f>
        <v/>
      </c>
      <c r="BN287" s="5">
        <f>IF(A287="","",N(INDEX(Projects[Act Mechanical Eng],286)))</f>
        <v/>
      </c>
      <c r="BO287" s="5">
        <f>IF(A287="","",N(INDEX(Projects[Act Structural Engineering],286)))</f>
        <v/>
      </c>
      <c r="BP287" s="5">
        <f>IF(A287="","",N(INDEX(Projects[Act Site Sup],286)))</f>
        <v/>
      </c>
      <c r="BQ287" s="5">
        <f>IF(A287="","",N(INDEX(Projects[Act Controls Commissioning],286)))</f>
        <v/>
      </c>
      <c r="BR287" s="5">
        <f>IF(A287="","",N(INDEX(Projects[Act Systems Commissioning],286)))</f>
        <v/>
      </c>
      <c r="BS287" s="5">
        <f>IF(A287="","",N(INDEX(Projects[Act Service Commissioning],286)))</f>
        <v/>
      </c>
      <c r="BT287" s="5">
        <f>IF(A287="","",N(INDEX(Projects[Act Controls Eng],286)))</f>
        <v/>
      </c>
      <c r="BU287" s="5">
        <f>IF(A287="","",N(INDEX(Projects[Act Controls Purchase],286)))</f>
        <v/>
      </c>
      <c r="BV287" s="5">
        <f>IF(A287="","",N(INDEX(Projects[Act Software Eng],286)))</f>
        <v/>
      </c>
      <c r="BW287" s="5">
        <f>IF(A287="","",N(INDEX(Projects[Act 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INDEX(Projects[Sold Value (USD M)],286)</f>
        <v/>
      </c>
      <c r="CE287" s="5" t="n"/>
      <c r="CF287" s="5">
        <f>IF(A287="","",N(INDEX(Projects[Est Mech Inst],286)))</f>
        <v/>
      </c>
      <c r="CG287" s="5">
        <f>IF(A287="","",N(INDEX(Projects[Est Elec Inst],286)))</f>
        <v/>
      </c>
      <c r="CH287" s="5">
        <f>IF(A287="","",N(INDEX(Projects[Est Project Management],286)))</f>
        <v/>
      </c>
      <c r="CI287" s="5">
        <f>IF(A287="","",N(INDEX(Projects[Est Systems Eng],286)))</f>
        <v/>
      </c>
      <c r="CJ287" s="5">
        <f>IF(A287="","",N(INDEX(Projects[Est Mechanical Eng],286)))</f>
        <v/>
      </c>
      <c r="CK287" s="5">
        <f>IF(A287="","",N(INDEX(Projects[Est Structural Engineering],286)))</f>
        <v/>
      </c>
      <c r="CL287" s="5">
        <f>IF(A287="","",N(INDEX(Projects[Est Site Sup],286)))</f>
        <v/>
      </c>
      <c r="CM287" s="5">
        <f>IF(A287="","",N(INDEX(Projects[Est Controls Commissioning],286)))</f>
        <v/>
      </c>
      <c r="CN287" s="5">
        <f>IF(A287="","",N(INDEX(Projects[Est Systems Commissioning],286)))</f>
        <v/>
      </c>
      <c r="CO287" s="5">
        <f>IF(A287="","",N(INDEX(Projects[Est Service Commissioning],286)))</f>
        <v/>
      </c>
      <c r="CP287" s="5">
        <f>IF(A287="","",N(INDEX(Projects[Est Controls Eng],286)))</f>
        <v/>
      </c>
      <c r="CQ287" s="5">
        <f>IF(A287="","",N(INDEX(Projects[Est Controls Purchase],286)))</f>
        <v/>
      </c>
      <c r="CR287" s="5">
        <f>IF(A287="","",N(INDEX(Projects[Est Software Eng],286)))</f>
        <v/>
      </c>
      <c r="CS287" s="5">
        <f>IF(A287="","",N(INDEX(Projects[Est Misc],286)))</f>
        <v/>
      </c>
      <c r="CT287" s="5">
        <f>IF(A287="","",SUM(CF287:CS287))</f>
        <v/>
      </c>
      <c r="CU287" s="5">
        <f>INDEX(Projects[Est Cost (M)],286)</f>
        <v/>
      </c>
      <c r="CV287" s="5">
        <f>INDEX(Projects[Act Cost (M)],286)</f>
        <v/>
      </c>
      <c r="CW287" s="5">
        <f>INDEX(Projects[Plan Mech Eng (wks)],286)</f>
        <v/>
      </c>
      <c r="CX287" s="5">
        <f>INDEX(Projects[Plan Controls Eng (wks)],286)</f>
        <v/>
      </c>
      <c r="CY287" s="5">
        <f>INDEX(Projects[Plan Systems Eng (wks)],286)</f>
        <v/>
      </c>
      <c r="CZ287" s="5">
        <f>INDEX(Projects[Plan Software Eng (wks)],286)</f>
        <v/>
      </c>
      <c r="DA287" s="5">
        <f>INDEX(Projects[Plan M&amp;E Installation (wks)],286)</f>
        <v/>
      </c>
      <c r="DB287" s="5">
        <f>INDEX(Projects[Plan Commissioning (wks)],286)</f>
        <v/>
      </c>
      <c r="DC287" s="5">
        <f>INDEX(Projects[Plan Total (wks)],286)</f>
        <v/>
      </c>
      <c r="DD287" s="5">
        <f>INDEX(Projects[Act Mech Eng (wks)],286)</f>
        <v/>
      </c>
      <c r="DE287" s="5">
        <f>INDEX(Projects[Act Controls Eng (wks)],286)</f>
        <v/>
      </c>
      <c r="DF287" s="5">
        <f>INDEX(Projects[Act Systems Eng (wks)],286)</f>
        <v/>
      </c>
      <c r="DG287" s="5">
        <f>INDEX(Projects[Act Software Eng (wks)],286)</f>
        <v/>
      </c>
      <c r="DH287" s="5">
        <f>INDEX(Projects[Act M&amp;E Installation (wks)],286)</f>
        <v/>
      </c>
      <c r="DI287" s="5">
        <f>INDEX(Projects[Act Commissioning (wks)],286)</f>
        <v/>
      </c>
      <c r="DJ287" s="5">
        <f>INDEX(Projects[Act Total (wks)],286)</f>
        <v/>
      </c>
    </row>
    <row r="288" ht="15" customHeight="1" s="82">
      <c r="A288" s="64">
        <f>INDEX(Projects[Project ID *],287)&amp;""</f>
        <v/>
      </c>
      <c r="B288" s="64">
        <f>INDEX(Projects[Project Name *],287)&amp;""</f>
        <v/>
      </c>
      <c r="C288" s="64">
        <f>INDEX(Projects[MS Shuttles],287)</f>
        <v/>
      </c>
      <c r="D288" s="64">
        <f>INDEX(Projects[MS Tote Locations],287)</f>
        <v/>
      </c>
      <c r="E288" s="64">
        <f>INDEX(Projects[AS Robots],287)</f>
        <v/>
      </c>
      <c r="F288" s="64">
        <f>INDEX(Projects[AS Tote Locations],287)</f>
        <v/>
      </c>
      <c r="G288" s="64">
        <f>INDEX(Projects[PS Shuttles],287)</f>
        <v/>
      </c>
      <c r="H288" s="64">
        <f>INDEX(Projects[PS Pallet Locations],287)</f>
        <v/>
      </c>
      <c r="I288" s="64">
        <f>INDEX(Projects[SRM Cranes],287)</f>
        <v/>
      </c>
      <c r="J288" s="64">
        <f>INDEX(Projects[SRM Pallet Locations],287)</f>
        <v/>
      </c>
      <c r="K288" s="64">
        <f>INDEX(Projects[Case Conv (m)],287)</f>
        <v/>
      </c>
      <c r="L288" s="64">
        <f>INDEX(Projects[Pallet Conv (m)],287)</f>
        <v/>
      </c>
      <c r="M288" s="64">
        <f>IF(N(DJ288)&gt;0,DD288,CW288)</f>
        <v/>
      </c>
      <c r="N288" s="64">
        <f>IF(N(DJ288)&gt;0,DE288,CX288)</f>
        <v/>
      </c>
      <c r="O288" s="64">
        <f>IF(N(DJ288)&gt;0,DF288,CY288)</f>
        <v/>
      </c>
      <c r="P288" s="64">
        <f>IF(N(DJ288)&gt;0,DG288,CZ288)</f>
        <v/>
      </c>
      <c r="Q288" s="64">
        <f>IF(N(DJ288)&gt;0,DH288,DA288)</f>
        <v/>
      </c>
      <c r="R288" s="64">
        <f>IF(N(DJ288)&gt;0,DI288,DB288)</f>
        <v/>
      </c>
      <c r="S288" s="64">
        <f>IF(N(DJ288)&gt;0,DJ288,DC288)</f>
        <v/>
      </c>
      <c r="T288" s="64">
        <f>INDEX(Projects[Currency],287)&amp;""</f>
        <v/>
      </c>
      <c r="U288" s="65">
        <f>INDEX(Projects[Sold Value (M)],287)</f>
        <v/>
      </c>
      <c r="V288" s="64">
        <f>IF('Smart Search'!B13=1,IFERROR(1/'Smart Search'!H13,0),0)</f>
        <v/>
      </c>
      <c r="W288" s="64">
        <f>IF('Smart Search'!B13=1,IFERROR(1/'Smart Search'!H13,0),0)</f>
        <v/>
      </c>
      <c r="X288" s="64">
        <f>IF('Smart Search'!C13=1,IFERROR(1/'Smart Search'!H13,0),0)</f>
        <v/>
      </c>
      <c r="Y288" s="64">
        <f>IF('Smart Search'!C13=1,IFERROR(1/'Smart Search'!H13,0),0)</f>
        <v/>
      </c>
      <c r="Z288" s="64">
        <f>IF('Smart Search'!D13=1,IFERROR(1/'Smart Search'!H13,0),0)</f>
        <v/>
      </c>
      <c r="AA288" s="64">
        <f>IF('Smart Search'!D13=1,IFERROR(1/'Smart Search'!H13,0),0)</f>
        <v/>
      </c>
      <c r="AB288" s="64">
        <f>IF('Smart Search'!E13=1,IFERROR(1/'Smart Search'!H13,0),0)</f>
        <v/>
      </c>
      <c r="AC288" s="64">
        <f>IF('Smart Search'!E13=1,IFERROR(1/'Smart Search'!H13,0),0)</f>
        <v/>
      </c>
      <c r="AD288" s="64">
        <f>IF('Smart Search'!F13=1,IFERROR(1/'Smart Search'!H13,0),0)</f>
        <v/>
      </c>
      <c r="AE288" s="64">
        <f>IF('Smart Search'!F13=1,IFERROR(1/'Smart Search'!H13,0),0)</f>
        <v/>
      </c>
      <c r="AF288" s="64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4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4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4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4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4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4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4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4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4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4">
        <f>AF288*V288</f>
        <v/>
      </c>
      <c r="AQ288" s="64">
        <f>AG288*W288</f>
        <v/>
      </c>
      <c r="AR288" s="64">
        <f>AH288*X288</f>
        <v/>
      </c>
      <c r="AS288" s="64">
        <f>AI288*Y288</f>
        <v/>
      </c>
      <c r="AT288" s="64">
        <f>AJ288*Z288</f>
        <v/>
      </c>
      <c r="AU288" s="64">
        <f>AK288*AA288</f>
        <v/>
      </c>
      <c r="AV288" s="64">
        <f>AL288*AB288</f>
        <v/>
      </c>
      <c r="AW288" s="64">
        <f>AM288*AC288</f>
        <v/>
      </c>
      <c r="AX288" s="64">
        <f>AN288*AD288</f>
        <v/>
      </c>
      <c r="AY288" s="64">
        <f>AO288*AE288</f>
        <v/>
      </c>
      <c r="AZ288" s="64">
        <f>INDEX(Projects[Automation Equipment],287)&amp;""</f>
        <v/>
      </c>
      <c r="BA288" s="64">
        <f>IF(OR(A288="",'Smart Search'!H13=0),"",MAX(0,BE288*BF288*MAX(0,1-BG288)))</f>
        <v/>
      </c>
      <c r="BB288" s="64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4">
        <f>IF('Smart Search'!G13=1,IFERROR(1/'Smart Search'!H13,0),0)</f>
        <v/>
      </c>
      <c r="BD288" s="64">
        <f>BB288*BC288</f>
        <v/>
      </c>
      <c r="BE288" s="64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IF(A288="","",N(INDEX(Projects[Act Mech Inst],287)))</f>
        <v/>
      </c>
      <c r="BK288" s="5">
        <f>IF(A288="","",N(INDEX(Projects[Act Elec Inst],287)))</f>
        <v/>
      </c>
      <c r="BL288" s="5">
        <f>IF(A288="","",N(INDEX(Projects[Act Project Management],287)))</f>
        <v/>
      </c>
      <c r="BM288" s="5">
        <f>IF(A288="","",N(INDEX(Projects[Act Systems Eng],287)))</f>
        <v/>
      </c>
      <c r="BN288" s="5">
        <f>IF(A288="","",N(INDEX(Projects[Act Mechanical Eng],287)))</f>
        <v/>
      </c>
      <c r="BO288" s="5">
        <f>IF(A288="","",N(INDEX(Projects[Act Structural Engineering],287)))</f>
        <v/>
      </c>
      <c r="BP288" s="5">
        <f>IF(A288="","",N(INDEX(Projects[Act Site Sup],287)))</f>
        <v/>
      </c>
      <c r="BQ288" s="5">
        <f>IF(A288="","",N(INDEX(Projects[Act Controls Commissioning],287)))</f>
        <v/>
      </c>
      <c r="BR288" s="5">
        <f>IF(A288="","",N(INDEX(Projects[Act Systems Commissioning],287)))</f>
        <v/>
      </c>
      <c r="BS288" s="5">
        <f>IF(A288="","",N(INDEX(Projects[Act Service Commissioning],287)))</f>
        <v/>
      </c>
      <c r="BT288" s="5">
        <f>IF(A288="","",N(INDEX(Projects[Act Controls Eng],287)))</f>
        <v/>
      </c>
      <c r="BU288" s="5">
        <f>IF(A288="","",N(INDEX(Projects[Act Controls Purchase],287)))</f>
        <v/>
      </c>
      <c r="BV288" s="5">
        <f>IF(A288="","",N(INDEX(Projects[Act Software Eng],287)))</f>
        <v/>
      </c>
      <c r="BW288" s="5">
        <f>IF(A288="","",N(INDEX(Projects[Act 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INDEX(Projects[Sold Value (USD M)],287)</f>
        <v/>
      </c>
      <c r="CE288" s="5" t="n"/>
      <c r="CF288" s="5">
        <f>IF(A288="","",N(INDEX(Projects[Est Mech Inst],287)))</f>
        <v/>
      </c>
      <c r="CG288" s="5">
        <f>IF(A288="","",N(INDEX(Projects[Est Elec Inst],287)))</f>
        <v/>
      </c>
      <c r="CH288" s="5">
        <f>IF(A288="","",N(INDEX(Projects[Est Project Management],287)))</f>
        <v/>
      </c>
      <c r="CI288" s="5">
        <f>IF(A288="","",N(INDEX(Projects[Est Systems Eng],287)))</f>
        <v/>
      </c>
      <c r="CJ288" s="5">
        <f>IF(A288="","",N(INDEX(Projects[Est Mechanical Eng],287)))</f>
        <v/>
      </c>
      <c r="CK288" s="5">
        <f>IF(A288="","",N(INDEX(Projects[Est Structural Engineering],287)))</f>
        <v/>
      </c>
      <c r="CL288" s="5">
        <f>IF(A288="","",N(INDEX(Projects[Est Site Sup],287)))</f>
        <v/>
      </c>
      <c r="CM288" s="5">
        <f>IF(A288="","",N(INDEX(Projects[Est Controls Commissioning],287)))</f>
        <v/>
      </c>
      <c r="CN288" s="5">
        <f>IF(A288="","",N(INDEX(Projects[Est Systems Commissioning],287)))</f>
        <v/>
      </c>
      <c r="CO288" s="5">
        <f>IF(A288="","",N(INDEX(Projects[Est Service Commissioning],287)))</f>
        <v/>
      </c>
      <c r="CP288" s="5">
        <f>IF(A288="","",N(INDEX(Projects[Est Controls Eng],287)))</f>
        <v/>
      </c>
      <c r="CQ288" s="5">
        <f>IF(A288="","",N(INDEX(Projects[Est Controls Purchase],287)))</f>
        <v/>
      </c>
      <c r="CR288" s="5">
        <f>IF(A288="","",N(INDEX(Projects[Est Software Eng],287)))</f>
        <v/>
      </c>
      <c r="CS288" s="5">
        <f>IF(A288="","",N(INDEX(Projects[Est Misc],287)))</f>
        <v/>
      </c>
      <c r="CT288" s="5">
        <f>IF(A288="","",SUM(CF288:CS288))</f>
        <v/>
      </c>
      <c r="CU288" s="5">
        <f>INDEX(Projects[Est Cost (M)],287)</f>
        <v/>
      </c>
      <c r="CV288" s="5">
        <f>INDEX(Projects[Act Cost (M)],287)</f>
        <v/>
      </c>
      <c r="CW288" s="5">
        <f>INDEX(Projects[Plan Mech Eng (wks)],287)</f>
        <v/>
      </c>
      <c r="CX288" s="5">
        <f>INDEX(Projects[Plan Controls Eng (wks)],287)</f>
        <v/>
      </c>
      <c r="CY288" s="5">
        <f>INDEX(Projects[Plan Systems Eng (wks)],287)</f>
        <v/>
      </c>
      <c r="CZ288" s="5">
        <f>INDEX(Projects[Plan Software Eng (wks)],287)</f>
        <v/>
      </c>
      <c r="DA288" s="5">
        <f>INDEX(Projects[Plan M&amp;E Installation (wks)],287)</f>
        <v/>
      </c>
      <c r="DB288" s="5">
        <f>INDEX(Projects[Plan Commissioning (wks)],287)</f>
        <v/>
      </c>
      <c r="DC288" s="5">
        <f>INDEX(Projects[Plan Total (wks)],287)</f>
        <v/>
      </c>
      <c r="DD288" s="5">
        <f>INDEX(Projects[Act Mech Eng (wks)],287)</f>
        <v/>
      </c>
      <c r="DE288" s="5">
        <f>INDEX(Projects[Act Controls Eng (wks)],287)</f>
        <v/>
      </c>
      <c r="DF288" s="5">
        <f>INDEX(Projects[Act Systems Eng (wks)],287)</f>
        <v/>
      </c>
      <c r="DG288" s="5">
        <f>INDEX(Projects[Act Software Eng (wks)],287)</f>
        <v/>
      </c>
      <c r="DH288" s="5">
        <f>INDEX(Projects[Act M&amp;E Installation (wks)],287)</f>
        <v/>
      </c>
      <c r="DI288" s="5">
        <f>INDEX(Projects[Act Commissioning (wks)],287)</f>
        <v/>
      </c>
      <c r="DJ288" s="5">
        <f>INDEX(Projects[Act Total (wks)],287)</f>
        <v/>
      </c>
    </row>
    <row r="289" ht="15" customHeight="1" s="82">
      <c r="A289" s="64">
        <f>INDEX(Projects[Project ID *],288)&amp;""</f>
        <v/>
      </c>
      <c r="B289" s="64">
        <f>INDEX(Projects[Project Name *],288)&amp;""</f>
        <v/>
      </c>
      <c r="C289" s="64">
        <f>INDEX(Projects[MS Shuttles],288)</f>
        <v/>
      </c>
      <c r="D289" s="64">
        <f>INDEX(Projects[MS Tote Locations],288)</f>
        <v/>
      </c>
      <c r="E289" s="64">
        <f>INDEX(Projects[AS Robots],288)</f>
        <v/>
      </c>
      <c r="F289" s="64">
        <f>INDEX(Projects[AS Tote Locations],288)</f>
        <v/>
      </c>
      <c r="G289" s="64">
        <f>INDEX(Projects[PS Shuttles],288)</f>
        <v/>
      </c>
      <c r="H289" s="64">
        <f>INDEX(Projects[PS Pallet Locations],288)</f>
        <v/>
      </c>
      <c r="I289" s="64">
        <f>INDEX(Projects[SRM Cranes],288)</f>
        <v/>
      </c>
      <c r="J289" s="64">
        <f>INDEX(Projects[SRM Pallet Locations],288)</f>
        <v/>
      </c>
      <c r="K289" s="64">
        <f>INDEX(Projects[Case Conv (m)],288)</f>
        <v/>
      </c>
      <c r="L289" s="64">
        <f>INDEX(Projects[Pallet Conv (m)],288)</f>
        <v/>
      </c>
      <c r="M289" s="64">
        <f>IF(N(DJ289)&gt;0,DD289,CW289)</f>
        <v/>
      </c>
      <c r="N289" s="64">
        <f>IF(N(DJ289)&gt;0,DE289,CX289)</f>
        <v/>
      </c>
      <c r="O289" s="64">
        <f>IF(N(DJ289)&gt;0,DF289,CY289)</f>
        <v/>
      </c>
      <c r="P289" s="64">
        <f>IF(N(DJ289)&gt;0,DG289,CZ289)</f>
        <v/>
      </c>
      <c r="Q289" s="64">
        <f>IF(N(DJ289)&gt;0,DH289,DA289)</f>
        <v/>
      </c>
      <c r="R289" s="64">
        <f>IF(N(DJ289)&gt;0,DI289,DB289)</f>
        <v/>
      </c>
      <c r="S289" s="64">
        <f>IF(N(DJ289)&gt;0,DJ289,DC289)</f>
        <v/>
      </c>
      <c r="T289" s="64">
        <f>INDEX(Projects[Currency],288)&amp;""</f>
        <v/>
      </c>
      <c r="U289" s="65">
        <f>INDEX(Projects[Sold Value (M)],288)</f>
        <v/>
      </c>
      <c r="V289" s="64">
        <f>IF('Smart Search'!B13=1,IFERROR(1/'Smart Search'!H13,0),0)</f>
        <v/>
      </c>
      <c r="W289" s="64">
        <f>IF('Smart Search'!B13=1,IFERROR(1/'Smart Search'!H13,0),0)</f>
        <v/>
      </c>
      <c r="X289" s="64">
        <f>IF('Smart Search'!C13=1,IFERROR(1/'Smart Search'!H13,0),0)</f>
        <v/>
      </c>
      <c r="Y289" s="64">
        <f>IF('Smart Search'!C13=1,IFERROR(1/'Smart Search'!H13,0),0)</f>
        <v/>
      </c>
      <c r="Z289" s="64">
        <f>IF('Smart Search'!D13=1,IFERROR(1/'Smart Search'!H13,0),0)</f>
        <v/>
      </c>
      <c r="AA289" s="64">
        <f>IF('Smart Search'!D13=1,IFERROR(1/'Smart Search'!H13,0),0)</f>
        <v/>
      </c>
      <c r="AB289" s="64">
        <f>IF('Smart Search'!E13=1,IFERROR(1/'Smart Search'!H13,0),0)</f>
        <v/>
      </c>
      <c r="AC289" s="64">
        <f>IF('Smart Search'!E13=1,IFERROR(1/'Smart Search'!H13,0),0)</f>
        <v/>
      </c>
      <c r="AD289" s="64">
        <f>IF('Smart Search'!F13=1,IFERROR(1/'Smart Search'!H13,0),0)</f>
        <v/>
      </c>
      <c r="AE289" s="64">
        <f>IF('Smart Search'!F13=1,IFERROR(1/'Smart Search'!H13,0),0)</f>
        <v/>
      </c>
      <c r="AF289" s="64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4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4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4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4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4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4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4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4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4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4">
        <f>AF289*V289</f>
        <v/>
      </c>
      <c r="AQ289" s="64">
        <f>AG289*W289</f>
        <v/>
      </c>
      <c r="AR289" s="64">
        <f>AH289*X289</f>
        <v/>
      </c>
      <c r="AS289" s="64">
        <f>AI289*Y289</f>
        <v/>
      </c>
      <c r="AT289" s="64">
        <f>AJ289*Z289</f>
        <v/>
      </c>
      <c r="AU289" s="64">
        <f>AK289*AA289</f>
        <v/>
      </c>
      <c r="AV289" s="64">
        <f>AL289*AB289</f>
        <v/>
      </c>
      <c r="AW289" s="64">
        <f>AM289*AC289</f>
        <v/>
      </c>
      <c r="AX289" s="64">
        <f>AN289*AD289</f>
        <v/>
      </c>
      <c r="AY289" s="64">
        <f>AO289*AE289</f>
        <v/>
      </c>
      <c r="AZ289" s="64">
        <f>INDEX(Projects[Automation Equipment],288)&amp;""</f>
        <v/>
      </c>
      <c r="BA289" s="64">
        <f>IF(OR(A289="",'Smart Search'!H13=0),"",MAX(0,BE289*BF289*MAX(0,1-BG289)))</f>
        <v/>
      </c>
      <c r="BB289" s="64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4">
        <f>IF('Smart Search'!G13=1,IFERROR(1/'Smart Search'!H13,0),0)</f>
        <v/>
      </c>
      <c r="BD289" s="64">
        <f>BB289*BC289</f>
        <v/>
      </c>
      <c r="BE289" s="64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IF(A289="","",N(INDEX(Projects[Act Mech Inst],288)))</f>
        <v/>
      </c>
      <c r="BK289" s="5">
        <f>IF(A289="","",N(INDEX(Projects[Act Elec Inst],288)))</f>
        <v/>
      </c>
      <c r="BL289" s="5">
        <f>IF(A289="","",N(INDEX(Projects[Act Project Management],288)))</f>
        <v/>
      </c>
      <c r="BM289" s="5">
        <f>IF(A289="","",N(INDEX(Projects[Act Systems Eng],288)))</f>
        <v/>
      </c>
      <c r="BN289" s="5">
        <f>IF(A289="","",N(INDEX(Projects[Act Mechanical Eng],288)))</f>
        <v/>
      </c>
      <c r="BO289" s="5">
        <f>IF(A289="","",N(INDEX(Projects[Act Structural Engineering],288)))</f>
        <v/>
      </c>
      <c r="BP289" s="5">
        <f>IF(A289="","",N(INDEX(Projects[Act Site Sup],288)))</f>
        <v/>
      </c>
      <c r="BQ289" s="5">
        <f>IF(A289="","",N(INDEX(Projects[Act Controls Commissioning],288)))</f>
        <v/>
      </c>
      <c r="BR289" s="5">
        <f>IF(A289="","",N(INDEX(Projects[Act Systems Commissioning],288)))</f>
        <v/>
      </c>
      <c r="BS289" s="5">
        <f>IF(A289="","",N(INDEX(Projects[Act Service Commissioning],288)))</f>
        <v/>
      </c>
      <c r="BT289" s="5">
        <f>IF(A289="","",N(INDEX(Projects[Act Controls Eng],288)))</f>
        <v/>
      </c>
      <c r="BU289" s="5">
        <f>IF(A289="","",N(INDEX(Projects[Act Controls Purchase],288)))</f>
        <v/>
      </c>
      <c r="BV289" s="5">
        <f>IF(A289="","",N(INDEX(Projects[Act Software Eng],288)))</f>
        <v/>
      </c>
      <c r="BW289" s="5">
        <f>IF(A289="","",N(INDEX(Projects[Act 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INDEX(Projects[Sold Value (USD M)],288)</f>
        <v/>
      </c>
      <c r="CE289" s="5" t="n"/>
      <c r="CF289" s="5">
        <f>IF(A289="","",N(INDEX(Projects[Est Mech Inst],288)))</f>
        <v/>
      </c>
      <c r="CG289" s="5">
        <f>IF(A289="","",N(INDEX(Projects[Est Elec Inst],288)))</f>
        <v/>
      </c>
      <c r="CH289" s="5">
        <f>IF(A289="","",N(INDEX(Projects[Est Project Management],288)))</f>
        <v/>
      </c>
      <c r="CI289" s="5">
        <f>IF(A289="","",N(INDEX(Projects[Est Systems Eng],288)))</f>
        <v/>
      </c>
      <c r="CJ289" s="5">
        <f>IF(A289="","",N(INDEX(Projects[Est Mechanical Eng],288)))</f>
        <v/>
      </c>
      <c r="CK289" s="5">
        <f>IF(A289="","",N(INDEX(Projects[Est Structural Engineering],288)))</f>
        <v/>
      </c>
      <c r="CL289" s="5">
        <f>IF(A289="","",N(INDEX(Projects[Est Site Sup],288)))</f>
        <v/>
      </c>
      <c r="CM289" s="5">
        <f>IF(A289="","",N(INDEX(Projects[Est Controls Commissioning],288)))</f>
        <v/>
      </c>
      <c r="CN289" s="5">
        <f>IF(A289="","",N(INDEX(Projects[Est Systems Commissioning],288)))</f>
        <v/>
      </c>
      <c r="CO289" s="5">
        <f>IF(A289="","",N(INDEX(Projects[Est Service Commissioning],288)))</f>
        <v/>
      </c>
      <c r="CP289" s="5">
        <f>IF(A289="","",N(INDEX(Projects[Est Controls Eng],288)))</f>
        <v/>
      </c>
      <c r="CQ289" s="5">
        <f>IF(A289="","",N(INDEX(Projects[Est Controls Purchase],288)))</f>
        <v/>
      </c>
      <c r="CR289" s="5">
        <f>IF(A289="","",N(INDEX(Projects[Est Software Eng],288)))</f>
        <v/>
      </c>
      <c r="CS289" s="5">
        <f>IF(A289="","",N(INDEX(Projects[Est Misc],288)))</f>
        <v/>
      </c>
      <c r="CT289" s="5">
        <f>IF(A289="","",SUM(CF289:CS289))</f>
        <v/>
      </c>
      <c r="CU289" s="5">
        <f>INDEX(Projects[Est Cost (M)],288)</f>
        <v/>
      </c>
      <c r="CV289" s="5">
        <f>INDEX(Projects[Act Cost (M)],288)</f>
        <v/>
      </c>
      <c r="CW289" s="5">
        <f>INDEX(Projects[Plan Mech Eng (wks)],288)</f>
        <v/>
      </c>
      <c r="CX289" s="5">
        <f>INDEX(Projects[Plan Controls Eng (wks)],288)</f>
        <v/>
      </c>
      <c r="CY289" s="5">
        <f>INDEX(Projects[Plan Systems Eng (wks)],288)</f>
        <v/>
      </c>
      <c r="CZ289" s="5">
        <f>INDEX(Projects[Plan Software Eng (wks)],288)</f>
        <v/>
      </c>
      <c r="DA289" s="5">
        <f>INDEX(Projects[Plan M&amp;E Installation (wks)],288)</f>
        <v/>
      </c>
      <c r="DB289" s="5">
        <f>INDEX(Projects[Plan Commissioning (wks)],288)</f>
        <v/>
      </c>
      <c r="DC289" s="5">
        <f>INDEX(Projects[Plan Total (wks)],288)</f>
        <v/>
      </c>
      <c r="DD289" s="5">
        <f>INDEX(Projects[Act Mech Eng (wks)],288)</f>
        <v/>
      </c>
      <c r="DE289" s="5">
        <f>INDEX(Projects[Act Controls Eng (wks)],288)</f>
        <v/>
      </c>
      <c r="DF289" s="5">
        <f>INDEX(Projects[Act Systems Eng (wks)],288)</f>
        <v/>
      </c>
      <c r="DG289" s="5">
        <f>INDEX(Projects[Act Software Eng (wks)],288)</f>
        <v/>
      </c>
      <c r="DH289" s="5">
        <f>INDEX(Projects[Act M&amp;E Installation (wks)],288)</f>
        <v/>
      </c>
      <c r="DI289" s="5">
        <f>INDEX(Projects[Act Commissioning (wks)],288)</f>
        <v/>
      </c>
      <c r="DJ289" s="5">
        <f>INDEX(Projects[Act Total (wks)],288)</f>
        <v/>
      </c>
    </row>
    <row r="290" ht="15" customHeight="1" s="82">
      <c r="A290" s="64">
        <f>INDEX(Projects[Project ID *],289)&amp;""</f>
        <v/>
      </c>
      <c r="B290" s="64">
        <f>INDEX(Projects[Project Name *],289)&amp;""</f>
        <v/>
      </c>
      <c r="C290" s="64">
        <f>INDEX(Projects[MS Shuttles],289)</f>
        <v/>
      </c>
      <c r="D290" s="64">
        <f>INDEX(Projects[MS Tote Locations],289)</f>
        <v/>
      </c>
      <c r="E290" s="64">
        <f>INDEX(Projects[AS Robots],289)</f>
        <v/>
      </c>
      <c r="F290" s="64">
        <f>INDEX(Projects[AS Tote Locations],289)</f>
        <v/>
      </c>
      <c r="G290" s="64">
        <f>INDEX(Projects[PS Shuttles],289)</f>
        <v/>
      </c>
      <c r="H290" s="64">
        <f>INDEX(Projects[PS Pallet Locations],289)</f>
        <v/>
      </c>
      <c r="I290" s="64">
        <f>INDEX(Projects[SRM Cranes],289)</f>
        <v/>
      </c>
      <c r="J290" s="64">
        <f>INDEX(Projects[SRM Pallet Locations],289)</f>
        <v/>
      </c>
      <c r="K290" s="64">
        <f>INDEX(Projects[Case Conv (m)],289)</f>
        <v/>
      </c>
      <c r="L290" s="64">
        <f>INDEX(Projects[Pallet Conv (m)],289)</f>
        <v/>
      </c>
      <c r="M290" s="64">
        <f>IF(N(DJ290)&gt;0,DD290,CW290)</f>
        <v/>
      </c>
      <c r="N290" s="64">
        <f>IF(N(DJ290)&gt;0,DE290,CX290)</f>
        <v/>
      </c>
      <c r="O290" s="64">
        <f>IF(N(DJ290)&gt;0,DF290,CY290)</f>
        <v/>
      </c>
      <c r="P290" s="64">
        <f>IF(N(DJ290)&gt;0,DG290,CZ290)</f>
        <v/>
      </c>
      <c r="Q290" s="64">
        <f>IF(N(DJ290)&gt;0,DH290,DA290)</f>
        <v/>
      </c>
      <c r="R290" s="64">
        <f>IF(N(DJ290)&gt;0,DI290,DB290)</f>
        <v/>
      </c>
      <c r="S290" s="64">
        <f>IF(N(DJ290)&gt;0,DJ290,DC290)</f>
        <v/>
      </c>
      <c r="T290" s="64">
        <f>INDEX(Projects[Currency],289)&amp;""</f>
        <v/>
      </c>
      <c r="U290" s="65">
        <f>INDEX(Projects[Sold Value (M)],289)</f>
        <v/>
      </c>
      <c r="V290" s="64">
        <f>IF('Smart Search'!B13=1,IFERROR(1/'Smart Search'!H13,0),0)</f>
        <v/>
      </c>
      <c r="W290" s="64">
        <f>IF('Smart Search'!B13=1,IFERROR(1/'Smart Search'!H13,0),0)</f>
        <v/>
      </c>
      <c r="X290" s="64">
        <f>IF('Smart Search'!C13=1,IFERROR(1/'Smart Search'!H13,0),0)</f>
        <v/>
      </c>
      <c r="Y290" s="64">
        <f>IF('Smart Search'!C13=1,IFERROR(1/'Smart Search'!H13,0),0)</f>
        <v/>
      </c>
      <c r="Z290" s="64">
        <f>IF('Smart Search'!D13=1,IFERROR(1/'Smart Search'!H13,0),0)</f>
        <v/>
      </c>
      <c r="AA290" s="64">
        <f>IF('Smart Search'!D13=1,IFERROR(1/'Smart Search'!H13,0),0)</f>
        <v/>
      </c>
      <c r="AB290" s="64">
        <f>IF('Smart Search'!E13=1,IFERROR(1/'Smart Search'!H13,0),0)</f>
        <v/>
      </c>
      <c r="AC290" s="64">
        <f>IF('Smart Search'!E13=1,IFERROR(1/'Smart Search'!H13,0),0)</f>
        <v/>
      </c>
      <c r="AD290" s="64">
        <f>IF('Smart Search'!F13=1,IFERROR(1/'Smart Search'!H13,0),0)</f>
        <v/>
      </c>
      <c r="AE290" s="64">
        <f>IF('Smart Search'!F13=1,IFERROR(1/'Smart Search'!H13,0),0)</f>
        <v/>
      </c>
      <c r="AF290" s="64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4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4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4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4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4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4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4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4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4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4">
        <f>AF290*V290</f>
        <v/>
      </c>
      <c r="AQ290" s="64">
        <f>AG290*W290</f>
        <v/>
      </c>
      <c r="AR290" s="64">
        <f>AH290*X290</f>
        <v/>
      </c>
      <c r="AS290" s="64">
        <f>AI290*Y290</f>
        <v/>
      </c>
      <c r="AT290" s="64">
        <f>AJ290*Z290</f>
        <v/>
      </c>
      <c r="AU290" s="64">
        <f>AK290*AA290</f>
        <v/>
      </c>
      <c r="AV290" s="64">
        <f>AL290*AB290</f>
        <v/>
      </c>
      <c r="AW290" s="64">
        <f>AM290*AC290</f>
        <v/>
      </c>
      <c r="AX290" s="64">
        <f>AN290*AD290</f>
        <v/>
      </c>
      <c r="AY290" s="64">
        <f>AO290*AE290</f>
        <v/>
      </c>
      <c r="AZ290" s="64">
        <f>INDEX(Projects[Automation Equipment],289)&amp;""</f>
        <v/>
      </c>
      <c r="BA290" s="64">
        <f>IF(OR(A290="",'Smart Search'!H13=0),"",MAX(0,BE290*BF290*MAX(0,1-BG290)))</f>
        <v/>
      </c>
      <c r="BB290" s="64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4">
        <f>IF('Smart Search'!G13=1,IFERROR(1/'Smart Search'!H13,0),0)</f>
        <v/>
      </c>
      <c r="BD290" s="64">
        <f>BB290*BC290</f>
        <v/>
      </c>
      <c r="BE290" s="64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IF(A290="","",N(INDEX(Projects[Act Mech Inst],289)))</f>
        <v/>
      </c>
      <c r="BK290" s="5">
        <f>IF(A290="","",N(INDEX(Projects[Act Elec Inst],289)))</f>
        <v/>
      </c>
      <c r="BL290" s="5">
        <f>IF(A290="","",N(INDEX(Projects[Act Project Management],289)))</f>
        <v/>
      </c>
      <c r="BM290" s="5">
        <f>IF(A290="","",N(INDEX(Projects[Act Systems Eng],289)))</f>
        <v/>
      </c>
      <c r="BN290" s="5">
        <f>IF(A290="","",N(INDEX(Projects[Act Mechanical Eng],289)))</f>
        <v/>
      </c>
      <c r="BO290" s="5">
        <f>IF(A290="","",N(INDEX(Projects[Act Structural Engineering],289)))</f>
        <v/>
      </c>
      <c r="BP290" s="5">
        <f>IF(A290="","",N(INDEX(Projects[Act Site Sup],289)))</f>
        <v/>
      </c>
      <c r="BQ290" s="5">
        <f>IF(A290="","",N(INDEX(Projects[Act Controls Commissioning],289)))</f>
        <v/>
      </c>
      <c r="BR290" s="5">
        <f>IF(A290="","",N(INDEX(Projects[Act Systems Commissioning],289)))</f>
        <v/>
      </c>
      <c r="BS290" s="5">
        <f>IF(A290="","",N(INDEX(Projects[Act Service Commissioning],289)))</f>
        <v/>
      </c>
      <c r="BT290" s="5">
        <f>IF(A290="","",N(INDEX(Projects[Act Controls Eng],289)))</f>
        <v/>
      </c>
      <c r="BU290" s="5">
        <f>IF(A290="","",N(INDEX(Projects[Act Controls Purchase],289)))</f>
        <v/>
      </c>
      <c r="BV290" s="5">
        <f>IF(A290="","",N(INDEX(Projects[Act Software Eng],289)))</f>
        <v/>
      </c>
      <c r="BW290" s="5">
        <f>IF(A290="","",N(INDEX(Projects[Act 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INDEX(Projects[Sold Value (USD M)],289)</f>
        <v/>
      </c>
      <c r="CE290" s="5" t="n"/>
      <c r="CF290" s="5">
        <f>IF(A290="","",N(INDEX(Projects[Est Mech Inst],289)))</f>
        <v/>
      </c>
      <c r="CG290" s="5">
        <f>IF(A290="","",N(INDEX(Projects[Est Elec Inst],289)))</f>
        <v/>
      </c>
      <c r="CH290" s="5">
        <f>IF(A290="","",N(INDEX(Projects[Est Project Management],289)))</f>
        <v/>
      </c>
      <c r="CI290" s="5">
        <f>IF(A290="","",N(INDEX(Projects[Est Systems Eng],289)))</f>
        <v/>
      </c>
      <c r="CJ290" s="5">
        <f>IF(A290="","",N(INDEX(Projects[Est Mechanical Eng],289)))</f>
        <v/>
      </c>
      <c r="CK290" s="5">
        <f>IF(A290="","",N(INDEX(Projects[Est Structural Engineering],289)))</f>
        <v/>
      </c>
      <c r="CL290" s="5">
        <f>IF(A290="","",N(INDEX(Projects[Est Site Sup],289)))</f>
        <v/>
      </c>
      <c r="CM290" s="5">
        <f>IF(A290="","",N(INDEX(Projects[Est Controls Commissioning],289)))</f>
        <v/>
      </c>
      <c r="CN290" s="5">
        <f>IF(A290="","",N(INDEX(Projects[Est Systems Commissioning],289)))</f>
        <v/>
      </c>
      <c r="CO290" s="5">
        <f>IF(A290="","",N(INDEX(Projects[Est Service Commissioning],289)))</f>
        <v/>
      </c>
      <c r="CP290" s="5">
        <f>IF(A290="","",N(INDEX(Projects[Est Controls Eng],289)))</f>
        <v/>
      </c>
      <c r="CQ290" s="5">
        <f>IF(A290="","",N(INDEX(Projects[Est Controls Purchase],289)))</f>
        <v/>
      </c>
      <c r="CR290" s="5">
        <f>IF(A290="","",N(INDEX(Projects[Est Software Eng],289)))</f>
        <v/>
      </c>
      <c r="CS290" s="5">
        <f>IF(A290="","",N(INDEX(Projects[Est Misc],289)))</f>
        <v/>
      </c>
      <c r="CT290" s="5">
        <f>IF(A290="","",SUM(CF290:CS290))</f>
        <v/>
      </c>
      <c r="CU290" s="5">
        <f>INDEX(Projects[Est Cost (M)],289)</f>
        <v/>
      </c>
      <c r="CV290" s="5">
        <f>INDEX(Projects[Act Cost (M)],289)</f>
        <v/>
      </c>
      <c r="CW290" s="5">
        <f>INDEX(Projects[Plan Mech Eng (wks)],289)</f>
        <v/>
      </c>
      <c r="CX290" s="5">
        <f>INDEX(Projects[Plan Controls Eng (wks)],289)</f>
        <v/>
      </c>
      <c r="CY290" s="5">
        <f>INDEX(Projects[Plan Systems Eng (wks)],289)</f>
        <v/>
      </c>
      <c r="CZ290" s="5">
        <f>INDEX(Projects[Plan Software Eng (wks)],289)</f>
        <v/>
      </c>
      <c r="DA290" s="5">
        <f>INDEX(Projects[Plan M&amp;E Installation (wks)],289)</f>
        <v/>
      </c>
      <c r="DB290" s="5">
        <f>INDEX(Projects[Plan Commissioning (wks)],289)</f>
        <v/>
      </c>
      <c r="DC290" s="5">
        <f>INDEX(Projects[Plan Total (wks)],289)</f>
        <v/>
      </c>
      <c r="DD290" s="5">
        <f>INDEX(Projects[Act Mech Eng (wks)],289)</f>
        <v/>
      </c>
      <c r="DE290" s="5">
        <f>INDEX(Projects[Act Controls Eng (wks)],289)</f>
        <v/>
      </c>
      <c r="DF290" s="5">
        <f>INDEX(Projects[Act Systems Eng (wks)],289)</f>
        <v/>
      </c>
      <c r="DG290" s="5">
        <f>INDEX(Projects[Act Software Eng (wks)],289)</f>
        <v/>
      </c>
      <c r="DH290" s="5">
        <f>INDEX(Projects[Act M&amp;E Installation (wks)],289)</f>
        <v/>
      </c>
      <c r="DI290" s="5">
        <f>INDEX(Projects[Act Commissioning (wks)],289)</f>
        <v/>
      </c>
      <c r="DJ290" s="5">
        <f>INDEX(Projects[Act Total (wks)],289)</f>
        <v/>
      </c>
    </row>
    <row r="291" ht="15" customHeight="1" s="82">
      <c r="A291" s="64">
        <f>INDEX(Projects[Project ID *],290)&amp;""</f>
        <v/>
      </c>
      <c r="B291" s="64">
        <f>INDEX(Projects[Project Name *],290)&amp;""</f>
        <v/>
      </c>
      <c r="C291" s="64">
        <f>INDEX(Projects[MS Shuttles],290)</f>
        <v/>
      </c>
      <c r="D291" s="64">
        <f>INDEX(Projects[MS Tote Locations],290)</f>
        <v/>
      </c>
      <c r="E291" s="64">
        <f>INDEX(Projects[AS Robots],290)</f>
        <v/>
      </c>
      <c r="F291" s="64">
        <f>INDEX(Projects[AS Tote Locations],290)</f>
        <v/>
      </c>
      <c r="G291" s="64">
        <f>INDEX(Projects[PS Shuttles],290)</f>
        <v/>
      </c>
      <c r="H291" s="64">
        <f>INDEX(Projects[PS Pallet Locations],290)</f>
        <v/>
      </c>
      <c r="I291" s="64">
        <f>INDEX(Projects[SRM Cranes],290)</f>
        <v/>
      </c>
      <c r="J291" s="64">
        <f>INDEX(Projects[SRM Pallet Locations],290)</f>
        <v/>
      </c>
      <c r="K291" s="64">
        <f>INDEX(Projects[Case Conv (m)],290)</f>
        <v/>
      </c>
      <c r="L291" s="64">
        <f>INDEX(Projects[Pallet Conv (m)],290)</f>
        <v/>
      </c>
      <c r="M291" s="64">
        <f>IF(N(DJ291)&gt;0,DD291,CW291)</f>
        <v/>
      </c>
      <c r="N291" s="64">
        <f>IF(N(DJ291)&gt;0,DE291,CX291)</f>
        <v/>
      </c>
      <c r="O291" s="64">
        <f>IF(N(DJ291)&gt;0,DF291,CY291)</f>
        <v/>
      </c>
      <c r="P291" s="64">
        <f>IF(N(DJ291)&gt;0,DG291,CZ291)</f>
        <v/>
      </c>
      <c r="Q291" s="64">
        <f>IF(N(DJ291)&gt;0,DH291,DA291)</f>
        <v/>
      </c>
      <c r="R291" s="64">
        <f>IF(N(DJ291)&gt;0,DI291,DB291)</f>
        <v/>
      </c>
      <c r="S291" s="64">
        <f>IF(N(DJ291)&gt;0,DJ291,DC291)</f>
        <v/>
      </c>
      <c r="T291" s="64">
        <f>INDEX(Projects[Currency],290)&amp;""</f>
        <v/>
      </c>
      <c r="U291" s="65">
        <f>INDEX(Projects[Sold Value (M)],290)</f>
        <v/>
      </c>
      <c r="V291" s="64">
        <f>IF('Smart Search'!B13=1,IFERROR(1/'Smart Search'!H13,0),0)</f>
        <v/>
      </c>
      <c r="W291" s="64">
        <f>IF('Smart Search'!B13=1,IFERROR(1/'Smart Search'!H13,0),0)</f>
        <v/>
      </c>
      <c r="X291" s="64">
        <f>IF('Smart Search'!C13=1,IFERROR(1/'Smart Search'!H13,0),0)</f>
        <v/>
      </c>
      <c r="Y291" s="64">
        <f>IF('Smart Search'!C13=1,IFERROR(1/'Smart Search'!H13,0),0)</f>
        <v/>
      </c>
      <c r="Z291" s="64">
        <f>IF('Smart Search'!D13=1,IFERROR(1/'Smart Search'!H13,0),0)</f>
        <v/>
      </c>
      <c r="AA291" s="64">
        <f>IF('Smart Search'!D13=1,IFERROR(1/'Smart Search'!H13,0),0)</f>
        <v/>
      </c>
      <c r="AB291" s="64">
        <f>IF('Smart Search'!E13=1,IFERROR(1/'Smart Search'!H13,0),0)</f>
        <v/>
      </c>
      <c r="AC291" s="64">
        <f>IF('Smart Search'!E13=1,IFERROR(1/'Smart Search'!H13,0),0)</f>
        <v/>
      </c>
      <c r="AD291" s="64">
        <f>IF('Smart Search'!F13=1,IFERROR(1/'Smart Search'!H13,0),0)</f>
        <v/>
      </c>
      <c r="AE291" s="64">
        <f>IF('Smart Search'!F13=1,IFERROR(1/'Smart Search'!H13,0),0)</f>
        <v/>
      </c>
      <c r="AF291" s="64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4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4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4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4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4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4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4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4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4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4">
        <f>AF291*V291</f>
        <v/>
      </c>
      <c r="AQ291" s="64">
        <f>AG291*W291</f>
        <v/>
      </c>
      <c r="AR291" s="64">
        <f>AH291*X291</f>
        <v/>
      </c>
      <c r="AS291" s="64">
        <f>AI291*Y291</f>
        <v/>
      </c>
      <c r="AT291" s="64">
        <f>AJ291*Z291</f>
        <v/>
      </c>
      <c r="AU291" s="64">
        <f>AK291*AA291</f>
        <v/>
      </c>
      <c r="AV291" s="64">
        <f>AL291*AB291</f>
        <v/>
      </c>
      <c r="AW291" s="64">
        <f>AM291*AC291</f>
        <v/>
      </c>
      <c r="AX291" s="64">
        <f>AN291*AD291</f>
        <v/>
      </c>
      <c r="AY291" s="64">
        <f>AO291*AE291</f>
        <v/>
      </c>
      <c r="AZ291" s="64">
        <f>INDEX(Projects[Automation Equipment],290)&amp;""</f>
        <v/>
      </c>
      <c r="BA291" s="64">
        <f>IF(OR(A291="",'Smart Search'!H13=0),"",MAX(0,BE291*BF291*MAX(0,1-BG291)))</f>
        <v/>
      </c>
      <c r="BB291" s="64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4">
        <f>IF('Smart Search'!G13=1,IFERROR(1/'Smart Search'!H13,0),0)</f>
        <v/>
      </c>
      <c r="BD291" s="64">
        <f>BB291*BC291</f>
        <v/>
      </c>
      <c r="BE291" s="64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IF(A291="","",N(INDEX(Projects[Act Mech Inst],290)))</f>
        <v/>
      </c>
      <c r="BK291" s="5">
        <f>IF(A291="","",N(INDEX(Projects[Act Elec Inst],290)))</f>
        <v/>
      </c>
      <c r="BL291" s="5">
        <f>IF(A291="","",N(INDEX(Projects[Act Project Management],290)))</f>
        <v/>
      </c>
      <c r="BM291" s="5">
        <f>IF(A291="","",N(INDEX(Projects[Act Systems Eng],290)))</f>
        <v/>
      </c>
      <c r="BN291" s="5">
        <f>IF(A291="","",N(INDEX(Projects[Act Mechanical Eng],290)))</f>
        <v/>
      </c>
      <c r="BO291" s="5">
        <f>IF(A291="","",N(INDEX(Projects[Act Structural Engineering],290)))</f>
        <v/>
      </c>
      <c r="BP291" s="5">
        <f>IF(A291="","",N(INDEX(Projects[Act Site Sup],290)))</f>
        <v/>
      </c>
      <c r="BQ291" s="5">
        <f>IF(A291="","",N(INDEX(Projects[Act Controls Commissioning],290)))</f>
        <v/>
      </c>
      <c r="BR291" s="5">
        <f>IF(A291="","",N(INDEX(Projects[Act Systems Commissioning],290)))</f>
        <v/>
      </c>
      <c r="BS291" s="5">
        <f>IF(A291="","",N(INDEX(Projects[Act Service Commissioning],290)))</f>
        <v/>
      </c>
      <c r="BT291" s="5">
        <f>IF(A291="","",N(INDEX(Projects[Act Controls Eng],290)))</f>
        <v/>
      </c>
      <c r="BU291" s="5">
        <f>IF(A291="","",N(INDEX(Projects[Act Controls Purchase],290)))</f>
        <v/>
      </c>
      <c r="BV291" s="5">
        <f>IF(A291="","",N(INDEX(Projects[Act Software Eng],290)))</f>
        <v/>
      </c>
      <c r="BW291" s="5">
        <f>IF(A291="","",N(INDEX(Projects[Act 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INDEX(Projects[Sold Value (USD M)],290)</f>
        <v/>
      </c>
      <c r="CE291" s="5" t="n"/>
      <c r="CF291" s="5">
        <f>IF(A291="","",N(INDEX(Projects[Est Mech Inst],290)))</f>
        <v/>
      </c>
      <c r="CG291" s="5">
        <f>IF(A291="","",N(INDEX(Projects[Est Elec Inst],290)))</f>
        <v/>
      </c>
      <c r="CH291" s="5">
        <f>IF(A291="","",N(INDEX(Projects[Est Project Management],290)))</f>
        <v/>
      </c>
      <c r="CI291" s="5">
        <f>IF(A291="","",N(INDEX(Projects[Est Systems Eng],290)))</f>
        <v/>
      </c>
      <c r="CJ291" s="5">
        <f>IF(A291="","",N(INDEX(Projects[Est Mechanical Eng],290)))</f>
        <v/>
      </c>
      <c r="CK291" s="5">
        <f>IF(A291="","",N(INDEX(Projects[Est Structural Engineering],290)))</f>
        <v/>
      </c>
      <c r="CL291" s="5">
        <f>IF(A291="","",N(INDEX(Projects[Est Site Sup],290)))</f>
        <v/>
      </c>
      <c r="CM291" s="5">
        <f>IF(A291="","",N(INDEX(Projects[Est Controls Commissioning],290)))</f>
        <v/>
      </c>
      <c r="CN291" s="5">
        <f>IF(A291="","",N(INDEX(Projects[Est Systems Commissioning],290)))</f>
        <v/>
      </c>
      <c r="CO291" s="5">
        <f>IF(A291="","",N(INDEX(Projects[Est Service Commissioning],290)))</f>
        <v/>
      </c>
      <c r="CP291" s="5">
        <f>IF(A291="","",N(INDEX(Projects[Est Controls Eng],290)))</f>
        <v/>
      </c>
      <c r="CQ291" s="5">
        <f>IF(A291="","",N(INDEX(Projects[Est Controls Purchase],290)))</f>
        <v/>
      </c>
      <c r="CR291" s="5">
        <f>IF(A291="","",N(INDEX(Projects[Est Software Eng],290)))</f>
        <v/>
      </c>
      <c r="CS291" s="5">
        <f>IF(A291="","",N(INDEX(Projects[Est Misc],290)))</f>
        <v/>
      </c>
      <c r="CT291" s="5">
        <f>IF(A291="","",SUM(CF291:CS291))</f>
        <v/>
      </c>
      <c r="CU291" s="5">
        <f>INDEX(Projects[Est Cost (M)],290)</f>
        <v/>
      </c>
      <c r="CV291" s="5">
        <f>INDEX(Projects[Act Cost (M)],290)</f>
        <v/>
      </c>
      <c r="CW291" s="5">
        <f>INDEX(Projects[Plan Mech Eng (wks)],290)</f>
        <v/>
      </c>
      <c r="CX291" s="5">
        <f>INDEX(Projects[Plan Controls Eng (wks)],290)</f>
        <v/>
      </c>
      <c r="CY291" s="5">
        <f>INDEX(Projects[Plan Systems Eng (wks)],290)</f>
        <v/>
      </c>
      <c r="CZ291" s="5">
        <f>INDEX(Projects[Plan Software Eng (wks)],290)</f>
        <v/>
      </c>
      <c r="DA291" s="5">
        <f>INDEX(Projects[Plan M&amp;E Installation (wks)],290)</f>
        <v/>
      </c>
      <c r="DB291" s="5">
        <f>INDEX(Projects[Plan Commissioning (wks)],290)</f>
        <v/>
      </c>
      <c r="DC291" s="5">
        <f>INDEX(Projects[Plan Total (wks)],290)</f>
        <v/>
      </c>
      <c r="DD291" s="5">
        <f>INDEX(Projects[Act Mech Eng (wks)],290)</f>
        <v/>
      </c>
      <c r="DE291" s="5">
        <f>INDEX(Projects[Act Controls Eng (wks)],290)</f>
        <v/>
      </c>
      <c r="DF291" s="5">
        <f>INDEX(Projects[Act Systems Eng (wks)],290)</f>
        <v/>
      </c>
      <c r="DG291" s="5">
        <f>INDEX(Projects[Act Software Eng (wks)],290)</f>
        <v/>
      </c>
      <c r="DH291" s="5">
        <f>INDEX(Projects[Act M&amp;E Installation (wks)],290)</f>
        <v/>
      </c>
      <c r="DI291" s="5">
        <f>INDEX(Projects[Act Commissioning (wks)],290)</f>
        <v/>
      </c>
      <c r="DJ291" s="5">
        <f>INDEX(Projects[Act Total (wks)],290)</f>
        <v/>
      </c>
    </row>
    <row r="292" ht="15" customHeight="1" s="82">
      <c r="A292" s="64">
        <f>INDEX(Projects[Project ID *],291)&amp;""</f>
        <v/>
      </c>
      <c r="B292" s="64">
        <f>INDEX(Projects[Project Name *],291)&amp;""</f>
        <v/>
      </c>
      <c r="C292" s="64">
        <f>INDEX(Projects[MS Shuttles],291)</f>
        <v/>
      </c>
      <c r="D292" s="64">
        <f>INDEX(Projects[MS Tote Locations],291)</f>
        <v/>
      </c>
      <c r="E292" s="64">
        <f>INDEX(Projects[AS Robots],291)</f>
        <v/>
      </c>
      <c r="F292" s="64">
        <f>INDEX(Projects[AS Tote Locations],291)</f>
        <v/>
      </c>
      <c r="G292" s="64">
        <f>INDEX(Projects[PS Shuttles],291)</f>
        <v/>
      </c>
      <c r="H292" s="64">
        <f>INDEX(Projects[PS Pallet Locations],291)</f>
        <v/>
      </c>
      <c r="I292" s="64">
        <f>INDEX(Projects[SRM Cranes],291)</f>
        <v/>
      </c>
      <c r="J292" s="64">
        <f>INDEX(Projects[SRM Pallet Locations],291)</f>
        <v/>
      </c>
      <c r="K292" s="64">
        <f>INDEX(Projects[Case Conv (m)],291)</f>
        <v/>
      </c>
      <c r="L292" s="64">
        <f>INDEX(Projects[Pallet Conv (m)],291)</f>
        <v/>
      </c>
      <c r="M292" s="64">
        <f>IF(N(DJ292)&gt;0,DD292,CW292)</f>
        <v/>
      </c>
      <c r="N292" s="64">
        <f>IF(N(DJ292)&gt;0,DE292,CX292)</f>
        <v/>
      </c>
      <c r="O292" s="64">
        <f>IF(N(DJ292)&gt;0,DF292,CY292)</f>
        <v/>
      </c>
      <c r="P292" s="64">
        <f>IF(N(DJ292)&gt;0,DG292,CZ292)</f>
        <v/>
      </c>
      <c r="Q292" s="64">
        <f>IF(N(DJ292)&gt;0,DH292,DA292)</f>
        <v/>
      </c>
      <c r="R292" s="64">
        <f>IF(N(DJ292)&gt;0,DI292,DB292)</f>
        <v/>
      </c>
      <c r="S292" s="64">
        <f>IF(N(DJ292)&gt;0,DJ292,DC292)</f>
        <v/>
      </c>
      <c r="T292" s="64">
        <f>INDEX(Projects[Currency],291)&amp;""</f>
        <v/>
      </c>
      <c r="U292" s="65">
        <f>INDEX(Projects[Sold Value (M)],291)</f>
        <v/>
      </c>
      <c r="V292" s="64">
        <f>IF('Smart Search'!B13=1,IFERROR(1/'Smart Search'!H13,0),0)</f>
        <v/>
      </c>
      <c r="W292" s="64">
        <f>IF('Smart Search'!B13=1,IFERROR(1/'Smart Search'!H13,0),0)</f>
        <v/>
      </c>
      <c r="X292" s="64">
        <f>IF('Smart Search'!C13=1,IFERROR(1/'Smart Search'!H13,0),0)</f>
        <v/>
      </c>
      <c r="Y292" s="64">
        <f>IF('Smart Search'!C13=1,IFERROR(1/'Smart Search'!H13,0),0)</f>
        <v/>
      </c>
      <c r="Z292" s="64">
        <f>IF('Smart Search'!D13=1,IFERROR(1/'Smart Search'!H13,0),0)</f>
        <v/>
      </c>
      <c r="AA292" s="64">
        <f>IF('Smart Search'!D13=1,IFERROR(1/'Smart Search'!H13,0),0)</f>
        <v/>
      </c>
      <c r="AB292" s="64">
        <f>IF('Smart Search'!E13=1,IFERROR(1/'Smart Search'!H13,0),0)</f>
        <v/>
      </c>
      <c r="AC292" s="64">
        <f>IF('Smart Search'!E13=1,IFERROR(1/'Smart Search'!H13,0),0)</f>
        <v/>
      </c>
      <c r="AD292" s="64">
        <f>IF('Smart Search'!F13=1,IFERROR(1/'Smart Search'!H13,0),0)</f>
        <v/>
      </c>
      <c r="AE292" s="64">
        <f>IF('Smart Search'!F13=1,IFERROR(1/'Smart Search'!H13,0),0)</f>
        <v/>
      </c>
      <c r="AF292" s="64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4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4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4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4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4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4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4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4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4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4">
        <f>AF292*V292</f>
        <v/>
      </c>
      <c r="AQ292" s="64">
        <f>AG292*W292</f>
        <v/>
      </c>
      <c r="AR292" s="64">
        <f>AH292*X292</f>
        <v/>
      </c>
      <c r="AS292" s="64">
        <f>AI292*Y292</f>
        <v/>
      </c>
      <c r="AT292" s="64">
        <f>AJ292*Z292</f>
        <v/>
      </c>
      <c r="AU292" s="64">
        <f>AK292*AA292</f>
        <v/>
      </c>
      <c r="AV292" s="64">
        <f>AL292*AB292</f>
        <v/>
      </c>
      <c r="AW292" s="64">
        <f>AM292*AC292</f>
        <v/>
      </c>
      <c r="AX292" s="64">
        <f>AN292*AD292</f>
        <v/>
      </c>
      <c r="AY292" s="64">
        <f>AO292*AE292</f>
        <v/>
      </c>
      <c r="AZ292" s="64">
        <f>INDEX(Projects[Automation Equipment],291)&amp;""</f>
        <v/>
      </c>
      <c r="BA292" s="64">
        <f>IF(OR(A292="",'Smart Search'!H13=0),"",MAX(0,BE292*BF292*MAX(0,1-BG292)))</f>
        <v/>
      </c>
      <c r="BB292" s="64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4">
        <f>IF('Smart Search'!G13=1,IFERROR(1/'Smart Search'!H13,0),0)</f>
        <v/>
      </c>
      <c r="BD292" s="64">
        <f>BB292*BC292</f>
        <v/>
      </c>
      <c r="BE292" s="64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IF(A292="","",N(INDEX(Projects[Act Mech Inst],291)))</f>
        <v/>
      </c>
      <c r="BK292" s="5">
        <f>IF(A292="","",N(INDEX(Projects[Act Elec Inst],291)))</f>
        <v/>
      </c>
      <c r="BL292" s="5">
        <f>IF(A292="","",N(INDEX(Projects[Act Project Management],291)))</f>
        <v/>
      </c>
      <c r="BM292" s="5">
        <f>IF(A292="","",N(INDEX(Projects[Act Systems Eng],291)))</f>
        <v/>
      </c>
      <c r="BN292" s="5">
        <f>IF(A292="","",N(INDEX(Projects[Act Mechanical Eng],291)))</f>
        <v/>
      </c>
      <c r="BO292" s="5">
        <f>IF(A292="","",N(INDEX(Projects[Act Structural Engineering],291)))</f>
        <v/>
      </c>
      <c r="BP292" s="5">
        <f>IF(A292="","",N(INDEX(Projects[Act Site Sup],291)))</f>
        <v/>
      </c>
      <c r="BQ292" s="5">
        <f>IF(A292="","",N(INDEX(Projects[Act Controls Commissioning],291)))</f>
        <v/>
      </c>
      <c r="BR292" s="5">
        <f>IF(A292="","",N(INDEX(Projects[Act Systems Commissioning],291)))</f>
        <v/>
      </c>
      <c r="BS292" s="5">
        <f>IF(A292="","",N(INDEX(Projects[Act Service Commissioning],291)))</f>
        <v/>
      </c>
      <c r="BT292" s="5">
        <f>IF(A292="","",N(INDEX(Projects[Act Controls Eng],291)))</f>
        <v/>
      </c>
      <c r="BU292" s="5">
        <f>IF(A292="","",N(INDEX(Projects[Act Controls Purchase],291)))</f>
        <v/>
      </c>
      <c r="BV292" s="5">
        <f>IF(A292="","",N(INDEX(Projects[Act Software Eng],291)))</f>
        <v/>
      </c>
      <c r="BW292" s="5">
        <f>IF(A292="","",N(INDEX(Projects[Act 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INDEX(Projects[Sold Value (USD M)],291)</f>
        <v/>
      </c>
      <c r="CE292" s="5" t="n"/>
      <c r="CF292" s="5">
        <f>IF(A292="","",N(INDEX(Projects[Est Mech Inst],291)))</f>
        <v/>
      </c>
      <c r="CG292" s="5">
        <f>IF(A292="","",N(INDEX(Projects[Est Elec Inst],291)))</f>
        <v/>
      </c>
      <c r="CH292" s="5">
        <f>IF(A292="","",N(INDEX(Projects[Est Project Management],291)))</f>
        <v/>
      </c>
      <c r="CI292" s="5">
        <f>IF(A292="","",N(INDEX(Projects[Est Systems Eng],291)))</f>
        <v/>
      </c>
      <c r="CJ292" s="5">
        <f>IF(A292="","",N(INDEX(Projects[Est Mechanical Eng],291)))</f>
        <v/>
      </c>
      <c r="CK292" s="5">
        <f>IF(A292="","",N(INDEX(Projects[Est Structural Engineering],291)))</f>
        <v/>
      </c>
      <c r="CL292" s="5">
        <f>IF(A292="","",N(INDEX(Projects[Est Site Sup],291)))</f>
        <v/>
      </c>
      <c r="CM292" s="5">
        <f>IF(A292="","",N(INDEX(Projects[Est Controls Commissioning],291)))</f>
        <v/>
      </c>
      <c r="CN292" s="5">
        <f>IF(A292="","",N(INDEX(Projects[Est Systems Commissioning],291)))</f>
        <v/>
      </c>
      <c r="CO292" s="5">
        <f>IF(A292="","",N(INDEX(Projects[Est Service Commissioning],291)))</f>
        <v/>
      </c>
      <c r="CP292" s="5">
        <f>IF(A292="","",N(INDEX(Projects[Est Controls Eng],291)))</f>
        <v/>
      </c>
      <c r="CQ292" s="5">
        <f>IF(A292="","",N(INDEX(Projects[Est Controls Purchase],291)))</f>
        <v/>
      </c>
      <c r="CR292" s="5">
        <f>IF(A292="","",N(INDEX(Projects[Est Software Eng],291)))</f>
        <v/>
      </c>
      <c r="CS292" s="5">
        <f>IF(A292="","",N(INDEX(Projects[Est Misc],291)))</f>
        <v/>
      </c>
      <c r="CT292" s="5">
        <f>IF(A292="","",SUM(CF292:CS292))</f>
        <v/>
      </c>
      <c r="CU292" s="5">
        <f>INDEX(Projects[Est Cost (M)],291)</f>
        <v/>
      </c>
      <c r="CV292" s="5">
        <f>INDEX(Projects[Act Cost (M)],291)</f>
        <v/>
      </c>
      <c r="CW292" s="5">
        <f>INDEX(Projects[Plan Mech Eng (wks)],291)</f>
        <v/>
      </c>
      <c r="CX292" s="5">
        <f>INDEX(Projects[Plan Controls Eng (wks)],291)</f>
        <v/>
      </c>
      <c r="CY292" s="5">
        <f>INDEX(Projects[Plan Systems Eng (wks)],291)</f>
        <v/>
      </c>
      <c r="CZ292" s="5">
        <f>INDEX(Projects[Plan Software Eng (wks)],291)</f>
        <v/>
      </c>
      <c r="DA292" s="5">
        <f>INDEX(Projects[Plan M&amp;E Installation (wks)],291)</f>
        <v/>
      </c>
      <c r="DB292" s="5">
        <f>INDEX(Projects[Plan Commissioning (wks)],291)</f>
        <v/>
      </c>
      <c r="DC292" s="5">
        <f>INDEX(Projects[Plan Total (wks)],291)</f>
        <v/>
      </c>
      <c r="DD292" s="5">
        <f>INDEX(Projects[Act Mech Eng (wks)],291)</f>
        <v/>
      </c>
      <c r="DE292" s="5">
        <f>INDEX(Projects[Act Controls Eng (wks)],291)</f>
        <v/>
      </c>
      <c r="DF292" s="5">
        <f>INDEX(Projects[Act Systems Eng (wks)],291)</f>
        <v/>
      </c>
      <c r="DG292" s="5">
        <f>INDEX(Projects[Act Software Eng (wks)],291)</f>
        <v/>
      </c>
      <c r="DH292" s="5">
        <f>INDEX(Projects[Act M&amp;E Installation (wks)],291)</f>
        <v/>
      </c>
      <c r="DI292" s="5">
        <f>INDEX(Projects[Act Commissioning (wks)],291)</f>
        <v/>
      </c>
      <c r="DJ292" s="5">
        <f>INDEX(Projects[Act Total (wks)],291)</f>
        <v/>
      </c>
    </row>
    <row r="293" ht="15" customHeight="1" s="82">
      <c r="A293" s="64">
        <f>INDEX(Projects[Project ID *],292)&amp;""</f>
        <v/>
      </c>
      <c r="B293" s="64">
        <f>INDEX(Projects[Project Name *],292)&amp;""</f>
        <v/>
      </c>
      <c r="C293" s="64">
        <f>INDEX(Projects[MS Shuttles],292)</f>
        <v/>
      </c>
      <c r="D293" s="64">
        <f>INDEX(Projects[MS Tote Locations],292)</f>
        <v/>
      </c>
      <c r="E293" s="64">
        <f>INDEX(Projects[AS Robots],292)</f>
        <v/>
      </c>
      <c r="F293" s="64">
        <f>INDEX(Projects[AS Tote Locations],292)</f>
        <v/>
      </c>
      <c r="G293" s="64">
        <f>INDEX(Projects[PS Shuttles],292)</f>
        <v/>
      </c>
      <c r="H293" s="64">
        <f>INDEX(Projects[PS Pallet Locations],292)</f>
        <v/>
      </c>
      <c r="I293" s="64">
        <f>INDEX(Projects[SRM Cranes],292)</f>
        <v/>
      </c>
      <c r="J293" s="64">
        <f>INDEX(Projects[SRM Pallet Locations],292)</f>
        <v/>
      </c>
      <c r="K293" s="64">
        <f>INDEX(Projects[Case Conv (m)],292)</f>
        <v/>
      </c>
      <c r="L293" s="64">
        <f>INDEX(Projects[Pallet Conv (m)],292)</f>
        <v/>
      </c>
      <c r="M293" s="64">
        <f>IF(N(DJ293)&gt;0,DD293,CW293)</f>
        <v/>
      </c>
      <c r="N293" s="64">
        <f>IF(N(DJ293)&gt;0,DE293,CX293)</f>
        <v/>
      </c>
      <c r="O293" s="64">
        <f>IF(N(DJ293)&gt;0,DF293,CY293)</f>
        <v/>
      </c>
      <c r="P293" s="64">
        <f>IF(N(DJ293)&gt;0,DG293,CZ293)</f>
        <v/>
      </c>
      <c r="Q293" s="64">
        <f>IF(N(DJ293)&gt;0,DH293,DA293)</f>
        <v/>
      </c>
      <c r="R293" s="64">
        <f>IF(N(DJ293)&gt;0,DI293,DB293)</f>
        <v/>
      </c>
      <c r="S293" s="64">
        <f>IF(N(DJ293)&gt;0,DJ293,DC293)</f>
        <v/>
      </c>
      <c r="T293" s="64">
        <f>INDEX(Projects[Currency],292)&amp;""</f>
        <v/>
      </c>
      <c r="U293" s="65">
        <f>INDEX(Projects[Sold Value (M)],292)</f>
        <v/>
      </c>
      <c r="V293" s="64">
        <f>IF('Smart Search'!B13=1,IFERROR(1/'Smart Search'!H13,0),0)</f>
        <v/>
      </c>
      <c r="W293" s="64">
        <f>IF('Smart Search'!B13=1,IFERROR(1/'Smart Search'!H13,0),0)</f>
        <v/>
      </c>
      <c r="X293" s="64">
        <f>IF('Smart Search'!C13=1,IFERROR(1/'Smart Search'!H13,0),0)</f>
        <v/>
      </c>
      <c r="Y293" s="64">
        <f>IF('Smart Search'!C13=1,IFERROR(1/'Smart Search'!H13,0),0)</f>
        <v/>
      </c>
      <c r="Z293" s="64">
        <f>IF('Smart Search'!D13=1,IFERROR(1/'Smart Search'!H13,0),0)</f>
        <v/>
      </c>
      <c r="AA293" s="64">
        <f>IF('Smart Search'!D13=1,IFERROR(1/'Smart Search'!H13,0),0)</f>
        <v/>
      </c>
      <c r="AB293" s="64">
        <f>IF('Smart Search'!E13=1,IFERROR(1/'Smart Search'!H13,0),0)</f>
        <v/>
      </c>
      <c r="AC293" s="64">
        <f>IF('Smart Search'!E13=1,IFERROR(1/'Smart Search'!H13,0),0)</f>
        <v/>
      </c>
      <c r="AD293" s="64">
        <f>IF('Smart Search'!F13=1,IFERROR(1/'Smart Search'!H13,0),0)</f>
        <v/>
      </c>
      <c r="AE293" s="64">
        <f>IF('Smart Search'!F13=1,IFERROR(1/'Smart Search'!H13,0),0)</f>
        <v/>
      </c>
      <c r="AF293" s="64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4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4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4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4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4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4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4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4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4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4">
        <f>AF293*V293</f>
        <v/>
      </c>
      <c r="AQ293" s="64">
        <f>AG293*W293</f>
        <v/>
      </c>
      <c r="AR293" s="64">
        <f>AH293*X293</f>
        <v/>
      </c>
      <c r="AS293" s="64">
        <f>AI293*Y293</f>
        <v/>
      </c>
      <c r="AT293" s="64">
        <f>AJ293*Z293</f>
        <v/>
      </c>
      <c r="AU293" s="64">
        <f>AK293*AA293</f>
        <v/>
      </c>
      <c r="AV293" s="64">
        <f>AL293*AB293</f>
        <v/>
      </c>
      <c r="AW293" s="64">
        <f>AM293*AC293</f>
        <v/>
      </c>
      <c r="AX293" s="64">
        <f>AN293*AD293</f>
        <v/>
      </c>
      <c r="AY293" s="64">
        <f>AO293*AE293</f>
        <v/>
      </c>
      <c r="AZ293" s="64">
        <f>INDEX(Projects[Automation Equipment],292)&amp;""</f>
        <v/>
      </c>
      <c r="BA293" s="64">
        <f>IF(OR(A293="",'Smart Search'!H13=0),"",MAX(0,BE293*BF293*MAX(0,1-BG293)))</f>
        <v/>
      </c>
      <c r="BB293" s="64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4">
        <f>IF('Smart Search'!G13=1,IFERROR(1/'Smart Search'!H13,0),0)</f>
        <v/>
      </c>
      <c r="BD293" s="64">
        <f>BB293*BC293</f>
        <v/>
      </c>
      <c r="BE293" s="64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IF(A293="","",N(INDEX(Projects[Act Mech Inst],292)))</f>
        <v/>
      </c>
      <c r="BK293" s="5">
        <f>IF(A293="","",N(INDEX(Projects[Act Elec Inst],292)))</f>
        <v/>
      </c>
      <c r="BL293" s="5">
        <f>IF(A293="","",N(INDEX(Projects[Act Project Management],292)))</f>
        <v/>
      </c>
      <c r="BM293" s="5">
        <f>IF(A293="","",N(INDEX(Projects[Act Systems Eng],292)))</f>
        <v/>
      </c>
      <c r="BN293" s="5">
        <f>IF(A293="","",N(INDEX(Projects[Act Mechanical Eng],292)))</f>
        <v/>
      </c>
      <c r="BO293" s="5">
        <f>IF(A293="","",N(INDEX(Projects[Act Structural Engineering],292)))</f>
        <v/>
      </c>
      <c r="BP293" s="5">
        <f>IF(A293="","",N(INDEX(Projects[Act Site Sup],292)))</f>
        <v/>
      </c>
      <c r="BQ293" s="5">
        <f>IF(A293="","",N(INDEX(Projects[Act Controls Commissioning],292)))</f>
        <v/>
      </c>
      <c r="BR293" s="5">
        <f>IF(A293="","",N(INDEX(Projects[Act Systems Commissioning],292)))</f>
        <v/>
      </c>
      <c r="BS293" s="5">
        <f>IF(A293="","",N(INDEX(Projects[Act Service Commissioning],292)))</f>
        <v/>
      </c>
      <c r="BT293" s="5">
        <f>IF(A293="","",N(INDEX(Projects[Act Controls Eng],292)))</f>
        <v/>
      </c>
      <c r="BU293" s="5">
        <f>IF(A293="","",N(INDEX(Projects[Act Controls Purchase],292)))</f>
        <v/>
      </c>
      <c r="BV293" s="5">
        <f>IF(A293="","",N(INDEX(Projects[Act Software Eng],292)))</f>
        <v/>
      </c>
      <c r="BW293" s="5">
        <f>IF(A293="","",N(INDEX(Projects[Act 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INDEX(Projects[Sold Value (USD M)],292)</f>
        <v/>
      </c>
      <c r="CE293" s="5" t="n"/>
      <c r="CF293" s="5">
        <f>IF(A293="","",N(INDEX(Projects[Est Mech Inst],292)))</f>
        <v/>
      </c>
      <c r="CG293" s="5">
        <f>IF(A293="","",N(INDEX(Projects[Est Elec Inst],292)))</f>
        <v/>
      </c>
      <c r="CH293" s="5">
        <f>IF(A293="","",N(INDEX(Projects[Est Project Management],292)))</f>
        <v/>
      </c>
      <c r="CI293" s="5">
        <f>IF(A293="","",N(INDEX(Projects[Est Systems Eng],292)))</f>
        <v/>
      </c>
      <c r="CJ293" s="5">
        <f>IF(A293="","",N(INDEX(Projects[Est Mechanical Eng],292)))</f>
        <v/>
      </c>
      <c r="CK293" s="5">
        <f>IF(A293="","",N(INDEX(Projects[Est Structural Engineering],292)))</f>
        <v/>
      </c>
      <c r="CL293" s="5">
        <f>IF(A293="","",N(INDEX(Projects[Est Site Sup],292)))</f>
        <v/>
      </c>
      <c r="CM293" s="5">
        <f>IF(A293="","",N(INDEX(Projects[Est Controls Commissioning],292)))</f>
        <v/>
      </c>
      <c r="CN293" s="5">
        <f>IF(A293="","",N(INDEX(Projects[Est Systems Commissioning],292)))</f>
        <v/>
      </c>
      <c r="CO293" s="5">
        <f>IF(A293="","",N(INDEX(Projects[Est Service Commissioning],292)))</f>
        <v/>
      </c>
      <c r="CP293" s="5">
        <f>IF(A293="","",N(INDEX(Projects[Est Controls Eng],292)))</f>
        <v/>
      </c>
      <c r="CQ293" s="5">
        <f>IF(A293="","",N(INDEX(Projects[Est Controls Purchase],292)))</f>
        <v/>
      </c>
      <c r="CR293" s="5">
        <f>IF(A293="","",N(INDEX(Projects[Est Software Eng],292)))</f>
        <v/>
      </c>
      <c r="CS293" s="5">
        <f>IF(A293="","",N(INDEX(Projects[Est Misc],292)))</f>
        <v/>
      </c>
      <c r="CT293" s="5">
        <f>IF(A293="","",SUM(CF293:CS293))</f>
        <v/>
      </c>
      <c r="CU293" s="5">
        <f>INDEX(Projects[Est Cost (M)],292)</f>
        <v/>
      </c>
      <c r="CV293" s="5">
        <f>INDEX(Projects[Act Cost (M)],292)</f>
        <v/>
      </c>
      <c r="CW293" s="5">
        <f>INDEX(Projects[Plan Mech Eng (wks)],292)</f>
        <v/>
      </c>
      <c r="CX293" s="5">
        <f>INDEX(Projects[Plan Controls Eng (wks)],292)</f>
        <v/>
      </c>
      <c r="CY293" s="5">
        <f>INDEX(Projects[Plan Systems Eng (wks)],292)</f>
        <v/>
      </c>
      <c r="CZ293" s="5">
        <f>INDEX(Projects[Plan Software Eng (wks)],292)</f>
        <v/>
      </c>
      <c r="DA293" s="5">
        <f>INDEX(Projects[Plan M&amp;E Installation (wks)],292)</f>
        <v/>
      </c>
      <c r="DB293" s="5">
        <f>INDEX(Projects[Plan Commissioning (wks)],292)</f>
        <v/>
      </c>
      <c r="DC293" s="5">
        <f>INDEX(Projects[Plan Total (wks)],292)</f>
        <v/>
      </c>
      <c r="DD293" s="5">
        <f>INDEX(Projects[Act Mech Eng (wks)],292)</f>
        <v/>
      </c>
      <c r="DE293" s="5">
        <f>INDEX(Projects[Act Controls Eng (wks)],292)</f>
        <v/>
      </c>
      <c r="DF293" s="5">
        <f>INDEX(Projects[Act Systems Eng (wks)],292)</f>
        <v/>
      </c>
      <c r="DG293" s="5">
        <f>INDEX(Projects[Act Software Eng (wks)],292)</f>
        <v/>
      </c>
      <c r="DH293" s="5">
        <f>INDEX(Projects[Act M&amp;E Installation (wks)],292)</f>
        <v/>
      </c>
      <c r="DI293" s="5">
        <f>INDEX(Projects[Act Commissioning (wks)],292)</f>
        <v/>
      </c>
      <c r="DJ293" s="5">
        <f>INDEX(Projects[Act Total (wks)],292)</f>
        <v/>
      </c>
    </row>
    <row r="294" ht="15" customHeight="1" s="82">
      <c r="A294" s="64">
        <f>INDEX(Projects[Project ID *],293)&amp;""</f>
        <v/>
      </c>
      <c r="B294" s="64">
        <f>INDEX(Projects[Project Name *],293)&amp;""</f>
        <v/>
      </c>
      <c r="C294" s="64">
        <f>INDEX(Projects[MS Shuttles],293)</f>
        <v/>
      </c>
      <c r="D294" s="64">
        <f>INDEX(Projects[MS Tote Locations],293)</f>
        <v/>
      </c>
      <c r="E294" s="64">
        <f>INDEX(Projects[AS Robots],293)</f>
        <v/>
      </c>
      <c r="F294" s="64">
        <f>INDEX(Projects[AS Tote Locations],293)</f>
        <v/>
      </c>
      <c r="G294" s="64">
        <f>INDEX(Projects[PS Shuttles],293)</f>
        <v/>
      </c>
      <c r="H294" s="64">
        <f>INDEX(Projects[PS Pallet Locations],293)</f>
        <v/>
      </c>
      <c r="I294" s="64">
        <f>INDEX(Projects[SRM Cranes],293)</f>
        <v/>
      </c>
      <c r="J294" s="64">
        <f>INDEX(Projects[SRM Pallet Locations],293)</f>
        <v/>
      </c>
      <c r="K294" s="64">
        <f>INDEX(Projects[Case Conv (m)],293)</f>
        <v/>
      </c>
      <c r="L294" s="64">
        <f>INDEX(Projects[Pallet Conv (m)],293)</f>
        <v/>
      </c>
      <c r="M294" s="64">
        <f>IF(N(DJ294)&gt;0,DD294,CW294)</f>
        <v/>
      </c>
      <c r="N294" s="64">
        <f>IF(N(DJ294)&gt;0,DE294,CX294)</f>
        <v/>
      </c>
      <c r="O294" s="64">
        <f>IF(N(DJ294)&gt;0,DF294,CY294)</f>
        <v/>
      </c>
      <c r="P294" s="64">
        <f>IF(N(DJ294)&gt;0,DG294,CZ294)</f>
        <v/>
      </c>
      <c r="Q294" s="64">
        <f>IF(N(DJ294)&gt;0,DH294,DA294)</f>
        <v/>
      </c>
      <c r="R294" s="64">
        <f>IF(N(DJ294)&gt;0,DI294,DB294)</f>
        <v/>
      </c>
      <c r="S294" s="64">
        <f>IF(N(DJ294)&gt;0,DJ294,DC294)</f>
        <v/>
      </c>
      <c r="T294" s="64">
        <f>INDEX(Projects[Currency],293)&amp;""</f>
        <v/>
      </c>
      <c r="U294" s="65">
        <f>INDEX(Projects[Sold Value (M)],293)</f>
        <v/>
      </c>
      <c r="V294" s="64">
        <f>IF('Smart Search'!B13=1,IFERROR(1/'Smart Search'!H13,0),0)</f>
        <v/>
      </c>
      <c r="W294" s="64">
        <f>IF('Smart Search'!B13=1,IFERROR(1/'Smart Search'!H13,0),0)</f>
        <v/>
      </c>
      <c r="X294" s="64">
        <f>IF('Smart Search'!C13=1,IFERROR(1/'Smart Search'!H13,0),0)</f>
        <v/>
      </c>
      <c r="Y294" s="64">
        <f>IF('Smart Search'!C13=1,IFERROR(1/'Smart Search'!H13,0),0)</f>
        <v/>
      </c>
      <c r="Z294" s="64">
        <f>IF('Smart Search'!D13=1,IFERROR(1/'Smart Search'!H13,0),0)</f>
        <v/>
      </c>
      <c r="AA294" s="64">
        <f>IF('Smart Search'!D13=1,IFERROR(1/'Smart Search'!H13,0),0)</f>
        <v/>
      </c>
      <c r="AB294" s="64">
        <f>IF('Smart Search'!E13=1,IFERROR(1/'Smart Search'!H13,0),0)</f>
        <v/>
      </c>
      <c r="AC294" s="64">
        <f>IF('Smart Search'!E13=1,IFERROR(1/'Smart Search'!H13,0),0)</f>
        <v/>
      </c>
      <c r="AD294" s="64">
        <f>IF('Smart Search'!F13=1,IFERROR(1/'Smart Search'!H13,0),0)</f>
        <v/>
      </c>
      <c r="AE294" s="64">
        <f>IF('Smart Search'!F13=1,IFERROR(1/'Smart Search'!H13,0),0)</f>
        <v/>
      </c>
      <c r="AF294" s="64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4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4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4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4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4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4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4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4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4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4">
        <f>AF294*V294</f>
        <v/>
      </c>
      <c r="AQ294" s="64">
        <f>AG294*W294</f>
        <v/>
      </c>
      <c r="AR294" s="64">
        <f>AH294*X294</f>
        <v/>
      </c>
      <c r="AS294" s="64">
        <f>AI294*Y294</f>
        <v/>
      </c>
      <c r="AT294" s="64">
        <f>AJ294*Z294</f>
        <v/>
      </c>
      <c r="AU294" s="64">
        <f>AK294*AA294</f>
        <v/>
      </c>
      <c r="AV294" s="64">
        <f>AL294*AB294</f>
        <v/>
      </c>
      <c r="AW294" s="64">
        <f>AM294*AC294</f>
        <v/>
      </c>
      <c r="AX294" s="64">
        <f>AN294*AD294</f>
        <v/>
      </c>
      <c r="AY294" s="64">
        <f>AO294*AE294</f>
        <v/>
      </c>
      <c r="AZ294" s="64">
        <f>INDEX(Projects[Automation Equipment],293)&amp;""</f>
        <v/>
      </c>
      <c r="BA294" s="64">
        <f>IF(OR(A294="",'Smart Search'!H13=0),"",MAX(0,BE294*BF294*MAX(0,1-BG294)))</f>
        <v/>
      </c>
      <c r="BB294" s="64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4">
        <f>IF('Smart Search'!G13=1,IFERROR(1/'Smart Search'!H13,0),0)</f>
        <v/>
      </c>
      <c r="BD294" s="64">
        <f>BB294*BC294</f>
        <v/>
      </c>
      <c r="BE294" s="64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IF(A294="","",N(INDEX(Projects[Act Mech Inst],293)))</f>
        <v/>
      </c>
      <c r="BK294" s="5">
        <f>IF(A294="","",N(INDEX(Projects[Act Elec Inst],293)))</f>
        <v/>
      </c>
      <c r="BL294" s="5">
        <f>IF(A294="","",N(INDEX(Projects[Act Project Management],293)))</f>
        <v/>
      </c>
      <c r="BM294" s="5">
        <f>IF(A294="","",N(INDEX(Projects[Act Systems Eng],293)))</f>
        <v/>
      </c>
      <c r="BN294" s="5">
        <f>IF(A294="","",N(INDEX(Projects[Act Mechanical Eng],293)))</f>
        <v/>
      </c>
      <c r="BO294" s="5">
        <f>IF(A294="","",N(INDEX(Projects[Act Structural Engineering],293)))</f>
        <v/>
      </c>
      <c r="BP294" s="5">
        <f>IF(A294="","",N(INDEX(Projects[Act Site Sup],293)))</f>
        <v/>
      </c>
      <c r="BQ294" s="5">
        <f>IF(A294="","",N(INDEX(Projects[Act Controls Commissioning],293)))</f>
        <v/>
      </c>
      <c r="BR294" s="5">
        <f>IF(A294="","",N(INDEX(Projects[Act Systems Commissioning],293)))</f>
        <v/>
      </c>
      <c r="BS294" s="5">
        <f>IF(A294="","",N(INDEX(Projects[Act Service Commissioning],293)))</f>
        <v/>
      </c>
      <c r="BT294" s="5">
        <f>IF(A294="","",N(INDEX(Projects[Act Controls Eng],293)))</f>
        <v/>
      </c>
      <c r="BU294" s="5">
        <f>IF(A294="","",N(INDEX(Projects[Act Controls Purchase],293)))</f>
        <v/>
      </c>
      <c r="BV294" s="5">
        <f>IF(A294="","",N(INDEX(Projects[Act Software Eng],293)))</f>
        <v/>
      </c>
      <c r="BW294" s="5">
        <f>IF(A294="","",N(INDEX(Projects[Act 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INDEX(Projects[Sold Value (USD M)],293)</f>
        <v/>
      </c>
      <c r="CE294" s="5" t="n"/>
      <c r="CF294" s="5">
        <f>IF(A294="","",N(INDEX(Projects[Est Mech Inst],293)))</f>
        <v/>
      </c>
      <c r="CG294" s="5">
        <f>IF(A294="","",N(INDEX(Projects[Est Elec Inst],293)))</f>
        <v/>
      </c>
      <c r="CH294" s="5">
        <f>IF(A294="","",N(INDEX(Projects[Est Project Management],293)))</f>
        <v/>
      </c>
      <c r="CI294" s="5">
        <f>IF(A294="","",N(INDEX(Projects[Est Systems Eng],293)))</f>
        <v/>
      </c>
      <c r="CJ294" s="5">
        <f>IF(A294="","",N(INDEX(Projects[Est Mechanical Eng],293)))</f>
        <v/>
      </c>
      <c r="CK294" s="5">
        <f>IF(A294="","",N(INDEX(Projects[Est Structural Engineering],293)))</f>
        <v/>
      </c>
      <c r="CL294" s="5">
        <f>IF(A294="","",N(INDEX(Projects[Est Site Sup],293)))</f>
        <v/>
      </c>
      <c r="CM294" s="5">
        <f>IF(A294="","",N(INDEX(Projects[Est Controls Commissioning],293)))</f>
        <v/>
      </c>
      <c r="CN294" s="5">
        <f>IF(A294="","",N(INDEX(Projects[Est Systems Commissioning],293)))</f>
        <v/>
      </c>
      <c r="CO294" s="5">
        <f>IF(A294="","",N(INDEX(Projects[Est Service Commissioning],293)))</f>
        <v/>
      </c>
      <c r="CP294" s="5">
        <f>IF(A294="","",N(INDEX(Projects[Est Controls Eng],293)))</f>
        <v/>
      </c>
      <c r="CQ294" s="5">
        <f>IF(A294="","",N(INDEX(Projects[Est Controls Purchase],293)))</f>
        <v/>
      </c>
      <c r="CR294" s="5">
        <f>IF(A294="","",N(INDEX(Projects[Est Software Eng],293)))</f>
        <v/>
      </c>
      <c r="CS294" s="5">
        <f>IF(A294="","",N(INDEX(Projects[Est Misc],293)))</f>
        <v/>
      </c>
      <c r="CT294" s="5">
        <f>IF(A294="","",SUM(CF294:CS294))</f>
        <v/>
      </c>
      <c r="CU294" s="5">
        <f>INDEX(Projects[Est Cost (M)],293)</f>
        <v/>
      </c>
      <c r="CV294" s="5">
        <f>INDEX(Projects[Act Cost (M)],293)</f>
        <v/>
      </c>
      <c r="CW294" s="5">
        <f>INDEX(Projects[Plan Mech Eng (wks)],293)</f>
        <v/>
      </c>
      <c r="CX294" s="5">
        <f>INDEX(Projects[Plan Controls Eng (wks)],293)</f>
        <v/>
      </c>
      <c r="CY294" s="5">
        <f>INDEX(Projects[Plan Systems Eng (wks)],293)</f>
        <v/>
      </c>
      <c r="CZ294" s="5">
        <f>INDEX(Projects[Plan Software Eng (wks)],293)</f>
        <v/>
      </c>
      <c r="DA294" s="5">
        <f>INDEX(Projects[Plan M&amp;E Installation (wks)],293)</f>
        <v/>
      </c>
      <c r="DB294" s="5">
        <f>INDEX(Projects[Plan Commissioning (wks)],293)</f>
        <v/>
      </c>
      <c r="DC294" s="5">
        <f>INDEX(Projects[Plan Total (wks)],293)</f>
        <v/>
      </c>
      <c r="DD294" s="5">
        <f>INDEX(Projects[Act Mech Eng (wks)],293)</f>
        <v/>
      </c>
      <c r="DE294" s="5">
        <f>INDEX(Projects[Act Controls Eng (wks)],293)</f>
        <v/>
      </c>
      <c r="DF294" s="5">
        <f>INDEX(Projects[Act Systems Eng (wks)],293)</f>
        <v/>
      </c>
      <c r="DG294" s="5">
        <f>INDEX(Projects[Act Software Eng (wks)],293)</f>
        <v/>
      </c>
      <c r="DH294" s="5">
        <f>INDEX(Projects[Act M&amp;E Installation (wks)],293)</f>
        <v/>
      </c>
      <c r="DI294" s="5">
        <f>INDEX(Projects[Act Commissioning (wks)],293)</f>
        <v/>
      </c>
      <c r="DJ294" s="5">
        <f>INDEX(Projects[Act Total (wks)],293)</f>
        <v/>
      </c>
    </row>
    <row r="295" ht="15" customHeight="1" s="82">
      <c r="A295" s="64">
        <f>INDEX(Projects[Project ID *],294)&amp;""</f>
        <v/>
      </c>
      <c r="B295" s="64">
        <f>INDEX(Projects[Project Name *],294)&amp;""</f>
        <v/>
      </c>
      <c r="C295" s="64">
        <f>INDEX(Projects[MS Shuttles],294)</f>
        <v/>
      </c>
      <c r="D295" s="64">
        <f>INDEX(Projects[MS Tote Locations],294)</f>
        <v/>
      </c>
      <c r="E295" s="64">
        <f>INDEX(Projects[AS Robots],294)</f>
        <v/>
      </c>
      <c r="F295" s="64">
        <f>INDEX(Projects[AS Tote Locations],294)</f>
        <v/>
      </c>
      <c r="G295" s="64">
        <f>INDEX(Projects[PS Shuttles],294)</f>
        <v/>
      </c>
      <c r="H295" s="64">
        <f>INDEX(Projects[PS Pallet Locations],294)</f>
        <v/>
      </c>
      <c r="I295" s="64">
        <f>INDEX(Projects[SRM Cranes],294)</f>
        <v/>
      </c>
      <c r="J295" s="64">
        <f>INDEX(Projects[SRM Pallet Locations],294)</f>
        <v/>
      </c>
      <c r="K295" s="64">
        <f>INDEX(Projects[Case Conv (m)],294)</f>
        <v/>
      </c>
      <c r="L295" s="64">
        <f>INDEX(Projects[Pallet Conv (m)],294)</f>
        <v/>
      </c>
      <c r="M295" s="64">
        <f>IF(N(DJ295)&gt;0,DD295,CW295)</f>
        <v/>
      </c>
      <c r="N295" s="64">
        <f>IF(N(DJ295)&gt;0,DE295,CX295)</f>
        <v/>
      </c>
      <c r="O295" s="64">
        <f>IF(N(DJ295)&gt;0,DF295,CY295)</f>
        <v/>
      </c>
      <c r="P295" s="64">
        <f>IF(N(DJ295)&gt;0,DG295,CZ295)</f>
        <v/>
      </c>
      <c r="Q295" s="64">
        <f>IF(N(DJ295)&gt;0,DH295,DA295)</f>
        <v/>
      </c>
      <c r="R295" s="64">
        <f>IF(N(DJ295)&gt;0,DI295,DB295)</f>
        <v/>
      </c>
      <c r="S295" s="64">
        <f>IF(N(DJ295)&gt;0,DJ295,DC295)</f>
        <v/>
      </c>
      <c r="T295" s="64">
        <f>INDEX(Projects[Currency],294)&amp;""</f>
        <v/>
      </c>
      <c r="U295" s="65">
        <f>INDEX(Projects[Sold Value (M)],294)</f>
        <v/>
      </c>
      <c r="V295" s="64">
        <f>IF('Smart Search'!B13=1,IFERROR(1/'Smart Search'!H13,0),0)</f>
        <v/>
      </c>
      <c r="W295" s="64">
        <f>IF('Smart Search'!B13=1,IFERROR(1/'Smart Search'!H13,0),0)</f>
        <v/>
      </c>
      <c r="X295" s="64">
        <f>IF('Smart Search'!C13=1,IFERROR(1/'Smart Search'!H13,0),0)</f>
        <v/>
      </c>
      <c r="Y295" s="64">
        <f>IF('Smart Search'!C13=1,IFERROR(1/'Smart Search'!H13,0),0)</f>
        <v/>
      </c>
      <c r="Z295" s="64">
        <f>IF('Smart Search'!D13=1,IFERROR(1/'Smart Search'!H13,0),0)</f>
        <v/>
      </c>
      <c r="AA295" s="64">
        <f>IF('Smart Search'!D13=1,IFERROR(1/'Smart Search'!H13,0),0)</f>
        <v/>
      </c>
      <c r="AB295" s="64">
        <f>IF('Smart Search'!E13=1,IFERROR(1/'Smart Search'!H13,0),0)</f>
        <v/>
      </c>
      <c r="AC295" s="64">
        <f>IF('Smart Search'!E13=1,IFERROR(1/'Smart Search'!H13,0),0)</f>
        <v/>
      </c>
      <c r="AD295" s="64">
        <f>IF('Smart Search'!F13=1,IFERROR(1/'Smart Search'!H13,0),0)</f>
        <v/>
      </c>
      <c r="AE295" s="64">
        <f>IF('Smart Search'!F13=1,IFERROR(1/'Smart Search'!H13,0),0)</f>
        <v/>
      </c>
      <c r="AF295" s="64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4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4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4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4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4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4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4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4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4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4">
        <f>AF295*V295</f>
        <v/>
      </c>
      <c r="AQ295" s="64">
        <f>AG295*W295</f>
        <v/>
      </c>
      <c r="AR295" s="64">
        <f>AH295*X295</f>
        <v/>
      </c>
      <c r="AS295" s="64">
        <f>AI295*Y295</f>
        <v/>
      </c>
      <c r="AT295" s="64">
        <f>AJ295*Z295</f>
        <v/>
      </c>
      <c r="AU295" s="64">
        <f>AK295*AA295</f>
        <v/>
      </c>
      <c r="AV295" s="64">
        <f>AL295*AB295</f>
        <v/>
      </c>
      <c r="AW295" s="64">
        <f>AM295*AC295</f>
        <v/>
      </c>
      <c r="AX295" s="64">
        <f>AN295*AD295</f>
        <v/>
      </c>
      <c r="AY295" s="64">
        <f>AO295*AE295</f>
        <v/>
      </c>
      <c r="AZ295" s="64">
        <f>INDEX(Projects[Automation Equipment],294)&amp;""</f>
        <v/>
      </c>
      <c r="BA295" s="64">
        <f>IF(OR(A295="",'Smart Search'!H13=0),"",MAX(0,BE295*BF295*MAX(0,1-BG295)))</f>
        <v/>
      </c>
      <c r="BB295" s="64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4">
        <f>IF('Smart Search'!G13=1,IFERROR(1/'Smart Search'!H13,0),0)</f>
        <v/>
      </c>
      <c r="BD295" s="64">
        <f>BB295*BC295</f>
        <v/>
      </c>
      <c r="BE295" s="64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IF(A295="","",N(INDEX(Projects[Act Mech Inst],294)))</f>
        <v/>
      </c>
      <c r="BK295" s="5">
        <f>IF(A295="","",N(INDEX(Projects[Act Elec Inst],294)))</f>
        <v/>
      </c>
      <c r="BL295" s="5">
        <f>IF(A295="","",N(INDEX(Projects[Act Project Management],294)))</f>
        <v/>
      </c>
      <c r="BM295" s="5">
        <f>IF(A295="","",N(INDEX(Projects[Act Systems Eng],294)))</f>
        <v/>
      </c>
      <c r="BN295" s="5">
        <f>IF(A295="","",N(INDEX(Projects[Act Mechanical Eng],294)))</f>
        <v/>
      </c>
      <c r="BO295" s="5">
        <f>IF(A295="","",N(INDEX(Projects[Act Structural Engineering],294)))</f>
        <v/>
      </c>
      <c r="BP295" s="5">
        <f>IF(A295="","",N(INDEX(Projects[Act Site Sup],294)))</f>
        <v/>
      </c>
      <c r="BQ295" s="5">
        <f>IF(A295="","",N(INDEX(Projects[Act Controls Commissioning],294)))</f>
        <v/>
      </c>
      <c r="BR295" s="5">
        <f>IF(A295="","",N(INDEX(Projects[Act Systems Commissioning],294)))</f>
        <v/>
      </c>
      <c r="BS295" s="5">
        <f>IF(A295="","",N(INDEX(Projects[Act Service Commissioning],294)))</f>
        <v/>
      </c>
      <c r="BT295" s="5">
        <f>IF(A295="","",N(INDEX(Projects[Act Controls Eng],294)))</f>
        <v/>
      </c>
      <c r="BU295" s="5">
        <f>IF(A295="","",N(INDEX(Projects[Act Controls Purchase],294)))</f>
        <v/>
      </c>
      <c r="BV295" s="5">
        <f>IF(A295="","",N(INDEX(Projects[Act Software Eng],294)))</f>
        <v/>
      </c>
      <c r="BW295" s="5">
        <f>IF(A295="","",N(INDEX(Projects[Act 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INDEX(Projects[Sold Value (USD M)],294)</f>
        <v/>
      </c>
      <c r="CE295" s="5" t="n"/>
      <c r="CF295" s="5">
        <f>IF(A295="","",N(INDEX(Projects[Est Mech Inst],294)))</f>
        <v/>
      </c>
      <c r="CG295" s="5">
        <f>IF(A295="","",N(INDEX(Projects[Est Elec Inst],294)))</f>
        <v/>
      </c>
      <c r="CH295" s="5">
        <f>IF(A295="","",N(INDEX(Projects[Est Project Management],294)))</f>
        <v/>
      </c>
      <c r="CI295" s="5">
        <f>IF(A295="","",N(INDEX(Projects[Est Systems Eng],294)))</f>
        <v/>
      </c>
      <c r="CJ295" s="5">
        <f>IF(A295="","",N(INDEX(Projects[Est Mechanical Eng],294)))</f>
        <v/>
      </c>
      <c r="CK295" s="5">
        <f>IF(A295="","",N(INDEX(Projects[Est Structural Engineering],294)))</f>
        <v/>
      </c>
      <c r="CL295" s="5">
        <f>IF(A295="","",N(INDEX(Projects[Est Site Sup],294)))</f>
        <v/>
      </c>
      <c r="CM295" s="5">
        <f>IF(A295="","",N(INDEX(Projects[Est Controls Commissioning],294)))</f>
        <v/>
      </c>
      <c r="CN295" s="5">
        <f>IF(A295="","",N(INDEX(Projects[Est Systems Commissioning],294)))</f>
        <v/>
      </c>
      <c r="CO295" s="5">
        <f>IF(A295="","",N(INDEX(Projects[Est Service Commissioning],294)))</f>
        <v/>
      </c>
      <c r="CP295" s="5">
        <f>IF(A295="","",N(INDEX(Projects[Est Controls Eng],294)))</f>
        <v/>
      </c>
      <c r="CQ295" s="5">
        <f>IF(A295="","",N(INDEX(Projects[Est Controls Purchase],294)))</f>
        <v/>
      </c>
      <c r="CR295" s="5">
        <f>IF(A295="","",N(INDEX(Projects[Est Software Eng],294)))</f>
        <v/>
      </c>
      <c r="CS295" s="5">
        <f>IF(A295="","",N(INDEX(Projects[Est Misc],294)))</f>
        <v/>
      </c>
      <c r="CT295" s="5">
        <f>IF(A295="","",SUM(CF295:CS295))</f>
        <v/>
      </c>
      <c r="CU295" s="5">
        <f>INDEX(Projects[Est Cost (M)],294)</f>
        <v/>
      </c>
      <c r="CV295" s="5">
        <f>INDEX(Projects[Act Cost (M)],294)</f>
        <v/>
      </c>
      <c r="CW295" s="5">
        <f>INDEX(Projects[Plan Mech Eng (wks)],294)</f>
        <v/>
      </c>
      <c r="CX295" s="5">
        <f>INDEX(Projects[Plan Controls Eng (wks)],294)</f>
        <v/>
      </c>
      <c r="CY295" s="5">
        <f>INDEX(Projects[Plan Systems Eng (wks)],294)</f>
        <v/>
      </c>
      <c r="CZ295" s="5">
        <f>INDEX(Projects[Plan Software Eng (wks)],294)</f>
        <v/>
      </c>
      <c r="DA295" s="5">
        <f>INDEX(Projects[Plan M&amp;E Installation (wks)],294)</f>
        <v/>
      </c>
      <c r="DB295" s="5">
        <f>INDEX(Projects[Plan Commissioning (wks)],294)</f>
        <v/>
      </c>
      <c r="DC295" s="5">
        <f>INDEX(Projects[Plan Total (wks)],294)</f>
        <v/>
      </c>
      <c r="DD295" s="5">
        <f>INDEX(Projects[Act Mech Eng (wks)],294)</f>
        <v/>
      </c>
      <c r="DE295" s="5">
        <f>INDEX(Projects[Act Controls Eng (wks)],294)</f>
        <v/>
      </c>
      <c r="DF295" s="5">
        <f>INDEX(Projects[Act Systems Eng (wks)],294)</f>
        <v/>
      </c>
      <c r="DG295" s="5">
        <f>INDEX(Projects[Act Software Eng (wks)],294)</f>
        <v/>
      </c>
      <c r="DH295" s="5">
        <f>INDEX(Projects[Act M&amp;E Installation (wks)],294)</f>
        <v/>
      </c>
      <c r="DI295" s="5">
        <f>INDEX(Projects[Act Commissioning (wks)],294)</f>
        <v/>
      </c>
      <c r="DJ295" s="5">
        <f>INDEX(Projects[Act Total (wks)],294)</f>
        <v/>
      </c>
    </row>
    <row r="296" ht="15" customHeight="1" s="82">
      <c r="A296" s="64">
        <f>INDEX(Projects[Project ID *],295)&amp;""</f>
        <v/>
      </c>
      <c r="B296" s="64">
        <f>INDEX(Projects[Project Name *],295)&amp;""</f>
        <v/>
      </c>
      <c r="C296" s="64">
        <f>INDEX(Projects[MS Shuttles],295)</f>
        <v/>
      </c>
      <c r="D296" s="64">
        <f>INDEX(Projects[MS Tote Locations],295)</f>
        <v/>
      </c>
      <c r="E296" s="64">
        <f>INDEX(Projects[AS Robots],295)</f>
        <v/>
      </c>
      <c r="F296" s="64">
        <f>INDEX(Projects[AS Tote Locations],295)</f>
        <v/>
      </c>
      <c r="G296" s="64">
        <f>INDEX(Projects[PS Shuttles],295)</f>
        <v/>
      </c>
      <c r="H296" s="64">
        <f>INDEX(Projects[PS Pallet Locations],295)</f>
        <v/>
      </c>
      <c r="I296" s="64">
        <f>INDEX(Projects[SRM Cranes],295)</f>
        <v/>
      </c>
      <c r="J296" s="64">
        <f>INDEX(Projects[SRM Pallet Locations],295)</f>
        <v/>
      </c>
      <c r="K296" s="64">
        <f>INDEX(Projects[Case Conv (m)],295)</f>
        <v/>
      </c>
      <c r="L296" s="64">
        <f>INDEX(Projects[Pallet Conv (m)],295)</f>
        <v/>
      </c>
      <c r="M296" s="64">
        <f>IF(N(DJ296)&gt;0,DD296,CW296)</f>
        <v/>
      </c>
      <c r="N296" s="64">
        <f>IF(N(DJ296)&gt;0,DE296,CX296)</f>
        <v/>
      </c>
      <c r="O296" s="64">
        <f>IF(N(DJ296)&gt;0,DF296,CY296)</f>
        <v/>
      </c>
      <c r="P296" s="64">
        <f>IF(N(DJ296)&gt;0,DG296,CZ296)</f>
        <v/>
      </c>
      <c r="Q296" s="64">
        <f>IF(N(DJ296)&gt;0,DH296,DA296)</f>
        <v/>
      </c>
      <c r="R296" s="64">
        <f>IF(N(DJ296)&gt;0,DI296,DB296)</f>
        <v/>
      </c>
      <c r="S296" s="64">
        <f>IF(N(DJ296)&gt;0,DJ296,DC296)</f>
        <v/>
      </c>
      <c r="T296" s="64">
        <f>INDEX(Projects[Currency],295)&amp;""</f>
        <v/>
      </c>
      <c r="U296" s="65">
        <f>INDEX(Projects[Sold Value (M)],295)</f>
        <v/>
      </c>
      <c r="V296" s="64">
        <f>IF('Smart Search'!B13=1,IFERROR(1/'Smart Search'!H13,0),0)</f>
        <v/>
      </c>
      <c r="W296" s="64">
        <f>IF('Smart Search'!B13=1,IFERROR(1/'Smart Search'!H13,0),0)</f>
        <v/>
      </c>
      <c r="X296" s="64">
        <f>IF('Smart Search'!C13=1,IFERROR(1/'Smart Search'!H13,0),0)</f>
        <v/>
      </c>
      <c r="Y296" s="64">
        <f>IF('Smart Search'!C13=1,IFERROR(1/'Smart Search'!H13,0),0)</f>
        <v/>
      </c>
      <c r="Z296" s="64">
        <f>IF('Smart Search'!D13=1,IFERROR(1/'Smart Search'!H13,0),0)</f>
        <v/>
      </c>
      <c r="AA296" s="64">
        <f>IF('Smart Search'!D13=1,IFERROR(1/'Smart Search'!H13,0),0)</f>
        <v/>
      </c>
      <c r="AB296" s="64">
        <f>IF('Smart Search'!E13=1,IFERROR(1/'Smart Search'!H13,0),0)</f>
        <v/>
      </c>
      <c r="AC296" s="64">
        <f>IF('Smart Search'!E13=1,IFERROR(1/'Smart Search'!H13,0),0)</f>
        <v/>
      </c>
      <c r="AD296" s="64">
        <f>IF('Smart Search'!F13=1,IFERROR(1/'Smart Search'!H13,0),0)</f>
        <v/>
      </c>
      <c r="AE296" s="64">
        <f>IF('Smart Search'!F13=1,IFERROR(1/'Smart Search'!H13,0),0)</f>
        <v/>
      </c>
      <c r="AF296" s="64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4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4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4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4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4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4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4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4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4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4">
        <f>AF296*V296</f>
        <v/>
      </c>
      <c r="AQ296" s="64">
        <f>AG296*W296</f>
        <v/>
      </c>
      <c r="AR296" s="64">
        <f>AH296*X296</f>
        <v/>
      </c>
      <c r="AS296" s="64">
        <f>AI296*Y296</f>
        <v/>
      </c>
      <c r="AT296" s="64">
        <f>AJ296*Z296</f>
        <v/>
      </c>
      <c r="AU296" s="64">
        <f>AK296*AA296</f>
        <v/>
      </c>
      <c r="AV296" s="64">
        <f>AL296*AB296</f>
        <v/>
      </c>
      <c r="AW296" s="64">
        <f>AM296*AC296</f>
        <v/>
      </c>
      <c r="AX296" s="64">
        <f>AN296*AD296</f>
        <v/>
      </c>
      <c r="AY296" s="64">
        <f>AO296*AE296</f>
        <v/>
      </c>
      <c r="AZ296" s="64">
        <f>INDEX(Projects[Automation Equipment],295)&amp;""</f>
        <v/>
      </c>
      <c r="BA296" s="64">
        <f>IF(OR(A296="",'Smart Search'!H13=0),"",MAX(0,BE296*BF296*MAX(0,1-BG296)))</f>
        <v/>
      </c>
      <c r="BB296" s="64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4">
        <f>IF('Smart Search'!G13=1,IFERROR(1/'Smart Search'!H13,0),0)</f>
        <v/>
      </c>
      <c r="BD296" s="64">
        <f>BB296*BC296</f>
        <v/>
      </c>
      <c r="BE296" s="64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IF(A296="","",N(INDEX(Projects[Act Mech Inst],295)))</f>
        <v/>
      </c>
      <c r="BK296" s="5">
        <f>IF(A296="","",N(INDEX(Projects[Act Elec Inst],295)))</f>
        <v/>
      </c>
      <c r="BL296" s="5">
        <f>IF(A296="","",N(INDEX(Projects[Act Project Management],295)))</f>
        <v/>
      </c>
      <c r="BM296" s="5">
        <f>IF(A296="","",N(INDEX(Projects[Act Systems Eng],295)))</f>
        <v/>
      </c>
      <c r="BN296" s="5">
        <f>IF(A296="","",N(INDEX(Projects[Act Mechanical Eng],295)))</f>
        <v/>
      </c>
      <c r="BO296" s="5">
        <f>IF(A296="","",N(INDEX(Projects[Act Structural Engineering],295)))</f>
        <v/>
      </c>
      <c r="BP296" s="5">
        <f>IF(A296="","",N(INDEX(Projects[Act Site Sup],295)))</f>
        <v/>
      </c>
      <c r="BQ296" s="5">
        <f>IF(A296="","",N(INDEX(Projects[Act Controls Commissioning],295)))</f>
        <v/>
      </c>
      <c r="BR296" s="5">
        <f>IF(A296="","",N(INDEX(Projects[Act Systems Commissioning],295)))</f>
        <v/>
      </c>
      <c r="BS296" s="5">
        <f>IF(A296="","",N(INDEX(Projects[Act Service Commissioning],295)))</f>
        <v/>
      </c>
      <c r="BT296" s="5">
        <f>IF(A296="","",N(INDEX(Projects[Act Controls Eng],295)))</f>
        <v/>
      </c>
      <c r="BU296" s="5">
        <f>IF(A296="","",N(INDEX(Projects[Act Controls Purchase],295)))</f>
        <v/>
      </c>
      <c r="BV296" s="5">
        <f>IF(A296="","",N(INDEX(Projects[Act Software Eng],295)))</f>
        <v/>
      </c>
      <c r="BW296" s="5">
        <f>IF(A296="","",N(INDEX(Projects[Act 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INDEX(Projects[Sold Value (USD M)],295)</f>
        <v/>
      </c>
      <c r="CE296" s="5" t="n"/>
      <c r="CF296" s="5">
        <f>IF(A296="","",N(INDEX(Projects[Est Mech Inst],295)))</f>
        <v/>
      </c>
      <c r="CG296" s="5">
        <f>IF(A296="","",N(INDEX(Projects[Est Elec Inst],295)))</f>
        <v/>
      </c>
      <c r="CH296" s="5">
        <f>IF(A296="","",N(INDEX(Projects[Est Project Management],295)))</f>
        <v/>
      </c>
      <c r="CI296" s="5">
        <f>IF(A296="","",N(INDEX(Projects[Est Systems Eng],295)))</f>
        <v/>
      </c>
      <c r="CJ296" s="5">
        <f>IF(A296="","",N(INDEX(Projects[Est Mechanical Eng],295)))</f>
        <v/>
      </c>
      <c r="CK296" s="5">
        <f>IF(A296="","",N(INDEX(Projects[Est Structural Engineering],295)))</f>
        <v/>
      </c>
      <c r="CL296" s="5">
        <f>IF(A296="","",N(INDEX(Projects[Est Site Sup],295)))</f>
        <v/>
      </c>
      <c r="CM296" s="5">
        <f>IF(A296="","",N(INDEX(Projects[Est Controls Commissioning],295)))</f>
        <v/>
      </c>
      <c r="CN296" s="5">
        <f>IF(A296="","",N(INDEX(Projects[Est Systems Commissioning],295)))</f>
        <v/>
      </c>
      <c r="CO296" s="5">
        <f>IF(A296="","",N(INDEX(Projects[Est Service Commissioning],295)))</f>
        <v/>
      </c>
      <c r="CP296" s="5">
        <f>IF(A296="","",N(INDEX(Projects[Est Controls Eng],295)))</f>
        <v/>
      </c>
      <c r="CQ296" s="5">
        <f>IF(A296="","",N(INDEX(Projects[Est Controls Purchase],295)))</f>
        <v/>
      </c>
      <c r="CR296" s="5">
        <f>IF(A296="","",N(INDEX(Projects[Est Software Eng],295)))</f>
        <v/>
      </c>
      <c r="CS296" s="5">
        <f>IF(A296="","",N(INDEX(Projects[Est Misc],295)))</f>
        <v/>
      </c>
      <c r="CT296" s="5">
        <f>IF(A296="","",SUM(CF296:CS296))</f>
        <v/>
      </c>
      <c r="CU296" s="5">
        <f>INDEX(Projects[Est Cost (M)],295)</f>
        <v/>
      </c>
      <c r="CV296" s="5">
        <f>INDEX(Projects[Act Cost (M)],295)</f>
        <v/>
      </c>
      <c r="CW296" s="5">
        <f>INDEX(Projects[Plan Mech Eng (wks)],295)</f>
        <v/>
      </c>
      <c r="CX296" s="5">
        <f>INDEX(Projects[Plan Controls Eng (wks)],295)</f>
        <v/>
      </c>
      <c r="CY296" s="5">
        <f>INDEX(Projects[Plan Systems Eng (wks)],295)</f>
        <v/>
      </c>
      <c r="CZ296" s="5">
        <f>INDEX(Projects[Plan Software Eng (wks)],295)</f>
        <v/>
      </c>
      <c r="DA296" s="5">
        <f>INDEX(Projects[Plan M&amp;E Installation (wks)],295)</f>
        <v/>
      </c>
      <c r="DB296" s="5">
        <f>INDEX(Projects[Plan Commissioning (wks)],295)</f>
        <v/>
      </c>
      <c r="DC296" s="5">
        <f>INDEX(Projects[Plan Total (wks)],295)</f>
        <v/>
      </c>
      <c r="DD296" s="5">
        <f>INDEX(Projects[Act Mech Eng (wks)],295)</f>
        <v/>
      </c>
      <c r="DE296" s="5">
        <f>INDEX(Projects[Act Controls Eng (wks)],295)</f>
        <v/>
      </c>
      <c r="DF296" s="5">
        <f>INDEX(Projects[Act Systems Eng (wks)],295)</f>
        <v/>
      </c>
      <c r="DG296" s="5">
        <f>INDEX(Projects[Act Software Eng (wks)],295)</f>
        <v/>
      </c>
      <c r="DH296" s="5">
        <f>INDEX(Projects[Act M&amp;E Installation (wks)],295)</f>
        <v/>
      </c>
      <c r="DI296" s="5">
        <f>INDEX(Projects[Act Commissioning (wks)],295)</f>
        <v/>
      </c>
      <c r="DJ296" s="5">
        <f>INDEX(Projects[Act Total (wks)],295)</f>
        <v/>
      </c>
    </row>
    <row r="297" ht="15" customHeight="1" s="82">
      <c r="A297" s="64">
        <f>INDEX(Projects[Project ID *],296)&amp;""</f>
        <v/>
      </c>
      <c r="B297" s="64">
        <f>INDEX(Projects[Project Name *],296)&amp;""</f>
        <v/>
      </c>
      <c r="C297" s="64">
        <f>INDEX(Projects[MS Shuttles],296)</f>
        <v/>
      </c>
      <c r="D297" s="64">
        <f>INDEX(Projects[MS Tote Locations],296)</f>
        <v/>
      </c>
      <c r="E297" s="64">
        <f>INDEX(Projects[AS Robots],296)</f>
        <v/>
      </c>
      <c r="F297" s="64">
        <f>INDEX(Projects[AS Tote Locations],296)</f>
        <v/>
      </c>
      <c r="G297" s="64">
        <f>INDEX(Projects[PS Shuttles],296)</f>
        <v/>
      </c>
      <c r="H297" s="64">
        <f>INDEX(Projects[PS Pallet Locations],296)</f>
        <v/>
      </c>
      <c r="I297" s="64">
        <f>INDEX(Projects[SRM Cranes],296)</f>
        <v/>
      </c>
      <c r="J297" s="64">
        <f>INDEX(Projects[SRM Pallet Locations],296)</f>
        <v/>
      </c>
      <c r="K297" s="64">
        <f>INDEX(Projects[Case Conv (m)],296)</f>
        <v/>
      </c>
      <c r="L297" s="64">
        <f>INDEX(Projects[Pallet Conv (m)],296)</f>
        <v/>
      </c>
      <c r="M297" s="64">
        <f>IF(N(DJ297)&gt;0,DD297,CW297)</f>
        <v/>
      </c>
      <c r="N297" s="64">
        <f>IF(N(DJ297)&gt;0,DE297,CX297)</f>
        <v/>
      </c>
      <c r="O297" s="64">
        <f>IF(N(DJ297)&gt;0,DF297,CY297)</f>
        <v/>
      </c>
      <c r="P297" s="64">
        <f>IF(N(DJ297)&gt;0,DG297,CZ297)</f>
        <v/>
      </c>
      <c r="Q297" s="64">
        <f>IF(N(DJ297)&gt;0,DH297,DA297)</f>
        <v/>
      </c>
      <c r="R297" s="64">
        <f>IF(N(DJ297)&gt;0,DI297,DB297)</f>
        <v/>
      </c>
      <c r="S297" s="64">
        <f>IF(N(DJ297)&gt;0,DJ297,DC297)</f>
        <v/>
      </c>
      <c r="T297" s="64">
        <f>INDEX(Projects[Currency],296)&amp;""</f>
        <v/>
      </c>
      <c r="U297" s="65">
        <f>INDEX(Projects[Sold Value (M)],296)</f>
        <v/>
      </c>
      <c r="V297" s="64">
        <f>IF('Smart Search'!B13=1,IFERROR(1/'Smart Search'!H13,0),0)</f>
        <v/>
      </c>
      <c r="W297" s="64">
        <f>IF('Smart Search'!B13=1,IFERROR(1/'Smart Search'!H13,0),0)</f>
        <v/>
      </c>
      <c r="X297" s="64">
        <f>IF('Smart Search'!C13=1,IFERROR(1/'Smart Search'!H13,0),0)</f>
        <v/>
      </c>
      <c r="Y297" s="64">
        <f>IF('Smart Search'!C13=1,IFERROR(1/'Smart Search'!H13,0),0)</f>
        <v/>
      </c>
      <c r="Z297" s="64">
        <f>IF('Smart Search'!D13=1,IFERROR(1/'Smart Search'!H13,0),0)</f>
        <v/>
      </c>
      <c r="AA297" s="64">
        <f>IF('Smart Search'!D13=1,IFERROR(1/'Smart Search'!H13,0),0)</f>
        <v/>
      </c>
      <c r="AB297" s="64">
        <f>IF('Smart Search'!E13=1,IFERROR(1/'Smart Search'!H13,0),0)</f>
        <v/>
      </c>
      <c r="AC297" s="64">
        <f>IF('Smart Search'!E13=1,IFERROR(1/'Smart Search'!H13,0),0)</f>
        <v/>
      </c>
      <c r="AD297" s="64">
        <f>IF('Smart Search'!F13=1,IFERROR(1/'Smart Search'!H13,0),0)</f>
        <v/>
      </c>
      <c r="AE297" s="64">
        <f>IF('Smart Search'!F13=1,IFERROR(1/'Smart Search'!H13,0),0)</f>
        <v/>
      </c>
      <c r="AF297" s="64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4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4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4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4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4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4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4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4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4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4">
        <f>AF297*V297</f>
        <v/>
      </c>
      <c r="AQ297" s="64">
        <f>AG297*W297</f>
        <v/>
      </c>
      <c r="AR297" s="64">
        <f>AH297*X297</f>
        <v/>
      </c>
      <c r="AS297" s="64">
        <f>AI297*Y297</f>
        <v/>
      </c>
      <c r="AT297" s="64">
        <f>AJ297*Z297</f>
        <v/>
      </c>
      <c r="AU297" s="64">
        <f>AK297*AA297</f>
        <v/>
      </c>
      <c r="AV297" s="64">
        <f>AL297*AB297</f>
        <v/>
      </c>
      <c r="AW297" s="64">
        <f>AM297*AC297</f>
        <v/>
      </c>
      <c r="AX297" s="64">
        <f>AN297*AD297</f>
        <v/>
      </c>
      <c r="AY297" s="64">
        <f>AO297*AE297</f>
        <v/>
      </c>
      <c r="AZ297" s="64">
        <f>INDEX(Projects[Automation Equipment],296)&amp;""</f>
        <v/>
      </c>
      <c r="BA297" s="64">
        <f>IF(OR(A297="",'Smart Search'!H13=0),"",MAX(0,BE297*BF297*MAX(0,1-BG297)))</f>
        <v/>
      </c>
      <c r="BB297" s="64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4">
        <f>IF('Smart Search'!G13=1,IFERROR(1/'Smart Search'!H13,0),0)</f>
        <v/>
      </c>
      <c r="BD297" s="64">
        <f>BB297*BC297</f>
        <v/>
      </c>
      <c r="BE297" s="64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IF(A297="","",N(INDEX(Projects[Act Mech Inst],296)))</f>
        <v/>
      </c>
      <c r="BK297" s="5">
        <f>IF(A297="","",N(INDEX(Projects[Act Elec Inst],296)))</f>
        <v/>
      </c>
      <c r="BL297" s="5">
        <f>IF(A297="","",N(INDEX(Projects[Act Project Management],296)))</f>
        <v/>
      </c>
      <c r="BM297" s="5">
        <f>IF(A297="","",N(INDEX(Projects[Act Systems Eng],296)))</f>
        <v/>
      </c>
      <c r="BN297" s="5">
        <f>IF(A297="","",N(INDEX(Projects[Act Mechanical Eng],296)))</f>
        <v/>
      </c>
      <c r="BO297" s="5">
        <f>IF(A297="","",N(INDEX(Projects[Act Structural Engineering],296)))</f>
        <v/>
      </c>
      <c r="BP297" s="5">
        <f>IF(A297="","",N(INDEX(Projects[Act Site Sup],296)))</f>
        <v/>
      </c>
      <c r="BQ297" s="5">
        <f>IF(A297="","",N(INDEX(Projects[Act Controls Commissioning],296)))</f>
        <v/>
      </c>
      <c r="BR297" s="5">
        <f>IF(A297="","",N(INDEX(Projects[Act Systems Commissioning],296)))</f>
        <v/>
      </c>
      <c r="BS297" s="5">
        <f>IF(A297="","",N(INDEX(Projects[Act Service Commissioning],296)))</f>
        <v/>
      </c>
      <c r="BT297" s="5">
        <f>IF(A297="","",N(INDEX(Projects[Act Controls Eng],296)))</f>
        <v/>
      </c>
      <c r="BU297" s="5">
        <f>IF(A297="","",N(INDEX(Projects[Act Controls Purchase],296)))</f>
        <v/>
      </c>
      <c r="BV297" s="5">
        <f>IF(A297="","",N(INDEX(Projects[Act Software Eng],296)))</f>
        <v/>
      </c>
      <c r="BW297" s="5">
        <f>IF(A297="","",N(INDEX(Projects[Act 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INDEX(Projects[Sold Value (USD M)],296)</f>
        <v/>
      </c>
      <c r="CE297" s="5" t="n"/>
      <c r="CF297" s="5">
        <f>IF(A297="","",N(INDEX(Projects[Est Mech Inst],296)))</f>
        <v/>
      </c>
      <c r="CG297" s="5">
        <f>IF(A297="","",N(INDEX(Projects[Est Elec Inst],296)))</f>
        <v/>
      </c>
      <c r="CH297" s="5">
        <f>IF(A297="","",N(INDEX(Projects[Est Project Management],296)))</f>
        <v/>
      </c>
      <c r="CI297" s="5">
        <f>IF(A297="","",N(INDEX(Projects[Est Systems Eng],296)))</f>
        <v/>
      </c>
      <c r="CJ297" s="5">
        <f>IF(A297="","",N(INDEX(Projects[Est Mechanical Eng],296)))</f>
        <v/>
      </c>
      <c r="CK297" s="5">
        <f>IF(A297="","",N(INDEX(Projects[Est Structural Engineering],296)))</f>
        <v/>
      </c>
      <c r="CL297" s="5">
        <f>IF(A297="","",N(INDEX(Projects[Est Site Sup],296)))</f>
        <v/>
      </c>
      <c r="CM297" s="5">
        <f>IF(A297="","",N(INDEX(Projects[Est Controls Commissioning],296)))</f>
        <v/>
      </c>
      <c r="CN297" s="5">
        <f>IF(A297="","",N(INDEX(Projects[Est Systems Commissioning],296)))</f>
        <v/>
      </c>
      <c r="CO297" s="5">
        <f>IF(A297="","",N(INDEX(Projects[Est Service Commissioning],296)))</f>
        <v/>
      </c>
      <c r="CP297" s="5">
        <f>IF(A297="","",N(INDEX(Projects[Est Controls Eng],296)))</f>
        <v/>
      </c>
      <c r="CQ297" s="5">
        <f>IF(A297="","",N(INDEX(Projects[Est Controls Purchase],296)))</f>
        <v/>
      </c>
      <c r="CR297" s="5">
        <f>IF(A297="","",N(INDEX(Projects[Est Software Eng],296)))</f>
        <v/>
      </c>
      <c r="CS297" s="5">
        <f>IF(A297="","",N(INDEX(Projects[Est Misc],296)))</f>
        <v/>
      </c>
      <c r="CT297" s="5">
        <f>IF(A297="","",SUM(CF297:CS297))</f>
        <v/>
      </c>
      <c r="CU297" s="5">
        <f>INDEX(Projects[Est Cost (M)],296)</f>
        <v/>
      </c>
      <c r="CV297" s="5">
        <f>INDEX(Projects[Act Cost (M)],296)</f>
        <v/>
      </c>
      <c r="CW297" s="5">
        <f>INDEX(Projects[Plan Mech Eng (wks)],296)</f>
        <v/>
      </c>
      <c r="CX297" s="5">
        <f>INDEX(Projects[Plan Controls Eng (wks)],296)</f>
        <v/>
      </c>
      <c r="CY297" s="5">
        <f>INDEX(Projects[Plan Systems Eng (wks)],296)</f>
        <v/>
      </c>
      <c r="CZ297" s="5">
        <f>INDEX(Projects[Plan Software Eng (wks)],296)</f>
        <v/>
      </c>
      <c r="DA297" s="5">
        <f>INDEX(Projects[Plan M&amp;E Installation (wks)],296)</f>
        <v/>
      </c>
      <c r="DB297" s="5">
        <f>INDEX(Projects[Plan Commissioning (wks)],296)</f>
        <v/>
      </c>
      <c r="DC297" s="5">
        <f>INDEX(Projects[Plan Total (wks)],296)</f>
        <v/>
      </c>
      <c r="DD297" s="5">
        <f>INDEX(Projects[Act Mech Eng (wks)],296)</f>
        <v/>
      </c>
      <c r="DE297" s="5">
        <f>INDEX(Projects[Act Controls Eng (wks)],296)</f>
        <v/>
      </c>
      <c r="DF297" s="5">
        <f>INDEX(Projects[Act Systems Eng (wks)],296)</f>
        <v/>
      </c>
      <c r="DG297" s="5">
        <f>INDEX(Projects[Act Software Eng (wks)],296)</f>
        <v/>
      </c>
      <c r="DH297" s="5">
        <f>INDEX(Projects[Act M&amp;E Installation (wks)],296)</f>
        <v/>
      </c>
      <c r="DI297" s="5">
        <f>INDEX(Projects[Act Commissioning (wks)],296)</f>
        <v/>
      </c>
      <c r="DJ297" s="5">
        <f>INDEX(Projects[Act Total (wks)],296)</f>
        <v/>
      </c>
    </row>
    <row r="298" ht="15" customHeight="1" s="82">
      <c r="A298" s="64">
        <f>INDEX(Projects[Project ID *],297)&amp;""</f>
        <v/>
      </c>
      <c r="B298" s="64">
        <f>INDEX(Projects[Project Name *],297)&amp;""</f>
        <v/>
      </c>
      <c r="C298" s="64">
        <f>INDEX(Projects[MS Shuttles],297)</f>
        <v/>
      </c>
      <c r="D298" s="64">
        <f>INDEX(Projects[MS Tote Locations],297)</f>
        <v/>
      </c>
      <c r="E298" s="64">
        <f>INDEX(Projects[AS Robots],297)</f>
        <v/>
      </c>
      <c r="F298" s="64">
        <f>INDEX(Projects[AS Tote Locations],297)</f>
        <v/>
      </c>
      <c r="G298" s="64">
        <f>INDEX(Projects[PS Shuttles],297)</f>
        <v/>
      </c>
      <c r="H298" s="64">
        <f>INDEX(Projects[PS Pallet Locations],297)</f>
        <v/>
      </c>
      <c r="I298" s="64">
        <f>INDEX(Projects[SRM Cranes],297)</f>
        <v/>
      </c>
      <c r="J298" s="64">
        <f>INDEX(Projects[SRM Pallet Locations],297)</f>
        <v/>
      </c>
      <c r="K298" s="64">
        <f>INDEX(Projects[Case Conv (m)],297)</f>
        <v/>
      </c>
      <c r="L298" s="64">
        <f>INDEX(Projects[Pallet Conv (m)],297)</f>
        <v/>
      </c>
      <c r="M298" s="64">
        <f>IF(N(DJ298)&gt;0,DD298,CW298)</f>
        <v/>
      </c>
      <c r="N298" s="64">
        <f>IF(N(DJ298)&gt;0,DE298,CX298)</f>
        <v/>
      </c>
      <c r="O298" s="64">
        <f>IF(N(DJ298)&gt;0,DF298,CY298)</f>
        <v/>
      </c>
      <c r="P298" s="64">
        <f>IF(N(DJ298)&gt;0,DG298,CZ298)</f>
        <v/>
      </c>
      <c r="Q298" s="64">
        <f>IF(N(DJ298)&gt;0,DH298,DA298)</f>
        <v/>
      </c>
      <c r="R298" s="64">
        <f>IF(N(DJ298)&gt;0,DI298,DB298)</f>
        <v/>
      </c>
      <c r="S298" s="64">
        <f>IF(N(DJ298)&gt;0,DJ298,DC298)</f>
        <v/>
      </c>
      <c r="T298" s="64">
        <f>INDEX(Projects[Currency],297)&amp;""</f>
        <v/>
      </c>
      <c r="U298" s="65">
        <f>INDEX(Projects[Sold Value (M)],297)</f>
        <v/>
      </c>
      <c r="V298" s="64">
        <f>IF('Smart Search'!B13=1,IFERROR(1/'Smart Search'!H13,0),0)</f>
        <v/>
      </c>
      <c r="W298" s="64">
        <f>IF('Smart Search'!B13=1,IFERROR(1/'Smart Search'!H13,0),0)</f>
        <v/>
      </c>
      <c r="X298" s="64">
        <f>IF('Smart Search'!C13=1,IFERROR(1/'Smart Search'!H13,0),0)</f>
        <v/>
      </c>
      <c r="Y298" s="64">
        <f>IF('Smart Search'!C13=1,IFERROR(1/'Smart Search'!H13,0),0)</f>
        <v/>
      </c>
      <c r="Z298" s="64">
        <f>IF('Smart Search'!D13=1,IFERROR(1/'Smart Search'!H13,0),0)</f>
        <v/>
      </c>
      <c r="AA298" s="64">
        <f>IF('Smart Search'!D13=1,IFERROR(1/'Smart Search'!H13,0),0)</f>
        <v/>
      </c>
      <c r="AB298" s="64">
        <f>IF('Smart Search'!E13=1,IFERROR(1/'Smart Search'!H13,0),0)</f>
        <v/>
      </c>
      <c r="AC298" s="64">
        <f>IF('Smart Search'!E13=1,IFERROR(1/'Smart Search'!H13,0),0)</f>
        <v/>
      </c>
      <c r="AD298" s="64">
        <f>IF('Smart Search'!F13=1,IFERROR(1/'Smart Search'!H13,0),0)</f>
        <v/>
      </c>
      <c r="AE298" s="64">
        <f>IF('Smart Search'!F13=1,IFERROR(1/'Smart Search'!H13,0),0)</f>
        <v/>
      </c>
      <c r="AF298" s="64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4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4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4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4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4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4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4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4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4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4">
        <f>AF298*V298</f>
        <v/>
      </c>
      <c r="AQ298" s="64">
        <f>AG298*W298</f>
        <v/>
      </c>
      <c r="AR298" s="64">
        <f>AH298*X298</f>
        <v/>
      </c>
      <c r="AS298" s="64">
        <f>AI298*Y298</f>
        <v/>
      </c>
      <c r="AT298" s="64">
        <f>AJ298*Z298</f>
        <v/>
      </c>
      <c r="AU298" s="64">
        <f>AK298*AA298</f>
        <v/>
      </c>
      <c r="AV298" s="64">
        <f>AL298*AB298</f>
        <v/>
      </c>
      <c r="AW298" s="64">
        <f>AM298*AC298</f>
        <v/>
      </c>
      <c r="AX298" s="64">
        <f>AN298*AD298</f>
        <v/>
      </c>
      <c r="AY298" s="64">
        <f>AO298*AE298</f>
        <v/>
      </c>
      <c r="AZ298" s="64">
        <f>INDEX(Projects[Automation Equipment],297)&amp;""</f>
        <v/>
      </c>
      <c r="BA298" s="64">
        <f>IF(OR(A298="",'Smart Search'!H13=0),"",MAX(0,BE298*BF298*MAX(0,1-BG298)))</f>
        <v/>
      </c>
      <c r="BB298" s="64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4">
        <f>IF('Smart Search'!G13=1,IFERROR(1/'Smart Search'!H13,0),0)</f>
        <v/>
      </c>
      <c r="BD298" s="64">
        <f>BB298*BC298</f>
        <v/>
      </c>
      <c r="BE298" s="64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IF(A298="","",N(INDEX(Projects[Act Mech Inst],297)))</f>
        <v/>
      </c>
      <c r="BK298" s="5">
        <f>IF(A298="","",N(INDEX(Projects[Act Elec Inst],297)))</f>
        <v/>
      </c>
      <c r="BL298" s="5">
        <f>IF(A298="","",N(INDEX(Projects[Act Project Management],297)))</f>
        <v/>
      </c>
      <c r="BM298" s="5">
        <f>IF(A298="","",N(INDEX(Projects[Act Systems Eng],297)))</f>
        <v/>
      </c>
      <c r="BN298" s="5">
        <f>IF(A298="","",N(INDEX(Projects[Act Mechanical Eng],297)))</f>
        <v/>
      </c>
      <c r="BO298" s="5">
        <f>IF(A298="","",N(INDEX(Projects[Act Structural Engineering],297)))</f>
        <v/>
      </c>
      <c r="BP298" s="5">
        <f>IF(A298="","",N(INDEX(Projects[Act Site Sup],297)))</f>
        <v/>
      </c>
      <c r="BQ298" s="5">
        <f>IF(A298="","",N(INDEX(Projects[Act Controls Commissioning],297)))</f>
        <v/>
      </c>
      <c r="BR298" s="5">
        <f>IF(A298="","",N(INDEX(Projects[Act Systems Commissioning],297)))</f>
        <v/>
      </c>
      <c r="BS298" s="5">
        <f>IF(A298="","",N(INDEX(Projects[Act Service Commissioning],297)))</f>
        <v/>
      </c>
      <c r="BT298" s="5">
        <f>IF(A298="","",N(INDEX(Projects[Act Controls Eng],297)))</f>
        <v/>
      </c>
      <c r="BU298" s="5">
        <f>IF(A298="","",N(INDEX(Projects[Act Controls Purchase],297)))</f>
        <v/>
      </c>
      <c r="BV298" s="5">
        <f>IF(A298="","",N(INDEX(Projects[Act Software Eng],297)))</f>
        <v/>
      </c>
      <c r="BW298" s="5">
        <f>IF(A298="","",N(INDEX(Projects[Act 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INDEX(Projects[Sold Value (USD M)],297)</f>
        <v/>
      </c>
      <c r="CE298" s="5" t="n"/>
      <c r="CF298" s="5">
        <f>IF(A298="","",N(INDEX(Projects[Est Mech Inst],297)))</f>
        <v/>
      </c>
      <c r="CG298" s="5">
        <f>IF(A298="","",N(INDEX(Projects[Est Elec Inst],297)))</f>
        <v/>
      </c>
      <c r="CH298" s="5">
        <f>IF(A298="","",N(INDEX(Projects[Est Project Management],297)))</f>
        <v/>
      </c>
      <c r="CI298" s="5">
        <f>IF(A298="","",N(INDEX(Projects[Est Systems Eng],297)))</f>
        <v/>
      </c>
      <c r="CJ298" s="5">
        <f>IF(A298="","",N(INDEX(Projects[Est Mechanical Eng],297)))</f>
        <v/>
      </c>
      <c r="CK298" s="5">
        <f>IF(A298="","",N(INDEX(Projects[Est Structural Engineering],297)))</f>
        <v/>
      </c>
      <c r="CL298" s="5">
        <f>IF(A298="","",N(INDEX(Projects[Est Site Sup],297)))</f>
        <v/>
      </c>
      <c r="CM298" s="5">
        <f>IF(A298="","",N(INDEX(Projects[Est Controls Commissioning],297)))</f>
        <v/>
      </c>
      <c r="CN298" s="5">
        <f>IF(A298="","",N(INDEX(Projects[Est Systems Commissioning],297)))</f>
        <v/>
      </c>
      <c r="CO298" s="5">
        <f>IF(A298="","",N(INDEX(Projects[Est Service Commissioning],297)))</f>
        <v/>
      </c>
      <c r="CP298" s="5">
        <f>IF(A298="","",N(INDEX(Projects[Est Controls Eng],297)))</f>
        <v/>
      </c>
      <c r="CQ298" s="5">
        <f>IF(A298="","",N(INDEX(Projects[Est Controls Purchase],297)))</f>
        <v/>
      </c>
      <c r="CR298" s="5">
        <f>IF(A298="","",N(INDEX(Projects[Est Software Eng],297)))</f>
        <v/>
      </c>
      <c r="CS298" s="5">
        <f>IF(A298="","",N(INDEX(Projects[Est Misc],297)))</f>
        <v/>
      </c>
      <c r="CT298" s="5">
        <f>IF(A298="","",SUM(CF298:CS298))</f>
        <v/>
      </c>
      <c r="CU298" s="5">
        <f>INDEX(Projects[Est Cost (M)],297)</f>
        <v/>
      </c>
      <c r="CV298" s="5">
        <f>INDEX(Projects[Act Cost (M)],297)</f>
        <v/>
      </c>
      <c r="CW298" s="5">
        <f>INDEX(Projects[Plan Mech Eng (wks)],297)</f>
        <v/>
      </c>
      <c r="CX298" s="5">
        <f>INDEX(Projects[Plan Controls Eng (wks)],297)</f>
        <v/>
      </c>
      <c r="CY298" s="5">
        <f>INDEX(Projects[Plan Systems Eng (wks)],297)</f>
        <v/>
      </c>
      <c r="CZ298" s="5">
        <f>INDEX(Projects[Plan Software Eng (wks)],297)</f>
        <v/>
      </c>
      <c r="DA298" s="5">
        <f>INDEX(Projects[Plan M&amp;E Installation (wks)],297)</f>
        <v/>
      </c>
      <c r="DB298" s="5">
        <f>INDEX(Projects[Plan Commissioning (wks)],297)</f>
        <v/>
      </c>
      <c r="DC298" s="5">
        <f>INDEX(Projects[Plan Total (wks)],297)</f>
        <v/>
      </c>
      <c r="DD298" s="5">
        <f>INDEX(Projects[Act Mech Eng (wks)],297)</f>
        <v/>
      </c>
      <c r="DE298" s="5">
        <f>INDEX(Projects[Act Controls Eng (wks)],297)</f>
        <v/>
      </c>
      <c r="DF298" s="5">
        <f>INDEX(Projects[Act Systems Eng (wks)],297)</f>
        <v/>
      </c>
      <c r="DG298" s="5">
        <f>INDEX(Projects[Act Software Eng (wks)],297)</f>
        <v/>
      </c>
      <c r="DH298" s="5">
        <f>INDEX(Projects[Act M&amp;E Installation (wks)],297)</f>
        <v/>
      </c>
      <c r="DI298" s="5">
        <f>INDEX(Projects[Act Commissioning (wks)],297)</f>
        <v/>
      </c>
      <c r="DJ298" s="5">
        <f>INDEX(Projects[Act Total (wks)],297)</f>
        <v/>
      </c>
    </row>
    <row r="299" ht="15" customHeight="1" s="82">
      <c r="A299" s="64">
        <f>INDEX(Projects[Project ID *],298)&amp;""</f>
        <v/>
      </c>
      <c r="B299" s="64">
        <f>INDEX(Projects[Project Name *],298)&amp;""</f>
        <v/>
      </c>
      <c r="C299" s="64">
        <f>INDEX(Projects[MS Shuttles],298)</f>
        <v/>
      </c>
      <c r="D299" s="64">
        <f>INDEX(Projects[MS Tote Locations],298)</f>
        <v/>
      </c>
      <c r="E299" s="64">
        <f>INDEX(Projects[AS Robots],298)</f>
        <v/>
      </c>
      <c r="F299" s="64">
        <f>INDEX(Projects[AS Tote Locations],298)</f>
        <v/>
      </c>
      <c r="G299" s="64">
        <f>INDEX(Projects[PS Shuttles],298)</f>
        <v/>
      </c>
      <c r="H299" s="64">
        <f>INDEX(Projects[PS Pallet Locations],298)</f>
        <v/>
      </c>
      <c r="I299" s="64">
        <f>INDEX(Projects[SRM Cranes],298)</f>
        <v/>
      </c>
      <c r="J299" s="64">
        <f>INDEX(Projects[SRM Pallet Locations],298)</f>
        <v/>
      </c>
      <c r="K299" s="64">
        <f>INDEX(Projects[Case Conv (m)],298)</f>
        <v/>
      </c>
      <c r="L299" s="64">
        <f>INDEX(Projects[Pallet Conv (m)],298)</f>
        <v/>
      </c>
      <c r="M299" s="64">
        <f>IF(N(DJ299)&gt;0,DD299,CW299)</f>
        <v/>
      </c>
      <c r="N299" s="64">
        <f>IF(N(DJ299)&gt;0,DE299,CX299)</f>
        <v/>
      </c>
      <c r="O299" s="64">
        <f>IF(N(DJ299)&gt;0,DF299,CY299)</f>
        <v/>
      </c>
      <c r="P299" s="64">
        <f>IF(N(DJ299)&gt;0,DG299,CZ299)</f>
        <v/>
      </c>
      <c r="Q299" s="64">
        <f>IF(N(DJ299)&gt;0,DH299,DA299)</f>
        <v/>
      </c>
      <c r="R299" s="64">
        <f>IF(N(DJ299)&gt;0,DI299,DB299)</f>
        <v/>
      </c>
      <c r="S299" s="64">
        <f>IF(N(DJ299)&gt;0,DJ299,DC299)</f>
        <v/>
      </c>
      <c r="T299" s="64">
        <f>INDEX(Projects[Currency],298)&amp;""</f>
        <v/>
      </c>
      <c r="U299" s="65">
        <f>INDEX(Projects[Sold Value (M)],298)</f>
        <v/>
      </c>
      <c r="V299" s="64">
        <f>IF('Smart Search'!B13=1,IFERROR(1/'Smart Search'!H13,0),0)</f>
        <v/>
      </c>
      <c r="W299" s="64">
        <f>IF('Smart Search'!B13=1,IFERROR(1/'Smart Search'!H13,0),0)</f>
        <v/>
      </c>
      <c r="X299" s="64">
        <f>IF('Smart Search'!C13=1,IFERROR(1/'Smart Search'!H13,0),0)</f>
        <v/>
      </c>
      <c r="Y299" s="64">
        <f>IF('Smart Search'!C13=1,IFERROR(1/'Smart Search'!H13,0),0)</f>
        <v/>
      </c>
      <c r="Z299" s="64">
        <f>IF('Smart Search'!D13=1,IFERROR(1/'Smart Search'!H13,0),0)</f>
        <v/>
      </c>
      <c r="AA299" s="64">
        <f>IF('Smart Search'!D13=1,IFERROR(1/'Smart Search'!H13,0),0)</f>
        <v/>
      </c>
      <c r="AB299" s="64">
        <f>IF('Smart Search'!E13=1,IFERROR(1/'Smart Search'!H13,0),0)</f>
        <v/>
      </c>
      <c r="AC299" s="64">
        <f>IF('Smart Search'!E13=1,IFERROR(1/'Smart Search'!H13,0),0)</f>
        <v/>
      </c>
      <c r="AD299" s="64">
        <f>IF('Smart Search'!F13=1,IFERROR(1/'Smart Search'!H13,0),0)</f>
        <v/>
      </c>
      <c r="AE299" s="64">
        <f>IF('Smart Search'!F13=1,IFERROR(1/'Smart Search'!H13,0),0)</f>
        <v/>
      </c>
      <c r="AF299" s="64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4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4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4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4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4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4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4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4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4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4">
        <f>AF299*V299</f>
        <v/>
      </c>
      <c r="AQ299" s="64">
        <f>AG299*W299</f>
        <v/>
      </c>
      <c r="AR299" s="64">
        <f>AH299*X299</f>
        <v/>
      </c>
      <c r="AS299" s="64">
        <f>AI299*Y299</f>
        <v/>
      </c>
      <c r="AT299" s="64">
        <f>AJ299*Z299</f>
        <v/>
      </c>
      <c r="AU299" s="64">
        <f>AK299*AA299</f>
        <v/>
      </c>
      <c r="AV299" s="64">
        <f>AL299*AB299</f>
        <v/>
      </c>
      <c r="AW299" s="64">
        <f>AM299*AC299</f>
        <v/>
      </c>
      <c r="AX299" s="64">
        <f>AN299*AD299</f>
        <v/>
      </c>
      <c r="AY299" s="64">
        <f>AO299*AE299</f>
        <v/>
      </c>
      <c r="AZ299" s="64">
        <f>INDEX(Projects[Automation Equipment],298)&amp;""</f>
        <v/>
      </c>
      <c r="BA299" s="64">
        <f>IF(OR(A299="",'Smart Search'!H13=0),"",MAX(0,BE299*BF299*MAX(0,1-BG299)))</f>
        <v/>
      </c>
      <c r="BB299" s="64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4">
        <f>IF('Smart Search'!G13=1,IFERROR(1/'Smart Search'!H13,0),0)</f>
        <v/>
      </c>
      <c r="BD299" s="64">
        <f>BB299*BC299</f>
        <v/>
      </c>
      <c r="BE299" s="64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IF(A299="","",N(INDEX(Projects[Act Mech Inst],298)))</f>
        <v/>
      </c>
      <c r="BK299" s="5">
        <f>IF(A299="","",N(INDEX(Projects[Act Elec Inst],298)))</f>
        <v/>
      </c>
      <c r="BL299" s="5">
        <f>IF(A299="","",N(INDEX(Projects[Act Project Management],298)))</f>
        <v/>
      </c>
      <c r="BM299" s="5">
        <f>IF(A299="","",N(INDEX(Projects[Act Systems Eng],298)))</f>
        <v/>
      </c>
      <c r="BN299" s="5">
        <f>IF(A299="","",N(INDEX(Projects[Act Mechanical Eng],298)))</f>
        <v/>
      </c>
      <c r="BO299" s="5">
        <f>IF(A299="","",N(INDEX(Projects[Act Structural Engineering],298)))</f>
        <v/>
      </c>
      <c r="BP299" s="5">
        <f>IF(A299="","",N(INDEX(Projects[Act Site Sup],298)))</f>
        <v/>
      </c>
      <c r="BQ299" s="5">
        <f>IF(A299="","",N(INDEX(Projects[Act Controls Commissioning],298)))</f>
        <v/>
      </c>
      <c r="BR299" s="5">
        <f>IF(A299="","",N(INDEX(Projects[Act Systems Commissioning],298)))</f>
        <v/>
      </c>
      <c r="BS299" s="5">
        <f>IF(A299="","",N(INDEX(Projects[Act Service Commissioning],298)))</f>
        <v/>
      </c>
      <c r="BT299" s="5">
        <f>IF(A299="","",N(INDEX(Projects[Act Controls Eng],298)))</f>
        <v/>
      </c>
      <c r="BU299" s="5">
        <f>IF(A299="","",N(INDEX(Projects[Act Controls Purchase],298)))</f>
        <v/>
      </c>
      <c r="BV299" s="5">
        <f>IF(A299="","",N(INDEX(Projects[Act Software Eng],298)))</f>
        <v/>
      </c>
      <c r="BW299" s="5">
        <f>IF(A299="","",N(INDEX(Projects[Act 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INDEX(Projects[Sold Value (USD M)],298)</f>
        <v/>
      </c>
      <c r="CE299" s="5" t="n"/>
      <c r="CF299" s="5">
        <f>IF(A299="","",N(INDEX(Projects[Est Mech Inst],298)))</f>
        <v/>
      </c>
      <c r="CG299" s="5">
        <f>IF(A299="","",N(INDEX(Projects[Est Elec Inst],298)))</f>
        <v/>
      </c>
      <c r="CH299" s="5">
        <f>IF(A299="","",N(INDEX(Projects[Est Project Management],298)))</f>
        <v/>
      </c>
      <c r="CI299" s="5">
        <f>IF(A299="","",N(INDEX(Projects[Est Systems Eng],298)))</f>
        <v/>
      </c>
      <c r="CJ299" s="5">
        <f>IF(A299="","",N(INDEX(Projects[Est Mechanical Eng],298)))</f>
        <v/>
      </c>
      <c r="CK299" s="5">
        <f>IF(A299="","",N(INDEX(Projects[Est Structural Engineering],298)))</f>
        <v/>
      </c>
      <c r="CL299" s="5">
        <f>IF(A299="","",N(INDEX(Projects[Est Site Sup],298)))</f>
        <v/>
      </c>
      <c r="CM299" s="5">
        <f>IF(A299="","",N(INDEX(Projects[Est Controls Commissioning],298)))</f>
        <v/>
      </c>
      <c r="CN299" s="5">
        <f>IF(A299="","",N(INDEX(Projects[Est Systems Commissioning],298)))</f>
        <v/>
      </c>
      <c r="CO299" s="5">
        <f>IF(A299="","",N(INDEX(Projects[Est Service Commissioning],298)))</f>
        <v/>
      </c>
      <c r="CP299" s="5">
        <f>IF(A299="","",N(INDEX(Projects[Est Controls Eng],298)))</f>
        <v/>
      </c>
      <c r="CQ299" s="5">
        <f>IF(A299="","",N(INDEX(Projects[Est Controls Purchase],298)))</f>
        <v/>
      </c>
      <c r="CR299" s="5">
        <f>IF(A299="","",N(INDEX(Projects[Est Software Eng],298)))</f>
        <v/>
      </c>
      <c r="CS299" s="5">
        <f>IF(A299="","",N(INDEX(Projects[Est Misc],298)))</f>
        <v/>
      </c>
      <c r="CT299" s="5">
        <f>IF(A299="","",SUM(CF299:CS299))</f>
        <v/>
      </c>
      <c r="CU299" s="5">
        <f>INDEX(Projects[Est Cost (M)],298)</f>
        <v/>
      </c>
      <c r="CV299" s="5">
        <f>INDEX(Projects[Act Cost (M)],298)</f>
        <v/>
      </c>
      <c r="CW299" s="5">
        <f>INDEX(Projects[Plan Mech Eng (wks)],298)</f>
        <v/>
      </c>
      <c r="CX299" s="5">
        <f>INDEX(Projects[Plan Controls Eng (wks)],298)</f>
        <v/>
      </c>
      <c r="CY299" s="5">
        <f>INDEX(Projects[Plan Systems Eng (wks)],298)</f>
        <v/>
      </c>
      <c r="CZ299" s="5">
        <f>INDEX(Projects[Plan Software Eng (wks)],298)</f>
        <v/>
      </c>
      <c r="DA299" s="5">
        <f>INDEX(Projects[Plan M&amp;E Installation (wks)],298)</f>
        <v/>
      </c>
      <c r="DB299" s="5">
        <f>INDEX(Projects[Plan Commissioning (wks)],298)</f>
        <v/>
      </c>
      <c r="DC299" s="5">
        <f>INDEX(Projects[Plan Total (wks)],298)</f>
        <v/>
      </c>
      <c r="DD299" s="5">
        <f>INDEX(Projects[Act Mech Eng (wks)],298)</f>
        <v/>
      </c>
      <c r="DE299" s="5">
        <f>INDEX(Projects[Act Controls Eng (wks)],298)</f>
        <v/>
      </c>
      <c r="DF299" s="5">
        <f>INDEX(Projects[Act Systems Eng (wks)],298)</f>
        <v/>
      </c>
      <c r="DG299" s="5">
        <f>INDEX(Projects[Act Software Eng (wks)],298)</f>
        <v/>
      </c>
      <c r="DH299" s="5">
        <f>INDEX(Projects[Act M&amp;E Installation (wks)],298)</f>
        <v/>
      </c>
      <c r="DI299" s="5">
        <f>INDEX(Projects[Act Commissioning (wks)],298)</f>
        <v/>
      </c>
      <c r="DJ299" s="5">
        <f>INDEX(Projects[Act Total (wks)],298)</f>
        <v/>
      </c>
    </row>
    <row r="300" ht="15" customHeight="1" s="82">
      <c r="A300" s="64">
        <f>INDEX(Projects[Project ID *],299)&amp;""</f>
        <v/>
      </c>
      <c r="B300" s="64">
        <f>INDEX(Projects[Project Name *],299)&amp;""</f>
        <v/>
      </c>
      <c r="C300" s="64">
        <f>INDEX(Projects[MS Shuttles],299)</f>
        <v/>
      </c>
      <c r="D300" s="64">
        <f>INDEX(Projects[MS Tote Locations],299)</f>
        <v/>
      </c>
      <c r="E300" s="64">
        <f>INDEX(Projects[AS Robots],299)</f>
        <v/>
      </c>
      <c r="F300" s="64">
        <f>INDEX(Projects[AS Tote Locations],299)</f>
        <v/>
      </c>
      <c r="G300" s="64">
        <f>INDEX(Projects[PS Shuttles],299)</f>
        <v/>
      </c>
      <c r="H300" s="64">
        <f>INDEX(Projects[PS Pallet Locations],299)</f>
        <v/>
      </c>
      <c r="I300" s="64">
        <f>INDEX(Projects[SRM Cranes],299)</f>
        <v/>
      </c>
      <c r="J300" s="64">
        <f>INDEX(Projects[SRM Pallet Locations],299)</f>
        <v/>
      </c>
      <c r="K300" s="64">
        <f>INDEX(Projects[Case Conv (m)],299)</f>
        <v/>
      </c>
      <c r="L300" s="64">
        <f>INDEX(Projects[Pallet Conv (m)],299)</f>
        <v/>
      </c>
      <c r="M300" s="64">
        <f>IF(N(DJ300)&gt;0,DD300,CW300)</f>
        <v/>
      </c>
      <c r="N300" s="64">
        <f>IF(N(DJ300)&gt;0,DE300,CX300)</f>
        <v/>
      </c>
      <c r="O300" s="64">
        <f>IF(N(DJ300)&gt;0,DF300,CY300)</f>
        <v/>
      </c>
      <c r="P300" s="64">
        <f>IF(N(DJ300)&gt;0,DG300,CZ300)</f>
        <v/>
      </c>
      <c r="Q300" s="64">
        <f>IF(N(DJ300)&gt;0,DH300,DA300)</f>
        <v/>
      </c>
      <c r="R300" s="64">
        <f>IF(N(DJ300)&gt;0,DI300,DB300)</f>
        <v/>
      </c>
      <c r="S300" s="64">
        <f>IF(N(DJ300)&gt;0,DJ300,DC300)</f>
        <v/>
      </c>
      <c r="T300" s="64">
        <f>INDEX(Projects[Currency],299)&amp;""</f>
        <v/>
      </c>
      <c r="U300" s="65">
        <f>INDEX(Projects[Sold Value (M)],299)</f>
        <v/>
      </c>
      <c r="V300" s="64">
        <f>IF('Smart Search'!B13=1,IFERROR(1/'Smart Search'!H13,0),0)</f>
        <v/>
      </c>
      <c r="W300" s="64">
        <f>IF('Smart Search'!B13=1,IFERROR(1/'Smart Search'!H13,0),0)</f>
        <v/>
      </c>
      <c r="X300" s="64">
        <f>IF('Smart Search'!C13=1,IFERROR(1/'Smart Search'!H13,0),0)</f>
        <v/>
      </c>
      <c r="Y300" s="64">
        <f>IF('Smart Search'!C13=1,IFERROR(1/'Smart Search'!H13,0),0)</f>
        <v/>
      </c>
      <c r="Z300" s="64">
        <f>IF('Smart Search'!D13=1,IFERROR(1/'Smart Search'!H13,0),0)</f>
        <v/>
      </c>
      <c r="AA300" s="64">
        <f>IF('Smart Search'!D13=1,IFERROR(1/'Smart Search'!H13,0),0)</f>
        <v/>
      </c>
      <c r="AB300" s="64">
        <f>IF('Smart Search'!E13=1,IFERROR(1/'Smart Search'!H13,0),0)</f>
        <v/>
      </c>
      <c r="AC300" s="64">
        <f>IF('Smart Search'!E13=1,IFERROR(1/'Smart Search'!H13,0),0)</f>
        <v/>
      </c>
      <c r="AD300" s="64">
        <f>IF('Smart Search'!F13=1,IFERROR(1/'Smart Search'!H13,0),0)</f>
        <v/>
      </c>
      <c r="AE300" s="64">
        <f>IF('Smart Search'!F13=1,IFERROR(1/'Smart Search'!H13,0),0)</f>
        <v/>
      </c>
      <c r="AF300" s="64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4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4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4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4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4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4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4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4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4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4">
        <f>AF300*V300</f>
        <v/>
      </c>
      <c r="AQ300" s="64">
        <f>AG300*W300</f>
        <v/>
      </c>
      <c r="AR300" s="64">
        <f>AH300*X300</f>
        <v/>
      </c>
      <c r="AS300" s="64">
        <f>AI300*Y300</f>
        <v/>
      </c>
      <c r="AT300" s="64">
        <f>AJ300*Z300</f>
        <v/>
      </c>
      <c r="AU300" s="64">
        <f>AK300*AA300</f>
        <v/>
      </c>
      <c r="AV300" s="64">
        <f>AL300*AB300</f>
        <v/>
      </c>
      <c r="AW300" s="64">
        <f>AM300*AC300</f>
        <v/>
      </c>
      <c r="AX300" s="64">
        <f>AN300*AD300</f>
        <v/>
      </c>
      <c r="AY300" s="64">
        <f>AO300*AE300</f>
        <v/>
      </c>
      <c r="AZ300" s="64">
        <f>INDEX(Projects[Automation Equipment],299)&amp;""</f>
        <v/>
      </c>
      <c r="BA300" s="64">
        <f>IF(OR(A300="",'Smart Search'!H13=0),"",MAX(0,BE300*BF300*MAX(0,1-BG300)))</f>
        <v/>
      </c>
      <c r="BB300" s="64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4">
        <f>IF('Smart Search'!G13=1,IFERROR(1/'Smart Search'!H13,0),0)</f>
        <v/>
      </c>
      <c r="BD300" s="64">
        <f>BB300*BC300</f>
        <v/>
      </c>
      <c r="BE300" s="64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IF(A300="","",N(INDEX(Projects[Act Mech Inst],299)))</f>
        <v/>
      </c>
      <c r="BK300" s="5">
        <f>IF(A300="","",N(INDEX(Projects[Act Elec Inst],299)))</f>
        <v/>
      </c>
      <c r="BL300" s="5">
        <f>IF(A300="","",N(INDEX(Projects[Act Project Management],299)))</f>
        <v/>
      </c>
      <c r="BM300" s="5">
        <f>IF(A300="","",N(INDEX(Projects[Act Systems Eng],299)))</f>
        <v/>
      </c>
      <c r="BN300" s="5">
        <f>IF(A300="","",N(INDEX(Projects[Act Mechanical Eng],299)))</f>
        <v/>
      </c>
      <c r="BO300" s="5">
        <f>IF(A300="","",N(INDEX(Projects[Act Structural Engineering],299)))</f>
        <v/>
      </c>
      <c r="BP300" s="5">
        <f>IF(A300="","",N(INDEX(Projects[Act Site Sup],299)))</f>
        <v/>
      </c>
      <c r="BQ300" s="5">
        <f>IF(A300="","",N(INDEX(Projects[Act Controls Commissioning],299)))</f>
        <v/>
      </c>
      <c r="BR300" s="5">
        <f>IF(A300="","",N(INDEX(Projects[Act Systems Commissioning],299)))</f>
        <v/>
      </c>
      <c r="BS300" s="5">
        <f>IF(A300="","",N(INDEX(Projects[Act Service Commissioning],299)))</f>
        <v/>
      </c>
      <c r="BT300" s="5">
        <f>IF(A300="","",N(INDEX(Projects[Act Controls Eng],299)))</f>
        <v/>
      </c>
      <c r="BU300" s="5">
        <f>IF(A300="","",N(INDEX(Projects[Act Controls Purchase],299)))</f>
        <v/>
      </c>
      <c r="BV300" s="5">
        <f>IF(A300="","",N(INDEX(Projects[Act Software Eng],299)))</f>
        <v/>
      </c>
      <c r="BW300" s="5">
        <f>IF(A300="","",N(INDEX(Projects[Act 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INDEX(Projects[Sold Value (USD M)],299)</f>
        <v/>
      </c>
      <c r="CE300" s="5" t="n"/>
      <c r="CF300" s="5">
        <f>IF(A300="","",N(INDEX(Projects[Est Mech Inst],299)))</f>
        <v/>
      </c>
      <c r="CG300" s="5">
        <f>IF(A300="","",N(INDEX(Projects[Est Elec Inst],299)))</f>
        <v/>
      </c>
      <c r="CH300" s="5">
        <f>IF(A300="","",N(INDEX(Projects[Est Project Management],299)))</f>
        <v/>
      </c>
      <c r="CI300" s="5">
        <f>IF(A300="","",N(INDEX(Projects[Est Systems Eng],299)))</f>
        <v/>
      </c>
      <c r="CJ300" s="5">
        <f>IF(A300="","",N(INDEX(Projects[Est Mechanical Eng],299)))</f>
        <v/>
      </c>
      <c r="CK300" s="5">
        <f>IF(A300="","",N(INDEX(Projects[Est Structural Engineering],299)))</f>
        <v/>
      </c>
      <c r="CL300" s="5">
        <f>IF(A300="","",N(INDEX(Projects[Est Site Sup],299)))</f>
        <v/>
      </c>
      <c r="CM300" s="5">
        <f>IF(A300="","",N(INDEX(Projects[Est Controls Commissioning],299)))</f>
        <v/>
      </c>
      <c r="CN300" s="5">
        <f>IF(A300="","",N(INDEX(Projects[Est Systems Commissioning],299)))</f>
        <v/>
      </c>
      <c r="CO300" s="5">
        <f>IF(A300="","",N(INDEX(Projects[Est Service Commissioning],299)))</f>
        <v/>
      </c>
      <c r="CP300" s="5">
        <f>IF(A300="","",N(INDEX(Projects[Est Controls Eng],299)))</f>
        <v/>
      </c>
      <c r="CQ300" s="5">
        <f>IF(A300="","",N(INDEX(Projects[Est Controls Purchase],299)))</f>
        <v/>
      </c>
      <c r="CR300" s="5">
        <f>IF(A300="","",N(INDEX(Projects[Est Software Eng],299)))</f>
        <v/>
      </c>
      <c r="CS300" s="5">
        <f>IF(A300="","",N(INDEX(Projects[Est Misc],299)))</f>
        <v/>
      </c>
      <c r="CT300" s="5">
        <f>IF(A300="","",SUM(CF300:CS300))</f>
        <v/>
      </c>
      <c r="CU300" s="5">
        <f>INDEX(Projects[Est Cost (M)],299)</f>
        <v/>
      </c>
      <c r="CV300" s="5">
        <f>INDEX(Projects[Act Cost (M)],299)</f>
        <v/>
      </c>
      <c r="CW300" s="5">
        <f>INDEX(Projects[Plan Mech Eng (wks)],299)</f>
        <v/>
      </c>
      <c r="CX300" s="5">
        <f>INDEX(Projects[Plan Controls Eng (wks)],299)</f>
        <v/>
      </c>
      <c r="CY300" s="5">
        <f>INDEX(Projects[Plan Systems Eng (wks)],299)</f>
        <v/>
      </c>
      <c r="CZ300" s="5">
        <f>INDEX(Projects[Plan Software Eng (wks)],299)</f>
        <v/>
      </c>
      <c r="DA300" s="5">
        <f>INDEX(Projects[Plan M&amp;E Installation (wks)],299)</f>
        <v/>
      </c>
      <c r="DB300" s="5">
        <f>INDEX(Projects[Plan Commissioning (wks)],299)</f>
        <v/>
      </c>
      <c r="DC300" s="5">
        <f>INDEX(Projects[Plan Total (wks)],299)</f>
        <v/>
      </c>
      <c r="DD300" s="5">
        <f>INDEX(Projects[Act Mech Eng (wks)],299)</f>
        <v/>
      </c>
      <c r="DE300" s="5">
        <f>INDEX(Projects[Act Controls Eng (wks)],299)</f>
        <v/>
      </c>
      <c r="DF300" s="5">
        <f>INDEX(Projects[Act Systems Eng (wks)],299)</f>
        <v/>
      </c>
      <c r="DG300" s="5">
        <f>INDEX(Projects[Act Software Eng (wks)],299)</f>
        <v/>
      </c>
      <c r="DH300" s="5">
        <f>INDEX(Projects[Act M&amp;E Installation (wks)],299)</f>
        <v/>
      </c>
      <c r="DI300" s="5">
        <f>INDEX(Projects[Act Commissioning (wks)],299)</f>
        <v/>
      </c>
      <c r="DJ300" s="5">
        <f>INDEX(Projects[Act Total (wks)],299)</f>
        <v/>
      </c>
    </row>
    <row r="301" ht="15" customHeight="1" s="82">
      <c r="A301" s="64">
        <f>INDEX(Projects[Project ID *],300)&amp;""</f>
        <v/>
      </c>
      <c r="B301" s="64">
        <f>INDEX(Projects[Project Name *],300)&amp;""</f>
        <v/>
      </c>
      <c r="C301" s="64">
        <f>INDEX(Projects[MS Shuttles],300)</f>
        <v/>
      </c>
      <c r="D301" s="64">
        <f>INDEX(Projects[MS Tote Locations],300)</f>
        <v/>
      </c>
      <c r="E301" s="64">
        <f>INDEX(Projects[AS Robots],300)</f>
        <v/>
      </c>
      <c r="F301" s="64">
        <f>INDEX(Projects[AS Tote Locations],300)</f>
        <v/>
      </c>
      <c r="G301" s="64">
        <f>INDEX(Projects[PS Shuttles],300)</f>
        <v/>
      </c>
      <c r="H301" s="64">
        <f>INDEX(Projects[PS Pallet Locations],300)</f>
        <v/>
      </c>
      <c r="I301" s="64">
        <f>INDEX(Projects[SRM Cranes],300)</f>
        <v/>
      </c>
      <c r="J301" s="64">
        <f>INDEX(Projects[SRM Pallet Locations],300)</f>
        <v/>
      </c>
      <c r="K301" s="64">
        <f>INDEX(Projects[Case Conv (m)],300)</f>
        <v/>
      </c>
      <c r="L301" s="64">
        <f>INDEX(Projects[Pallet Conv (m)],300)</f>
        <v/>
      </c>
      <c r="M301" s="64">
        <f>IF(N(DJ301)&gt;0,DD301,CW301)</f>
        <v/>
      </c>
      <c r="N301" s="64">
        <f>IF(N(DJ301)&gt;0,DE301,CX301)</f>
        <v/>
      </c>
      <c r="O301" s="64">
        <f>IF(N(DJ301)&gt;0,DF301,CY301)</f>
        <v/>
      </c>
      <c r="P301" s="64">
        <f>IF(N(DJ301)&gt;0,DG301,CZ301)</f>
        <v/>
      </c>
      <c r="Q301" s="64">
        <f>IF(N(DJ301)&gt;0,DH301,DA301)</f>
        <v/>
      </c>
      <c r="R301" s="64">
        <f>IF(N(DJ301)&gt;0,DI301,DB301)</f>
        <v/>
      </c>
      <c r="S301" s="64">
        <f>IF(N(DJ301)&gt;0,DJ301,DC301)</f>
        <v/>
      </c>
      <c r="T301" s="64">
        <f>INDEX(Projects[Currency],300)&amp;""</f>
        <v/>
      </c>
      <c r="U301" s="65">
        <f>INDEX(Projects[Sold Value (M)],300)</f>
        <v/>
      </c>
      <c r="V301" s="64">
        <f>IF('Smart Search'!B13=1,IFERROR(1/'Smart Search'!H13,0),0)</f>
        <v/>
      </c>
      <c r="W301" s="64">
        <f>IF('Smart Search'!B13=1,IFERROR(1/'Smart Search'!H13,0),0)</f>
        <v/>
      </c>
      <c r="X301" s="64">
        <f>IF('Smart Search'!C13=1,IFERROR(1/'Smart Search'!H13,0),0)</f>
        <v/>
      </c>
      <c r="Y301" s="64">
        <f>IF('Smart Search'!C13=1,IFERROR(1/'Smart Search'!H13,0),0)</f>
        <v/>
      </c>
      <c r="Z301" s="64">
        <f>IF('Smart Search'!D13=1,IFERROR(1/'Smart Search'!H13,0),0)</f>
        <v/>
      </c>
      <c r="AA301" s="64">
        <f>IF('Smart Search'!D13=1,IFERROR(1/'Smart Search'!H13,0),0)</f>
        <v/>
      </c>
      <c r="AB301" s="64">
        <f>IF('Smart Search'!E13=1,IFERROR(1/'Smart Search'!H13,0),0)</f>
        <v/>
      </c>
      <c r="AC301" s="64">
        <f>IF('Smart Search'!E13=1,IFERROR(1/'Smart Search'!H13,0),0)</f>
        <v/>
      </c>
      <c r="AD301" s="64">
        <f>IF('Smart Search'!F13=1,IFERROR(1/'Smart Search'!H13,0),0)</f>
        <v/>
      </c>
      <c r="AE301" s="64">
        <f>IF('Smart Search'!F13=1,IFERROR(1/'Smart Search'!H13,0),0)</f>
        <v/>
      </c>
      <c r="AF301" s="64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4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4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4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4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4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4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4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4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4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4">
        <f>AF301*V301</f>
        <v/>
      </c>
      <c r="AQ301" s="64">
        <f>AG301*W301</f>
        <v/>
      </c>
      <c r="AR301" s="64">
        <f>AH301*X301</f>
        <v/>
      </c>
      <c r="AS301" s="64">
        <f>AI301*Y301</f>
        <v/>
      </c>
      <c r="AT301" s="64">
        <f>AJ301*Z301</f>
        <v/>
      </c>
      <c r="AU301" s="64">
        <f>AK301*AA301</f>
        <v/>
      </c>
      <c r="AV301" s="64">
        <f>AL301*AB301</f>
        <v/>
      </c>
      <c r="AW301" s="64">
        <f>AM301*AC301</f>
        <v/>
      </c>
      <c r="AX301" s="64">
        <f>AN301*AD301</f>
        <v/>
      </c>
      <c r="AY301" s="64">
        <f>AO301*AE301</f>
        <v/>
      </c>
      <c r="AZ301" s="64">
        <f>INDEX(Projects[Automation Equipment],300)&amp;""</f>
        <v/>
      </c>
      <c r="BA301" s="64">
        <f>IF(OR(A301="",'Smart Search'!H13=0),"",MAX(0,BE301*BF301*MAX(0,1-BG301)))</f>
        <v/>
      </c>
      <c r="BB301" s="64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4">
        <f>IF('Smart Search'!G13=1,IFERROR(1/'Smart Search'!H13,0),0)</f>
        <v/>
      </c>
      <c r="BD301" s="64">
        <f>BB301*BC301</f>
        <v/>
      </c>
      <c r="BE301" s="64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IF(A301="","",N(INDEX(Projects[Act Mech Inst],300)))</f>
        <v/>
      </c>
      <c r="BK301" s="5">
        <f>IF(A301="","",N(INDEX(Projects[Act Elec Inst],300)))</f>
        <v/>
      </c>
      <c r="BL301" s="5">
        <f>IF(A301="","",N(INDEX(Projects[Act Project Management],300)))</f>
        <v/>
      </c>
      <c r="BM301" s="5">
        <f>IF(A301="","",N(INDEX(Projects[Act Systems Eng],300)))</f>
        <v/>
      </c>
      <c r="BN301" s="5">
        <f>IF(A301="","",N(INDEX(Projects[Act Mechanical Eng],300)))</f>
        <v/>
      </c>
      <c r="BO301" s="5">
        <f>IF(A301="","",N(INDEX(Projects[Act Structural Engineering],300)))</f>
        <v/>
      </c>
      <c r="BP301" s="5">
        <f>IF(A301="","",N(INDEX(Projects[Act Site Sup],300)))</f>
        <v/>
      </c>
      <c r="BQ301" s="5">
        <f>IF(A301="","",N(INDEX(Projects[Act Controls Commissioning],300)))</f>
        <v/>
      </c>
      <c r="BR301" s="5">
        <f>IF(A301="","",N(INDEX(Projects[Act Systems Commissioning],300)))</f>
        <v/>
      </c>
      <c r="BS301" s="5">
        <f>IF(A301="","",N(INDEX(Projects[Act Service Commissioning],300)))</f>
        <v/>
      </c>
      <c r="BT301" s="5">
        <f>IF(A301="","",N(INDEX(Projects[Act Controls Eng],300)))</f>
        <v/>
      </c>
      <c r="BU301" s="5">
        <f>IF(A301="","",N(INDEX(Projects[Act Controls Purchase],300)))</f>
        <v/>
      </c>
      <c r="BV301" s="5">
        <f>IF(A301="","",N(INDEX(Projects[Act Software Eng],300)))</f>
        <v/>
      </c>
      <c r="BW301" s="5">
        <f>IF(A301="","",N(INDEX(Projects[Act 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INDEX(Projects[Sold Value (USD M)],300)</f>
        <v/>
      </c>
      <c r="CE301" s="5" t="n"/>
      <c r="CF301" s="5">
        <f>IF(A301="","",N(INDEX(Projects[Est Mech Inst],300)))</f>
        <v/>
      </c>
      <c r="CG301" s="5">
        <f>IF(A301="","",N(INDEX(Projects[Est Elec Inst],300)))</f>
        <v/>
      </c>
      <c r="CH301" s="5">
        <f>IF(A301="","",N(INDEX(Projects[Est Project Management],300)))</f>
        <v/>
      </c>
      <c r="CI301" s="5">
        <f>IF(A301="","",N(INDEX(Projects[Est Systems Eng],300)))</f>
        <v/>
      </c>
      <c r="CJ301" s="5">
        <f>IF(A301="","",N(INDEX(Projects[Est Mechanical Eng],300)))</f>
        <v/>
      </c>
      <c r="CK301" s="5">
        <f>IF(A301="","",N(INDEX(Projects[Est Structural Engineering],300)))</f>
        <v/>
      </c>
      <c r="CL301" s="5">
        <f>IF(A301="","",N(INDEX(Projects[Est Site Sup],300)))</f>
        <v/>
      </c>
      <c r="CM301" s="5">
        <f>IF(A301="","",N(INDEX(Projects[Est Controls Commissioning],300)))</f>
        <v/>
      </c>
      <c r="CN301" s="5">
        <f>IF(A301="","",N(INDEX(Projects[Est Systems Commissioning],300)))</f>
        <v/>
      </c>
      <c r="CO301" s="5">
        <f>IF(A301="","",N(INDEX(Projects[Est Service Commissioning],300)))</f>
        <v/>
      </c>
      <c r="CP301" s="5">
        <f>IF(A301="","",N(INDEX(Projects[Est Controls Eng],300)))</f>
        <v/>
      </c>
      <c r="CQ301" s="5">
        <f>IF(A301="","",N(INDEX(Projects[Est Controls Purchase],300)))</f>
        <v/>
      </c>
      <c r="CR301" s="5">
        <f>IF(A301="","",N(INDEX(Projects[Est Software Eng],300)))</f>
        <v/>
      </c>
      <c r="CS301" s="5">
        <f>IF(A301="","",N(INDEX(Projects[Est Misc],300)))</f>
        <v/>
      </c>
      <c r="CT301" s="5">
        <f>IF(A301="","",SUM(CF301:CS301))</f>
        <v/>
      </c>
      <c r="CU301" s="5">
        <f>INDEX(Projects[Est Cost (M)],300)</f>
        <v/>
      </c>
      <c r="CV301" s="5">
        <f>INDEX(Projects[Act Cost (M)],300)</f>
        <v/>
      </c>
      <c r="CW301" s="5">
        <f>INDEX(Projects[Plan Mech Eng (wks)],300)</f>
        <v/>
      </c>
      <c r="CX301" s="5">
        <f>INDEX(Projects[Plan Controls Eng (wks)],300)</f>
        <v/>
      </c>
      <c r="CY301" s="5">
        <f>INDEX(Projects[Plan Systems Eng (wks)],300)</f>
        <v/>
      </c>
      <c r="CZ301" s="5">
        <f>INDEX(Projects[Plan Software Eng (wks)],300)</f>
        <v/>
      </c>
      <c r="DA301" s="5">
        <f>INDEX(Projects[Plan M&amp;E Installation (wks)],300)</f>
        <v/>
      </c>
      <c r="DB301" s="5">
        <f>INDEX(Projects[Plan Commissioning (wks)],300)</f>
        <v/>
      </c>
      <c r="DC301" s="5">
        <f>INDEX(Projects[Plan Total (wks)],300)</f>
        <v/>
      </c>
      <c r="DD301" s="5">
        <f>INDEX(Projects[Act Mech Eng (wks)],300)</f>
        <v/>
      </c>
      <c r="DE301" s="5">
        <f>INDEX(Projects[Act Controls Eng (wks)],300)</f>
        <v/>
      </c>
      <c r="DF301" s="5">
        <f>INDEX(Projects[Act Systems Eng (wks)],300)</f>
        <v/>
      </c>
      <c r="DG301" s="5">
        <f>INDEX(Projects[Act Software Eng (wks)],300)</f>
        <v/>
      </c>
      <c r="DH301" s="5">
        <f>INDEX(Projects[Act M&amp;E Installation (wks)],300)</f>
        <v/>
      </c>
      <c r="DI301" s="5">
        <f>INDEX(Projects[Act Commissioning (wks)],300)</f>
        <v/>
      </c>
      <c r="DJ301" s="5">
        <f>INDEX(Projects[Act Total (wks)],300)</f>
        <v/>
      </c>
    </row>
    <row r="302" ht="15" customHeight="1" s="82">
      <c r="A302" s="64">
        <f>INDEX(Projects[Project ID *],301)&amp;""</f>
        <v/>
      </c>
      <c r="B302" s="64">
        <f>INDEX(Projects[Project Name *],301)&amp;""</f>
        <v/>
      </c>
      <c r="C302" s="64">
        <f>INDEX(Projects[MS Shuttles],301)</f>
        <v/>
      </c>
      <c r="D302" s="64">
        <f>INDEX(Projects[MS Tote Locations],301)</f>
        <v/>
      </c>
      <c r="E302" s="64">
        <f>INDEX(Projects[AS Robots],301)</f>
        <v/>
      </c>
      <c r="F302" s="64">
        <f>INDEX(Projects[AS Tote Locations],301)</f>
        <v/>
      </c>
      <c r="G302" s="64">
        <f>INDEX(Projects[PS Shuttles],301)</f>
        <v/>
      </c>
      <c r="H302" s="64">
        <f>INDEX(Projects[PS Pallet Locations],301)</f>
        <v/>
      </c>
      <c r="I302" s="64">
        <f>INDEX(Projects[SRM Cranes],301)</f>
        <v/>
      </c>
      <c r="J302" s="64">
        <f>INDEX(Projects[SRM Pallet Locations],301)</f>
        <v/>
      </c>
      <c r="K302" s="64">
        <f>INDEX(Projects[Case Conv (m)],301)</f>
        <v/>
      </c>
      <c r="L302" s="64">
        <f>INDEX(Projects[Pallet Conv (m)],301)</f>
        <v/>
      </c>
      <c r="M302" s="64">
        <f>IF(N(DJ302)&gt;0,DD302,CW302)</f>
        <v/>
      </c>
      <c r="N302" s="64">
        <f>IF(N(DJ302)&gt;0,DE302,CX302)</f>
        <v/>
      </c>
      <c r="O302" s="64">
        <f>IF(N(DJ302)&gt;0,DF302,CY302)</f>
        <v/>
      </c>
      <c r="P302" s="64">
        <f>IF(N(DJ302)&gt;0,DG302,CZ302)</f>
        <v/>
      </c>
      <c r="Q302" s="64">
        <f>IF(N(DJ302)&gt;0,DH302,DA302)</f>
        <v/>
      </c>
      <c r="R302" s="64">
        <f>IF(N(DJ302)&gt;0,DI302,DB302)</f>
        <v/>
      </c>
      <c r="S302" s="64">
        <f>IF(N(DJ302)&gt;0,DJ302,DC302)</f>
        <v/>
      </c>
      <c r="T302" s="64">
        <f>INDEX(Projects[Currency],301)&amp;""</f>
        <v/>
      </c>
      <c r="U302" s="65">
        <f>INDEX(Projects[Sold Value (M)],301)</f>
        <v/>
      </c>
      <c r="V302" s="64">
        <f>IF('Smart Search'!B13=1,IFERROR(1/'Smart Search'!H13,0),0)</f>
        <v/>
      </c>
      <c r="W302" s="64">
        <f>IF('Smart Search'!B13=1,IFERROR(1/'Smart Search'!H13,0),0)</f>
        <v/>
      </c>
      <c r="X302" s="64">
        <f>IF('Smart Search'!C13=1,IFERROR(1/'Smart Search'!H13,0),0)</f>
        <v/>
      </c>
      <c r="Y302" s="64">
        <f>IF('Smart Search'!C13=1,IFERROR(1/'Smart Search'!H13,0),0)</f>
        <v/>
      </c>
      <c r="Z302" s="64">
        <f>IF('Smart Search'!D13=1,IFERROR(1/'Smart Search'!H13,0),0)</f>
        <v/>
      </c>
      <c r="AA302" s="64">
        <f>IF('Smart Search'!D13=1,IFERROR(1/'Smart Search'!H13,0),0)</f>
        <v/>
      </c>
      <c r="AB302" s="64">
        <f>IF('Smart Search'!E13=1,IFERROR(1/'Smart Search'!H13,0),0)</f>
        <v/>
      </c>
      <c r="AC302" s="64">
        <f>IF('Smart Search'!E13=1,IFERROR(1/'Smart Search'!H13,0),0)</f>
        <v/>
      </c>
      <c r="AD302" s="64">
        <f>IF('Smart Search'!F13=1,IFERROR(1/'Smart Search'!H13,0),0)</f>
        <v/>
      </c>
      <c r="AE302" s="64">
        <f>IF('Smart Search'!F13=1,IFERROR(1/'Smart Search'!H13,0),0)</f>
        <v/>
      </c>
      <c r="AF302" s="64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4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4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4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4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4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4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4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4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4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4">
        <f>AF302*V302</f>
        <v/>
      </c>
      <c r="AQ302" s="64">
        <f>AG302*W302</f>
        <v/>
      </c>
      <c r="AR302" s="64">
        <f>AH302*X302</f>
        <v/>
      </c>
      <c r="AS302" s="64">
        <f>AI302*Y302</f>
        <v/>
      </c>
      <c r="AT302" s="64">
        <f>AJ302*Z302</f>
        <v/>
      </c>
      <c r="AU302" s="64">
        <f>AK302*AA302</f>
        <v/>
      </c>
      <c r="AV302" s="64">
        <f>AL302*AB302</f>
        <v/>
      </c>
      <c r="AW302" s="64">
        <f>AM302*AC302</f>
        <v/>
      </c>
      <c r="AX302" s="64">
        <f>AN302*AD302</f>
        <v/>
      </c>
      <c r="AY302" s="64">
        <f>AO302*AE302</f>
        <v/>
      </c>
      <c r="AZ302" s="64">
        <f>INDEX(Projects[Automation Equipment],301)&amp;""</f>
        <v/>
      </c>
      <c r="BA302" s="64">
        <f>IF(OR(A302="",'Smart Search'!H13=0),"",MAX(0,BE302*BF302*MAX(0,1-BG302)))</f>
        <v/>
      </c>
      <c r="BB302" s="64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4">
        <f>IF('Smart Search'!G13=1,IFERROR(1/'Smart Search'!H13,0),0)</f>
        <v/>
      </c>
      <c r="BD302" s="64">
        <f>BB302*BC302</f>
        <v/>
      </c>
      <c r="BE302" s="64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IF(A302="","",N(INDEX(Projects[Act Mech Inst],301)))</f>
        <v/>
      </c>
      <c r="BK302" s="5">
        <f>IF(A302="","",N(INDEX(Projects[Act Elec Inst],301)))</f>
        <v/>
      </c>
      <c r="BL302" s="5">
        <f>IF(A302="","",N(INDEX(Projects[Act Project Management],301)))</f>
        <v/>
      </c>
      <c r="BM302" s="5">
        <f>IF(A302="","",N(INDEX(Projects[Act Systems Eng],301)))</f>
        <v/>
      </c>
      <c r="BN302" s="5">
        <f>IF(A302="","",N(INDEX(Projects[Act Mechanical Eng],301)))</f>
        <v/>
      </c>
      <c r="BO302" s="5">
        <f>IF(A302="","",N(INDEX(Projects[Act Structural Engineering],301)))</f>
        <v/>
      </c>
      <c r="BP302" s="5">
        <f>IF(A302="","",N(INDEX(Projects[Act Site Sup],301)))</f>
        <v/>
      </c>
      <c r="BQ302" s="5">
        <f>IF(A302="","",N(INDEX(Projects[Act Controls Commissioning],301)))</f>
        <v/>
      </c>
      <c r="BR302" s="5">
        <f>IF(A302="","",N(INDEX(Projects[Act Systems Commissioning],301)))</f>
        <v/>
      </c>
      <c r="BS302" s="5">
        <f>IF(A302="","",N(INDEX(Projects[Act Service Commissioning],301)))</f>
        <v/>
      </c>
      <c r="BT302" s="5">
        <f>IF(A302="","",N(INDEX(Projects[Act Controls Eng],301)))</f>
        <v/>
      </c>
      <c r="BU302" s="5">
        <f>IF(A302="","",N(INDEX(Projects[Act Controls Purchase],301)))</f>
        <v/>
      </c>
      <c r="BV302" s="5">
        <f>IF(A302="","",N(INDEX(Projects[Act Software Eng],301)))</f>
        <v/>
      </c>
      <c r="BW302" s="5">
        <f>IF(A302="","",N(INDEX(Projects[Act 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INDEX(Projects[Sold Value (USD M)],301)</f>
        <v/>
      </c>
      <c r="CE302" s="5" t="n"/>
      <c r="CF302" s="5">
        <f>IF(A302="","",N(INDEX(Projects[Est Mech Inst],301)))</f>
        <v/>
      </c>
      <c r="CG302" s="5">
        <f>IF(A302="","",N(INDEX(Projects[Est Elec Inst],301)))</f>
        <v/>
      </c>
      <c r="CH302" s="5">
        <f>IF(A302="","",N(INDEX(Projects[Est Project Management],301)))</f>
        <v/>
      </c>
      <c r="CI302" s="5">
        <f>IF(A302="","",N(INDEX(Projects[Est Systems Eng],301)))</f>
        <v/>
      </c>
      <c r="CJ302" s="5">
        <f>IF(A302="","",N(INDEX(Projects[Est Mechanical Eng],301)))</f>
        <v/>
      </c>
      <c r="CK302" s="5">
        <f>IF(A302="","",N(INDEX(Projects[Est Structural Engineering],301)))</f>
        <v/>
      </c>
      <c r="CL302" s="5">
        <f>IF(A302="","",N(INDEX(Projects[Est Site Sup],301)))</f>
        <v/>
      </c>
      <c r="CM302" s="5">
        <f>IF(A302="","",N(INDEX(Projects[Est Controls Commissioning],301)))</f>
        <v/>
      </c>
      <c r="CN302" s="5">
        <f>IF(A302="","",N(INDEX(Projects[Est Systems Commissioning],301)))</f>
        <v/>
      </c>
      <c r="CO302" s="5">
        <f>IF(A302="","",N(INDEX(Projects[Est Service Commissioning],301)))</f>
        <v/>
      </c>
      <c r="CP302" s="5">
        <f>IF(A302="","",N(INDEX(Projects[Est Controls Eng],301)))</f>
        <v/>
      </c>
      <c r="CQ302" s="5">
        <f>IF(A302="","",N(INDEX(Projects[Est Controls Purchase],301)))</f>
        <v/>
      </c>
      <c r="CR302" s="5">
        <f>IF(A302="","",N(INDEX(Projects[Est Software Eng],301)))</f>
        <v/>
      </c>
      <c r="CS302" s="5">
        <f>IF(A302="","",N(INDEX(Projects[Est Misc],301)))</f>
        <v/>
      </c>
      <c r="CT302" s="5">
        <f>IF(A302="","",SUM(CF302:CS302))</f>
        <v/>
      </c>
      <c r="CU302" s="5">
        <f>INDEX(Projects[Est Cost (M)],301)</f>
        <v/>
      </c>
      <c r="CV302" s="5">
        <f>INDEX(Projects[Act Cost (M)],301)</f>
        <v/>
      </c>
      <c r="CW302" s="5">
        <f>INDEX(Projects[Plan Mech Eng (wks)],301)</f>
        <v/>
      </c>
      <c r="CX302" s="5">
        <f>INDEX(Projects[Plan Controls Eng (wks)],301)</f>
        <v/>
      </c>
      <c r="CY302" s="5">
        <f>INDEX(Projects[Plan Systems Eng (wks)],301)</f>
        <v/>
      </c>
      <c r="CZ302" s="5">
        <f>INDEX(Projects[Plan Software Eng (wks)],301)</f>
        <v/>
      </c>
      <c r="DA302" s="5">
        <f>INDEX(Projects[Plan M&amp;E Installation (wks)],301)</f>
        <v/>
      </c>
      <c r="DB302" s="5">
        <f>INDEX(Projects[Plan Commissioning (wks)],301)</f>
        <v/>
      </c>
      <c r="DC302" s="5">
        <f>INDEX(Projects[Plan Total (wks)],301)</f>
        <v/>
      </c>
      <c r="DD302" s="5">
        <f>INDEX(Projects[Act Mech Eng (wks)],301)</f>
        <v/>
      </c>
      <c r="DE302" s="5">
        <f>INDEX(Projects[Act Controls Eng (wks)],301)</f>
        <v/>
      </c>
      <c r="DF302" s="5">
        <f>INDEX(Projects[Act Systems Eng (wks)],301)</f>
        <v/>
      </c>
      <c r="DG302" s="5">
        <f>INDEX(Projects[Act Software Eng (wks)],301)</f>
        <v/>
      </c>
      <c r="DH302" s="5">
        <f>INDEX(Projects[Act M&amp;E Installation (wks)],301)</f>
        <v/>
      </c>
      <c r="DI302" s="5">
        <f>INDEX(Projects[Act Commissioning (wks)],301)</f>
        <v/>
      </c>
      <c r="DJ302" s="5">
        <f>INDEX(Projects[Act Total (wks)],301)</f>
        <v/>
      </c>
    </row>
    <row r="303" ht="15" customHeight="1" s="82">
      <c r="A303" s="64">
        <f>INDEX(Projects[Project ID *],302)&amp;""</f>
        <v/>
      </c>
      <c r="B303" s="64">
        <f>INDEX(Projects[Project Name *],302)&amp;""</f>
        <v/>
      </c>
      <c r="C303" s="64">
        <f>INDEX(Projects[MS Shuttles],302)</f>
        <v/>
      </c>
      <c r="D303" s="64">
        <f>INDEX(Projects[MS Tote Locations],302)</f>
        <v/>
      </c>
      <c r="E303" s="64">
        <f>INDEX(Projects[AS Robots],302)</f>
        <v/>
      </c>
      <c r="F303" s="64">
        <f>INDEX(Projects[AS Tote Locations],302)</f>
        <v/>
      </c>
      <c r="G303" s="64">
        <f>INDEX(Projects[PS Shuttles],302)</f>
        <v/>
      </c>
      <c r="H303" s="64">
        <f>INDEX(Projects[PS Pallet Locations],302)</f>
        <v/>
      </c>
      <c r="I303" s="64">
        <f>INDEX(Projects[SRM Cranes],302)</f>
        <v/>
      </c>
      <c r="J303" s="64">
        <f>INDEX(Projects[SRM Pallet Locations],302)</f>
        <v/>
      </c>
      <c r="K303" s="64">
        <f>INDEX(Projects[Case Conv (m)],302)</f>
        <v/>
      </c>
      <c r="L303" s="64">
        <f>INDEX(Projects[Pallet Conv (m)],302)</f>
        <v/>
      </c>
      <c r="M303" s="64">
        <f>IF(N(DJ303)&gt;0,DD303,CW303)</f>
        <v/>
      </c>
      <c r="N303" s="64">
        <f>IF(N(DJ303)&gt;0,DE303,CX303)</f>
        <v/>
      </c>
      <c r="O303" s="64">
        <f>IF(N(DJ303)&gt;0,DF303,CY303)</f>
        <v/>
      </c>
      <c r="P303" s="64">
        <f>IF(N(DJ303)&gt;0,DG303,CZ303)</f>
        <v/>
      </c>
      <c r="Q303" s="64">
        <f>IF(N(DJ303)&gt;0,DH303,DA303)</f>
        <v/>
      </c>
      <c r="R303" s="64">
        <f>IF(N(DJ303)&gt;0,DI303,DB303)</f>
        <v/>
      </c>
      <c r="S303" s="64">
        <f>IF(N(DJ303)&gt;0,DJ303,DC303)</f>
        <v/>
      </c>
      <c r="T303" s="64">
        <f>INDEX(Projects[Currency],302)&amp;""</f>
        <v/>
      </c>
      <c r="U303" s="65">
        <f>INDEX(Projects[Sold Value (M)],302)</f>
        <v/>
      </c>
      <c r="V303" s="64">
        <f>IF('Smart Search'!B13=1,IFERROR(1/'Smart Search'!H13,0),0)</f>
        <v/>
      </c>
      <c r="W303" s="64">
        <f>IF('Smart Search'!B13=1,IFERROR(1/'Smart Search'!H13,0),0)</f>
        <v/>
      </c>
      <c r="X303" s="64">
        <f>IF('Smart Search'!C13=1,IFERROR(1/'Smart Search'!H13,0),0)</f>
        <v/>
      </c>
      <c r="Y303" s="64">
        <f>IF('Smart Search'!C13=1,IFERROR(1/'Smart Search'!H13,0),0)</f>
        <v/>
      </c>
      <c r="Z303" s="64">
        <f>IF('Smart Search'!D13=1,IFERROR(1/'Smart Search'!H13,0),0)</f>
        <v/>
      </c>
      <c r="AA303" s="64">
        <f>IF('Smart Search'!D13=1,IFERROR(1/'Smart Search'!H13,0),0)</f>
        <v/>
      </c>
      <c r="AB303" s="64">
        <f>IF('Smart Search'!E13=1,IFERROR(1/'Smart Search'!H13,0),0)</f>
        <v/>
      </c>
      <c r="AC303" s="64">
        <f>IF('Smart Search'!E13=1,IFERROR(1/'Smart Search'!H13,0),0)</f>
        <v/>
      </c>
      <c r="AD303" s="64">
        <f>IF('Smart Search'!F13=1,IFERROR(1/'Smart Search'!H13,0),0)</f>
        <v/>
      </c>
      <c r="AE303" s="64">
        <f>IF('Smart Search'!F13=1,IFERROR(1/'Smart Search'!H13,0),0)</f>
        <v/>
      </c>
      <c r="AF303" s="64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4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4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4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4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4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4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4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4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4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4">
        <f>AF303*V303</f>
        <v/>
      </c>
      <c r="AQ303" s="64">
        <f>AG303*W303</f>
        <v/>
      </c>
      <c r="AR303" s="64">
        <f>AH303*X303</f>
        <v/>
      </c>
      <c r="AS303" s="64">
        <f>AI303*Y303</f>
        <v/>
      </c>
      <c r="AT303" s="64">
        <f>AJ303*Z303</f>
        <v/>
      </c>
      <c r="AU303" s="64">
        <f>AK303*AA303</f>
        <v/>
      </c>
      <c r="AV303" s="64">
        <f>AL303*AB303</f>
        <v/>
      </c>
      <c r="AW303" s="64">
        <f>AM303*AC303</f>
        <v/>
      </c>
      <c r="AX303" s="64">
        <f>AN303*AD303</f>
        <v/>
      </c>
      <c r="AY303" s="64">
        <f>AO303*AE303</f>
        <v/>
      </c>
      <c r="AZ303" s="64">
        <f>INDEX(Projects[Automation Equipment],302)&amp;""</f>
        <v/>
      </c>
      <c r="BA303" s="64">
        <f>IF(OR(A303="",'Smart Search'!H13=0),"",MAX(0,BE303*BF303*MAX(0,1-BG303)))</f>
        <v/>
      </c>
      <c r="BB303" s="64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4">
        <f>IF('Smart Search'!G13=1,IFERROR(1/'Smart Search'!H13,0),0)</f>
        <v/>
      </c>
      <c r="BD303" s="64">
        <f>BB303*BC303</f>
        <v/>
      </c>
      <c r="BE303" s="64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IF(A303="","",N(INDEX(Projects[Act Mech Inst],302)))</f>
        <v/>
      </c>
      <c r="BK303" s="5">
        <f>IF(A303="","",N(INDEX(Projects[Act Elec Inst],302)))</f>
        <v/>
      </c>
      <c r="BL303" s="5">
        <f>IF(A303="","",N(INDEX(Projects[Act Project Management],302)))</f>
        <v/>
      </c>
      <c r="BM303" s="5">
        <f>IF(A303="","",N(INDEX(Projects[Act Systems Eng],302)))</f>
        <v/>
      </c>
      <c r="BN303" s="5">
        <f>IF(A303="","",N(INDEX(Projects[Act Mechanical Eng],302)))</f>
        <v/>
      </c>
      <c r="BO303" s="5">
        <f>IF(A303="","",N(INDEX(Projects[Act Structural Engineering],302)))</f>
        <v/>
      </c>
      <c r="BP303" s="5">
        <f>IF(A303="","",N(INDEX(Projects[Act Site Sup],302)))</f>
        <v/>
      </c>
      <c r="BQ303" s="5">
        <f>IF(A303="","",N(INDEX(Projects[Act Controls Commissioning],302)))</f>
        <v/>
      </c>
      <c r="BR303" s="5">
        <f>IF(A303="","",N(INDEX(Projects[Act Systems Commissioning],302)))</f>
        <v/>
      </c>
      <c r="BS303" s="5">
        <f>IF(A303="","",N(INDEX(Projects[Act Service Commissioning],302)))</f>
        <v/>
      </c>
      <c r="BT303" s="5">
        <f>IF(A303="","",N(INDEX(Projects[Act Controls Eng],302)))</f>
        <v/>
      </c>
      <c r="BU303" s="5">
        <f>IF(A303="","",N(INDEX(Projects[Act Controls Purchase],302)))</f>
        <v/>
      </c>
      <c r="BV303" s="5">
        <f>IF(A303="","",N(INDEX(Projects[Act Software Eng],302)))</f>
        <v/>
      </c>
      <c r="BW303" s="5">
        <f>IF(A303="","",N(INDEX(Projects[Act 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INDEX(Projects[Sold Value (USD M)],302)</f>
        <v/>
      </c>
      <c r="CE303" s="5" t="n"/>
      <c r="CF303" s="5">
        <f>IF(A303="","",N(INDEX(Projects[Est Mech Inst],302)))</f>
        <v/>
      </c>
      <c r="CG303" s="5">
        <f>IF(A303="","",N(INDEX(Projects[Est Elec Inst],302)))</f>
        <v/>
      </c>
      <c r="CH303" s="5">
        <f>IF(A303="","",N(INDEX(Projects[Est Project Management],302)))</f>
        <v/>
      </c>
      <c r="CI303" s="5">
        <f>IF(A303="","",N(INDEX(Projects[Est Systems Eng],302)))</f>
        <v/>
      </c>
      <c r="CJ303" s="5">
        <f>IF(A303="","",N(INDEX(Projects[Est Mechanical Eng],302)))</f>
        <v/>
      </c>
      <c r="CK303" s="5">
        <f>IF(A303="","",N(INDEX(Projects[Est Structural Engineering],302)))</f>
        <v/>
      </c>
      <c r="CL303" s="5">
        <f>IF(A303="","",N(INDEX(Projects[Est Site Sup],302)))</f>
        <v/>
      </c>
      <c r="CM303" s="5">
        <f>IF(A303="","",N(INDEX(Projects[Est Controls Commissioning],302)))</f>
        <v/>
      </c>
      <c r="CN303" s="5">
        <f>IF(A303="","",N(INDEX(Projects[Est Systems Commissioning],302)))</f>
        <v/>
      </c>
      <c r="CO303" s="5">
        <f>IF(A303="","",N(INDEX(Projects[Est Service Commissioning],302)))</f>
        <v/>
      </c>
      <c r="CP303" s="5">
        <f>IF(A303="","",N(INDEX(Projects[Est Controls Eng],302)))</f>
        <v/>
      </c>
      <c r="CQ303" s="5">
        <f>IF(A303="","",N(INDEX(Projects[Est Controls Purchase],302)))</f>
        <v/>
      </c>
      <c r="CR303" s="5">
        <f>IF(A303="","",N(INDEX(Projects[Est Software Eng],302)))</f>
        <v/>
      </c>
      <c r="CS303" s="5">
        <f>IF(A303="","",N(INDEX(Projects[Est Misc],302)))</f>
        <v/>
      </c>
      <c r="CT303" s="5">
        <f>IF(A303="","",SUM(CF303:CS303))</f>
        <v/>
      </c>
      <c r="CU303" s="5">
        <f>INDEX(Projects[Est Cost (M)],302)</f>
        <v/>
      </c>
      <c r="CV303" s="5">
        <f>INDEX(Projects[Act Cost (M)],302)</f>
        <v/>
      </c>
      <c r="CW303" s="5">
        <f>INDEX(Projects[Plan Mech Eng (wks)],302)</f>
        <v/>
      </c>
      <c r="CX303" s="5">
        <f>INDEX(Projects[Plan Controls Eng (wks)],302)</f>
        <v/>
      </c>
      <c r="CY303" s="5">
        <f>INDEX(Projects[Plan Systems Eng (wks)],302)</f>
        <v/>
      </c>
      <c r="CZ303" s="5">
        <f>INDEX(Projects[Plan Software Eng (wks)],302)</f>
        <v/>
      </c>
      <c r="DA303" s="5">
        <f>INDEX(Projects[Plan M&amp;E Installation (wks)],302)</f>
        <v/>
      </c>
      <c r="DB303" s="5">
        <f>INDEX(Projects[Plan Commissioning (wks)],302)</f>
        <v/>
      </c>
      <c r="DC303" s="5">
        <f>INDEX(Projects[Plan Total (wks)],302)</f>
        <v/>
      </c>
      <c r="DD303" s="5">
        <f>INDEX(Projects[Act Mech Eng (wks)],302)</f>
        <v/>
      </c>
      <c r="DE303" s="5">
        <f>INDEX(Projects[Act Controls Eng (wks)],302)</f>
        <v/>
      </c>
      <c r="DF303" s="5">
        <f>INDEX(Projects[Act Systems Eng (wks)],302)</f>
        <v/>
      </c>
      <c r="DG303" s="5">
        <f>INDEX(Projects[Act Software Eng (wks)],302)</f>
        <v/>
      </c>
      <c r="DH303" s="5">
        <f>INDEX(Projects[Act M&amp;E Installation (wks)],302)</f>
        <v/>
      </c>
      <c r="DI303" s="5">
        <f>INDEX(Projects[Act Commissioning (wks)],302)</f>
        <v/>
      </c>
      <c r="DJ303" s="5">
        <f>INDEX(Projects[Act Total (wks)],302)</f>
        <v/>
      </c>
    </row>
    <row r="304" ht="15" customHeight="1" s="82">
      <c r="A304" s="64">
        <f>INDEX(Projects[Project ID *],303)&amp;""</f>
        <v/>
      </c>
      <c r="B304" s="64">
        <f>INDEX(Projects[Project Name *],303)&amp;""</f>
        <v/>
      </c>
      <c r="C304" s="64">
        <f>INDEX(Projects[MS Shuttles],303)</f>
        <v/>
      </c>
      <c r="D304" s="64">
        <f>INDEX(Projects[MS Tote Locations],303)</f>
        <v/>
      </c>
      <c r="E304" s="64">
        <f>INDEX(Projects[AS Robots],303)</f>
        <v/>
      </c>
      <c r="F304" s="64">
        <f>INDEX(Projects[AS Tote Locations],303)</f>
        <v/>
      </c>
      <c r="G304" s="64">
        <f>INDEX(Projects[PS Shuttles],303)</f>
        <v/>
      </c>
      <c r="H304" s="64">
        <f>INDEX(Projects[PS Pallet Locations],303)</f>
        <v/>
      </c>
      <c r="I304" s="64">
        <f>INDEX(Projects[SRM Cranes],303)</f>
        <v/>
      </c>
      <c r="J304" s="64">
        <f>INDEX(Projects[SRM Pallet Locations],303)</f>
        <v/>
      </c>
      <c r="K304" s="64">
        <f>INDEX(Projects[Case Conv (m)],303)</f>
        <v/>
      </c>
      <c r="L304" s="64">
        <f>INDEX(Projects[Pallet Conv (m)],303)</f>
        <v/>
      </c>
      <c r="M304" s="64">
        <f>IF(N(DJ304)&gt;0,DD304,CW304)</f>
        <v/>
      </c>
      <c r="N304" s="64">
        <f>IF(N(DJ304)&gt;0,DE304,CX304)</f>
        <v/>
      </c>
      <c r="O304" s="64">
        <f>IF(N(DJ304)&gt;0,DF304,CY304)</f>
        <v/>
      </c>
      <c r="P304" s="64">
        <f>IF(N(DJ304)&gt;0,DG304,CZ304)</f>
        <v/>
      </c>
      <c r="Q304" s="64">
        <f>IF(N(DJ304)&gt;0,DH304,DA304)</f>
        <v/>
      </c>
      <c r="R304" s="64">
        <f>IF(N(DJ304)&gt;0,DI304,DB304)</f>
        <v/>
      </c>
      <c r="S304" s="64">
        <f>IF(N(DJ304)&gt;0,DJ304,DC304)</f>
        <v/>
      </c>
      <c r="T304" s="64">
        <f>INDEX(Projects[Currency],303)&amp;""</f>
        <v/>
      </c>
      <c r="U304" s="65">
        <f>INDEX(Projects[Sold Value (M)],303)</f>
        <v/>
      </c>
      <c r="V304" s="64">
        <f>IF('Smart Search'!B13=1,IFERROR(1/'Smart Search'!H13,0),0)</f>
        <v/>
      </c>
      <c r="W304" s="64">
        <f>IF('Smart Search'!B13=1,IFERROR(1/'Smart Search'!H13,0),0)</f>
        <v/>
      </c>
      <c r="X304" s="64">
        <f>IF('Smart Search'!C13=1,IFERROR(1/'Smart Search'!H13,0),0)</f>
        <v/>
      </c>
      <c r="Y304" s="64">
        <f>IF('Smart Search'!C13=1,IFERROR(1/'Smart Search'!H13,0),0)</f>
        <v/>
      </c>
      <c r="Z304" s="64">
        <f>IF('Smart Search'!D13=1,IFERROR(1/'Smart Search'!H13,0),0)</f>
        <v/>
      </c>
      <c r="AA304" s="64">
        <f>IF('Smart Search'!D13=1,IFERROR(1/'Smart Search'!H13,0),0)</f>
        <v/>
      </c>
      <c r="AB304" s="64">
        <f>IF('Smart Search'!E13=1,IFERROR(1/'Smart Search'!H13,0),0)</f>
        <v/>
      </c>
      <c r="AC304" s="64">
        <f>IF('Smart Search'!E13=1,IFERROR(1/'Smart Search'!H13,0),0)</f>
        <v/>
      </c>
      <c r="AD304" s="64">
        <f>IF('Smart Search'!F13=1,IFERROR(1/'Smart Search'!H13,0),0)</f>
        <v/>
      </c>
      <c r="AE304" s="64">
        <f>IF('Smart Search'!F13=1,IFERROR(1/'Smart Search'!H13,0),0)</f>
        <v/>
      </c>
      <c r="AF304" s="64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4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4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4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4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4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4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4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4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4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4">
        <f>AF304*V304</f>
        <v/>
      </c>
      <c r="AQ304" s="64">
        <f>AG304*W304</f>
        <v/>
      </c>
      <c r="AR304" s="64">
        <f>AH304*X304</f>
        <v/>
      </c>
      <c r="AS304" s="64">
        <f>AI304*Y304</f>
        <v/>
      </c>
      <c r="AT304" s="64">
        <f>AJ304*Z304</f>
        <v/>
      </c>
      <c r="AU304" s="64">
        <f>AK304*AA304</f>
        <v/>
      </c>
      <c r="AV304" s="64">
        <f>AL304*AB304</f>
        <v/>
      </c>
      <c r="AW304" s="64">
        <f>AM304*AC304</f>
        <v/>
      </c>
      <c r="AX304" s="64">
        <f>AN304*AD304</f>
        <v/>
      </c>
      <c r="AY304" s="64">
        <f>AO304*AE304</f>
        <v/>
      </c>
      <c r="AZ304" s="64">
        <f>INDEX(Projects[Automation Equipment],303)&amp;""</f>
        <v/>
      </c>
      <c r="BA304" s="64">
        <f>IF(OR(A304="",'Smart Search'!H13=0),"",MAX(0,BE304*BF304*MAX(0,1-BG304)))</f>
        <v/>
      </c>
      <c r="BB304" s="64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4">
        <f>IF('Smart Search'!G13=1,IFERROR(1/'Smart Search'!H13,0),0)</f>
        <v/>
      </c>
      <c r="BD304" s="64">
        <f>BB304*BC304</f>
        <v/>
      </c>
      <c r="BE304" s="64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IF(A304="","",N(INDEX(Projects[Act Mech Inst],303)))</f>
        <v/>
      </c>
      <c r="BK304" s="5">
        <f>IF(A304="","",N(INDEX(Projects[Act Elec Inst],303)))</f>
        <v/>
      </c>
      <c r="BL304" s="5">
        <f>IF(A304="","",N(INDEX(Projects[Act Project Management],303)))</f>
        <v/>
      </c>
      <c r="BM304" s="5">
        <f>IF(A304="","",N(INDEX(Projects[Act Systems Eng],303)))</f>
        <v/>
      </c>
      <c r="BN304" s="5">
        <f>IF(A304="","",N(INDEX(Projects[Act Mechanical Eng],303)))</f>
        <v/>
      </c>
      <c r="BO304" s="5">
        <f>IF(A304="","",N(INDEX(Projects[Act Structural Engineering],303)))</f>
        <v/>
      </c>
      <c r="BP304" s="5">
        <f>IF(A304="","",N(INDEX(Projects[Act Site Sup],303)))</f>
        <v/>
      </c>
      <c r="BQ304" s="5">
        <f>IF(A304="","",N(INDEX(Projects[Act Controls Commissioning],303)))</f>
        <v/>
      </c>
      <c r="BR304" s="5">
        <f>IF(A304="","",N(INDEX(Projects[Act Systems Commissioning],303)))</f>
        <v/>
      </c>
      <c r="BS304" s="5">
        <f>IF(A304="","",N(INDEX(Projects[Act Service Commissioning],303)))</f>
        <v/>
      </c>
      <c r="BT304" s="5">
        <f>IF(A304="","",N(INDEX(Projects[Act Controls Eng],303)))</f>
        <v/>
      </c>
      <c r="BU304" s="5">
        <f>IF(A304="","",N(INDEX(Projects[Act Controls Purchase],303)))</f>
        <v/>
      </c>
      <c r="BV304" s="5">
        <f>IF(A304="","",N(INDEX(Projects[Act Software Eng],303)))</f>
        <v/>
      </c>
      <c r="BW304" s="5">
        <f>IF(A304="","",N(INDEX(Projects[Act 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INDEX(Projects[Sold Value (USD M)],303)</f>
        <v/>
      </c>
      <c r="CE304" s="5" t="n"/>
      <c r="CF304" s="5">
        <f>IF(A304="","",N(INDEX(Projects[Est Mech Inst],303)))</f>
        <v/>
      </c>
      <c r="CG304" s="5">
        <f>IF(A304="","",N(INDEX(Projects[Est Elec Inst],303)))</f>
        <v/>
      </c>
      <c r="CH304" s="5">
        <f>IF(A304="","",N(INDEX(Projects[Est Project Management],303)))</f>
        <v/>
      </c>
      <c r="CI304" s="5">
        <f>IF(A304="","",N(INDEX(Projects[Est Systems Eng],303)))</f>
        <v/>
      </c>
      <c r="CJ304" s="5">
        <f>IF(A304="","",N(INDEX(Projects[Est Mechanical Eng],303)))</f>
        <v/>
      </c>
      <c r="CK304" s="5">
        <f>IF(A304="","",N(INDEX(Projects[Est Structural Engineering],303)))</f>
        <v/>
      </c>
      <c r="CL304" s="5">
        <f>IF(A304="","",N(INDEX(Projects[Est Site Sup],303)))</f>
        <v/>
      </c>
      <c r="CM304" s="5">
        <f>IF(A304="","",N(INDEX(Projects[Est Controls Commissioning],303)))</f>
        <v/>
      </c>
      <c r="CN304" s="5">
        <f>IF(A304="","",N(INDEX(Projects[Est Systems Commissioning],303)))</f>
        <v/>
      </c>
      <c r="CO304" s="5">
        <f>IF(A304="","",N(INDEX(Projects[Est Service Commissioning],303)))</f>
        <v/>
      </c>
      <c r="CP304" s="5">
        <f>IF(A304="","",N(INDEX(Projects[Est Controls Eng],303)))</f>
        <v/>
      </c>
      <c r="CQ304" s="5">
        <f>IF(A304="","",N(INDEX(Projects[Est Controls Purchase],303)))</f>
        <v/>
      </c>
      <c r="CR304" s="5">
        <f>IF(A304="","",N(INDEX(Projects[Est Software Eng],303)))</f>
        <v/>
      </c>
      <c r="CS304" s="5">
        <f>IF(A304="","",N(INDEX(Projects[Est Misc],303)))</f>
        <v/>
      </c>
      <c r="CT304" s="5">
        <f>IF(A304="","",SUM(CF304:CS304))</f>
        <v/>
      </c>
      <c r="CU304" s="5">
        <f>INDEX(Projects[Est Cost (M)],303)</f>
        <v/>
      </c>
      <c r="CV304" s="5">
        <f>INDEX(Projects[Act Cost (M)],303)</f>
        <v/>
      </c>
      <c r="CW304" s="5">
        <f>INDEX(Projects[Plan Mech Eng (wks)],303)</f>
        <v/>
      </c>
      <c r="CX304" s="5">
        <f>INDEX(Projects[Plan Controls Eng (wks)],303)</f>
        <v/>
      </c>
      <c r="CY304" s="5">
        <f>INDEX(Projects[Plan Systems Eng (wks)],303)</f>
        <v/>
      </c>
      <c r="CZ304" s="5">
        <f>INDEX(Projects[Plan Software Eng (wks)],303)</f>
        <v/>
      </c>
      <c r="DA304" s="5">
        <f>INDEX(Projects[Plan M&amp;E Installation (wks)],303)</f>
        <v/>
      </c>
      <c r="DB304" s="5">
        <f>INDEX(Projects[Plan Commissioning (wks)],303)</f>
        <v/>
      </c>
      <c r="DC304" s="5">
        <f>INDEX(Projects[Plan Total (wks)],303)</f>
        <v/>
      </c>
      <c r="DD304" s="5">
        <f>INDEX(Projects[Act Mech Eng (wks)],303)</f>
        <v/>
      </c>
      <c r="DE304" s="5">
        <f>INDEX(Projects[Act Controls Eng (wks)],303)</f>
        <v/>
      </c>
      <c r="DF304" s="5">
        <f>INDEX(Projects[Act Systems Eng (wks)],303)</f>
        <v/>
      </c>
      <c r="DG304" s="5">
        <f>INDEX(Projects[Act Software Eng (wks)],303)</f>
        <v/>
      </c>
      <c r="DH304" s="5">
        <f>INDEX(Projects[Act M&amp;E Installation (wks)],303)</f>
        <v/>
      </c>
      <c r="DI304" s="5">
        <f>INDEX(Projects[Act Commissioning (wks)],303)</f>
        <v/>
      </c>
      <c r="DJ304" s="5">
        <f>INDEX(Projects[Act Total (wks)],303)</f>
        <v/>
      </c>
    </row>
    <row r="305" ht="15" customHeight="1" s="82">
      <c r="A305" s="64">
        <f>INDEX(Projects[Project ID *],304)&amp;""</f>
        <v/>
      </c>
      <c r="B305" s="64">
        <f>INDEX(Projects[Project Name *],304)&amp;""</f>
        <v/>
      </c>
      <c r="C305" s="64">
        <f>INDEX(Projects[MS Shuttles],304)</f>
        <v/>
      </c>
      <c r="D305" s="64">
        <f>INDEX(Projects[MS Tote Locations],304)</f>
        <v/>
      </c>
      <c r="E305" s="64">
        <f>INDEX(Projects[AS Robots],304)</f>
        <v/>
      </c>
      <c r="F305" s="64">
        <f>INDEX(Projects[AS Tote Locations],304)</f>
        <v/>
      </c>
      <c r="G305" s="64">
        <f>INDEX(Projects[PS Shuttles],304)</f>
        <v/>
      </c>
      <c r="H305" s="64">
        <f>INDEX(Projects[PS Pallet Locations],304)</f>
        <v/>
      </c>
      <c r="I305" s="64">
        <f>INDEX(Projects[SRM Cranes],304)</f>
        <v/>
      </c>
      <c r="J305" s="64">
        <f>INDEX(Projects[SRM Pallet Locations],304)</f>
        <v/>
      </c>
      <c r="K305" s="64">
        <f>INDEX(Projects[Case Conv (m)],304)</f>
        <v/>
      </c>
      <c r="L305" s="64">
        <f>INDEX(Projects[Pallet Conv (m)],304)</f>
        <v/>
      </c>
      <c r="M305" s="64">
        <f>IF(N(DJ305)&gt;0,DD305,CW305)</f>
        <v/>
      </c>
      <c r="N305" s="64">
        <f>IF(N(DJ305)&gt;0,DE305,CX305)</f>
        <v/>
      </c>
      <c r="O305" s="64">
        <f>IF(N(DJ305)&gt;0,DF305,CY305)</f>
        <v/>
      </c>
      <c r="P305" s="64">
        <f>IF(N(DJ305)&gt;0,DG305,CZ305)</f>
        <v/>
      </c>
      <c r="Q305" s="64">
        <f>IF(N(DJ305)&gt;0,DH305,DA305)</f>
        <v/>
      </c>
      <c r="R305" s="64">
        <f>IF(N(DJ305)&gt;0,DI305,DB305)</f>
        <v/>
      </c>
      <c r="S305" s="64">
        <f>IF(N(DJ305)&gt;0,DJ305,DC305)</f>
        <v/>
      </c>
      <c r="T305" s="64">
        <f>INDEX(Projects[Currency],304)&amp;""</f>
        <v/>
      </c>
      <c r="U305" s="65">
        <f>INDEX(Projects[Sold Value (M)],304)</f>
        <v/>
      </c>
      <c r="V305" s="64">
        <f>IF('Smart Search'!B13=1,IFERROR(1/'Smart Search'!H13,0),0)</f>
        <v/>
      </c>
      <c r="W305" s="64">
        <f>IF('Smart Search'!B13=1,IFERROR(1/'Smart Search'!H13,0),0)</f>
        <v/>
      </c>
      <c r="X305" s="64">
        <f>IF('Smart Search'!C13=1,IFERROR(1/'Smart Search'!H13,0),0)</f>
        <v/>
      </c>
      <c r="Y305" s="64">
        <f>IF('Smart Search'!C13=1,IFERROR(1/'Smart Search'!H13,0),0)</f>
        <v/>
      </c>
      <c r="Z305" s="64">
        <f>IF('Smart Search'!D13=1,IFERROR(1/'Smart Search'!H13,0),0)</f>
        <v/>
      </c>
      <c r="AA305" s="64">
        <f>IF('Smart Search'!D13=1,IFERROR(1/'Smart Search'!H13,0),0)</f>
        <v/>
      </c>
      <c r="AB305" s="64">
        <f>IF('Smart Search'!E13=1,IFERROR(1/'Smart Search'!H13,0),0)</f>
        <v/>
      </c>
      <c r="AC305" s="64">
        <f>IF('Smart Search'!E13=1,IFERROR(1/'Smart Search'!H13,0),0)</f>
        <v/>
      </c>
      <c r="AD305" s="64">
        <f>IF('Smart Search'!F13=1,IFERROR(1/'Smart Search'!H13,0),0)</f>
        <v/>
      </c>
      <c r="AE305" s="64">
        <f>IF('Smart Search'!F13=1,IFERROR(1/'Smart Search'!H13,0),0)</f>
        <v/>
      </c>
      <c r="AF305" s="64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4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4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4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4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4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4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4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4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4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4">
        <f>AF305*V305</f>
        <v/>
      </c>
      <c r="AQ305" s="64">
        <f>AG305*W305</f>
        <v/>
      </c>
      <c r="AR305" s="64">
        <f>AH305*X305</f>
        <v/>
      </c>
      <c r="AS305" s="64">
        <f>AI305*Y305</f>
        <v/>
      </c>
      <c r="AT305" s="64">
        <f>AJ305*Z305</f>
        <v/>
      </c>
      <c r="AU305" s="64">
        <f>AK305*AA305</f>
        <v/>
      </c>
      <c r="AV305" s="64">
        <f>AL305*AB305</f>
        <v/>
      </c>
      <c r="AW305" s="64">
        <f>AM305*AC305</f>
        <v/>
      </c>
      <c r="AX305" s="64">
        <f>AN305*AD305</f>
        <v/>
      </c>
      <c r="AY305" s="64">
        <f>AO305*AE305</f>
        <v/>
      </c>
      <c r="AZ305" s="64">
        <f>INDEX(Projects[Automation Equipment],304)&amp;""</f>
        <v/>
      </c>
      <c r="BA305" s="64">
        <f>IF(OR(A305="",'Smart Search'!H13=0),"",MAX(0,BE305*BF305*MAX(0,1-BG305)))</f>
        <v/>
      </c>
      <c r="BB305" s="64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4">
        <f>IF('Smart Search'!G13=1,IFERROR(1/'Smart Search'!H13,0),0)</f>
        <v/>
      </c>
      <c r="BD305" s="64">
        <f>BB305*BC305</f>
        <v/>
      </c>
      <c r="BE305" s="64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IF(A305="","",N(INDEX(Projects[Act Mech Inst],304)))</f>
        <v/>
      </c>
      <c r="BK305" s="5">
        <f>IF(A305="","",N(INDEX(Projects[Act Elec Inst],304)))</f>
        <v/>
      </c>
      <c r="BL305" s="5">
        <f>IF(A305="","",N(INDEX(Projects[Act Project Management],304)))</f>
        <v/>
      </c>
      <c r="BM305" s="5">
        <f>IF(A305="","",N(INDEX(Projects[Act Systems Eng],304)))</f>
        <v/>
      </c>
      <c r="BN305" s="5">
        <f>IF(A305="","",N(INDEX(Projects[Act Mechanical Eng],304)))</f>
        <v/>
      </c>
      <c r="BO305" s="5">
        <f>IF(A305="","",N(INDEX(Projects[Act Structural Engineering],304)))</f>
        <v/>
      </c>
      <c r="BP305" s="5">
        <f>IF(A305="","",N(INDEX(Projects[Act Site Sup],304)))</f>
        <v/>
      </c>
      <c r="BQ305" s="5">
        <f>IF(A305="","",N(INDEX(Projects[Act Controls Commissioning],304)))</f>
        <v/>
      </c>
      <c r="BR305" s="5">
        <f>IF(A305="","",N(INDEX(Projects[Act Systems Commissioning],304)))</f>
        <v/>
      </c>
      <c r="BS305" s="5">
        <f>IF(A305="","",N(INDEX(Projects[Act Service Commissioning],304)))</f>
        <v/>
      </c>
      <c r="BT305" s="5">
        <f>IF(A305="","",N(INDEX(Projects[Act Controls Eng],304)))</f>
        <v/>
      </c>
      <c r="BU305" s="5">
        <f>IF(A305="","",N(INDEX(Projects[Act Controls Purchase],304)))</f>
        <v/>
      </c>
      <c r="BV305" s="5">
        <f>IF(A305="","",N(INDEX(Projects[Act Software Eng],304)))</f>
        <v/>
      </c>
      <c r="BW305" s="5">
        <f>IF(A305="","",N(INDEX(Projects[Act 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INDEX(Projects[Sold Value (USD M)],304)</f>
        <v/>
      </c>
      <c r="CE305" s="5" t="n"/>
      <c r="CF305" s="5">
        <f>IF(A305="","",N(INDEX(Projects[Est Mech Inst],304)))</f>
        <v/>
      </c>
      <c r="CG305" s="5">
        <f>IF(A305="","",N(INDEX(Projects[Est Elec Inst],304)))</f>
        <v/>
      </c>
      <c r="CH305" s="5">
        <f>IF(A305="","",N(INDEX(Projects[Est Project Management],304)))</f>
        <v/>
      </c>
      <c r="CI305" s="5">
        <f>IF(A305="","",N(INDEX(Projects[Est Systems Eng],304)))</f>
        <v/>
      </c>
      <c r="CJ305" s="5">
        <f>IF(A305="","",N(INDEX(Projects[Est Mechanical Eng],304)))</f>
        <v/>
      </c>
      <c r="CK305" s="5">
        <f>IF(A305="","",N(INDEX(Projects[Est Structural Engineering],304)))</f>
        <v/>
      </c>
      <c r="CL305" s="5">
        <f>IF(A305="","",N(INDEX(Projects[Est Site Sup],304)))</f>
        <v/>
      </c>
      <c r="CM305" s="5">
        <f>IF(A305="","",N(INDEX(Projects[Est Controls Commissioning],304)))</f>
        <v/>
      </c>
      <c r="CN305" s="5">
        <f>IF(A305="","",N(INDEX(Projects[Est Systems Commissioning],304)))</f>
        <v/>
      </c>
      <c r="CO305" s="5">
        <f>IF(A305="","",N(INDEX(Projects[Est Service Commissioning],304)))</f>
        <v/>
      </c>
      <c r="CP305" s="5">
        <f>IF(A305="","",N(INDEX(Projects[Est Controls Eng],304)))</f>
        <v/>
      </c>
      <c r="CQ305" s="5">
        <f>IF(A305="","",N(INDEX(Projects[Est Controls Purchase],304)))</f>
        <v/>
      </c>
      <c r="CR305" s="5">
        <f>IF(A305="","",N(INDEX(Projects[Est Software Eng],304)))</f>
        <v/>
      </c>
      <c r="CS305" s="5">
        <f>IF(A305="","",N(INDEX(Projects[Est Misc],304)))</f>
        <v/>
      </c>
      <c r="CT305" s="5">
        <f>IF(A305="","",SUM(CF305:CS305))</f>
        <v/>
      </c>
      <c r="CU305" s="5">
        <f>INDEX(Projects[Est Cost (M)],304)</f>
        <v/>
      </c>
      <c r="CV305" s="5">
        <f>INDEX(Projects[Act Cost (M)],304)</f>
        <v/>
      </c>
      <c r="CW305" s="5">
        <f>INDEX(Projects[Plan Mech Eng (wks)],304)</f>
        <v/>
      </c>
      <c r="CX305" s="5">
        <f>INDEX(Projects[Plan Controls Eng (wks)],304)</f>
        <v/>
      </c>
      <c r="CY305" s="5">
        <f>INDEX(Projects[Plan Systems Eng (wks)],304)</f>
        <v/>
      </c>
      <c r="CZ305" s="5">
        <f>INDEX(Projects[Plan Software Eng (wks)],304)</f>
        <v/>
      </c>
      <c r="DA305" s="5">
        <f>INDEX(Projects[Plan M&amp;E Installation (wks)],304)</f>
        <v/>
      </c>
      <c r="DB305" s="5">
        <f>INDEX(Projects[Plan Commissioning (wks)],304)</f>
        <v/>
      </c>
      <c r="DC305" s="5">
        <f>INDEX(Projects[Plan Total (wks)],304)</f>
        <v/>
      </c>
      <c r="DD305" s="5">
        <f>INDEX(Projects[Act Mech Eng (wks)],304)</f>
        <v/>
      </c>
      <c r="DE305" s="5">
        <f>INDEX(Projects[Act Controls Eng (wks)],304)</f>
        <v/>
      </c>
      <c r="DF305" s="5">
        <f>INDEX(Projects[Act Systems Eng (wks)],304)</f>
        <v/>
      </c>
      <c r="DG305" s="5">
        <f>INDEX(Projects[Act Software Eng (wks)],304)</f>
        <v/>
      </c>
      <c r="DH305" s="5">
        <f>INDEX(Projects[Act M&amp;E Installation (wks)],304)</f>
        <v/>
      </c>
      <c r="DI305" s="5">
        <f>INDEX(Projects[Act Commissioning (wks)],304)</f>
        <v/>
      </c>
      <c r="DJ305" s="5">
        <f>INDEX(Projects[Act Total (wks)],304)</f>
        <v/>
      </c>
    </row>
    <row r="306" ht="15" customHeight="1" s="82">
      <c r="A306" s="64">
        <f>INDEX(Projects[Project ID *],305)&amp;""</f>
        <v/>
      </c>
      <c r="B306" s="64">
        <f>INDEX(Projects[Project Name *],305)&amp;""</f>
        <v/>
      </c>
      <c r="C306" s="64">
        <f>INDEX(Projects[MS Shuttles],305)</f>
        <v/>
      </c>
      <c r="D306" s="64">
        <f>INDEX(Projects[MS Tote Locations],305)</f>
        <v/>
      </c>
      <c r="E306" s="64">
        <f>INDEX(Projects[AS Robots],305)</f>
        <v/>
      </c>
      <c r="F306" s="64">
        <f>INDEX(Projects[AS Tote Locations],305)</f>
        <v/>
      </c>
      <c r="G306" s="64">
        <f>INDEX(Projects[PS Shuttles],305)</f>
        <v/>
      </c>
      <c r="H306" s="64">
        <f>INDEX(Projects[PS Pallet Locations],305)</f>
        <v/>
      </c>
      <c r="I306" s="64">
        <f>INDEX(Projects[SRM Cranes],305)</f>
        <v/>
      </c>
      <c r="J306" s="64">
        <f>INDEX(Projects[SRM Pallet Locations],305)</f>
        <v/>
      </c>
      <c r="K306" s="64">
        <f>INDEX(Projects[Case Conv (m)],305)</f>
        <v/>
      </c>
      <c r="L306" s="64">
        <f>INDEX(Projects[Pallet Conv (m)],305)</f>
        <v/>
      </c>
      <c r="M306" s="64">
        <f>IF(N(DJ306)&gt;0,DD306,CW306)</f>
        <v/>
      </c>
      <c r="N306" s="64">
        <f>IF(N(DJ306)&gt;0,DE306,CX306)</f>
        <v/>
      </c>
      <c r="O306" s="64">
        <f>IF(N(DJ306)&gt;0,DF306,CY306)</f>
        <v/>
      </c>
      <c r="P306" s="64">
        <f>IF(N(DJ306)&gt;0,DG306,CZ306)</f>
        <v/>
      </c>
      <c r="Q306" s="64">
        <f>IF(N(DJ306)&gt;0,DH306,DA306)</f>
        <v/>
      </c>
      <c r="R306" s="64">
        <f>IF(N(DJ306)&gt;0,DI306,DB306)</f>
        <v/>
      </c>
      <c r="S306" s="64">
        <f>IF(N(DJ306)&gt;0,DJ306,DC306)</f>
        <v/>
      </c>
      <c r="T306" s="64">
        <f>INDEX(Projects[Currency],305)&amp;""</f>
        <v/>
      </c>
      <c r="U306" s="65">
        <f>INDEX(Projects[Sold Value (M)],305)</f>
        <v/>
      </c>
      <c r="V306" s="64">
        <f>IF('Smart Search'!B13=1,IFERROR(1/'Smart Search'!H13,0),0)</f>
        <v/>
      </c>
      <c r="W306" s="64">
        <f>IF('Smart Search'!B13=1,IFERROR(1/'Smart Search'!H13,0),0)</f>
        <v/>
      </c>
      <c r="X306" s="64">
        <f>IF('Smart Search'!C13=1,IFERROR(1/'Smart Search'!H13,0),0)</f>
        <v/>
      </c>
      <c r="Y306" s="64">
        <f>IF('Smart Search'!C13=1,IFERROR(1/'Smart Search'!H13,0),0)</f>
        <v/>
      </c>
      <c r="Z306" s="64">
        <f>IF('Smart Search'!D13=1,IFERROR(1/'Smart Search'!H13,0),0)</f>
        <v/>
      </c>
      <c r="AA306" s="64">
        <f>IF('Smart Search'!D13=1,IFERROR(1/'Smart Search'!H13,0),0)</f>
        <v/>
      </c>
      <c r="AB306" s="64">
        <f>IF('Smart Search'!E13=1,IFERROR(1/'Smart Search'!H13,0),0)</f>
        <v/>
      </c>
      <c r="AC306" s="64">
        <f>IF('Smart Search'!E13=1,IFERROR(1/'Smart Search'!H13,0),0)</f>
        <v/>
      </c>
      <c r="AD306" s="64">
        <f>IF('Smart Search'!F13=1,IFERROR(1/'Smart Search'!H13,0),0)</f>
        <v/>
      </c>
      <c r="AE306" s="64">
        <f>IF('Smart Search'!F13=1,IFERROR(1/'Smart Search'!H13,0),0)</f>
        <v/>
      </c>
      <c r="AF306" s="64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4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4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4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4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4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4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4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4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4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4">
        <f>AF306*V306</f>
        <v/>
      </c>
      <c r="AQ306" s="64">
        <f>AG306*W306</f>
        <v/>
      </c>
      <c r="AR306" s="64">
        <f>AH306*X306</f>
        <v/>
      </c>
      <c r="AS306" s="64">
        <f>AI306*Y306</f>
        <v/>
      </c>
      <c r="AT306" s="64">
        <f>AJ306*Z306</f>
        <v/>
      </c>
      <c r="AU306" s="64">
        <f>AK306*AA306</f>
        <v/>
      </c>
      <c r="AV306" s="64">
        <f>AL306*AB306</f>
        <v/>
      </c>
      <c r="AW306" s="64">
        <f>AM306*AC306</f>
        <v/>
      </c>
      <c r="AX306" s="64">
        <f>AN306*AD306</f>
        <v/>
      </c>
      <c r="AY306" s="64">
        <f>AO306*AE306</f>
        <v/>
      </c>
      <c r="AZ306" s="64">
        <f>INDEX(Projects[Automation Equipment],305)&amp;""</f>
        <v/>
      </c>
      <c r="BA306" s="64">
        <f>IF(OR(A306="",'Smart Search'!H13=0),"",MAX(0,BE306*BF306*MAX(0,1-BG306)))</f>
        <v/>
      </c>
      <c r="BB306" s="64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4">
        <f>IF('Smart Search'!G13=1,IFERROR(1/'Smart Search'!H13,0),0)</f>
        <v/>
      </c>
      <c r="BD306" s="64">
        <f>BB306*BC306</f>
        <v/>
      </c>
      <c r="BE306" s="64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IF(A306="","",N(INDEX(Projects[Act Mech Inst],305)))</f>
        <v/>
      </c>
      <c r="BK306" s="5">
        <f>IF(A306="","",N(INDEX(Projects[Act Elec Inst],305)))</f>
        <v/>
      </c>
      <c r="BL306" s="5">
        <f>IF(A306="","",N(INDEX(Projects[Act Project Management],305)))</f>
        <v/>
      </c>
      <c r="BM306" s="5">
        <f>IF(A306="","",N(INDEX(Projects[Act Systems Eng],305)))</f>
        <v/>
      </c>
      <c r="BN306" s="5">
        <f>IF(A306="","",N(INDEX(Projects[Act Mechanical Eng],305)))</f>
        <v/>
      </c>
      <c r="BO306" s="5">
        <f>IF(A306="","",N(INDEX(Projects[Act Structural Engineering],305)))</f>
        <v/>
      </c>
      <c r="BP306" s="5">
        <f>IF(A306="","",N(INDEX(Projects[Act Site Sup],305)))</f>
        <v/>
      </c>
      <c r="BQ306" s="5">
        <f>IF(A306="","",N(INDEX(Projects[Act Controls Commissioning],305)))</f>
        <v/>
      </c>
      <c r="BR306" s="5">
        <f>IF(A306="","",N(INDEX(Projects[Act Systems Commissioning],305)))</f>
        <v/>
      </c>
      <c r="BS306" s="5">
        <f>IF(A306="","",N(INDEX(Projects[Act Service Commissioning],305)))</f>
        <v/>
      </c>
      <c r="BT306" s="5">
        <f>IF(A306="","",N(INDEX(Projects[Act Controls Eng],305)))</f>
        <v/>
      </c>
      <c r="BU306" s="5">
        <f>IF(A306="","",N(INDEX(Projects[Act Controls Purchase],305)))</f>
        <v/>
      </c>
      <c r="BV306" s="5">
        <f>IF(A306="","",N(INDEX(Projects[Act Software Eng],305)))</f>
        <v/>
      </c>
      <c r="BW306" s="5">
        <f>IF(A306="","",N(INDEX(Projects[Act 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INDEX(Projects[Sold Value (USD M)],305)</f>
        <v/>
      </c>
      <c r="CE306" s="5" t="n"/>
      <c r="CF306" s="5">
        <f>IF(A306="","",N(INDEX(Projects[Est Mech Inst],305)))</f>
        <v/>
      </c>
      <c r="CG306" s="5">
        <f>IF(A306="","",N(INDEX(Projects[Est Elec Inst],305)))</f>
        <v/>
      </c>
      <c r="CH306" s="5">
        <f>IF(A306="","",N(INDEX(Projects[Est Project Management],305)))</f>
        <v/>
      </c>
      <c r="CI306" s="5">
        <f>IF(A306="","",N(INDEX(Projects[Est Systems Eng],305)))</f>
        <v/>
      </c>
      <c r="CJ306" s="5">
        <f>IF(A306="","",N(INDEX(Projects[Est Mechanical Eng],305)))</f>
        <v/>
      </c>
      <c r="CK306" s="5">
        <f>IF(A306="","",N(INDEX(Projects[Est Structural Engineering],305)))</f>
        <v/>
      </c>
      <c r="CL306" s="5">
        <f>IF(A306="","",N(INDEX(Projects[Est Site Sup],305)))</f>
        <v/>
      </c>
      <c r="CM306" s="5">
        <f>IF(A306="","",N(INDEX(Projects[Est Controls Commissioning],305)))</f>
        <v/>
      </c>
      <c r="CN306" s="5">
        <f>IF(A306="","",N(INDEX(Projects[Est Systems Commissioning],305)))</f>
        <v/>
      </c>
      <c r="CO306" s="5">
        <f>IF(A306="","",N(INDEX(Projects[Est Service Commissioning],305)))</f>
        <v/>
      </c>
      <c r="CP306" s="5">
        <f>IF(A306="","",N(INDEX(Projects[Est Controls Eng],305)))</f>
        <v/>
      </c>
      <c r="CQ306" s="5">
        <f>IF(A306="","",N(INDEX(Projects[Est Controls Purchase],305)))</f>
        <v/>
      </c>
      <c r="CR306" s="5">
        <f>IF(A306="","",N(INDEX(Projects[Est Software Eng],305)))</f>
        <v/>
      </c>
      <c r="CS306" s="5">
        <f>IF(A306="","",N(INDEX(Projects[Est Misc],305)))</f>
        <v/>
      </c>
      <c r="CT306" s="5">
        <f>IF(A306="","",SUM(CF306:CS306))</f>
        <v/>
      </c>
      <c r="CU306" s="5">
        <f>INDEX(Projects[Est Cost (M)],305)</f>
        <v/>
      </c>
      <c r="CV306" s="5">
        <f>INDEX(Projects[Act Cost (M)],305)</f>
        <v/>
      </c>
      <c r="CW306" s="5">
        <f>INDEX(Projects[Plan Mech Eng (wks)],305)</f>
        <v/>
      </c>
      <c r="CX306" s="5">
        <f>INDEX(Projects[Plan Controls Eng (wks)],305)</f>
        <v/>
      </c>
      <c r="CY306" s="5">
        <f>INDEX(Projects[Plan Systems Eng (wks)],305)</f>
        <v/>
      </c>
      <c r="CZ306" s="5">
        <f>INDEX(Projects[Plan Software Eng (wks)],305)</f>
        <v/>
      </c>
      <c r="DA306" s="5">
        <f>INDEX(Projects[Plan M&amp;E Installation (wks)],305)</f>
        <v/>
      </c>
      <c r="DB306" s="5">
        <f>INDEX(Projects[Plan Commissioning (wks)],305)</f>
        <v/>
      </c>
      <c r="DC306" s="5">
        <f>INDEX(Projects[Plan Total (wks)],305)</f>
        <v/>
      </c>
      <c r="DD306" s="5">
        <f>INDEX(Projects[Act Mech Eng (wks)],305)</f>
        <v/>
      </c>
      <c r="DE306" s="5">
        <f>INDEX(Projects[Act Controls Eng (wks)],305)</f>
        <v/>
      </c>
      <c r="DF306" s="5">
        <f>INDEX(Projects[Act Systems Eng (wks)],305)</f>
        <v/>
      </c>
      <c r="DG306" s="5">
        <f>INDEX(Projects[Act Software Eng (wks)],305)</f>
        <v/>
      </c>
      <c r="DH306" s="5">
        <f>INDEX(Projects[Act M&amp;E Installation (wks)],305)</f>
        <v/>
      </c>
      <c r="DI306" s="5">
        <f>INDEX(Projects[Act Commissioning (wks)],305)</f>
        <v/>
      </c>
      <c r="DJ306" s="5">
        <f>INDEX(Projects[Act Total (wks)],305)</f>
        <v/>
      </c>
    </row>
    <row r="307" ht="15" customHeight="1" s="82">
      <c r="A307" s="64">
        <f>INDEX(Projects[Project ID *],306)&amp;""</f>
        <v/>
      </c>
      <c r="B307" s="64">
        <f>INDEX(Projects[Project Name *],306)&amp;""</f>
        <v/>
      </c>
      <c r="C307" s="64">
        <f>INDEX(Projects[MS Shuttles],306)</f>
        <v/>
      </c>
      <c r="D307" s="64">
        <f>INDEX(Projects[MS Tote Locations],306)</f>
        <v/>
      </c>
      <c r="E307" s="64">
        <f>INDEX(Projects[AS Robots],306)</f>
        <v/>
      </c>
      <c r="F307" s="64">
        <f>INDEX(Projects[AS Tote Locations],306)</f>
        <v/>
      </c>
      <c r="G307" s="64">
        <f>INDEX(Projects[PS Shuttles],306)</f>
        <v/>
      </c>
      <c r="H307" s="64">
        <f>INDEX(Projects[PS Pallet Locations],306)</f>
        <v/>
      </c>
      <c r="I307" s="64">
        <f>INDEX(Projects[SRM Cranes],306)</f>
        <v/>
      </c>
      <c r="J307" s="64">
        <f>INDEX(Projects[SRM Pallet Locations],306)</f>
        <v/>
      </c>
      <c r="K307" s="64">
        <f>INDEX(Projects[Case Conv (m)],306)</f>
        <v/>
      </c>
      <c r="L307" s="64">
        <f>INDEX(Projects[Pallet Conv (m)],306)</f>
        <v/>
      </c>
      <c r="M307" s="64">
        <f>IF(N(DJ307)&gt;0,DD307,CW307)</f>
        <v/>
      </c>
      <c r="N307" s="64">
        <f>IF(N(DJ307)&gt;0,DE307,CX307)</f>
        <v/>
      </c>
      <c r="O307" s="64">
        <f>IF(N(DJ307)&gt;0,DF307,CY307)</f>
        <v/>
      </c>
      <c r="P307" s="64">
        <f>IF(N(DJ307)&gt;0,DG307,CZ307)</f>
        <v/>
      </c>
      <c r="Q307" s="64">
        <f>IF(N(DJ307)&gt;0,DH307,DA307)</f>
        <v/>
      </c>
      <c r="R307" s="64">
        <f>IF(N(DJ307)&gt;0,DI307,DB307)</f>
        <v/>
      </c>
      <c r="S307" s="64">
        <f>IF(N(DJ307)&gt;0,DJ307,DC307)</f>
        <v/>
      </c>
      <c r="T307" s="64">
        <f>INDEX(Projects[Currency],306)&amp;""</f>
        <v/>
      </c>
      <c r="U307" s="65">
        <f>INDEX(Projects[Sold Value (M)],306)</f>
        <v/>
      </c>
      <c r="V307" s="64">
        <f>IF('Smart Search'!B13=1,IFERROR(1/'Smart Search'!H13,0),0)</f>
        <v/>
      </c>
      <c r="W307" s="64">
        <f>IF('Smart Search'!B13=1,IFERROR(1/'Smart Search'!H13,0),0)</f>
        <v/>
      </c>
      <c r="X307" s="64">
        <f>IF('Smart Search'!C13=1,IFERROR(1/'Smart Search'!H13,0),0)</f>
        <v/>
      </c>
      <c r="Y307" s="64">
        <f>IF('Smart Search'!C13=1,IFERROR(1/'Smart Search'!H13,0),0)</f>
        <v/>
      </c>
      <c r="Z307" s="64">
        <f>IF('Smart Search'!D13=1,IFERROR(1/'Smart Search'!H13,0),0)</f>
        <v/>
      </c>
      <c r="AA307" s="64">
        <f>IF('Smart Search'!D13=1,IFERROR(1/'Smart Search'!H13,0),0)</f>
        <v/>
      </c>
      <c r="AB307" s="64">
        <f>IF('Smart Search'!E13=1,IFERROR(1/'Smart Search'!H13,0),0)</f>
        <v/>
      </c>
      <c r="AC307" s="64">
        <f>IF('Smart Search'!E13=1,IFERROR(1/'Smart Search'!H13,0),0)</f>
        <v/>
      </c>
      <c r="AD307" s="64">
        <f>IF('Smart Search'!F13=1,IFERROR(1/'Smart Search'!H13,0),0)</f>
        <v/>
      </c>
      <c r="AE307" s="64">
        <f>IF('Smart Search'!F13=1,IFERROR(1/'Smart Search'!H13,0),0)</f>
        <v/>
      </c>
      <c r="AF307" s="64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4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4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4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4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4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4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4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4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4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4">
        <f>AF307*V307</f>
        <v/>
      </c>
      <c r="AQ307" s="64">
        <f>AG307*W307</f>
        <v/>
      </c>
      <c r="AR307" s="64">
        <f>AH307*X307</f>
        <v/>
      </c>
      <c r="AS307" s="64">
        <f>AI307*Y307</f>
        <v/>
      </c>
      <c r="AT307" s="64">
        <f>AJ307*Z307</f>
        <v/>
      </c>
      <c r="AU307" s="64">
        <f>AK307*AA307</f>
        <v/>
      </c>
      <c r="AV307" s="64">
        <f>AL307*AB307</f>
        <v/>
      </c>
      <c r="AW307" s="64">
        <f>AM307*AC307</f>
        <v/>
      </c>
      <c r="AX307" s="64">
        <f>AN307*AD307</f>
        <v/>
      </c>
      <c r="AY307" s="64">
        <f>AO307*AE307</f>
        <v/>
      </c>
      <c r="AZ307" s="64">
        <f>INDEX(Projects[Automation Equipment],306)&amp;""</f>
        <v/>
      </c>
      <c r="BA307" s="64">
        <f>IF(OR(A307="",'Smart Search'!H13=0),"",MAX(0,BE307*BF307*MAX(0,1-BG307)))</f>
        <v/>
      </c>
      <c r="BB307" s="64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4">
        <f>IF('Smart Search'!G13=1,IFERROR(1/'Smart Search'!H13,0),0)</f>
        <v/>
      </c>
      <c r="BD307" s="64">
        <f>BB307*BC307</f>
        <v/>
      </c>
      <c r="BE307" s="64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IF(A307="","",N(INDEX(Projects[Act Mech Inst],306)))</f>
        <v/>
      </c>
      <c r="BK307" s="5">
        <f>IF(A307="","",N(INDEX(Projects[Act Elec Inst],306)))</f>
        <v/>
      </c>
      <c r="BL307" s="5">
        <f>IF(A307="","",N(INDEX(Projects[Act Project Management],306)))</f>
        <v/>
      </c>
      <c r="BM307" s="5">
        <f>IF(A307="","",N(INDEX(Projects[Act Systems Eng],306)))</f>
        <v/>
      </c>
      <c r="BN307" s="5">
        <f>IF(A307="","",N(INDEX(Projects[Act Mechanical Eng],306)))</f>
        <v/>
      </c>
      <c r="BO307" s="5">
        <f>IF(A307="","",N(INDEX(Projects[Act Structural Engineering],306)))</f>
        <v/>
      </c>
      <c r="BP307" s="5">
        <f>IF(A307="","",N(INDEX(Projects[Act Site Sup],306)))</f>
        <v/>
      </c>
      <c r="BQ307" s="5">
        <f>IF(A307="","",N(INDEX(Projects[Act Controls Commissioning],306)))</f>
        <v/>
      </c>
      <c r="BR307" s="5">
        <f>IF(A307="","",N(INDEX(Projects[Act Systems Commissioning],306)))</f>
        <v/>
      </c>
      <c r="BS307" s="5">
        <f>IF(A307="","",N(INDEX(Projects[Act Service Commissioning],306)))</f>
        <v/>
      </c>
      <c r="BT307" s="5">
        <f>IF(A307="","",N(INDEX(Projects[Act Controls Eng],306)))</f>
        <v/>
      </c>
      <c r="BU307" s="5">
        <f>IF(A307="","",N(INDEX(Projects[Act Controls Purchase],306)))</f>
        <v/>
      </c>
      <c r="BV307" s="5">
        <f>IF(A307="","",N(INDEX(Projects[Act Software Eng],306)))</f>
        <v/>
      </c>
      <c r="BW307" s="5">
        <f>IF(A307="","",N(INDEX(Projects[Act 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INDEX(Projects[Sold Value (USD M)],306)</f>
        <v/>
      </c>
      <c r="CE307" s="5" t="n"/>
      <c r="CF307" s="5">
        <f>IF(A307="","",N(INDEX(Projects[Est Mech Inst],306)))</f>
        <v/>
      </c>
      <c r="CG307" s="5">
        <f>IF(A307="","",N(INDEX(Projects[Est Elec Inst],306)))</f>
        <v/>
      </c>
      <c r="CH307" s="5">
        <f>IF(A307="","",N(INDEX(Projects[Est Project Management],306)))</f>
        <v/>
      </c>
      <c r="CI307" s="5">
        <f>IF(A307="","",N(INDEX(Projects[Est Systems Eng],306)))</f>
        <v/>
      </c>
      <c r="CJ307" s="5">
        <f>IF(A307="","",N(INDEX(Projects[Est Mechanical Eng],306)))</f>
        <v/>
      </c>
      <c r="CK307" s="5">
        <f>IF(A307="","",N(INDEX(Projects[Est Structural Engineering],306)))</f>
        <v/>
      </c>
      <c r="CL307" s="5">
        <f>IF(A307="","",N(INDEX(Projects[Est Site Sup],306)))</f>
        <v/>
      </c>
      <c r="CM307" s="5">
        <f>IF(A307="","",N(INDEX(Projects[Est Controls Commissioning],306)))</f>
        <v/>
      </c>
      <c r="CN307" s="5">
        <f>IF(A307="","",N(INDEX(Projects[Est Systems Commissioning],306)))</f>
        <v/>
      </c>
      <c r="CO307" s="5">
        <f>IF(A307="","",N(INDEX(Projects[Est Service Commissioning],306)))</f>
        <v/>
      </c>
      <c r="CP307" s="5">
        <f>IF(A307="","",N(INDEX(Projects[Est Controls Eng],306)))</f>
        <v/>
      </c>
      <c r="CQ307" s="5">
        <f>IF(A307="","",N(INDEX(Projects[Est Controls Purchase],306)))</f>
        <v/>
      </c>
      <c r="CR307" s="5">
        <f>IF(A307="","",N(INDEX(Projects[Est Software Eng],306)))</f>
        <v/>
      </c>
      <c r="CS307" s="5">
        <f>IF(A307="","",N(INDEX(Projects[Est Misc],306)))</f>
        <v/>
      </c>
      <c r="CT307" s="5">
        <f>IF(A307="","",SUM(CF307:CS307))</f>
        <v/>
      </c>
      <c r="CU307" s="5">
        <f>INDEX(Projects[Est Cost (M)],306)</f>
        <v/>
      </c>
      <c r="CV307" s="5">
        <f>INDEX(Projects[Act Cost (M)],306)</f>
        <v/>
      </c>
      <c r="CW307" s="5">
        <f>INDEX(Projects[Plan Mech Eng (wks)],306)</f>
        <v/>
      </c>
      <c r="CX307" s="5">
        <f>INDEX(Projects[Plan Controls Eng (wks)],306)</f>
        <v/>
      </c>
      <c r="CY307" s="5">
        <f>INDEX(Projects[Plan Systems Eng (wks)],306)</f>
        <v/>
      </c>
      <c r="CZ307" s="5">
        <f>INDEX(Projects[Plan Software Eng (wks)],306)</f>
        <v/>
      </c>
      <c r="DA307" s="5">
        <f>INDEX(Projects[Plan M&amp;E Installation (wks)],306)</f>
        <v/>
      </c>
      <c r="DB307" s="5">
        <f>INDEX(Projects[Plan Commissioning (wks)],306)</f>
        <v/>
      </c>
      <c r="DC307" s="5">
        <f>INDEX(Projects[Plan Total (wks)],306)</f>
        <v/>
      </c>
      <c r="DD307" s="5">
        <f>INDEX(Projects[Act Mech Eng (wks)],306)</f>
        <v/>
      </c>
      <c r="DE307" s="5">
        <f>INDEX(Projects[Act Controls Eng (wks)],306)</f>
        <v/>
      </c>
      <c r="DF307" s="5">
        <f>INDEX(Projects[Act Systems Eng (wks)],306)</f>
        <v/>
      </c>
      <c r="DG307" s="5">
        <f>INDEX(Projects[Act Software Eng (wks)],306)</f>
        <v/>
      </c>
      <c r="DH307" s="5">
        <f>INDEX(Projects[Act M&amp;E Installation (wks)],306)</f>
        <v/>
      </c>
      <c r="DI307" s="5">
        <f>INDEX(Projects[Act Commissioning (wks)],306)</f>
        <v/>
      </c>
      <c r="DJ307" s="5">
        <f>INDEX(Projects[Act Total (wks)],306)</f>
        <v/>
      </c>
    </row>
    <row r="308" ht="15" customHeight="1" s="82">
      <c r="A308" s="64">
        <f>INDEX(Projects[Project ID *],307)&amp;""</f>
        <v/>
      </c>
      <c r="B308" s="64">
        <f>INDEX(Projects[Project Name *],307)&amp;""</f>
        <v/>
      </c>
      <c r="C308" s="64">
        <f>INDEX(Projects[MS Shuttles],307)</f>
        <v/>
      </c>
      <c r="D308" s="64">
        <f>INDEX(Projects[MS Tote Locations],307)</f>
        <v/>
      </c>
      <c r="E308" s="64">
        <f>INDEX(Projects[AS Robots],307)</f>
        <v/>
      </c>
      <c r="F308" s="64">
        <f>INDEX(Projects[AS Tote Locations],307)</f>
        <v/>
      </c>
      <c r="G308" s="64">
        <f>INDEX(Projects[PS Shuttles],307)</f>
        <v/>
      </c>
      <c r="H308" s="64">
        <f>INDEX(Projects[PS Pallet Locations],307)</f>
        <v/>
      </c>
      <c r="I308" s="64">
        <f>INDEX(Projects[SRM Cranes],307)</f>
        <v/>
      </c>
      <c r="J308" s="64">
        <f>INDEX(Projects[SRM Pallet Locations],307)</f>
        <v/>
      </c>
      <c r="K308" s="64">
        <f>INDEX(Projects[Case Conv (m)],307)</f>
        <v/>
      </c>
      <c r="L308" s="64">
        <f>INDEX(Projects[Pallet Conv (m)],307)</f>
        <v/>
      </c>
      <c r="M308" s="64">
        <f>IF(N(DJ308)&gt;0,DD308,CW308)</f>
        <v/>
      </c>
      <c r="N308" s="64">
        <f>IF(N(DJ308)&gt;0,DE308,CX308)</f>
        <v/>
      </c>
      <c r="O308" s="64">
        <f>IF(N(DJ308)&gt;0,DF308,CY308)</f>
        <v/>
      </c>
      <c r="P308" s="64">
        <f>IF(N(DJ308)&gt;0,DG308,CZ308)</f>
        <v/>
      </c>
      <c r="Q308" s="64">
        <f>IF(N(DJ308)&gt;0,DH308,DA308)</f>
        <v/>
      </c>
      <c r="R308" s="64">
        <f>IF(N(DJ308)&gt;0,DI308,DB308)</f>
        <v/>
      </c>
      <c r="S308" s="64">
        <f>IF(N(DJ308)&gt;0,DJ308,DC308)</f>
        <v/>
      </c>
      <c r="T308" s="64">
        <f>INDEX(Projects[Currency],307)&amp;""</f>
        <v/>
      </c>
      <c r="U308" s="65">
        <f>INDEX(Projects[Sold Value (M)],307)</f>
        <v/>
      </c>
      <c r="V308" s="64">
        <f>IF('Smart Search'!B13=1,IFERROR(1/'Smart Search'!H13,0),0)</f>
        <v/>
      </c>
      <c r="W308" s="64">
        <f>IF('Smart Search'!B13=1,IFERROR(1/'Smart Search'!H13,0),0)</f>
        <v/>
      </c>
      <c r="X308" s="64">
        <f>IF('Smart Search'!C13=1,IFERROR(1/'Smart Search'!H13,0),0)</f>
        <v/>
      </c>
      <c r="Y308" s="64">
        <f>IF('Smart Search'!C13=1,IFERROR(1/'Smart Search'!H13,0),0)</f>
        <v/>
      </c>
      <c r="Z308" s="64">
        <f>IF('Smart Search'!D13=1,IFERROR(1/'Smart Search'!H13,0),0)</f>
        <v/>
      </c>
      <c r="AA308" s="64">
        <f>IF('Smart Search'!D13=1,IFERROR(1/'Smart Search'!H13,0),0)</f>
        <v/>
      </c>
      <c r="AB308" s="64">
        <f>IF('Smart Search'!E13=1,IFERROR(1/'Smart Search'!H13,0),0)</f>
        <v/>
      </c>
      <c r="AC308" s="64">
        <f>IF('Smart Search'!E13=1,IFERROR(1/'Smart Search'!H13,0),0)</f>
        <v/>
      </c>
      <c r="AD308" s="64">
        <f>IF('Smart Search'!F13=1,IFERROR(1/'Smart Search'!H13,0),0)</f>
        <v/>
      </c>
      <c r="AE308" s="64">
        <f>IF('Smart Search'!F13=1,IFERROR(1/'Smart Search'!H13,0),0)</f>
        <v/>
      </c>
      <c r="AF308" s="64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4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4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4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4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4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4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4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4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4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4">
        <f>AF308*V308</f>
        <v/>
      </c>
      <c r="AQ308" s="64">
        <f>AG308*W308</f>
        <v/>
      </c>
      <c r="AR308" s="64">
        <f>AH308*X308</f>
        <v/>
      </c>
      <c r="AS308" s="64">
        <f>AI308*Y308</f>
        <v/>
      </c>
      <c r="AT308" s="64">
        <f>AJ308*Z308</f>
        <v/>
      </c>
      <c r="AU308" s="64">
        <f>AK308*AA308</f>
        <v/>
      </c>
      <c r="AV308" s="64">
        <f>AL308*AB308</f>
        <v/>
      </c>
      <c r="AW308" s="64">
        <f>AM308*AC308</f>
        <v/>
      </c>
      <c r="AX308" s="64">
        <f>AN308*AD308</f>
        <v/>
      </c>
      <c r="AY308" s="64">
        <f>AO308*AE308</f>
        <v/>
      </c>
      <c r="AZ308" s="64">
        <f>INDEX(Projects[Automation Equipment],307)&amp;""</f>
        <v/>
      </c>
      <c r="BA308" s="64">
        <f>IF(OR(A308="",'Smart Search'!H13=0),"",MAX(0,BE308*BF308*MAX(0,1-BG308)))</f>
        <v/>
      </c>
      <c r="BB308" s="64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4">
        <f>IF('Smart Search'!G13=1,IFERROR(1/'Smart Search'!H13,0),0)</f>
        <v/>
      </c>
      <c r="BD308" s="64">
        <f>BB308*BC308</f>
        <v/>
      </c>
      <c r="BE308" s="64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IF(A308="","",N(INDEX(Projects[Act Mech Inst],307)))</f>
        <v/>
      </c>
      <c r="BK308" s="5">
        <f>IF(A308="","",N(INDEX(Projects[Act Elec Inst],307)))</f>
        <v/>
      </c>
      <c r="BL308" s="5">
        <f>IF(A308="","",N(INDEX(Projects[Act Project Management],307)))</f>
        <v/>
      </c>
      <c r="BM308" s="5">
        <f>IF(A308="","",N(INDEX(Projects[Act Systems Eng],307)))</f>
        <v/>
      </c>
      <c r="BN308" s="5">
        <f>IF(A308="","",N(INDEX(Projects[Act Mechanical Eng],307)))</f>
        <v/>
      </c>
      <c r="BO308" s="5">
        <f>IF(A308="","",N(INDEX(Projects[Act Structural Engineering],307)))</f>
        <v/>
      </c>
      <c r="BP308" s="5">
        <f>IF(A308="","",N(INDEX(Projects[Act Site Sup],307)))</f>
        <v/>
      </c>
      <c r="BQ308" s="5">
        <f>IF(A308="","",N(INDEX(Projects[Act Controls Commissioning],307)))</f>
        <v/>
      </c>
      <c r="BR308" s="5">
        <f>IF(A308="","",N(INDEX(Projects[Act Systems Commissioning],307)))</f>
        <v/>
      </c>
      <c r="BS308" s="5">
        <f>IF(A308="","",N(INDEX(Projects[Act Service Commissioning],307)))</f>
        <v/>
      </c>
      <c r="BT308" s="5">
        <f>IF(A308="","",N(INDEX(Projects[Act Controls Eng],307)))</f>
        <v/>
      </c>
      <c r="BU308" s="5">
        <f>IF(A308="","",N(INDEX(Projects[Act Controls Purchase],307)))</f>
        <v/>
      </c>
      <c r="BV308" s="5">
        <f>IF(A308="","",N(INDEX(Projects[Act Software Eng],307)))</f>
        <v/>
      </c>
      <c r="BW308" s="5">
        <f>IF(A308="","",N(INDEX(Projects[Act 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INDEX(Projects[Sold Value (USD M)],307)</f>
        <v/>
      </c>
      <c r="CE308" s="5" t="n"/>
      <c r="CF308" s="5">
        <f>IF(A308="","",N(INDEX(Projects[Est Mech Inst],307)))</f>
        <v/>
      </c>
      <c r="CG308" s="5">
        <f>IF(A308="","",N(INDEX(Projects[Est Elec Inst],307)))</f>
        <v/>
      </c>
      <c r="CH308" s="5">
        <f>IF(A308="","",N(INDEX(Projects[Est Project Management],307)))</f>
        <v/>
      </c>
      <c r="CI308" s="5">
        <f>IF(A308="","",N(INDEX(Projects[Est Systems Eng],307)))</f>
        <v/>
      </c>
      <c r="CJ308" s="5">
        <f>IF(A308="","",N(INDEX(Projects[Est Mechanical Eng],307)))</f>
        <v/>
      </c>
      <c r="CK308" s="5">
        <f>IF(A308="","",N(INDEX(Projects[Est Structural Engineering],307)))</f>
        <v/>
      </c>
      <c r="CL308" s="5">
        <f>IF(A308="","",N(INDEX(Projects[Est Site Sup],307)))</f>
        <v/>
      </c>
      <c r="CM308" s="5">
        <f>IF(A308="","",N(INDEX(Projects[Est Controls Commissioning],307)))</f>
        <v/>
      </c>
      <c r="CN308" s="5">
        <f>IF(A308="","",N(INDEX(Projects[Est Systems Commissioning],307)))</f>
        <v/>
      </c>
      <c r="CO308" s="5">
        <f>IF(A308="","",N(INDEX(Projects[Est Service Commissioning],307)))</f>
        <v/>
      </c>
      <c r="CP308" s="5">
        <f>IF(A308="","",N(INDEX(Projects[Est Controls Eng],307)))</f>
        <v/>
      </c>
      <c r="CQ308" s="5">
        <f>IF(A308="","",N(INDEX(Projects[Est Controls Purchase],307)))</f>
        <v/>
      </c>
      <c r="CR308" s="5">
        <f>IF(A308="","",N(INDEX(Projects[Est Software Eng],307)))</f>
        <v/>
      </c>
      <c r="CS308" s="5">
        <f>IF(A308="","",N(INDEX(Projects[Est Misc],307)))</f>
        <v/>
      </c>
      <c r="CT308" s="5">
        <f>IF(A308="","",SUM(CF308:CS308))</f>
        <v/>
      </c>
      <c r="CU308" s="5">
        <f>INDEX(Projects[Est Cost (M)],307)</f>
        <v/>
      </c>
      <c r="CV308" s="5">
        <f>INDEX(Projects[Act Cost (M)],307)</f>
        <v/>
      </c>
      <c r="CW308" s="5">
        <f>INDEX(Projects[Plan Mech Eng (wks)],307)</f>
        <v/>
      </c>
      <c r="CX308" s="5">
        <f>INDEX(Projects[Plan Controls Eng (wks)],307)</f>
        <v/>
      </c>
      <c r="CY308" s="5">
        <f>INDEX(Projects[Plan Systems Eng (wks)],307)</f>
        <v/>
      </c>
      <c r="CZ308" s="5">
        <f>INDEX(Projects[Plan Software Eng (wks)],307)</f>
        <v/>
      </c>
      <c r="DA308" s="5">
        <f>INDEX(Projects[Plan M&amp;E Installation (wks)],307)</f>
        <v/>
      </c>
      <c r="DB308" s="5">
        <f>INDEX(Projects[Plan Commissioning (wks)],307)</f>
        <v/>
      </c>
      <c r="DC308" s="5">
        <f>INDEX(Projects[Plan Total (wks)],307)</f>
        <v/>
      </c>
      <c r="DD308" s="5">
        <f>INDEX(Projects[Act Mech Eng (wks)],307)</f>
        <v/>
      </c>
      <c r="DE308" s="5">
        <f>INDEX(Projects[Act Controls Eng (wks)],307)</f>
        <v/>
      </c>
      <c r="DF308" s="5">
        <f>INDEX(Projects[Act Systems Eng (wks)],307)</f>
        <v/>
      </c>
      <c r="DG308" s="5">
        <f>INDEX(Projects[Act Software Eng (wks)],307)</f>
        <v/>
      </c>
      <c r="DH308" s="5">
        <f>INDEX(Projects[Act M&amp;E Installation (wks)],307)</f>
        <v/>
      </c>
      <c r="DI308" s="5">
        <f>INDEX(Projects[Act Commissioning (wks)],307)</f>
        <v/>
      </c>
      <c r="DJ308" s="5">
        <f>INDEX(Projects[Act Total (wks)],307)</f>
        <v/>
      </c>
    </row>
    <row r="309" ht="15" customHeight="1" s="82">
      <c r="A309" s="64">
        <f>INDEX(Projects[Project ID *],308)&amp;""</f>
        <v/>
      </c>
      <c r="B309" s="64">
        <f>INDEX(Projects[Project Name *],308)&amp;""</f>
        <v/>
      </c>
      <c r="C309" s="64">
        <f>INDEX(Projects[MS Shuttles],308)</f>
        <v/>
      </c>
      <c r="D309" s="64">
        <f>INDEX(Projects[MS Tote Locations],308)</f>
        <v/>
      </c>
      <c r="E309" s="64">
        <f>INDEX(Projects[AS Robots],308)</f>
        <v/>
      </c>
      <c r="F309" s="64">
        <f>INDEX(Projects[AS Tote Locations],308)</f>
        <v/>
      </c>
      <c r="G309" s="64">
        <f>INDEX(Projects[PS Shuttles],308)</f>
        <v/>
      </c>
      <c r="H309" s="64">
        <f>INDEX(Projects[PS Pallet Locations],308)</f>
        <v/>
      </c>
      <c r="I309" s="64">
        <f>INDEX(Projects[SRM Cranes],308)</f>
        <v/>
      </c>
      <c r="J309" s="64">
        <f>INDEX(Projects[SRM Pallet Locations],308)</f>
        <v/>
      </c>
      <c r="K309" s="64">
        <f>INDEX(Projects[Case Conv (m)],308)</f>
        <v/>
      </c>
      <c r="L309" s="64">
        <f>INDEX(Projects[Pallet Conv (m)],308)</f>
        <v/>
      </c>
      <c r="M309" s="64">
        <f>IF(N(DJ309)&gt;0,DD309,CW309)</f>
        <v/>
      </c>
      <c r="N309" s="64">
        <f>IF(N(DJ309)&gt;0,DE309,CX309)</f>
        <v/>
      </c>
      <c r="O309" s="64">
        <f>IF(N(DJ309)&gt;0,DF309,CY309)</f>
        <v/>
      </c>
      <c r="P309" s="64">
        <f>IF(N(DJ309)&gt;0,DG309,CZ309)</f>
        <v/>
      </c>
      <c r="Q309" s="64">
        <f>IF(N(DJ309)&gt;0,DH309,DA309)</f>
        <v/>
      </c>
      <c r="R309" s="64">
        <f>IF(N(DJ309)&gt;0,DI309,DB309)</f>
        <v/>
      </c>
      <c r="S309" s="64">
        <f>IF(N(DJ309)&gt;0,DJ309,DC309)</f>
        <v/>
      </c>
      <c r="T309" s="64">
        <f>INDEX(Projects[Currency],308)&amp;""</f>
        <v/>
      </c>
      <c r="U309" s="65">
        <f>INDEX(Projects[Sold Value (M)],308)</f>
        <v/>
      </c>
      <c r="V309" s="64">
        <f>IF('Smart Search'!B13=1,IFERROR(1/'Smart Search'!H13,0),0)</f>
        <v/>
      </c>
      <c r="W309" s="64">
        <f>IF('Smart Search'!B13=1,IFERROR(1/'Smart Search'!H13,0),0)</f>
        <v/>
      </c>
      <c r="X309" s="64">
        <f>IF('Smart Search'!C13=1,IFERROR(1/'Smart Search'!H13,0),0)</f>
        <v/>
      </c>
      <c r="Y309" s="64">
        <f>IF('Smart Search'!C13=1,IFERROR(1/'Smart Search'!H13,0),0)</f>
        <v/>
      </c>
      <c r="Z309" s="64">
        <f>IF('Smart Search'!D13=1,IFERROR(1/'Smart Search'!H13,0),0)</f>
        <v/>
      </c>
      <c r="AA309" s="64">
        <f>IF('Smart Search'!D13=1,IFERROR(1/'Smart Search'!H13,0),0)</f>
        <v/>
      </c>
      <c r="AB309" s="64">
        <f>IF('Smart Search'!E13=1,IFERROR(1/'Smart Search'!H13,0),0)</f>
        <v/>
      </c>
      <c r="AC309" s="64">
        <f>IF('Smart Search'!E13=1,IFERROR(1/'Smart Search'!H13,0),0)</f>
        <v/>
      </c>
      <c r="AD309" s="64">
        <f>IF('Smart Search'!F13=1,IFERROR(1/'Smart Search'!H13,0),0)</f>
        <v/>
      </c>
      <c r="AE309" s="64">
        <f>IF('Smart Search'!F13=1,IFERROR(1/'Smart Search'!H13,0),0)</f>
        <v/>
      </c>
      <c r="AF309" s="64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4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4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4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4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4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4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4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4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4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4">
        <f>AF309*V309</f>
        <v/>
      </c>
      <c r="AQ309" s="64">
        <f>AG309*W309</f>
        <v/>
      </c>
      <c r="AR309" s="64">
        <f>AH309*X309</f>
        <v/>
      </c>
      <c r="AS309" s="64">
        <f>AI309*Y309</f>
        <v/>
      </c>
      <c r="AT309" s="64">
        <f>AJ309*Z309</f>
        <v/>
      </c>
      <c r="AU309" s="64">
        <f>AK309*AA309</f>
        <v/>
      </c>
      <c r="AV309" s="64">
        <f>AL309*AB309</f>
        <v/>
      </c>
      <c r="AW309" s="64">
        <f>AM309*AC309</f>
        <v/>
      </c>
      <c r="AX309" s="64">
        <f>AN309*AD309</f>
        <v/>
      </c>
      <c r="AY309" s="64">
        <f>AO309*AE309</f>
        <v/>
      </c>
      <c r="AZ309" s="64">
        <f>INDEX(Projects[Automation Equipment],308)&amp;""</f>
        <v/>
      </c>
      <c r="BA309" s="64">
        <f>IF(OR(A309="",'Smart Search'!H13=0),"",MAX(0,BE309*BF309*MAX(0,1-BG309)))</f>
        <v/>
      </c>
      <c r="BB309" s="64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4">
        <f>IF('Smart Search'!G13=1,IFERROR(1/'Smart Search'!H13,0),0)</f>
        <v/>
      </c>
      <c r="BD309" s="64">
        <f>BB309*BC309</f>
        <v/>
      </c>
      <c r="BE309" s="64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IF(A309="","",N(INDEX(Projects[Act Mech Inst],308)))</f>
        <v/>
      </c>
      <c r="BK309" s="5">
        <f>IF(A309="","",N(INDEX(Projects[Act Elec Inst],308)))</f>
        <v/>
      </c>
      <c r="BL309" s="5">
        <f>IF(A309="","",N(INDEX(Projects[Act Project Management],308)))</f>
        <v/>
      </c>
      <c r="BM309" s="5">
        <f>IF(A309="","",N(INDEX(Projects[Act Systems Eng],308)))</f>
        <v/>
      </c>
      <c r="BN309" s="5">
        <f>IF(A309="","",N(INDEX(Projects[Act Mechanical Eng],308)))</f>
        <v/>
      </c>
      <c r="BO309" s="5">
        <f>IF(A309="","",N(INDEX(Projects[Act Structural Engineering],308)))</f>
        <v/>
      </c>
      <c r="BP309" s="5">
        <f>IF(A309="","",N(INDEX(Projects[Act Site Sup],308)))</f>
        <v/>
      </c>
      <c r="BQ309" s="5">
        <f>IF(A309="","",N(INDEX(Projects[Act Controls Commissioning],308)))</f>
        <v/>
      </c>
      <c r="BR309" s="5">
        <f>IF(A309="","",N(INDEX(Projects[Act Systems Commissioning],308)))</f>
        <v/>
      </c>
      <c r="BS309" s="5">
        <f>IF(A309="","",N(INDEX(Projects[Act Service Commissioning],308)))</f>
        <v/>
      </c>
      <c r="BT309" s="5">
        <f>IF(A309="","",N(INDEX(Projects[Act Controls Eng],308)))</f>
        <v/>
      </c>
      <c r="BU309" s="5">
        <f>IF(A309="","",N(INDEX(Projects[Act Controls Purchase],308)))</f>
        <v/>
      </c>
      <c r="BV309" s="5">
        <f>IF(A309="","",N(INDEX(Projects[Act Software Eng],308)))</f>
        <v/>
      </c>
      <c r="BW309" s="5">
        <f>IF(A309="","",N(INDEX(Projects[Act 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INDEX(Projects[Sold Value (USD M)],308)</f>
        <v/>
      </c>
      <c r="CE309" s="5" t="n"/>
      <c r="CF309" s="5">
        <f>IF(A309="","",N(INDEX(Projects[Est Mech Inst],308)))</f>
        <v/>
      </c>
      <c r="CG309" s="5">
        <f>IF(A309="","",N(INDEX(Projects[Est Elec Inst],308)))</f>
        <v/>
      </c>
      <c r="CH309" s="5">
        <f>IF(A309="","",N(INDEX(Projects[Est Project Management],308)))</f>
        <v/>
      </c>
      <c r="CI309" s="5">
        <f>IF(A309="","",N(INDEX(Projects[Est Systems Eng],308)))</f>
        <v/>
      </c>
      <c r="CJ309" s="5">
        <f>IF(A309="","",N(INDEX(Projects[Est Mechanical Eng],308)))</f>
        <v/>
      </c>
      <c r="CK309" s="5">
        <f>IF(A309="","",N(INDEX(Projects[Est Structural Engineering],308)))</f>
        <v/>
      </c>
      <c r="CL309" s="5">
        <f>IF(A309="","",N(INDEX(Projects[Est Site Sup],308)))</f>
        <v/>
      </c>
      <c r="CM309" s="5">
        <f>IF(A309="","",N(INDEX(Projects[Est Controls Commissioning],308)))</f>
        <v/>
      </c>
      <c r="CN309" s="5">
        <f>IF(A309="","",N(INDEX(Projects[Est Systems Commissioning],308)))</f>
        <v/>
      </c>
      <c r="CO309" s="5">
        <f>IF(A309="","",N(INDEX(Projects[Est Service Commissioning],308)))</f>
        <v/>
      </c>
      <c r="CP309" s="5">
        <f>IF(A309="","",N(INDEX(Projects[Est Controls Eng],308)))</f>
        <v/>
      </c>
      <c r="CQ309" s="5">
        <f>IF(A309="","",N(INDEX(Projects[Est Controls Purchase],308)))</f>
        <v/>
      </c>
      <c r="CR309" s="5">
        <f>IF(A309="","",N(INDEX(Projects[Est Software Eng],308)))</f>
        <v/>
      </c>
      <c r="CS309" s="5">
        <f>IF(A309="","",N(INDEX(Projects[Est Misc],308)))</f>
        <v/>
      </c>
      <c r="CT309" s="5">
        <f>IF(A309="","",SUM(CF309:CS309))</f>
        <v/>
      </c>
      <c r="CU309" s="5">
        <f>INDEX(Projects[Est Cost (M)],308)</f>
        <v/>
      </c>
      <c r="CV309" s="5">
        <f>INDEX(Projects[Act Cost (M)],308)</f>
        <v/>
      </c>
      <c r="CW309" s="5">
        <f>INDEX(Projects[Plan Mech Eng (wks)],308)</f>
        <v/>
      </c>
      <c r="CX309" s="5">
        <f>INDEX(Projects[Plan Controls Eng (wks)],308)</f>
        <v/>
      </c>
      <c r="CY309" s="5">
        <f>INDEX(Projects[Plan Systems Eng (wks)],308)</f>
        <v/>
      </c>
      <c r="CZ309" s="5">
        <f>INDEX(Projects[Plan Software Eng (wks)],308)</f>
        <v/>
      </c>
      <c r="DA309" s="5">
        <f>INDEX(Projects[Plan M&amp;E Installation (wks)],308)</f>
        <v/>
      </c>
      <c r="DB309" s="5">
        <f>INDEX(Projects[Plan Commissioning (wks)],308)</f>
        <v/>
      </c>
      <c r="DC309" s="5">
        <f>INDEX(Projects[Plan Total (wks)],308)</f>
        <v/>
      </c>
      <c r="DD309" s="5">
        <f>INDEX(Projects[Act Mech Eng (wks)],308)</f>
        <v/>
      </c>
      <c r="DE309" s="5">
        <f>INDEX(Projects[Act Controls Eng (wks)],308)</f>
        <v/>
      </c>
      <c r="DF309" s="5">
        <f>INDEX(Projects[Act Systems Eng (wks)],308)</f>
        <v/>
      </c>
      <c r="DG309" s="5">
        <f>INDEX(Projects[Act Software Eng (wks)],308)</f>
        <v/>
      </c>
      <c r="DH309" s="5">
        <f>INDEX(Projects[Act M&amp;E Installation (wks)],308)</f>
        <v/>
      </c>
      <c r="DI309" s="5">
        <f>INDEX(Projects[Act Commissioning (wks)],308)</f>
        <v/>
      </c>
      <c r="DJ309" s="5">
        <f>INDEX(Projects[Act Total (wks)],308)</f>
        <v/>
      </c>
    </row>
    <row r="310" ht="15" customHeight="1" s="82">
      <c r="A310" s="64">
        <f>INDEX(Projects[Project ID *],309)&amp;""</f>
        <v/>
      </c>
      <c r="B310" s="64">
        <f>INDEX(Projects[Project Name *],309)&amp;""</f>
        <v/>
      </c>
      <c r="C310" s="64">
        <f>INDEX(Projects[MS Shuttles],309)</f>
        <v/>
      </c>
      <c r="D310" s="64">
        <f>INDEX(Projects[MS Tote Locations],309)</f>
        <v/>
      </c>
      <c r="E310" s="64">
        <f>INDEX(Projects[AS Robots],309)</f>
        <v/>
      </c>
      <c r="F310" s="64">
        <f>INDEX(Projects[AS Tote Locations],309)</f>
        <v/>
      </c>
      <c r="G310" s="64">
        <f>INDEX(Projects[PS Shuttles],309)</f>
        <v/>
      </c>
      <c r="H310" s="64">
        <f>INDEX(Projects[PS Pallet Locations],309)</f>
        <v/>
      </c>
      <c r="I310" s="64">
        <f>INDEX(Projects[SRM Cranes],309)</f>
        <v/>
      </c>
      <c r="J310" s="64">
        <f>INDEX(Projects[SRM Pallet Locations],309)</f>
        <v/>
      </c>
      <c r="K310" s="64">
        <f>INDEX(Projects[Case Conv (m)],309)</f>
        <v/>
      </c>
      <c r="L310" s="64">
        <f>INDEX(Projects[Pallet Conv (m)],309)</f>
        <v/>
      </c>
      <c r="M310" s="64">
        <f>IF(N(DJ310)&gt;0,DD310,CW310)</f>
        <v/>
      </c>
      <c r="N310" s="64">
        <f>IF(N(DJ310)&gt;0,DE310,CX310)</f>
        <v/>
      </c>
      <c r="O310" s="64">
        <f>IF(N(DJ310)&gt;0,DF310,CY310)</f>
        <v/>
      </c>
      <c r="P310" s="64">
        <f>IF(N(DJ310)&gt;0,DG310,CZ310)</f>
        <v/>
      </c>
      <c r="Q310" s="64">
        <f>IF(N(DJ310)&gt;0,DH310,DA310)</f>
        <v/>
      </c>
      <c r="R310" s="64">
        <f>IF(N(DJ310)&gt;0,DI310,DB310)</f>
        <v/>
      </c>
      <c r="S310" s="64">
        <f>IF(N(DJ310)&gt;0,DJ310,DC310)</f>
        <v/>
      </c>
      <c r="T310" s="64">
        <f>INDEX(Projects[Currency],309)&amp;""</f>
        <v/>
      </c>
      <c r="U310" s="65">
        <f>INDEX(Projects[Sold Value (M)],309)</f>
        <v/>
      </c>
      <c r="V310" s="64">
        <f>IF('Smart Search'!B13=1,IFERROR(1/'Smart Search'!H13,0),0)</f>
        <v/>
      </c>
      <c r="W310" s="64">
        <f>IF('Smart Search'!B13=1,IFERROR(1/'Smart Search'!H13,0),0)</f>
        <v/>
      </c>
      <c r="X310" s="64">
        <f>IF('Smart Search'!C13=1,IFERROR(1/'Smart Search'!H13,0),0)</f>
        <v/>
      </c>
      <c r="Y310" s="64">
        <f>IF('Smart Search'!C13=1,IFERROR(1/'Smart Search'!H13,0),0)</f>
        <v/>
      </c>
      <c r="Z310" s="64">
        <f>IF('Smart Search'!D13=1,IFERROR(1/'Smart Search'!H13,0),0)</f>
        <v/>
      </c>
      <c r="AA310" s="64">
        <f>IF('Smart Search'!D13=1,IFERROR(1/'Smart Search'!H13,0),0)</f>
        <v/>
      </c>
      <c r="AB310" s="64">
        <f>IF('Smart Search'!E13=1,IFERROR(1/'Smart Search'!H13,0),0)</f>
        <v/>
      </c>
      <c r="AC310" s="64">
        <f>IF('Smart Search'!E13=1,IFERROR(1/'Smart Search'!H13,0),0)</f>
        <v/>
      </c>
      <c r="AD310" s="64">
        <f>IF('Smart Search'!F13=1,IFERROR(1/'Smart Search'!H13,0),0)</f>
        <v/>
      </c>
      <c r="AE310" s="64">
        <f>IF('Smart Search'!F13=1,IFERROR(1/'Smart Search'!H13,0),0)</f>
        <v/>
      </c>
      <c r="AF310" s="64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4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4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4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4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4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4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4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4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4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4">
        <f>AF310*V310</f>
        <v/>
      </c>
      <c r="AQ310" s="64">
        <f>AG310*W310</f>
        <v/>
      </c>
      <c r="AR310" s="64">
        <f>AH310*X310</f>
        <v/>
      </c>
      <c r="AS310" s="64">
        <f>AI310*Y310</f>
        <v/>
      </c>
      <c r="AT310" s="64">
        <f>AJ310*Z310</f>
        <v/>
      </c>
      <c r="AU310" s="64">
        <f>AK310*AA310</f>
        <v/>
      </c>
      <c r="AV310" s="64">
        <f>AL310*AB310</f>
        <v/>
      </c>
      <c r="AW310" s="64">
        <f>AM310*AC310</f>
        <v/>
      </c>
      <c r="AX310" s="64">
        <f>AN310*AD310</f>
        <v/>
      </c>
      <c r="AY310" s="64">
        <f>AO310*AE310</f>
        <v/>
      </c>
      <c r="AZ310" s="64">
        <f>INDEX(Projects[Automation Equipment],309)&amp;""</f>
        <v/>
      </c>
      <c r="BA310" s="64">
        <f>IF(OR(A310="",'Smart Search'!H13=0),"",MAX(0,BE310*BF310*MAX(0,1-BG310)))</f>
        <v/>
      </c>
      <c r="BB310" s="64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4">
        <f>IF('Smart Search'!G13=1,IFERROR(1/'Smart Search'!H13,0),0)</f>
        <v/>
      </c>
      <c r="BD310" s="64">
        <f>BB310*BC310</f>
        <v/>
      </c>
      <c r="BE310" s="64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IF(A310="","",N(INDEX(Projects[Act Mech Inst],309)))</f>
        <v/>
      </c>
      <c r="BK310" s="5">
        <f>IF(A310="","",N(INDEX(Projects[Act Elec Inst],309)))</f>
        <v/>
      </c>
      <c r="BL310" s="5">
        <f>IF(A310="","",N(INDEX(Projects[Act Project Management],309)))</f>
        <v/>
      </c>
      <c r="BM310" s="5">
        <f>IF(A310="","",N(INDEX(Projects[Act Systems Eng],309)))</f>
        <v/>
      </c>
      <c r="BN310" s="5">
        <f>IF(A310="","",N(INDEX(Projects[Act Mechanical Eng],309)))</f>
        <v/>
      </c>
      <c r="BO310" s="5">
        <f>IF(A310="","",N(INDEX(Projects[Act Structural Engineering],309)))</f>
        <v/>
      </c>
      <c r="BP310" s="5">
        <f>IF(A310="","",N(INDEX(Projects[Act Site Sup],309)))</f>
        <v/>
      </c>
      <c r="BQ310" s="5">
        <f>IF(A310="","",N(INDEX(Projects[Act Controls Commissioning],309)))</f>
        <v/>
      </c>
      <c r="BR310" s="5">
        <f>IF(A310="","",N(INDEX(Projects[Act Systems Commissioning],309)))</f>
        <v/>
      </c>
      <c r="BS310" s="5">
        <f>IF(A310="","",N(INDEX(Projects[Act Service Commissioning],309)))</f>
        <v/>
      </c>
      <c r="BT310" s="5">
        <f>IF(A310="","",N(INDEX(Projects[Act Controls Eng],309)))</f>
        <v/>
      </c>
      <c r="BU310" s="5">
        <f>IF(A310="","",N(INDEX(Projects[Act Controls Purchase],309)))</f>
        <v/>
      </c>
      <c r="BV310" s="5">
        <f>IF(A310="","",N(INDEX(Projects[Act Software Eng],309)))</f>
        <v/>
      </c>
      <c r="BW310" s="5">
        <f>IF(A310="","",N(INDEX(Projects[Act 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INDEX(Projects[Sold Value (USD M)],309)</f>
        <v/>
      </c>
      <c r="CE310" s="5" t="n"/>
      <c r="CF310" s="5">
        <f>IF(A310="","",N(INDEX(Projects[Est Mech Inst],309)))</f>
        <v/>
      </c>
      <c r="CG310" s="5">
        <f>IF(A310="","",N(INDEX(Projects[Est Elec Inst],309)))</f>
        <v/>
      </c>
      <c r="CH310" s="5">
        <f>IF(A310="","",N(INDEX(Projects[Est Project Management],309)))</f>
        <v/>
      </c>
      <c r="CI310" s="5">
        <f>IF(A310="","",N(INDEX(Projects[Est Systems Eng],309)))</f>
        <v/>
      </c>
      <c r="CJ310" s="5">
        <f>IF(A310="","",N(INDEX(Projects[Est Mechanical Eng],309)))</f>
        <v/>
      </c>
      <c r="CK310" s="5">
        <f>IF(A310="","",N(INDEX(Projects[Est Structural Engineering],309)))</f>
        <v/>
      </c>
      <c r="CL310" s="5">
        <f>IF(A310="","",N(INDEX(Projects[Est Site Sup],309)))</f>
        <v/>
      </c>
      <c r="CM310" s="5">
        <f>IF(A310="","",N(INDEX(Projects[Est Controls Commissioning],309)))</f>
        <v/>
      </c>
      <c r="CN310" s="5">
        <f>IF(A310="","",N(INDEX(Projects[Est Systems Commissioning],309)))</f>
        <v/>
      </c>
      <c r="CO310" s="5">
        <f>IF(A310="","",N(INDEX(Projects[Est Service Commissioning],309)))</f>
        <v/>
      </c>
      <c r="CP310" s="5">
        <f>IF(A310="","",N(INDEX(Projects[Est Controls Eng],309)))</f>
        <v/>
      </c>
      <c r="CQ310" s="5">
        <f>IF(A310="","",N(INDEX(Projects[Est Controls Purchase],309)))</f>
        <v/>
      </c>
      <c r="CR310" s="5">
        <f>IF(A310="","",N(INDEX(Projects[Est Software Eng],309)))</f>
        <v/>
      </c>
      <c r="CS310" s="5">
        <f>IF(A310="","",N(INDEX(Projects[Est Misc],309)))</f>
        <v/>
      </c>
      <c r="CT310" s="5">
        <f>IF(A310="","",SUM(CF310:CS310))</f>
        <v/>
      </c>
      <c r="CU310" s="5">
        <f>INDEX(Projects[Est Cost (M)],309)</f>
        <v/>
      </c>
      <c r="CV310" s="5">
        <f>INDEX(Projects[Act Cost (M)],309)</f>
        <v/>
      </c>
      <c r="CW310" s="5">
        <f>INDEX(Projects[Plan Mech Eng (wks)],309)</f>
        <v/>
      </c>
      <c r="CX310" s="5">
        <f>INDEX(Projects[Plan Controls Eng (wks)],309)</f>
        <v/>
      </c>
      <c r="CY310" s="5">
        <f>INDEX(Projects[Plan Systems Eng (wks)],309)</f>
        <v/>
      </c>
      <c r="CZ310" s="5">
        <f>INDEX(Projects[Plan Software Eng (wks)],309)</f>
        <v/>
      </c>
      <c r="DA310" s="5">
        <f>INDEX(Projects[Plan M&amp;E Installation (wks)],309)</f>
        <v/>
      </c>
      <c r="DB310" s="5">
        <f>INDEX(Projects[Plan Commissioning (wks)],309)</f>
        <v/>
      </c>
      <c r="DC310" s="5">
        <f>INDEX(Projects[Plan Total (wks)],309)</f>
        <v/>
      </c>
      <c r="DD310" s="5">
        <f>INDEX(Projects[Act Mech Eng (wks)],309)</f>
        <v/>
      </c>
      <c r="DE310" s="5">
        <f>INDEX(Projects[Act Controls Eng (wks)],309)</f>
        <v/>
      </c>
      <c r="DF310" s="5">
        <f>INDEX(Projects[Act Systems Eng (wks)],309)</f>
        <v/>
      </c>
      <c r="DG310" s="5">
        <f>INDEX(Projects[Act Software Eng (wks)],309)</f>
        <v/>
      </c>
      <c r="DH310" s="5">
        <f>INDEX(Projects[Act M&amp;E Installation (wks)],309)</f>
        <v/>
      </c>
      <c r="DI310" s="5">
        <f>INDEX(Projects[Act Commissioning (wks)],309)</f>
        <v/>
      </c>
      <c r="DJ310" s="5">
        <f>INDEX(Projects[Act Total (wks)],309)</f>
        <v/>
      </c>
    </row>
    <row r="311" ht="15" customHeight="1" s="82">
      <c r="A311" s="64">
        <f>INDEX(Projects[Project ID *],310)&amp;""</f>
        <v/>
      </c>
      <c r="B311" s="64">
        <f>INDEX(Projects[Project Name *],310)&amp;""</f>
        <v/>
      </c>
      <c r="C311" s="64">
        <f>INDEX(Projects[MS Shuttles],310)</f>
        <v/>
      </c>
      <c r="D311" s="64">
        <f>INDEX(Projects[MS Tote Locations],310)</f>
        <v/>
      </c>
      <c r="E311" s="64">
        <f>INDEX(Projects[AS Robots],310)</f>
        <v/>
      </c>
      <c r="F311" s="64">
        <f>INDEX(Projects[AS Tote Locations],310)</f>
        <v/>
      </c>
      <c r="G311" s="64">
        <f>INDEX(Projects[PS Shuttles],310)</f>
        <v/>
      </c>
      <c r="H311" s="64">
        <f>INDEX(Projects[PS Pallet Locations],310)</f>
        <v/>
      </c>
      <c r="I311" s="64">
        <f>INDEX(Projects[SRM Cranes],310)</f>
        <v/>
      </c>
      <c r="J311" s="64">
        <f>INDEX(Projects[SRM Pallet Locations],310)</f>
        <v/>
      </c>
      <c r="K311" s="64">
        <f>INDEX(Projects[Case Conv (m)],310)</f>
        <v/>
      </c>
      <c r="L311" s="64">
        <f>INDEX(Projects[Pallet Conv (m)],310)</f>
        <v/>
      </c>
      <c r="M311" s="64">
        <f>IF(N(DJ311)&gt;0,DD311,CW311)</f>
        <v/>
      </c>
      <c r="N311" s="64">
        <f>IF(N(DJ311)&gt;0,DE311,CX311)</f>
        <v/>
      </c>
      <c r="O311" s="64">
        <f>IF(N(DJ311)&gt;0,DF311,CY311)</f>
        <v/>
      </c>
      <c r="P311" s="64">
        <f>IF(N(DJ311)&gt;0,DG311,CZ311)</f>
        <v/>
      </c>
      <c r="Q311" s="64">
        <f>IF(N(DJ311)&gt;0,DH311,DA311)</f>
        <v/>
      </c>
      <c r="R311" s="64">
        <f>IF(N(DJ311)&gt;0,DI311,DB311)</f>
        <v/>
      </c>
      <c r="S311" s="64">
        <f>IF(N(DJ311)&gt;0,DJ311,DC311)</f>
        <v/>
      </c>
      <c r="T311" s="64">
        <f>INDEX(Projects[Currency],310)&amp;""</f>
        <v/>
      </c>
      <c r="U311" s="65">
        <f>INDEX(Projects[Sold Value (M)],310)</f>
        <v/>
      </c>
      <c r="V311" s="64">
        <f>IF('Smart Search'!B13=1,IFERROR(1/'Smart Search'!H13,0),0)</f>
        <v/>
      </c>
      <c r="W311" s="64">
        <f>IF('Smart Search'!B13=1,IFERROR(1/'Smart Search'!H13,0),0)</f>
        <v/>
      </c>
      <c r="X311" s="64">
        <f>IF('Smart Search'!C13=1,IFERROR(1/'Smart Search'!H13,0),0)</f>
        <v/>
      </c>
      <c r="Y311" s="64">
        <f>IF('Smart Search'!C13=1,IFERROR(1/'Smart Search'!H13,0),0)</f>
        <v/>
      </c>
      <c r="Z311" s="64">
        <f>IF('Smart Search'!D13=1,IFERROR(1/'Smart Search'!H13,0),0)</f>
        <v/>
      </c>
      <c r="AA311" s="64">
        <f>IF('Smart Search'!D13=1,IFERROR(1/'Smart Search'!H13,0),0)</f>
        <v/>
      </c>
      <c r="AB311" s="64">
        <f>IF('Smart Search'!E13=1,IFERROR(1/'Smart Search'!H13,0),0)</f>
        <v/>
      </c>
      <c r="AC311" s="64">
        <f>IF('Smart Search'!E13=1,IFERROR(1/'Smart Search'!H13,0),0)</f>
        <v/>
      </c>
      <c r="AD311" s="64">
        <f>IF('Smart Search'!F13=1,IFERROR(1/'Smart Search'!H13,0),0)</f>
        <v/>
      </c>
      <c r="AE311" s="64">
        <f>IF('Smart Search'!F13=1,IFERROR(1/'Smart Search'!H13,0),0)</f>
        <v/>
      </c>
      <c r="AF311" s="64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4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4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4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4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4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4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4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4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4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4">
        <f>AF311*V311</f>
        <v/>
      </c>
      <c r="AQ311" s="64">
        <f>AG311*W311</f>
        <v/>
      </c>
      <c r="AR311" s="64">
        <f>AH311*X311</f>
        <v/>
      </c>
      <c r="AS311" s="64">
        <f>AI311*Y311</f>
        <v/>
      </c>
      <c r="AT311" s="64">
        <f>AJ311*Z311</f>
        <v/>
      </c>
      <c r="AU311" s="64">
        <f>AK311*AA311</f>
        <v/>
      </c>
      <c r="AV311" s="64">
        <f>AL311*AB311</f>
        <v/>
      </c>
      <c r="AW311" s="64">
        <f>AM311*AC311</f>
        <v/>
      </c>
      <c r="AX311" s="64">
        <f>AN311*AD311</f>
        <v/>
      </c>
      <c r="AY311" s="64">
        <f>AO311*AE311</f>
        <v/>
      </c>
      <c r="AZ311" s="64">
        <f>INDEX(Projects[Automation Equipment],310)&amp;""</f>
        <v/>
      </c>
      <c r="BA311" s="64">
        <f>IF(OR(A311="",'Smart Search'!H13=0),"",MAX(0,BE311*BF311*MAX(0,1-BG311)))</f>
        <v/>
      </c>
      <c r="BB311" s="64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4">
        <f>IF('Smart Search'!G13=1,IFERROR(1/'Smart Search'!H13,0),0)</f>
        <v/>
      </c>
      <c r="BD311" s="64">
        <f>BB311*BC311</f>
        <v/>
      </c>
      <c r="BE311" s="64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IF(A311="","",N(INDEX(Projects[Act Mech Inst],310)))</f>
        <v/>
      </c>
      <c r="BK311" s="5">
        <f>IF(A311="","",N(INDEX(Projects[Act Elec Inst],310)))</f>
        <v/>
      </c>
      <c r="BL311" s="5">
        <f>IF(A311="","",N(INDEX(Projects[Act Project Management],310)))</f>
        <v/>
      </c>
      <c r="BM311" s="5">
        <f>IF(A311="","",N(INDEX(Projects[Act Systems Eng],310)))</f>
        <v/>
      </c>
      <c r="BN311" s="5">
        <f>IF(A311="","",N(INDEX(Projects[Act Mechanical Eng],310)))</f>
        <v/>
      </c>
      <c r="BO311" s="5">
        <f>IF(A311="","",N(INDEX(Projects[Act Structural Engineering],310)))</f>
        <v/>
      </c>
      <c r="BP311" s="5">
        <f>IF(A311="","",N(INDEX(Projects[Act Site Sup],310)))</f>
        <v/>
      </c>
      <c r="BQ311" s="5">
        <f>IF(A311="","",N(INDEX(Projects[Act Controls Commissioning],310)))</f>
        <v/>
      </c>
      <c r="BR311" s="5">
        <f>IF(A311="","",N(INDEX(Projects[Act Systems Commissioning],310)))</f>
        <v/>
      </c>
      <c r="BS311" s="5">
        <f>IF(A311="","",N(INDEX(Projects[Act Service Commissioning],310)))</f>
        <v/>
      </c>
      <c r="BT311" s="5">
        <f>IF(A311="","",N(INDEX(Projects[Act Controls Eng],310)))</f>
        <v/>
      </c>
      <c r="BU311" s="5">
        <f>IF(A311="","",N(INDEX(Projects[Act Controls Purchase],310)))</f>
        <v/>
      </c>
      <c r="BV311" s="5">
        <f>IF(A311="","",N(INDEX(Projects[Act Software Eng],310)))</f>
        <v/>
      </c>
      <c r="BW311" s="5">
        <f>IF(A311="","",N(INDEX(Projects[Act 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INDEX(Projects[Sold Value (USD M)],310)</f>
        <v/>
      </c>
      <c r="CE311" s="5" t="n"/>
      <c r="CF311" s="5">
        <f>IF(A311="","",N(INDEX(Projects[Est Mech Inst],310)))</f>
        <v/>
      </c>
      <c r="CG311" s="5">
        <f>IF(A311="","",N(INDEX(Projects[Est Elec Inst],310)))</f>
        <v/>
      </c>
      <c r="CH311" s="5">
        <f>IF(A311="","",N(INDEX(Projects[Est Project Management],310)))</f>
        <v/>
      </c>
      <c r="CI311" s="5">
        <f>IF(A311="","",N(INDEX(Projects[Est Systems Eng],310)))</f>
        <v/>
      </c>
      <c r="CJ311" s="5">
        <f>IF(A311="","",N(INDEX(Projects[Est Mechanical Eng],310)))</f>
        <v/>
      </c>
      <c r="CK311" s="5">
        <f>IF(A311="","",N(INDEX(Projects[Est Structural Engineering],310)))</f>
        <v/>
      </c>
      <c r="CL311" s="5">
        <f>IF(A311="","",N(INDEX(Projects[Est Site Sup],310)))</f>
        <v/>
      </c>
      <c r="CM311" s="5">
        <f>IF(A311="","",N(INDEX(Projects[Est Controls Commissioning],310)))</f>
        <v/>
      </c>
      <c r="CN311" s="5">
        <f>IF(A311="","",N(INDEX(Projects[Est Systems Commissioning],310)))</f>
        <v/>
      </c>
      <c r="CO311" s="5">
        <f>IF(A311="","",N(INDEX(Projects[Est Service Commissioning],310)))</f>
        <v/>
      </c>
      <c r="CP311" s="5">
        <f>IF(A311="","",N(INDEX(Projects[Est Controls Eng],310)))</f>
        <v/>
      </c>
      <c r="CQ311" s="5">
        <f>IF(A311="","",N(INDEX(Projects[Est Controls Purchase],310)))</f>
        <v/>
      </c>
      <c r="CR311" s="5">
        <f>IF(A311="","",N(INDEX(Projects[Est Software Eng],310)))</f>
        <v/>
      </c>
      <c r="CS311" s="5">
        <f>IF(A311="","",N(INDEX(Projects[Est Misc],310)))</f>
        <v/>
      </c>
      <c r="CT311" s="5">
        <f>IF(A311="","",SUM(CF311:CS311))</f>
        <v/>
      </c>
      <c r="CU311" s="5">
        <f>INDEX(Projects[Est Cost (M)],310)</f>
        <v/>
      </c>
      <c r="CV311" s="5">
        <f>INDEX(Projects[Act Cost (M)],310)</f>
        <v/>
      </c>
      <c r="CW311" s="5">
        <f>INDEX(Projects[Plan Mech Eng (wks)],310)</f>
        <v/>
      </c>
      <c r="CX311" s="5">
        <f>INDEX(Projects[Plan Controls Eng (wks)],310)</f>
        <v/>
      </c>
      <c r="CY311" s="5">
        <f>INDEX(Projects[Plan Systems Eng (wks)],310)</f>
        <v/>
      </c>
      <c r="CZ311" s="5">
        <f>INDEX(Projects[Plan Software Eng (wks)],310)</f>
        <v/>
      </c>
      <c r="DA311" s="5">
        <f>INDEX(Projects[Plan M&amp;E Installation (wks)],310)</f>
        <v/>
      </c>
      <c r="DB311" s="5">
        <f>INDEX(Projects[Plan Commissioning (wks)],310)</f>
        <v/>
      </c>
      <c r="DC311" s="5">
        <f>INDEX(Projects[Plan Total (wks)],310)</f>
        <v/>
      </c>
      <c r="DD311" s="5">
        <f>INDEX(Projects[Act Mech Eng (wks)],310)</f>
        <v/>
      </c>
      <c r="DE311" s="5">
        <f>INDEX(Projects[Act Controls Eng (wks)],310)</f>
        <v/>
      </c>
      <c r="DF311" s="5">
        <f>INDEX(Projects[Act Systems Eng (wks)],310)</f>
        <v/>
      </c>
      <c r="DG311" s="5">
        <f>INDEX(Projects[Act Software Eng (wks)],310)</f>
        <v/>
      </c>
      <c r="DH311" s="5">
        <f>INDEX(Projects[Act M&amp;E Installation (wks)],310)</f>
        <v/>
      </c>
      <c r="DI311" s="5">
        <f>INDEX(Projects[Act Commissioning (wks)],310)</f>
        <v/>
      </c>
      <c r="DJ311" s="5">
        <f>INDEX(Projects[Act Total (wks)],310)</f>
        <v/>
      </c>
    </row>
    <row r="312" ht="15" customHeight="1" s="82">
      <c r="A312" s="64">
        <f>INDEX(Projects[Project ID *],311)&amp;""</f>
        <v/>
      </c>
      <c r="B312" s="64">
        <f>INDEX(Projects[Project Name *],311)&amp;""</f>
        <v/>
      </c>
      <c r="C312" s="64">
        <f>INDEX(Projects[MS Shuttles],311)</f>
        <v/>
      </c>
      <c r="D312" s="64">
        <f>INDEX(Projects[MS Tote Locations],311)</f>
        <v/>
      </c>
      <c r="E312" s="64">
        <f>INDEX(Projects[AS Robots],311)</f>
        <v/>
      </c>
      <c r="F312" s="64">
        <f>INDEX(Projects[AS Tote Locations],311)</f>
        <v/>
      </c>
      <c r="G312" s="64">
        <f>INDEX(Projects[PS Shuttles],311)</f>
        <v/>
      </c>
      <c r="H312" s="64">
        <f>INDEX(Projects[PS Pallet Locations],311)</f>
        <v/>
      </c>
      <c r="I312" s="64">
        <f>INDEX(Projects[SRM Cranes],311)</f>
        <v/>
      </c>
      <c r="J312" s="64">
        <f>INDEX(Projects[SRM Pallet Locations],311)</f>
        <v/>
      </c>
      <c r="K312" s="64">
        <f>INDEX(Projects[Case Conv (m)],311)</f>
        <v/>
      </c>
      <c r="L312" s="64">
        <f>INDEX(Projects[Pallet Conv (m)],311)</f>
        <v/>
      </c>
      <c r="M312" s="64">
        <f>IF(N(DJ312)&gt;0,DD312,CW312)</f>
        <v/>
      </c>
      <c r="N312" s="64">
        <f>IF(N(DJ312)&gt;0,DE312,CX312)</f>
        <v/>
      </c>
      <c r="O312" s="64">
        <f>IF(N(DJ312)&gt;0,DF312,CY312)</f>
        <v/>
      </c>
      <c r="P312" s="64">
        <f>IF(N(DJ312)&gt;0,DG312,CZ312)</f>
        <v/>
      </c>
      <c r="Q312" s="64">
        <f>IF(N(DJ312)&gt;0,DH312,DA312)</f>
        <v/>
      </c>
      <c r="R312" s="64">
        <f>IF(N(DJ312)&gt;0,DI312,DB312)</f>
        <v/>
      </c>
      <c r="S312" s="64">
        <f>IF(N(DJ312)&gt;0,DJ312,DC312)</f>
        <v/>
      </c>
      <c r="T312" s="64">
        <f>INDEX(Projects[Currency],311)&amp;""</f>
        <v/>
      </c>
      <c r="U312" s="65">
        <f>INDEX(Projects[Sold Value (M)],311)</f>
        <v/>
      </c>
      <c r="V312" s="64">
        <f>IF('Smart Search'!B13=1,IFERROR(1/'Smart Search'!H13,0),0)</f>
        <v/>
      </c>
      <c r="W312" s="64">
        <f>IF('Smart Search'!B13=1,IFERROR(1/'Smart Search'!H13,0),0)</f>
        <v/>
      </c>
      <c r="X312" s="64">
        <f>IF('Smart Search'!C13=1,IFERROR(1/'Smart Search'!H13,0),0)</f>
        <v/>
      </c>
      <c r="Y312" s="64">
        <f>IF('Smart Search'!C13=1,IFERROR(1/'Smart Search'!H13,0),0)</f>
        <v/>
      </c>
      <c r="Z312" s="64">
        <f>IF('Smart Search'!D13=1,IFERROR(1/'Smart Search'!H13,0),0)</f>
        <v/>
      </c>
      <c r="AA312" s="64">
        <f>IF('Smart Search'!D13=1,IFERROR(1/'Smart Search'!H13,0),0)</f>
        <v/>
      </c>
      <c r="AB312" s="64">
        <f>IF('Smart Search'!E13=1,IFERROR(1/'Smart Search'!H13,0),0)</f>
        <v/>
      </c>
      <c r="AC312" s="64">
        <f>IF('Smart Search'!E13=1,IFERROR(1/'Smart Search'!H13,0),0)</f>
        <v/>
      </c>
      <c r="AD312" s="64">
        <f>IF('Smart Search'!F13=1,IFERROR(1/'Smart Search'!H13,0),0)</f>
        <v/>
      </c>
      <c r="AE312" s="64">
        <f>IF('Smart Search'!F13=1,IFERROR(1/'Smart Search'!H13,0),0)</f>
        <v/>
      </c>
      <c r="AF312" s="64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4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4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4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4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4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4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4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4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4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4">
        <f>AF312*V312</f>
        <v/>
      </c>
      <c r="AQ312" s="64">
        <f>AG312*W312</f>
        <v/>
      </c>
      <c r="AR312" s="64">
        <f>AH312*X312</f>
        <v/>
      </c>
      <c r="AS312" s="64">
        <f>AI312*Y312</f>
        <v/>
      </c>
      <c r="AT312" s="64">
        <f>AJ312*Z312</f>
        <v/>
      </c>
      <c r="AU312" s="64">
        <f>AK312*AA312</f>
        <v/>
      </c>
      <c r="AV312" s="64">
        <f>AL312*AB312</f>
        <v/>
      </c>
      <c r="AW312" s="64">
        <f>AM312*AC312</f>
        <v/>
      </c>
      <c r="AX312" s="64">
        <f>AN312*AD312</f>
        <v/>
      </c>
      <c r="AY312" s="64">
        <f>AO312*AE312</f>
        <v/>
      </c>
      <c r="AZ312" s="64">
        <f>INDEX(Projects[Automation Equipment],311)&amp;""</f>
        <v/>
      </c>
      <c r="BA312" s="64">
        <f>IF(OR(A312="",'Smart Search'!H13=0),"",MAX(0,BE312*BF312*MAX(0,1-BG312)))</f>
        <v/>
      </c>
      <c r="BB312" s="64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4">
        <f>IF('Smart Search'!G13=1,IFERROR(1/'Smart Search'!H13,0),0)</f>
        <v/>
      </c>
      <c r="BD312" s="64">
        <f>BB312*BC312</f>
        <v/>
      </c>
      <c r="BE312" s="64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IF(A312="","",N(INDEX(Projects[Act Mech Inst],311)))</f>
        <v/>
      </c>
      <c r="BK312" s="5">
        <f>IF(A312="","",N(INDEX(Projects[Act Elec Inst],311)))</f>
        <v/>
      </c>
      <c r="BL312" s="5">
        <f>IF(A312="","",N(INDEX(Projects[Act Project Management],311)))</f>
        <v/>
      </c>
      <c r="BM312" s="5">
        <f>IF(A312="","",N(INDEX(Projects[Act Systems Eng],311)))</f>
        <v/>
      </c>
      <c r="BN312" s="5">
        <f>IF(A312="","",N(INDEX(Projects[Act Mechanical Eng],311)))</f>
        <v/>
      </c>
      <c r="BO312" s="5">
        <f>IF(A312="","",N(INDEX(Projects[Act Structural Engineering],311)))</f>
        <v/>
      </c>
      <c r="BP312" s="5">
        <f>IF(A312="","",N(INDEX(Projects[Act Site Sup],311)))</f>
        <v/>
      </c>
      <c r="BQ312" s="5">
        <f>IF(A312="","",N(INDEX(Projects[Act Controls Commissioning],311)))</f>
        <v/>
      </c>
      <c r="BR312" s="5">
        <f>IF(A312="","",N(INDEX(Projects[Act Systems Commissioning],311)))</f>
        <v/>
      </c>
      <c r="BS312" s="5">
        <f>IF(A312="","",N(INDEX(Projects[Act Service Commissioning],311)))</f>
        <v/>
      </c>
      <c r="BT312" s="5">
        <f>IF(A312="","",N(INDEX(Projects[Act Controls Eng],311)))</f>
        <v/>
      </c>
      <c r="BU312" s="5">
        <f>IF(A312="","",N(INDEX(Projects[Act Controls Purchase],311)))</f>
        <v/>
      </c>
      <c r="BV312" s="5">
        <f>IF(A312="","",N(INDEX(Projects[Act Software Eng],311)))</f>
        <v/>
      </c>
      <c r="BW312" s="5">
        <f>IF(A312="","",N(INDEX(Projects[Act 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INDEX(Projects[Sold Value (USD M)],311)</f>
        <v/>
      </c>
      <c r="CE312" s="5" t="n"/>
      <c r="CF312" s="5">
        <f>IF(A312="","",N(INDEX(Projects[Est Mech Inst],311)))</f>
        <v/>
      </c>
      <c r="CG312" s="5">
        <f>IF(A312="","",N(INDEX(Projects[Est Elec Inst],311)))</f>
        <v/>
      </c>
      <c r="CH312" s="5">
        <f>IF(A312="","",N(INDEX(Projects[Est Project Management],311)))</f>
        <v/>
      </c>
      <c r="CI312" s="5">
        <f>IF(A312="","",N(INDEX(Projects[Est Systems Eng],311)))</f>
        <v/>
      </c>
      <c r="CJ312" s="5">
        <f>IF(A312="","",N(INDEX(Projects[Est Mechanical Eng],311)))</f>
        <v/>
      </c>
      <c r="CK312" s="5">
        <f>IF(A312="","",N(INDEX(Projects[Est Structural Engineering],311)))</f>
        <v/>
      </c>
      <c r="CL312" s="5">
        <f>IF(A312="","",N(INDEX(Projects[Est Site Sup],311)))</f>
        <v/>
      </c>
      <c r="CM312" s="5">
        <f>IF(A312="","",N(INDEX(Projects[Est Controls Commissioning],311)))</f>
        <v/>
      </c>
      <c r="CN312" s="5">
        <f>IF(A312="","",N(INDEX(Projects[Est Systems Commissioning],311)))</f>
        <v/>
      </c>
      <c r="CO312" s="5">
        <f>IF(A312="","",N(INDEX(Projects[Est Service Commissioning],311)))</f>
        <v/>
      </c>
      <c r="CP312" s="5">
        <f>IF(A312="","",N(INDEX(Projects[Est Controls Eng],311)))</f>
        <v/>
      </c>
      <c r="CQ312" s="5">
        <f>IF(A312="","",N(INDEX(Projects[Est Controls Purchase],311)))</f>
        <v/>
      </c>
      <c r="CR312" s="5">
        <f>IF(A312="","",N(INDEX(Projects[Est Software Eng],311)))</f>
        <v/>
      </c>
      <c r="CS312" s="5">
        <f>IF(A312="","",N(INDEX(Projects[Est Misc],311)))</f>
        <v/>
      </c>
      <c r="CT312" s="5">
        <f>IF(A312="","",SUM(CF312:CS312))</f>
        <v/>
      </c>
      <c r="CU312" s="5">
        <f>INDEX(Projects[Est Cost (M)],311)</f>
        <v/>
      </c>
      <c r="CV312" s="5">
        <f>INDEX(Projects[Act Cost (M)],311)</f>
        <v/>
      </c>
      <c r="CW312" s="5">
        <f>INDEX(Projects[Plan Mech Eng (wks)],311)</f>
        <v/>
      </c>
      <c r="CX312" s="5">
        <f>INDEX(Projects[Plan Controls Eng (wks)],311)</f>
        <v/>
      </c>
      <c r="CY312" s="5">
        <f>INDEX(Projects[Plan Systems Eng (wks)],311)</f>
        <v/>
      </c>
      <c r="CZ312" s="5">
        <f>INDEX(Projects[Plan Software Eng (wks)],311)</f>
        <v/>
      </c>
      <c r="DA312" s="5">
        <f>INDEX(Projects[Plan M&amp;E Installation (wks)],311)</f>
        <v/>
      </c>
      <c r="DB312" s="5">
        <f>INDEX(Projects[Plan Commissioning (wks)],311)</f>
        <v/>
      </c>
      <c r="DC312" s="5">
        <f>INDEX(Projects[Plan Total (wks)],311)</f>
        <v/>
      </c>
      <c r="DD312" s="5">
        <f>INDEX(Projects[Act Mech Eng (wks)],311)</f>
        <v/>
      </c>
      <c r="DE312" s="5">
        <f>INDEX(Projects[Act Controls Eng (wks)],311)</f>
        <v/>
      </c>
      <c r="DF312" s="5">
        <f>INDEX(Projects[Act Systems Eng (wks)],311)</f>
        <v/>
      </c>
      <c r="DG312" s="5">
        <f>INDEX(Projects[Act Software Eng (wks)],311)</f>
        <v/>
      </c>
      <c r="DH312" s="5">
        <f>INDEX(Projects[Act M&amp;E Installation (wks)],311)</f>
        <v/>
      </c>
      <c r="DI312" s="5">
        <f>INDEX(Projects[Act Commissioning (wks)],311)</f>
        <v/>
      </c>
      <c r="DJ312" s="5">
        <f>INDEX(Projects[Act Total (wks)],311)</f>
        <v/>
      </c>
    </row>
    <row r="313" ht="15" customHeight="1" s="82">
      <c r="A313" s="64">
        <f>INDEX(Projects[Project ID *],312)&amp;""</f>
        <v/>
      </c>
      <c r="B313" s="64">
        <f>INDEX(Projects[Project Name *],312)&amp;""</f>
        <v/>
      </c>
      <c r="C313" s="64">
        <f>INDEX(Projects[MS Shuttles],312)</f>
        <v/>
      </c>
      <c r="D313" s="64">
        <f>INDEX(Projects[MS Tote Locations],312)</f>
        <v/>
      </c>
      <c r="E313" s="64">
        <f>INDEX(Projects[AS Robots],312)</f>
        <v/>
      </c>
      <c r="F313" s="64">
        <f>INDEX(Projects[AS Tote Locations],312)</f>
        <v/>
      </c>
      <c r="G313" s="64">
        <f>INDEX(Projects[PS Shuttles],312)</f>
        <v/>
      </c>
      <c r="H313" s="64">
        <f>INDEX(Projects[PS Pallet Locations],312)</f>
        <v/>
      </c>
      <c r="I313" s="64">
        <f>INDEX(Projects[SRM Cranes],312)</f>
        <v/>
      </c>
      <c r="J313" s="64">
        <f>INDEX(Projects[SRM Pallet Locations],312)</f>
        <v/>
      </c>
      <c r="K313" s="64">
        <f>INDEX(Projects[Case Conv (m)],312)</f>
        <v/>
      </c>
      <c r="L313" s="64">
        <f>INDEX(Projects[Pallet Conv (m)],312)</f>
        <v/>
      </c>
      <c r="M313" s="64">
        <f>IF(N(DJ313)&gt;0,DD313,CW313)</f>
        <v/>
      </c>
      <c r="N313" s="64">
        <f>IF(N(DJ313)&gt;0,DE313,CX313)</f>
        <v/>
      </c>
      <c r="O313" s="64">
        <f>IF(N(DJ313)&gt;0,DF313,CY313)</f>
        <v/>
      </c>
      <c r="P313" s="64">
        <f>IF(N(DJ313)&gt;0,DG313,CZ313)</f>
        <v/>
      </c>
      <c r="Q313" s="64">
        <f>IF(N(DJ313)&gt;0,DH313,DA313)</f>
        <v/>
      </c>
      <c r="R313" s="64">
        <f>IF(N(DJ313)&gt;0,DI313,DB313)</f>
        <v/>
      </c>
      <c r="S313" s="64">
        <f>IF(N(DJ313)&gt;0,DJ313,DC313)</f>
        <v/>
      </c>
      <c r="T313" s="64">
        <f>INDEX(Projects[Currency],312)&amp;""</f>
        <v/>
      </c>
      <c r="U313" s="65">
        <f>INDEX(Projects[Sold Value (M)],312)</f>
        <v/>
      </c>
      <c r="V313" s="64">
        <f>IF('Smart Search'!B13=1,IFERROR(1/'Smart Search'!H13,0),0)</f>
        <v/>
      </c>
      <c r="W313" s="64">
        <f>IF('Smart Search'!B13=1,IFERROR(1/'Smart Search'!H13,0),0)</f>
        <v/>
      </c>
      <c r="X313" s="64">
        <f>IF('Smart Search'!C13=1,IFERROR(1/'Smart Search'!H13,0),0)</f>
        <v/>
      </c>
      <c r="Y313" s="64">
        <f>IF('Smart Search'!C13=1,IFERROR(1/'Smart Search'!H13,0),0)</f>
        <v/>
      </c>
      <c r="Z313" s="64">
        <f>IF('Smart Search'!D13=1,IFERROR(1/'Smart Search'!H13,0),0)</f>
        <v/>
      </c>
      <c r="AA313" s="64">
        <f>IF('Smart Search'!D13=1,IFERROR(1/'Smart Search'!H13,0),0)</f>
        <v/>
      </c>
      <c r="AB313" s="64">
        <f>IF('Smart Search'!E13=1,IFERROR(1/'Smart Search'!H13,0),0)</f>
        <v/>
      </c>
      <c r="AC313" s="64">
        <f>IF('Smart Search'!E13=1,IFERROR(1/'Smart Search'!H13,0),0)</f>
        <v/>
      </c>
      <c r="AD313" s="64">
        <f>IF('Smart Search'!F13=1,IFERROR(1/'Smart Search'!H13,0),0)</f>
        <v/>
      </c>
      <c r="AE313" s="64">
        <f>IF('Smart Search'!F13=1,IFERROR(1/'Smart Search'!H13,0),0)</f>
        <v/>
      </c>
      <c r="AF313" s="64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4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4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4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4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4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4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4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4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4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4">
        <f>AF313*V313</f>
        <v/>
      </c>
      <c r="AQ313" s="64">
        <f>AG313*W313</f>
        <v/>
      </c>
      <c r="AR313" s="64">
        <f>AH313*X313</f>
        <v/>
      </c>
      <c r="AS313" s="64">
        <f>AI313*Y313</f>
        <v/>
      </c>
      <c r="AT313" s="64">
        <f>AJ313*Z313</f>
        <v/>
      </c>
      <c r="AU313" s="64">
        <f>AK313*AA313</f>
        <v/>
      </c>
      <c r="AV313" s="64">
        <f>AL313*AB313</f>
        <v/>
      </c>
      <c r="AW313" s="64">
        <f>AM313*AC313</f>
        <v/>
      </c>
      <c r="AX313" s="64">
        <f>AN313*AD313</f>
        <v/>
      </c>
      <c r="AY313" s="64">
        <f>AO313*AE313</f>
        <v/>
      </c>
      <c r="AZ313" s="64">
        <f>INDEX(Projects[Automation Equipment],312)&amp;""</f>
        <v/>
      </c>
      <c r="BA313" s="64">
        <f>IF(OR(A313="",'Smart Search'!H13=0),"",MAX(0,BE313*BF313*MAX(0,1-BG313)))</f>
        <v/>
      </c>
      <c r="BB313" s="64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4">
        <f>IF('Smart Search'!G13=1,IFERROR(1/'Smart Search'!H13,0),0)</f>
        <v/>
      </c>
      <c r="BD313" s="64">
        <f>BB313*BC313</f>
        <v/>
      </c>
      <c r="BE313" s="64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IF(A313="","",N(INDEX(Projects[Act Mech Inst],312)))</f>
        <v/>
      </c>
      <c r="BK313" s="5">
        <f>IF(A313="","",N(INDEX(Projects[Act Elec Inst],312)))</f>
        <v/>
      </c>
      <c r="BL313" s="5">
        <f>IF(A313="","",N(INDEX(Projects[Act Project Management],312)))</f>
        <v/>
      </c>
      <c r="BM313" s="5">
        <f>IF(A313="","",N(INDEX(Projects[Act Systems Eng],312)))</f>
        <v/>
      </c>
      <c r="BN313" s="5">
        <f>IF(A313="","",N(INDEX(Projects[Act Mechanical Eng],312)))</f>
        <v/>
      </c>
      <c r="BO313" s="5">
        <f>IF(A313="","",N(INDEX(Projects[Act Structural Engineering],312)))</f>
        <v/>
      </c>
      <c r="BP313" s="5">
        <f>IF(A313="","",N(INDEX(Projects[Act Site Sup],312)))</f>
        <v/>
      </c>
      <c r="BQ313" s="5">
        <f>IF(A313="","",N(INDEX(Projects[Act Controls Commissioning],312)))</f>
        <v/>
      </c>
      <c r="BR313" s="5">
        <f>IF(A313="","",N(INDEX(Projects[Act Systems Commissioning],312)))</f>
        <v/>
      </c>
      <c r="BS313" s="5">
        <f>IF(A313="","",N(INDEX(Projects[Act Service Commissioning],312)))</f>
        <v/>
      </c>
      <c r="BT313" s="5">
        <f>IF(A313="","",N(INDEX(Projects[Act Controls Eng],312)))</f>
        <v/>
      </c>
      <c r="BU313" s="5">
        <f>IF(A313="","",N(INDEX(Projects[Act Controls Purchase],312)))</f>
        <v/>
      </c>
      <c r="BV313" s="5">
        <f>IF(A313="","",N(INDEX(Projects[Act Software Eng],312)))</f>
        <v/>
      </c>
      <c r="BW313" s="5">
        <f>IF(A313="","",N(INDEX(Projects[Act 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INDEX(Projects[Sold Value (USD M)],312)</f>
        <v/>
      </c>
      <c r="CE313" s="5" t="n"/>
      <c r="CF313" s="5">
        <f>IF(A313="","",N(INDEX(Projects[Est Mech Inst],312)))</f>
        <v/>
      </c>
      <c r="CG313" s="5">
        <f>IF(A313="","",N(INDEX(Projects[Est Elec Inst],312)))</f>
        <v/>
      </c>
      <c r="CH313" s="5">
        <f>IF(A313="","",N(INDEX(Projects[Est Project Management],312)))</f>
        <v/>
      </c>
      <c r="CI313" s="5">
        <f>IF(A313="","",N(INDEX(Projects[Est Systems Eng],312)))</f>
        <v/>
      </c>
      <c r="CJ313" s="5">
        <f>IF(A313="","",N(INDEX(Projects[Est Mechanical Eng],312)))</f>
        <v/>
      </c>
      <c r="CK313" s="5">
        <f>IF(A313="","",N(INDEX(Projects[Est Structural Engineering],312)))</f>
        <v/>
      </c>
      <c r="CL313" s="5">
        <f>IF(A313="","",N(INDEX(Projects[Est Site Sup],312)))</f>
        <v/>
      </c>
      <c r="CM313" s="5">
        <f>IF(A313="","",N(INDEX(Projects[Est Controls Commissioning],312)))</f>
        <v/>
      </c>
      <c r="CN313" s="5">
        <f>IF(A313="","",N(INDEX(Projects[Est Systems Commissioning],312)))</f>
        <v/>
      </c>
      <c r="CO313" s="5">
        <f>IF(A313="","",N(INDEX(Projects[Est Service Commissioning],312)))</f>
        <v/>
      </c>
      <c r="CP313" s="5">
        <f>IF(A313="","",N(INDEX(Projects[Est Controls Eng],312)))</f>
        <v/>
      </c>
      <c r="CQ313" s="5">
        <f>IF(A313="","",N(INDEX(Projects[Est Controls Purchase],312)))</f>
        <v/>
      </c>
      <c r="CR313" s="5">
        <f>IF(A313="","",N(INDEX(Projects[Est Software Eng],312)))</f>
        <v/>
      </c>
      <c r="CS313" s="5">
        <f>IF(A313="","",N(INDEX(Projects[Est Misc],312)))</f>
        <v/>
      </c>
      <c r="CT313" s="5">
        <f>IF(A313="","",SUM(CF313:CS313))</f>
        <v/>
      </c>
      <c r="CU313" s="5">
        <f>INDEX(Projects[Est Cost (M)],312)</f>
        <v/>
      </c>
      <c r="CV313" s="5">
        <f>INDEX(Projects[Act Cost (M)],312)</f>
        <v/>
      </c>
      <c r="CW313" s="5">
        <f>INDEX(Projects[Plan Mech Eng (wks)],312)</f>
        <v/>
      </c>
      <c r="CX313" s="5">
        <f>INDEX(Projects[Plan Controls Eng (wks)],312)</f>
        <v/>
      </c>
      <c r="CY313" s="5">
        <f>INDEX(Projects[Plan Systems Eng (wks)],312)</f>
        <v/>
      </c>
      <c r="CZ313" s="5">
        <f>INDEX(Projects[Plan Software Eng (wks)],312)</f>
        <v/>
      </c>
      <c r="DA313" s="5">
        <f>INDEX(Projects[Plan M&amp;E Installation (wks)],312)</f>
        <v/>
      </c>
      <c r="DB313" s="5">
        <f>INDEX(Projects[Plan Commissioning (wks)],312)</f>
        <v/>
      </c>
      <c r="DC313" s="5">
        <f>INDEX(Projects[Plan Total (wks)],312)</f>
        <v/>
      </c>
      <c r="DD313" s="5">
        <f>INDEX(Projects[Act Mech Eng (wks)],312)</f>
        <v/>
      </c>
      <c r="DE313" s="5">
        <f>INDEX(Projects[Act Controls Eng (wks)],312)</f>
        <v/>
      </c>
      <c r="DF313" s="5">
        <f>INDEX(Projects[Act Systems Eng (wks)],312)</f>
        <v/>
      </c>
      <c r="DG313" s="5">
        <f>INDEX(Projects[Act Software Eng (wks)],312)</f>
        <v/>
      </c>
      <c r="DH313" s="5">
        <f>INDEX(Projects[Act M&amp;E Installation (wks)],312)</f>
        <v/>
      </c>
      <c r="DI313" s="5">
        <f>INDEX(Projects[Act Commissioning (wks)],312)</f>
        <v/>
      </c>
      <c r="DJ313" s="5">
        <f>INDEX(Projects[Act Total (wks)],312)</f>
        <v/>
      </c>
    </row>
    <row r="314" ht="15" customHeight="1" s="82">
      <c r="A314" s="64">
        <f>INDEX(Projects[Project ID *],313)&amp;""</f>
        <v/>
      </c>
      <c r="B314" s="64">
        <f>INDEX(Projects[Project Name *],313)&amp;""</f>
        <v/>
      </c>
      <c r="C314" s="64">
        <f>INDEX(Projects[MS Shuttles],313)</f>
        <v/>
      </c>
      <c r="D314" s="64">
        <f>INDEX(Projects[MS Tote Locations],313)</f>
        <v/>
      </c>
      <c r="E314" s="64">
        <f>INDEX(Projects[AS Robots],313)</f>
        <v/>
      </c>
      <c r="F314" s="64">
        <f>INDEX(Projects[AS Tote Locations],313)</f>
        <v/>
      </c>
      <c r="G314" s="64">
        <f>INDEX(Projects[PS Shuttles],313)</f>
        <v/>
      </c>
      <c r="H314" s="64">
        <f>INDEX(Projects[PS Pallet Locations],313)</f>
        <v/>
      </c>
      <c r="I314" s="64">
        <f>INDEX(Projects[SRM Cranes],313)</f>
        <v/>
      </c>
      <c r="J314" s="64">
        <f>INDEX(Projects[SRM Pallet Locations],313)</f>
        <v/>
      </c>
      <c r="K314" s="64">
        <f>INDEX(Projects[Case Conv (m)],313)</f>
        <v/>
      </c>
      <c r="L314" s="64">
        <f>INDEX(Projects[Pallet Conv (m)],313)</f>
        <v/>
      </c>
      <c r="M314" s="64">
        <f>IF(N(DJ314)&gt;0,DD314,CW314)</f>
        <v/>
      </c>
      <c r="N314" s="64">
        <f>IF(N(DJ314)&gt;0,DE314,CX314)</f>
        <v/>
      </c>
      <c r="O314" s="64">
        <f>IF(N(DJ314)&gt;0,DF314,CY314)</f>
        <v/>
      </c>
      <c r="P314" s="64">
        <f>IF(N(DJ314)&gt;0,DG314,CZ314)</f>
        <v/>
      </c>
      <c r="Q314" s="64">
        <f>IF(N(DJ314)&gt;0,DH314,DA314)</f>
        <v/>
      </c>
      <c r="R314" s="64">
        <f>IF(N(DJ314)&gt;0,DI314,DB314)</f>
        <v/>
      </c>
      <c r="S314" s="64">
        <f>IF(N(DJ314)&gt;0,DJ314,DC314)</f>
        <v/>
      </c>
      <c r="T314" s="64">
        <f>INDEX(Projects[Currency],313)&amp;""</f>
        <v/>
      </c>
      <c r="U314" s="65">
        <f>INDEX(Projects[Sold Value (M)],313)</f>
        <v/>
      </c>
      <c r="V314" s="64">
        <f>IF('Smart Search'!B13=1,IFERROR(1/'Smart Search'!H13,0),0)</f>
        <v/>
      </c>
      <c r="W314" s="64">
        <f>IF('Smart Search'!B13=1,IFERROR(1/'Smart Search'!H13,0),0)</f>
        <v/>
      </c>
      <c r="X314" s="64">
        <f>IF('Smart Search'!C13=1,IFERROR(1/'Smart Search'!H13,0),0)</f>
        <v/>
      </c>
      <c r="Y314" s="64">
        <f>IF('Smart Search'!C13=1,IFERROR(1/'Smart Search'!H13,0),0)</f>
        <v/>
      </c>
      <c r="Z314" s="64">
        <f>IF('Smart Search'!D13=1,IFERROR(1/'Smart Search'!H13,0),0)</f>
        <v/>
      </c>
      <c r="AA314" s="64">
        <f>IF('Smart Search'!D13=1,IFERROR(1/'Smart Search'!H13,0),0)</f>
        <v/>
      </c>
      <c r="AB314" s="64">
        <f>IF('Smart Search'!E13=1,IFERROR(1/'Smart Search'!H13,0),0)</f>
        <v/>
      </c>
      <c r="AC314" s="64">
        <f>IF('Smart Search'!E13=1,IFERROR(1/'Smart Search'!H13,0),0)</f>
        <v/>
      </c>
      <c r="AD314" s="64">
        <f>IF('Smart Search'!F13=1,IFERROR(1/'Smart Search'!H13,0),0)</f>
        <v/>
      </c>
      <c r="AE314" s="64">
        <f>IF('Smart Search'!F13=1,IFERROR(1/'Smart Search'!H13,0),0)</f>
        <v/>
      </c>
      <c r="AF314" s="64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4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4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4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4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4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4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4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4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4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4">
        <f>AF314*V314</f>
        <v/>
      </c>
      <c r="AQ314" s="64">
        <f>AG314*W314</f>
        <v/>
      </c>
      <c r="AR314" s="64">
        <f>AH314*X314</f>
        <v/>
      </c>
      <c r="AS314" s="64">
        <f>AI314*Y314</f>
        <v/>
      </c>
      <c r="AT314" s="64">
        <f>AJ314*Z314</f>
        <v/>
      </c>
      <c r="AU314" s="64">
        <f>AK314*AA314</f>
        <v/>
      </c>
      <c r="AV314" s="64">
        <f>AL314*AB314</f>
        <v/>
      </c>
      <c r="AW314" s="64">
        <f>AM314*AC314</f>
        <v/>
      </c>
      <c r="AX314" s="64">
        <f>AN314*AD314</f>
        <v/>
      </c>
      <c r="AY314" s="64">
        <f>AO314*AE314</f>
        <v/>
      </c>
      <c r="AZ314" s="64">
        <f>INDEX(Projects[Automation Equipment],313)&amp;""</f>
        <v/>
      </c>
      <c r="BA314" s="64">
        <f>IF(OR(A314="",'Smart Search'!H13=0),"",MAX(0,BE314*BF314*MAX(0,1-BG314)))</f>
        <v/>
      </c>
      <c r="BB314" s="64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4">
        <f>IF('Smart Search'!G13=1,IFERROR(1/'Smart Search'!H13,0),0)</f>
        <v/>
      </c>
      <c r="BD314" s="64">
        <f>BB314*BC314</f>
        <v/>
      </c>
      <c r="BE314" s="64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IF(A314="","",N(INDEX(Projects[Act Mech Inst],313)))</f>
        <v/>
      </c>
      <c r="BK314" s="5">
        <f>IF(A314="","",N(INDEX(Projects[Act Elec Inst],313)))</f>
        <v/>
      </c>
      <c r="BL314" s="5">
        <f>IF(A314="","",N(INDEX(Projects[Act Project Management],313)))</f>
        <v/>
      </c>
      <c r="BM314" s="5">
        <f>IF(A314="","",N(INDEX(Projects[Act Systems Eng],313)))</f>
        <v/>
      </c>
      <c r="BN314" s="5">
        <f>IF(A314="","",N(INDEX(Projects[Act Mechanical Eng],313)))</f>
        <v/>
      </c>
      <c r="BO314" s="5">
        <f>IF(A314="","",N(INDEX(Projects[Act Structural Engineering],313)))</f>
        <v/>
      </c>
      <c r="BP314" s="5">
        <f>IF(A314="","",N(INDEX(Projects[Act Site Sup],313)))</f>
        <v/>
      </c>
      <c r="BQ314" s="5">
        <f>IF(A314="","",N(INDEX(Projects[Act Controls Commissioning],313)))</f>
        <v/>
      </c>
      <c r="BR314" s="5">
        <f>IF(A314="","",N(INDEX(Projects[Act Systems Commissioning],313)))</f>
        <v/>
      </c>
      <c r="BS314" s="5">
        <f>IF(A314="","",N(INDEX(Projects[Act Service Commissioning],313)))</f>
        <v/>
      </c>
      <c r="BT314" s="5">
        <f>IF(A314="","",N(INDEX(Projects[Act Controls Eng],313)))</f>
        <v/>
      </c>
      <c r="BU314" s="5">
        <f>IF(A314="","",N(INDEX(Projects[Act Controls Purchase],313)))</f>
        <v/>
      </c>
      <c r="BV314" s="5">
        <f>IF(A314="","",N(INDEX(Projects[Act Software Eng],313)))</f>
        <v/>
      </c>
      <c r="BW314" s="5">
        <f>IF(A314="","",N(INDEX(Projects[Act 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INDEX(Projects[Sold Value (USD M)],313)</f>
        <v/>
      </c>
      <c r="CE314" s="5" t="n"/>
      <c r="CF314" s="5">
        <f>IF(A314="","",N(INDEX(Projects[Est Mech Inst],313)))</f>
        <v/>
      </c>
      <c r="CG314" s="5">
        <f>IF(A314="","",N(INDEX(Projects[Est Elec Inst],313)))</f>
        <v/>
      </c>
      <c r="CH314" s="5">
        <f>IF(A314="","",N(INDEX(Projects[Est Project Management],313)))</f>
        <v/>
      </c>
      <c r="CI314" s="5">
        <f>IF(A314="","",N(INDEX(Projects[Est Systems Eng],313)))</f>
        <v/>
      </c>
      <c r="CJ314" s="5">
        <f>IF(A314="","",N(INDEX(Projects[Est Mechanical Eng],313)))</f>
        <v/>
      </c>
      <c r="CK314" s="5">
        <f>IF(A314="","",N(INDEX(Projects[Est Structural Engineering],313)))</f>
        <v/>
      </c>
      <c r="CL314" s="5">
        <f>IF(A314="","",N(INDEX(Projects[Est Site Sup],313)))</f>
        <v/>
      </c>
      <c r="CM314" s="5">
        <f>IF(A314="","",N(INDEX(Projects[Est Controls Commissioning],313)))</f>
        <v/>
      </c>
      <c r="CN314" s="5">
        <f>IF(A314="","",N(INDEX(Projects[Est Systems Commissioning],313)))</f>
        <v/>
      </c>
      <c r="CO314" s="5">
        <f>IF(A314="","",N(INDEX(Projects[Est Service Commissioning],313)))</f>
        <v/>
      </c>
      <c r="CP314" s="5">
        <f>IF(A314="","",N(INDEX(Projects[Est Controls Eng],313)))</f>
        <v/>
      </c>
      <c r="CQ314" s="5">
        <f>IF(A314="","",N(INDEX(Projects[Est Controls Purchase],313)))</f>
        <v/>
      </c>
      <c r="CR314" s="5">
        <f>IF(A314="","",N(INDEX(Projects[Est Software Eng],313)))</f>
        <v/>
      </c>
      <c r="CS314" s="5">
        <f>IF(A314="","",N(INDEX(Projects[Est Misc],313)))</f>
        <v/>
      </c>
      <c r="CT314" s="5">
        <f>IF(A314="","",SUM(CF314:CS314))</f>
        <v/>
      </c>
      <c r="CU314" s="5">
        <f>INDEX(Projects[Est Cost (M)],313)</f>
        <v/>
      </c>
      <c r="CV314" s="5">
        <f>INDEX(Projects[Act Cost (M)],313)</f>
        <v/>
      </c>
      <c r="CW314" s="5">
        <f>INDEX(Projects[Plan Mech Eng (wks)],313)</f>
        <v/>
      </c>
      <c r="CX314" s="5">
        <f>INDEX(Projects[Plan Controls Eng (wks)],313)</f>
        <v/>
      </c>
      <c r="CY314" s="5">
        <f>INDEX(Projects[Plan Systems Eng (wks)],313)</f>
        <v/>
      </c>
      <c r="CZ314" s="5">
        <f>INDEX(Projects[Plan Software Eng (wks)],313)</f>
        <v/>
      </c>
      <c r="DA314" s="5">
        <f>INDEX(Projects[Plan M&amp;E Installation (wks)],313)</f>
        <v/>
      </c>
      <c r="DB314" s="5">
        <f>INDEX(Projects[Plan Commissioning (wks)],313)</f>
        <v/>
      </c>
      <c r="DC314" s="5">
        <f>INDEX(Projects[Plan Total (wks)],313)</f>
        <v/>
      </c>
      <c r="DD314" s="5">
        <f>INDEX(Projects[Act Mech Eng (wks)],313)</f>
        <v/>
      </c>
      <c r="DE314" s="5">
        <f>INDEX(Projects[Act Controls Eng (wks)],313)</f>
        <v/>
      </c>
      <c r="DF314" s="5">
        <f>INDEX(Projects[Act Systems Eng (wks)],313)</f>
        <v/>
      </c>
      <c r="DG314" s="5">
        <f>INDEX(Projects[Act Software Eng (wks)],313)</f>
        <v/>
      </c>
      <c r="DH314" s="5">
        <f>INDEX(Projects[Act M&amp;E Installation (wks)],313)</f>
        <v/>
      </c>
      <c r="DI314" s="5">
        <f>INDEX(Projects[Act Commissioning (wks)],313)</f>
        <v/>
      </c>
      <c r="DJ314" s="5">
        <f>INDEX(Projects[Act Total (wks)],313)</f>
        <v/>
      </c>
    </row>
    <row r="315" ht="15" customHeight="1" s="82">
      <c r="A315" s="64">
        <f>INDEX(Projects[Project ID *],314)&amp;""</f>
        <v/>
      </c>
      <c r="B315" s="64">
        <f>INDEX(Projects[Project Name *],314)&amp;""</f>
        <v/>
      </c>
      <c r="C315" s="64">
        <f>INDEX(Projects[MS Shuttles],314)</f>
        <v/>
      </c>
      <c r="D315" s="64">
        <f>INDEX(Projects[MS Tote Locations],314)</f>
        <v/>
      </c>
      <c r="E315" s="64">
        <f>INDEX(Projects[AS Robots],314)</f>
        <v/>
      </c>
      <c r="F315" s="64">
        <f>INDEX(Projects[AS Tote Locations],314)</f>
        <v/>
      </c>
      <c r="G315" s="64">
        <f>INDEX(Projects[PS Shuttles],314)</f>
        <v/>
      </c>
      <c r="H315" s="64">
        <f>INDEX(Projects[PS Pallet Locations],314)</f>
        <v/>
      </c>
      <c r="I315" s="64">
        <f>INDEX(Projects[SRM Cranes],314)</f>
        <v/>
      </c>
      <c r="J315" s="64">
        <f>INDEX(Projects[SRM Pallet Locations],314)</f>
        <v/>
      </c>
      <c r="K315" s="64">
        <f>INDEX(Projects[Case Conv (m)],314)</f>
        <v/>
      </c>
      <c r="L315" s="64">
        <f>INDEX(Projects[Pallet Conv (m)],314)</f>
        <v/>
      </c>
      <c r="M315" s="64">
        <f>IF(N(DJ315)&gt;0,DD315,CW315)</f>
        <v/>
      </c>
      <c r="N315" s="64">
        <f>IF(N(DJ315)&gt;0,DE315,CX315)</f>
        <v/>
      </c>
      <c r="O315" s="64">
        <f>IF(N(DJ315)&gt;0,DF315,CY315)</f>
        <v/>
      </c>
      <c r="P315" s="64">
        <f>IF(N(DJ315)&gt;0,DG315,CZ315)</f>
        <v/>
      </c>
      <c r="Q315" s="64">
        <f>IF(N(DJ315)&gt;0,DH315,DA315)</f>
        <v/>
      </c>
      <c r="R315" s="64">
        <f>IF(N(DJ315)&gt;0,DI315,DB315)</f>
        <v/>
      </c>
      <c r="S315" s="64">
        <f>IF(N(DJ315)&gt;0,DJ315,DC315)</f>
        <v/>
      </c>
      <c r="T315" s="64">
        <f>INDEX(Projects[Currency],314)&amp;""</f>
        <v/>
      </c>
      <c r="U315" s="65">
        <f>INDEX(Projects[Sold Value (M)],314)</f>
        <v/>
      </c>
      <c r="V315" s="64">
        <f>IF('Smart Search'!B13=1,IFERROR(1/'Smart Search'!H13,0),0)</f>
        <v/>
      </c>
      <c r="W315" s="64">
        <f>IF('Smart Search'!B13=1,IFERROR(1/'Smart Search'!H13,0),0)</f>
        <v/>
      </c>
      <c r="X315" s="64">
        <f>IF('Smart Search'!C13=1,IFERROR(1/'Smart Search'!H13,0),0)</f>
        <v/>
      </c>
      <c r="Y315" s="64">
        <f>IF('Smart Search'!C13=1,IFERROR(1/'Smart Search'!H13,0),0)</f>
        <v/>
      </c>
      <c r="Z315" s="64">
        <f>IF('Smart Search'!D13=1,IFERROR(1/'Smart Search'!H13,0),0)</f>
        <v/>
      </c>
      <c r="AA315" s="64">
        <f>IF('Smart Search'!D13=1,IFERROR(1/'Smart Search'!H13,0),0)</f>
        <v/>
      </c>
      <c r="AB315" s="64">
        <f>IF('Smart Search'!E13=1,IFERROR(1/'Smart Search'!H13,0),0)</f>
        <v/>
      </c>
      <c r="AC315" s="64">
        <f>IF('Smart Search'!E13=1,IFERROR(1/'Smart Search'!H13,0),0)</f>
        <v/>
      </c>
      <c r="AD315" s="64">
        <f>IF('Smart Search'!F13=1,IFERROR(1/'Smart Search'!H13,0),0)</f>
        <v/>
      </c>
      <c r="AE315" s="64">
        <f>IF('Smart Search'!F13=1,IFERROR(1/'Smart Search'!H13,0),0)</f>
        <v/>
      </c>
      <c r="AF315" s="64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4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4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4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4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4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4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4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4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4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4">
        <f>AF315*V315</f>
        <v/>
      </c>
      <c r="AQ315" s="64">
        <f>AG315*W315</f>
        <v/>
      </c>
      <c r="AR315" s="64">
        <f>AH315*X315</f>
        <v/>
      </c>
      <c r="AS315" s="64">
        <f>AI315*Y315</f>
        <v/>
      </c>
      <c r="AT315" s="64">
        <f>AJ315*Z315</f>
        <v/>
      </c>
      <c r="AU315" s="64">
        <f>AK315*AA315</f>
        <v/>
      </c>
      <c r="AV315" s="64">
        <f>AL315*AB315</f>
        <v/>
      </c>
      <c r="AW315" s="64">
        <f>AM315*AC315</f>
        <v/>
      </c>
      <c r="AX315" s="64">
        <f>AN315*AD315</f>
        <v/>
      </c>
      <c r="AY315" s="64">
        <f>AO315*AE315</f>
        <v/>
      </c>
      <c r="AZ315" s="64">
        <f>INDEX(Projects[Automation Equipment],314)&amp;""</f>
        <v/>
      </c>
      <c r="BA315" s="64">
        <f>IF(OR(A315="",'Smart Search'!H13=0),"",MAX(0,BE315*BF315*MAX(0,1-BG315)))</f>
        <v/>
      </c>
      <c r="BB315" s="64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4">
        <f>IF('Smart Search'!G13=1,IFERROR(1/'Smart Search'!H13,0),0)</f>
        <v/>
      </c>
      <c r="BD315" s="64">
        <f>BB315*BC315</f>
        <v/>
      </c>
      <c r="BE315" s="64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IF(A315="","",N(INDEX(Projects[Act Mech Inst],314)))</f>
        <v/>
      </c>
      <c r="BK315" s="5">
        <f>IF(A315="","",N(INDEX(Projects[Act Elec Inst],314)))</f>
        <v/>
      </c>
      <c r="BL315" s="5">
        <f>IF(A315="","",N(INDEX(Projects[Act Project Management],314)))</f>
        <v/>
      </c>
      <c r="BM315" s="5">
        <f>IF(A315="","",N(INDEX(Projects[Act Systems Eng],314)))</f>
        <v/>
      </c>
      <c r="BN315" s="5">
        <f>IF(A315="","",N(INDEX(Projects[Act Mechanical Eng],314)))</f>
        <v/>
      </c>
      <c r="BO315" s="5">
        <f>IF(A315="","",N(INDEX(Projects[Act Structural Engineering],314)))</f>
        <v/>
      </c>
      <c r="BP315" s="5">
        <f>IF(A315="","",N(INDEX(Projects[Act Site Sup],314)))</f>
        <v/>
      </c>
      <c r="BQ315" s="5">
        <f>IF(A315="","",N(INDEX(Projects[Act Controls Commissioning],314)))</f>
        <v/>
      </c>
      <c r="BR315" s="5">
        <f>IF(A315="","",N(INDEX(Projects[Act Systems Commissioning],314)))</f>
        <v/>
      </c>
      <c r="BS315" s="5">
        <f>IF(A315="","",N(INDEX(Projects[Act Service Commissioning],314)))</f>
        <v/>
      </c>
      <c r="BT315" s="5">
        <f>IF(A315="","",N(INDEX(Projects[Act Controls Eng],314)))</f>
        <v/>
      </c>
      <c r="BU315" s="5">
        <f>IF(A315="","",N(INDEX(Projects[Act Controls Purchase],314)))</f>
        <v/>
      </c>
      <c r="BV315" s="5">
        <f>IF(A315="","",N(INDEX(Projects[Act Software Eng],314)))</f>
        <v/>
      </c>
      <c r="BW315" s="5">
        <f>IF(A315="","",N(INDEX(Projects[Act 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INDEX(Projects[Sold Value (USD M)],314)</f>
        <v/>
      </c>
      <c r="CE315" s="5" t="n"/>
      <c r="CF315" s="5">
        <f>IF(A315="","",N(INDEX(Projects[Est Mech Inst],314)))</f>
        <v/>
      </c>
      <c r="CG315" s="5">
        <f>IF(A315="","",N(INDEX(Projects[Est Elec Inst],314)))</f>
        <v/>
      </c>
      <c r="CH315" s="5">
        <f>IF(A315="","",N(INDEX(Projects[Est Project Management],314)))</f>
        <v/>
      </c>
      <c r="CI315" s="5">
        <f>IF(A315="","",N(INDEX(Projects[Est Systems Eng],314)))</f>
        <v/>
      </c>
      <c r="CJ315" s="5">
        <f>IF(A315="","",N(INDEX(Projects[Est Mechanical Eng],314)))</f>
        <v/>
      </c>
      <c r="CK315" s="5">
        <f>IF(A315="","",N(INDEX(Projects[Est Structural Engineering],314)))</f>
        <v/>
      </c>
      <c r="CL315" s="5">
        <f>IF(A315="","",N(INDEX(Projects[Est Site Sup],314)))</f>
        <v/>
      </c>
      <c r="CM315" s="5">
        <f>IF(A315="","",N(INDEX(Projects[Est Controls Commissioning],314)))</f>
        <v/>
      </c>
      <c r="CN315" s="5">
        <f>IF(A315="","",N(INDEX(Projects[Est Systems Commissioning],314)))</f>
        <v/>
      </c>
      <c r="CO315" s="5">
        <f>IF(A315="","",N(INDEX(Projects[Est Service Commissioning],314)))</f>
        <v/>
      </c>
      <c r="CP315" s="5">
        <f>IF(A315="","",N(INDEX(Projects[Est Controls Eng],314)))</f>
        <v/>
      </c>
      <c r="CQ315" s="5">
        <f>IF(A315="","",N(INDEX(Projects[Est Controls Purchase],314)))</f>
        <v/>
      </c>
      <c r="CR315" s="5">
        <f>IF(A315="","",N(INDEX(Projects[Est Software Eng],314)))</f>
        <v/>
      </c>
      <c r="CS315" s="5">
        <f>IF(A315="","",N(INDEX(Projects[Est Misc],314)))</f>
        <v/>
      </c>
      <c r="CT315" s="5">
        <f>IF(A315="","",SUM(CF315:CS315))</f>
        <v/>
      </c>
      <c r="CU315" s="5">
        <f>INDEX(Projects[Est Cost (M)],314)</f>
        <v/>
      </c>
      <c r="CV315" s="5">
        <f>INDEX(Projects[Act Cost (M)],314)</f>
        <v/>
      </c>
      <c r="CW315" s="5">
        <f>INDEX(Projects[Plan Mech Eng (wks)],314)</f>
        <v/>
      </c>
      <c r="CX315" s="5">
        <f>INDEX(Projects[Plan Controls Eng (wks)],314)</f>
        <v/>
      </c>
      <c r="CY315" s="5">
        <f>INDEX(Projects[Plan Systems Eng (wks)],314)</f>
        <v/>
      </c>
      <c r="CZ315" s="5">
        <f>INDEX(Projects[Plan Software Eng (wks)],314)</f>
        <v/>
      </c>
      <c r="DA315" s="5">
        <f>INDEX(Projects[Plan M&amp;E Installation (wks)],314)</f>
        <v/>
      </c>
      <c r="DB315" s="5">
        <f>INDEX(Projects[Plan Commissioning (wks)],314)</f>
        <v/>
      </c>
      <c r="DC315" s="5">
        <f>INDEX(Projects[Plan Total (wks)],314)</f>
        <v/>
      </c>
      <c r="DD315" s="5">
        <f>INDEX(Projects[Act Mech Eng (wks)],314)</f>
        <v/>
      </c>
      <c r="DE315" s="5">
        <f>INDEX(Projects[Act Controls Eng (wks)],314)</f>
        <v/>
      </c>
      <c r="DF315" s="5">
        <f>INDEX(Projects[Act Systems Eng (wks)],314)</f>
        <v/>
      </c>
      <c r="DG315" s="5">
        <f>INDEX(Projects[Act Software Eng (wks)],314)</f>
        <v/>
      </c>
      <c r="DH315" s="5">
        <f>INDEX(Projects[Act M&amp;E Installation (wks)],314)</f>
        <v/>
      </c>
      <c r="DI315" s="5">
        <f>INDEX(Projects[Act Commissioning (wks)],314)</f>
        <v/>
      </c>
      <c r="DJ315" s="5">
        <f>INDEX(Projects[Act Total (wks)],314)</f>
        <v/>
      </c>
    </row>
    <row r="316" ht="15" customHeight="1" s="82">
      <c r="A316" s="64">
        <f>INDEX(Projects[Project ID *],315)&amp;""</f>
        <v/>
      </c>
      <c r="B316" s="64">
        <f>INDEX(Projects[Project Name *],315)&amp;""</f>
        <v/>
      </c>
      <c r="C316" s="64">
        <f>INDEX(Projects[MS Shuttles],315)</f>
        <v/>
      </c>
      <c r="D316" s="64">
        <f>INDEX(Projects[MS Tote Locations],315)</f>
        <v/>
      </c>
      <c r="E316" s="64">
        <f>INDEX(Projects[AS Robots],315)</f>
        <v/>
      </c>
      <c r="F316" s="64">
        <f>INDEX(Projects[AS Tote Locations],315)</f>
        <v/>
      </c>
      <c r="G316" s="64">
        <f>INDEX(Projects[PS Shuttles],315)</f>
        <v/>
      </c>
      <c r="H316" s="64">
        <f>INDEX(Projects[PS Pallet Locations],315)</f>
        <v/>
      </c>
      <c r="I316" s="64">
        <f>INDEX(Projects[SRM Cranes],315)</f>
        <v/>
      </c>
      <c r="J316" s="64">
        <f>INDEX(Projects[SRM Pallet Locations],315)</f>
        <v/>
      </c>
      <c r="K316" s="64">
        <f>INDEX(Projects[Case Conv (m)],315)</f>
        <v/>
      </c>
      <c r="L316" s="64">
        <f>INDEX(Projects[Pallet Conv (m)],315)</f>
        <v/>
      </c>
      <c r="M316" s="64">
        <f>IF(N(DJ316)&gt;0,DD316,CW316)</f>
        <v/>
      </c>
      <c r="N316" s="64">
        <f>IF(N(DJ316)&gt;0,DE316,CX316)</f>
        <v/>
      </c>
      <c r="O316" s="64">
        <f>IF(N(DJ316)&gt;0,DF316,CY316)</f>
        <v/>
      </c>
      <c r="P316" s="64">
        <f>IF(N(DJ316)&gt;0,DG316,CZ316)</f>
        <v/>
      </c>
      <c r="Q316" s="64">
        <f>IF(N(DJ316)&gt;0,DH316,DA316)</f>
        <v/>
      </c>
      <c r="R316" s="64">
        <f>IF(N(DJ316)&gt;0,DI316,DB316)</f>
        <v/>
      </c>
      <c r="S316" s="64">
        <f>IF(N(DJ316)&gt;0,DJ316,DC316)</f>
        <v/>
      </c>
      <c r="T316" s="64">
        <f>INDEX(Projects[Currency],315)&amp;""</f>
        <v/>
      </c>
      <c r="U316" s="65">
        <f>INDEX(Projects[Sold Value (M)],315)</f>
        <v/>
      </c>
      <c r="V316" s="64">
        <f>IF('Smart Search'!B13=1,IFERROR(1/'Smart Search'!H13,0),0)</f>
        <v/>
      </c>
      <c r="W316" s="64">
        <f>IF('Smart Search'!B13=1,IFERROR(1/'Smart Search'!H13,0),0)</f>
        <v/>
      </c>
      <c r="X316" s="64">
        <f>IF('Smart Search'!C13=1,IFERROR(1/'Smart Search'!H13,0),0)</f>
        <v/>
      </c>
      <c r="Y316" s="64">
        <f>IF('Smart Search'!C13=1,IFERROR(1/'Smart Search'!H13,0),0)</f>
        <v/>
      </c>
      <c r="Z316" s="64">
        <f>IF('Smart Search'!D13=1,IFERROR(1/'Smart Search'!H13,0),0)</f>
        <v/>
      </c>
      <c r="AA316" s="64">
        <f>IF('Smart Search'!D13=1,IFERROR(1/'Smart Search'!H13,0),0)</f>
        <v/>
      </c>
      <c r="AB316" s="64">
        <f>IF('Smart Search'!E13=1,IFERROR(1/'Smart Search'!H13,0),0)</f>
        <v/>
      </c>
      <c r="AC316" s="64">
        <f>IF('Smart Search'!E13=1,IFERROR(1/'Smart Search'!H13,0),0)</f>
        <v/>
      </c>
      <c r="AD316" s="64">
        <f>IF('Smart Search'!F13=1,IFERROR(1/'Smart Search'!H13,0),0)</f>
        <v/>
      </c>
      <c r="AE316" s="64">
        <f>IF('Smart Search'!F13=1,IFERROR(1/'Smart Search'!H13,0),0)</f>
        <v/>
      </c>
      <c r="AF316" s="64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4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4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4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4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4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4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4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4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4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4">
        <f>AF316*V316</f>
        <v/>
      </c>
      <c r="AQ316" s="64">
        <f>AG316*W316</f>
        <v/>
      </c>
      <c r="AR316" s="64">
        <f>AH316*X316</f>
        <v/>
      </c>
      <c r="AS316" s="64">
        <f>AI316*Y316</f>
        <v/>
      </c>
      <c r="AT316" s="64">
        <f>AJ316*Z316</f>
        <v/>
      </c>
      <c r="AU316" s="64">
        <f>AK316*AA316</f>
        <v/>
      </c>
      <c r="AV316" s="64">
        <f>AL316*AB316</f>
        <v/>
      </c>
      <c r="AW316" s="64">
        <f>AM316*AC316</f>
        <v/>
      </c>
      <c r="AX316" s="64">
        <f>AN316*AD316</f>
        <v/>
      </c>
      <c r="AY316" s="64">
        <f>AO316*AE316</f>
        <v/>
      </c>
      <c r="AZ316" s="64">
        <f>INDEX(Projects[Automation Equipment],315)&amp;""</f>
        <v/>
      </c>
      <c r="BA316" s="64">
        <f>IF(OR(A316="",'Smart Search'!H13=0),"",MAX(0,BE316*BF316*MAX(0,1-BG316)))</f>
        <v/>
      </c>
      <c r="BB316" s="64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4">
        <f>IF('Smart Search'!G13=1,IFERROR(1/'Smart Search'!H13,0),0)</f>
        <v/>
      </c>
      <c r="BD316" s="64">
        <f>BB316*BC316</f>
        <v/>
      </c>
      <c r="BE316" s="64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IF(A316="","",N(INDEX(Projects[Act Mech Inst],315)))</f>
        <v/>
      </c>
      <c r="BK316" s="5">
        <f>IF(A316="","",N(INDEX(Projects[Act Elec Inst],315)))</f>
        <v/>
      </c>
      <c r="BL316" s="5">
        <f>IF(A316="","",N(INDEX(Projects[Act Project Management],315)))</f>
        <v/>
      </c>
      <c r="BM316" s="5">
        <f>IF(A316="","",N(INDEX(Projects[Act Systems Eng],315)))</f>
        <v/>
      </c>
      <c r="BN316" s="5">
        <f>IF(A316="","",N(INDEX(Projects[Act Mechanical Eng],315)))</f>
        <v/>
      </c>
      <c r="BO316" s="5">
        <f>IF(A316="","",N(INDEX(Projects[Act Structural Engineering],315)))</f>
        <v/>
      </c>
      <c r="BP316" s="5">
        <f>IF(A316="","",N(INDEX(Projects[Act Site Sup],315)))</f>
        <v/>
      </c>
      <c r="BQ316" s="5">
        <f>IF(A316="","",N(INDEX(Projects[Act Controls Commissioning],315)))</f>
        <v/>
      </c>
      <c r="BR316" s="5">
        <f>IF(A316="","",N(INDEX(Projects[Act Systems Commissioning],315)))</f>
        <v/>
      </c>
      <c r="BS316" s="5">
        <f>IF(A316="","",N(INDEX(Projects[Act Service Commissioning],315)))</f>
        <v/>
      </c>
      <c r="BT316" s="5">
        <f>IF(A316="","",N(INDEX(Projects[Act Controls Eng],315)))</f>
        <v/>
      </c>
      <c r="BU316" s="5">
        <f>IF(A316="","",N(INDEX(Projects[Act Controls Purchase],315)))</f>
        <v/>
      </c>
      <c r="BV316" s="5">
        <f>IF(A316="","",N(INDEX(Projects[Act Software Eng],315)))</f>
        <v/>
      </c>
      <c r="BW316" s="5">
        <f>IF(A316="","",N(INDEX(Projects[Act 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INDEX(Projects[Sold Value (USD M)],315)</f>
        <v/>
      </c>
      <c r="CE316" s="5" t="n"/>
      <c r="CF316" s="5">
        <f>IF(A316="","",N(INDEX(Projects[Est Mech Inst],315)))</f>
        <v/>
      </c>
      <c r="CG316" s="5">
        <f>IF(A316="","",N(INDEX(Projects[Est Elec Inst],315)))</f>
        <v/>
      </c>
      <c r="CH316" s="5">
        <f>IF(A316="","",N(INDEX(Projects[Est Project Management],315)))</f>
        <v/>
      </c>
      <c r="CI316" s="5">
        <f>IF(A316="","",N(INDEX(Projects[Est Systems Eng],315)))</f>
        <v/>
      </c>
      <c r="CJ316" s="5">
        <f>IF(A316="","",N(INDEX(Projects[Est Mechanical Eng],315)))</f>
        <v/>
      </c>
      <c r="CK316" s="5">
        <f>IF(A316="","",N(INDEX(Projects[Est Structural Engineering],315)))</f>
        <v/>
      </c>
      <c r="CL316" s="5">
        <f>IF(A316="","",N(INDEX(Projects[Est Site Sup],315)))</f>
        <v/>
      </c>
      <c r="CM316" s="5">
        <f>IF(A316="","",N(INDEX(Projects[Est Controls Commissioning],315)))</f>
        <v/>
      </c>
      <c r="CN316" s="5">
        <f>IF(A316="","",N(INDEX(Projects[Est Systems Commissioning],315)))</f>
        <v/>
      </c>
      <c r="CO316" s="5">
        <f>IF(A316="","",N(INDEX(Projects[Est Service Commissioning],315)))</f>
        <v/>
      </c>
      <c r="CP316" s="5">
        <f>IF(A316="","",N(INDEX(Projects[Est Controls Eng],315)))</f>
        <v/>
      </c>
      <c r="CQ316" s="5">
        <f>IF(A316="","",N(INDEX(Projects[Est Controls Purchase],315)))</f>
        <v/>
      </c>
      <c r="CR316" s="5">
        <f>IF(A316="","",N(INDEX(Projects[Est Software Eng],315)))</f>
        <v/>
      </c>
      <c r="CS316" s="5">
        <f>IF(A316="","",N(INDEX(Projects[Est Misc],315)))</f>
        <v/>
      </c>
      <c r="CT316" s="5">
        <f>IF(A316="","",SUM(CF316:CS316))</f>
        <v/>
      </c>
      <c r="CU316" s="5">
        <f>INDEX(Projects[Est Cost (M)],315)</f>
        <v/>
      </c>
      <c r="CV316" s="5">
        <f>INDEX(Projects[Act Cost (M)],315)</f>
        <v/>
      </c>
      <c r="CW316" s="5">
        <f>INDEX(Projects[Plan Mech Eng (wks)],315)</f>
        <v/>
      </c>
      <c r="CX316" s="5">
        <f>INDEX(Projects[Plan Controls Eng (wks)],315)</f>
        <v/>
      </c>
      <c r="CY316" s="5">
        <f>INDEX(Projects[Plan Systems Eng (wks)],315)</f>
        <v/>
      </c>
      <c r="CZ316" s="5">
        <f>INDEX(Projects[Plan Software Eng (wks)],315)</f>
        <v/>
      </c>
      <c r="DA316" s="5">
        <f>INDEX(Projects[Plan M&amp;E Installation (wks)],315)</f>
        <v/>
      </c>
      <c r="DB316" s="5">
        <f>INDEX(Projects[Plan Commissioning (wks)],315)</f>
        <v/>
      </c>
      <c r="DC316" s="5">
        <f>INDEX(Projects[Plan Total (wks)],315)</f>
        <v/>
      </c>
      <c r="DD316" s="5">
        <f>INDEX(Projects[Act Mech Eng (wks)],315)</f>
        <v/>
      </c>
      <c r="DE316" s="5">
        <f>INDEX(Projects[Act Controls Eng (wks)],315)</f>
        <v/>
      </c>
      <c r="DF316" s="5">
        <f>INDEX(Projects[Act Systems Eng (wks)],315)</f>
        <v/>
      </c>
      <c r="DG316" s="5">
        <f>INDEX(Projects[Act Software Eng (wks)],315)</f>
        <v/>
      </c>
      <c r="DH316" s="5">
        <f>INDEX(Projects[Act M&amp;E Installation (wks)],315)</f>
        <v/>
      </c>
      <c r="DI316" s="5">
        <f>INDEX(Projects[Act Commissioning (wks)],315)</f>
        <v/>
      </c>
      <c r="DJ316" s="5">
        <f>INDEX(Projects[Act Total (wks)],315)</f>
        <v/>
      </c>
    </row>
    <row r="317" ht="15" customHeight="1" s="82">
      <c r="A317" s="64">
        <f>INDEX(Projects[Project ID *],316)&amp;""</f>
        <v/>
      </c>
      <c r="B317" s="64">
        <f>INDEX(Projects[Project Name *],316)&amp;""</f>
        <v/>
      </c>
      <c r="C317" s="64">
        <f>INDEX(Projects[MS Shuttles],316)</f>
        <v/>
      </c>
      <c r="D317" s="64">
        <f>INDEX(Projects[MS Tote Locations],316)</f>
        <v/>
      </c>
      <c r="E317" s="64">
        <f>INDEX(Projects[AS Robots],316)</f>
        <v/>
      </c>
      <c r="F317" s="64">
        <f>INDEX(Projects[AS Tote Locations],316)</f>
        <v/>
      </c>
      <c r="G317" s="64">
        <f>INDEX(Projects[PS Shuttles],316)</f>
        <v/>
      </c>
      <c r="H317" s="64">
        <f>INDEX(Projects[PS Pallet Locations],316)</f>
        <v/>
      </c>
      <c r="I317" s="64">
        <f>INDEX(Projects[SRM Cranes],316)</f>
        <v/>
      </c>
      <c r="J317" s="64">
        <f>INDEX(Projects[SRM Pallet Locations],316)</f>
        <v/>
      </c>
      <c r="K317" s="64">
        <f>INDEX(Projects[Case Conv (m)],316)</f>
        <v/>
      </c>
      <c r="L317" s="64">
        <f>INDEX(Projects[Pallet Conv (m)],316)</f>
        <v/>
      </c>
      <c r="M317" s="64">
        <f>IF(N(DJ317)&gt;0,DD317,CW317)</f>
        <v/>
      </c>
      <c r="N317" s="64">
        <f>IF(N(DJ317)&gt;0,DE317,CX317)</f>
        <v/>
      </c>
      <c r="O317" s="64">
        <f>IF(N(DJ317)&gt;0,DF317,CY317)</f>
        <v/>
      </c>
      <c r="P317" s="64">
        <f>IF(N(DJ317)&gt;0,DG317,CZ317)</f>
        <v/>
      </c>
      <c r="Q317" s="64">
        <f>IF(N(DJ317)&gt;0,DH317,DA317)</f>
        <v/>
      </c>
      <c r="R317" s="64">
        <f>IF(N(DJ317)&gt;0,DI317,DB317)</f>
        <v/>
      </c>
      <c r="S317" s="64">
        <f>IF(N(DJ317)&gt;0,DJ317,DC317)</f>
        <v/>
      </c>
      <c r="T317" s="64">
        <f>INDEX(Projects[Currency],316)&amp;""</f>
        <v/>
      </c>
      <c r="U317" s="65">
        <f>INDEX(Projects[Sold Value (M)],316)</f>
        <v/>
      </c>
      <c r="V317" s="64">
        <f>IF('Smart Search'!B13=1,IFERROR(1/'Smart Search'!H13,0),0)</f>
        <v/>
      </c>
      <c r="W317" s="64">
        <f>IF('Smart Search'!B13=1,IFERROR(1/'Smart Search'!H13,0),0)</f>
        <v/>
      </c>
      <c r="X317" s="64">
        <f>IF('Smart Search'!C13=1,IFERROR(1/'Smart Search'!H13,0),0)</f>
        <v/>
      </c>
      <c r="Y317" s="64">
        <f>IF('Smart Search'!C13=1,IFERROR(1/'Smart Search'!H13,0),0)</f>
        <v/>
      </c>
      <c r="Z317" s="64">
        <f>IF('Smart Search'!D13=1,IFERROR(1/'Smart Search'!H13,0),0)</f>
        <v/>
      </c>
      <c r="AA317" s="64">
        <f>IF('Smart Search'!D13=1,IFERROR(1/'Smart Search'!H13,0),0)</f>
        <v/>
      </c>
      <c r="AB317" s="64">
        <f>IF('Smart Search'!E13=1,IFERROR(1/'Smart Search'!H13,0),0)</f>
        <v/>
      </c>
      <c r="AC317" s="64">
        <f>IF('Smart Search'!E13=1,IFERROR(1/'Smart Search'!H13,0),0)</f>
        <v/>
      </c>
      <c r="AD317" s="64">
        <f>IF('Smart Search'!F13=1,IFERROR(1/'Smart Search'!H13,0),0)</f>
        <v/>
      </c>
      <c r="AE317" s="64">
        <f>IF('Smart Search'!F13=1,IFERROR(1/'Smart Search'!H13,0),0)</f>
        <v/>
      </c>
      <c r="AF317" s="64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4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4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4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4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4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4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4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4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4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4">
        <f>AF317*V317</f>
        <v/>
      </c>
      <c r="AQ317" s="64">
        <f>AG317*W317</f>
        <v/>
      </c>
      <c r="AR317" s="64">
        <f>AH317*X317</f>
        <v/>
      </c>
      <c r="AS317" s="64">
        <f>AI317*Y317</f>
        <v/>
      </c>
      <c r="AT317" s="64">
        <f>AJ317*Z317</f>
        <v/>
      </c>
      <c r="AU317" s="64">
        <f>AK317*AA317</f>
        <v/>
      </c>
      <c r="AV317" s="64">
        <f>AL317*AB317</f>
        <v/>
      </c>
      <c r="AW317" s="64">
        <f>AM317*AC317</f>
        <v/>
      </c>
      <c r="AX317" s="64">
        <f>AN317*AD317</f>
        <v/>
      </c>
      <c r="AY317" s="64">
        <f>AO317*AE317</f>
        <v/>
      </c>
      <c r="AZ317" s="64">
        <f>INDEX(Projects[Automation Equipment],316)&amp;""</f>
        <v/>
      </c>
      <c r="BA317" s="64">
        <f>IF(OR(A317="",'Smart Search'!H13=0),"",MAX(0,BE317*BF317*MAX(0,1-BG317)))</f>
        <v/>
      </c>
      <c r="BB317" s="64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4">
        <f>IF('Smart Search'!G13=1,IFERROR(1/'Smart Search'!H13,0),0)</f>
        <v/>
      </c>
      <c r="BD317" s="64">
        <f>BB317*BC317</f>
        <v/>
      </c>
      <c r="BE317" s="64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IF(A317="","",N(INDEX(Projects[Act Mech Inst],316)))</f>
        <v/>
      </c>
      <c r="BK317" s="5">
        <f>IF(A317="","",N(INDEX(Projects[Act Elec Inst],316)))</f>
        <v/>
      </c>
      <c r="BL317" s="5">
        <f>IF(A317="","",N(INDEX(Projects[Act Project Management],316)))</f>
        <v/>
      </c>
      <c r="BM317" s="5">
        <f>IF(A317="","",N(INDEX(Projects[Act Systems Eng],316)))</f>
        <v/>
      </c>
      <c r="BN317" s="5">
        <f>IF(A317="","",N(INDEX(Projects[Act Mechanical Eng],316)))</f>
        <v/>
      </c>
      <c r="BO317" s="5">
        <f>IF(A317="","",N(INDEX(Projects[Act Structural Engineering],316)))</f>
        <v/>
      </c>
      <c r="BP317" s="5">
        <f>IF(A317="","",N(INDEX(Projects[Act Site Sup],316)))</f>
        <v/>
      </c>
      <c r="BQ317" s="5">
        <f>IF(A317="","",N(INDEX(Projects[Act Controls Commissioning],316)))</f>
        <v/>
      </c>
      <c r="BR317" s="5">
        <f>IF(A317="","",N(INDEX(Projects[Act Systems Commissioning],316)))</f>
        <v/>
      </c>
      <c r="BS317" s="5">
        <f>IF(A317="","",N(INDEX(Projects[Act Service Commissioning],316)))</f>
        <v/>
      </c>
      <c r="BT317" s="5">
        <f>IF(A317="","",N(INDEX(Projects[Act Controls Eng],316)))</f>
        <v/>
      </c>
      <c r="BU317" s="5">
        <f>IF(A317="","",N(INDEX(Projects[Act Controls Purchase],316)))</f>
        <v/>
      </c>
      <c r="BV317" s="5">
        <f>IF(A317="","",N(INDEX(Projects[Act Software Eng],316)))</f>
        <v/>
      </c>
      <c r="BW317" s="5">
        <f>IF(A317="","",N(INDEX(Projects[Act 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INDEX(Projects[Sold Value (USD M)],316)</f>
        <v/>
      </c>
      <c r="CE317" s="5" t="n"/>
      <c r="CF317" s="5">
        <f>IF(A317="","",N(INDEX(Projects[Est Mech Inst],316)))</f>
        <v/>
      </c>
      <c r="CG317" s="5">
        <f>IF(A317="","",N(INDEX(Projects[Est Elec Inst],316)))</f>
        <v/>
      </c>
      <c r="CH317" s="5">
        <f>IF(A317="","",N(INDEX(Projects[Est Project Management],316)))</f>
        <v/>
      </c>
      <c r="CI317" s="5">
        <f>IF(A317="","",N(INDEX(Projects[Est Systems Eng],316)))</f>
        <v/>
      </c>
      <c r="CJ317" s="5">
        <f>IF(A317="","",N(INDEX(Projects[Est Mechanical Eng],316)))</f>
        <v/>
      </c>
      <c r="CK317" s="5">
        <f>IF(A317="","",N(INDEX(Projects[Est Structural Engineering],316)))</f>
        <v/>
      </c>
      <c r="CL317" s="5">
        <f>IF(A317="","",N(INDEX(Projects[Est Site Sup],316)))</f>
        <v/>
      </c>
      <c r="CM317" s="5">
        <f>IF(A317="","",N(INDEX(Projects[Est Controls Commissioning],316)))</f>
        <v/>
      </c>
      <c r="CN317" s="5">
        <f>IF(A317="","",N(INDEX(Projects[Est Systems Commissioning],316)))</f>
        <v/>
      </c>
      <c r="CO317" s="5">
        <f>IF(A317="","",N(INDEX(Projects[Est Service Commissioning],316)))</f>
        <v/>
      </c>
      <c r="CP317" s="5">
        <f>IF(A317="","",N(INDEX(Projects[Est Controls Eng],316)))</f>
        <v/>
      </c>
      <c r="CQ317" s="5">
        <f>IF(A317="","",N(INDEX(Projects[Est Controls Purchase],316)))</f>
        <v/>
      </c>
      <c r="CR317" s="5">
        <f>IF(A317="","",N(INDEX(Projects[Est Software Eng],316)))</f>
        <v/>
      </c>
      <c r="CS317" s="5">
        <f>IF(A317="","",N(INDEX(Projects[Est Misc],316)))</f>
        <v/>
      </c>
      <c r="CT317" s="5">
        <f>IF(A317="","",SUM(CF317:CS317))</f>
        <v/>
      </c>
      <c r="CU317" s="5">
        <f>INDEX(Projects[Est Cost (M)],316)</f>
        <v/>
      </c>
      <c r="CV317" s="5">
        <f>INDEX(Projects[Act Cost (M)],316)</f>
        <v/>
      </c>
      <c r="CW317" s="5">
        <f>INDEX(Projects[Plan Mech Eng (wks)],316)</f>
        <v/>
      </c>
      <c r="CX317" s="5">
        <f>INDEX(Projects[Plan Controls Eng (wks)],316)</f>
        <v/>
      </c>
      <c r="CY317" s="5">
        <f>INDEX(Projects[Plan Systems Eng (wks)],316)</f>
        <v/>
      </c>
      <c r="CZ317" s="5">
        <f>INDEX(Projects[Plan Software Eng (wks)],316)</f>
        <v/>
      </c>
      <c r="DA317" s="5">
        <f>INDEX(Projects[Plan M&amp;E Installation (wks)],316)</f>
        <v/>
      </c>
      <c r="DB317" s="5">
        <f>INDEX(Projects[Plan Commissioning (wks)],316)</f>
        <v/>
      </c>
      <c r="DC317" s="5">
        <f>INDEX(Projects[Plan Total (wks)],316)</f>
        <v/>
      </c>
      <c r="DD317" s="5">
        <f>INDEX(Projects[Act Mech Eng (wks)],316)</f>
        <v/>
      </c>
      <c r="DE317" s="5">
        <f>INDEX(Projects[Act Controls Eng (wks)],316)</f>
        <v/>
      </c>
      <c r="DF317" s="5">
        <f>INDEX(Projects[Act Systems Eng (wks)],316)</f>
        <v/>
      </c>
      <c r="DG317" s="5">
        <f>INDEX(Projects[Act Software Eng (wks)],316)</f>
        <v/>
      </c>
      <c r="DH317" s="5">
        <f>INDEX(Projects[Act M&amp;E Installation (wks)],316)</f>
        <v/>
      </c>
      <c r="DI317" s="5">
        <f>INDEX(Projects[Act Commissioning (wks)],316)</f>
        <v/>
      </c>
      <c r="DJ317" s="5">
        <f>INDEX(Projects[Act Total (wks)],316)</f>
        <v/>
      </c>
    </row>
    <row r="318" ht="15" customHeight="1" s="82">
      <c r="A318" s="64">
        <f>INDEX(Projects[Project ID *],317)&amp;""</f>
        <v/>
      </c>
      <c r="B318" s="64">
        <f>INDEX(Projects[Project Name *],317)&amp;""</f>
        <v/>
      </c>
      <c r="C318" s="64">
        <f>INDEX(Projects[MS Shuttles],317)</f>
        <v/>
      </c>
      <c r="D318" s="64">
        <f>INDEX(Projects[MS Tote Locations],317)</f>
        <v/>
      </c>
      <c r="E318" s="64">
        <f>INDEX(Projects[AS Robots],317)</f>
        <v/>
      </c>
      <c r="F318" s="64">
        <f>INDEX(Projects[AS Tote Locations],317)</f>
        <v/>
      </c>
      <c r="G318" s="64">
        <f>INDEX(Projects[PS Shuttles],317)</f>
        <v/>
      </c>
      <c r="H318" s="64">
        <f>INDEX(Projects[PS Pallet Locations],317)</f>
        <v/>
      </c>
      <c r="I318" s="64">
        <f>INDEX(Projects[SRM Cranes],317)</f>
        <v/>
      </c>
      <c r="J318" s="64">
        <f>INDEX(Projects[SRM Pallet Locations],317)</f>
        <v/>
      </c>
      <c r="K318" s="64">
        <f>INDEX(Projects[Case Conv (m)],317)</f>
        <v/>
      </c>
      <c r="L318" s="64">
        <f>INDEX(Projects[Pallet Conv (m)],317)</f>
        <v/>
      </c>
      <c r="M318" s="64">
        <f>IF(N(DJ318)&gt;0,DD318,CW318)</f>
        <v/>
      </c>
      <c r="N318" s="64">
        <f>IF(N(DJ318)&gt;0,DE318,CX318)</f>
        <v/>
      </c>
      <c r="O318" s="64">
        <f>IF(N(DJ318)&gt;0,DF318,CY318)</f>
        <v/>
      </c>
      <c r="P318" s="64">
        <f>IF(N(DJ318)&gt;0,DG318,CZ318)</f>
        <v/>
      </c>
      <c r="Q318" s="64">
        <f>IF(N(DJ318)&gt;0,DH318,DA318)</f>
        <v/>
      </c>
      <c r="R318" s="64">
        <f>IF(N(DJ318)&gt;0,DI318,DB318)</f>
        <v/>
      </c>
      <c r="S318" s="64">
        <f>IF(N(DJ318)&gt;0,DJ318,DC318)</f>
        <v/>
      </c>
      <c r="T318" s="64">
        <f>INDEX(Projects[Currency],317)&amp;""</f>
        <v/>
      </c>
      <c r="U318" s="65">
        <f>INDEX(Projects[Sold Value (M)],317)</f>
        <v/>
      </c>
      <c r="V318" s="64">
        <f>IF('Smart Search'!B13=1,IFERROR(1/'Smart Search'!H13,0),0)</f>
        <v/>
      </c>
      <c r="W318" s="64">
        <f>IF('Smart Search'!B13=1,IFERROR(1/'Smart Search'!H13,0),0)</f>
        <v/>
      </c>
      <c r="X318" s="64">
        <f>IF('Smart Search'!C13=1,IFERROR(1/'Smart Search'!H13,0),0)</f>
        <v/>
      </c>
      <c r="Y318" s="64">
        <f>IF('Smart Search'!C13=1,IFERROR(1/'Smart Search'!H13,0),0)</f>
        <v/>
      </c>
      <c r="Z318" s="64">
        <f>IF('Smart Search'!D13=1,IFERROR(1/'Smart Search'!H13,0),0)</f>
        <v/>
      </c>
      <c r="AA318" s="64">
        <f>IF('Smart Search'!D13=1,IFERROR(1/'Smart Search'!H13,0),0)</f>
        <v/>
      </c>
      <c r="AB318" s="64">
        <f>IF('Smart Search'!E13=1,IFERROR(1/'Smart Search'!H13,0),0)</f>
        <v/>
      </c>
      <c r="AC318" s="64">
        <f>IF('Smart Search'!E13=1,IFERROR(1/'Smart Search'!H13,0),0)</f>
        <v/>
      </c>
      <c r="AD318" s="64">
        <f>IF('Smart Search'!F13=1,IFERROR(1/'Smart Search'!H13,0),0)</f>
        <v/>
      </c>
      <c r="AE318" s="64">
        <f>IF('Smart Search'!F13=1,IFERROR(1/'Smart Search'!H13,0),0)</f>
        <v/>
      </c>
      <c r="AF318" s="64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4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4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4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4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4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4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4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4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4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4">
        <f>AF318*V318</f>
        <v/>
      </c>
      <c r="AQ318" s="64">
        <f>AG318*W318</f>
        <v/>
      </c>
      <c r="AR318" s="64">
        <f>AH318*X318</f>
        <v/>
      </c>
      <c r="AS318" s="64">
        <f>AI318*Y318</f>
        <v/>
      </c>
      <c r="AT318" s="64">
        <f>AJ318*Z318</f>
        <v/>
      </c>
      <c r="AU318" s="64">
        <f>AK318*AA318</f>
        <v/>
      </c>
      <c r="AV318" s="64">
        <f>AL318*AB318</f>
        <v/>
      </c>
      <c r="AW318" s="64">
        <f>AM318*AC318</f>
        <v/>
      </c>
      <c r="AX318" s="64">
        <f>AN318*AD318</f>
        <v/>
      </c>
      <c r="AY318" s="64">
        <f>AO318*AE318</f>
        <v/>
      </c>
      <c r="AZ318" s="64">
        <f>INDEX(Projects[Automation Equipment],317)&amp;""</f>
        <v/>
      </c>
      <c r="BA318" s="64">
        <f>IF(OR(A318="",'Smart Search'!H13=0),"",MAX(0,BE318*BF318*MAX(0,1-BG318)))</f>
        <v/>
      </c>
      <c r="BB318" s="64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4">
        <f>IF('Smart Search'!G13=1,IFERROR(1/'Smart Search'!H13,0),0)</f>
        <v/>
      </c>
      <c r="BD318" s="64">
        <f>BB318*BC318</f>
        <v/>
      </c>
      <c r="BE318" s="64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IF(A318="","",N(INDEX(Projects[Act Mech Inst],317)))</f>
        <v/>
      </c>
      <c r="BK318" s="5">
        <f>IF(A318="","",N(INDEX(Projects[Act Elec Inst],317)))</f>
        <v/>
      </c>
      <c r="BL318" s="5">
        <f>IF(A318="","",N(INDEX(Projects[Act Project Management],317)))</f>
        <v/>
      </c>
      <c r="BM318" s="5">
        <f>IF(A318="","",N(INDEX(Projects[Act Systems Eng],317)))</f>
        <v/>
      </c>
      <c r="BN318" s="5">
        <f>IF(A318="","",N(INDEX(Projects[Act Mechanical Eng],317)))</f>
        <v/>
      </c>
      <c r="BO318" s="5">
        <f>IF(A318="","",N(INDEX(Projects[Act Structural Engineering],317)))</f>
        <v/>
      </c>
      <c r="BP318" s="5">
        <f>IF(A318="","",N(INDEX(Projects[Act Site Sup],317)))</f>
        <v/>
      </c>
      <c r="BQ318" s="5">
        <f>IF(A318="","",N(INDEX(Projects[Act Controls Commissioning],317)))</f>
        <v/>
      </c>
      <c r="BR318" s="5">
        <f>IF(A318="","",N(INDEX(Projects[Act Systems Commissioning],317)))</f>
        <v/>
      </c>
      <c r="BS318" s="5">
        <f>IF(A318="","",N(INDEX(Projects[Act Service Commissioning],317)))</f>
        <v/>
      </c>
      <c r="BT318" s="5">
        <f>IF(A318="","",N(INDEX(Projects[Act Controls Eng],317)))</f>
        <v/>
      </c>
      <c r="BU318" s="5">
        <f>IF(A318="","",N(INDEX(Projects[Act Controls Purchase],317)))</f>
        <v/>
      </c>
      <c r="BV318" s="5">
        <f>IF(A318="","",N(INDEX(Projects[Act Software Eng],317)))</f>
        <v/>
      </c>
      <c r="BW318" s="5">
        <f>IF(A318="","",N(INDEX(Projects[Act 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INDEX(Projects[Sold Value (USD M)],317)</f>
        <v/>
      </c>
      <c r="CE318" s="5" t="n"/>
      <c r="CF318" s="5">
        <f>IF(A318="","",N(INDEX(Projects[Est Mech Inst],317)))</f>
        <v/>
      </c>
      <c r="CG318" s="5">
        <f>IF(A318="","",N(INDEX(Projects[Est Elec Inst],317)))</f>
        <v/>
      </c>
      <c r="CH318" s="5">
        <f>IF(A318="","",N(INDEX(Projects[Est Project Management],317)))</f>
        <v/>
      </c>
      <c r="CI318" s="5">
        <f>IF(A318="","",N(INDEX(Projects[Est Systems Eng],317)))</f>
        <v/>
      </c>
      <c r="CJ318" s="5">
        <f>IF(A318="","",N(INDEX(Projects[Est Mechanical Eng],317)))</f>
        <v/>
      </c>
      <c r="CK318" s="5">
        <f>IF(A318="","",N(INDEX(Projects[Est Structural Engineering],317)))</f>
        <v/>
      </c>
      <c r="CL318" s="5">
        <f>IF(A318="","",N(INDEX(Projects[Est Site Sup],317)))</f>
        <v/>
      </c>
      <c r="CM318" s="5">
        <f>IF(A318="","",N(INDEX(Projects[Est Controls Commissioning],317)))</f>
        <v/>
      </c>
      <c r="CN318" s="5">
        <f>IF(A318="","",N(INDEX(Projects[Est Systems Commissioning],317)))</f>
        <v/>
      </c>
      <c r="CO318" s="5">
        <f>IF(A318="","",N(INDEX(Projects[Est Service Commissioning],317)))</f>
        <v/>
      </c>
      <c r="CP318" s="5">
        <f>IF(A318="","",N(INDEX(Projects[Est Controls Eng],317)))</f>
        <v/>
      </c>
      <c r="CQ318" s="5">
        <f>IF(A318="","",N(INDEX(Projects[Est Controls Purchase],317)))</f>
        <v/>
      </c>
      <c r="CR318" s="5">
        <f>IF(A318="","",N(INDEX(Projects[Est Software Eng],317)))</f>
        <v/>
      </c>
      <c r="CS318" s="5">
        <f>IF(A318="","",N(INDEX(Projects[Est Misc],317)))</f>
        <v/>
      </c>
      <c r="CT318" s="5">
        <f>IF(A318="","",SUM(CF318:CS318))</f>
        <v/>
      </c>
      <c r="CU318" s="5">
        <f>INDEX(Projects[Est Cost (M)],317)</f>
        <v/>
      </c>
      <c r="CV318" s="5">
        <f>INDEX(Projects[Act Cost (M)],317)</f>
        <v/>
      </c>
      <c r="CW318" s="5">
        <f>INDEX(Projects[Plan Mech Eng (wks)],317)</f>
        <v/>
      </c>
      <c r="CX318" s="5">
        <f>INDEX(Projects[Plan Controls Eng (wks)],317)</f>
        <v/>
      </c>
      <c r="CY318" s="5">
        <f>INDEX(Projects[Plan Systems Eng (wks)],317)</f>
        <v/>
      </c>
      <c r="CZ318" s="5">
        <f>INDEX(Projects[Plan Software Eng (wks)],317)</f>
        <v/>
      </c>
      <c r="DA318" s="5">
        <f>INDEX(Projects[Plan M&amp;E Installation (wks)],317)</f>
        <v/>
      </c>
      <c r="DB318" s="5">
        <f>INDEX(Projects[Plan Commissioning (wks)],317)</f>
        <v/>
      </c>
      <c r="DC318" s="5">
        <f>INDEX(Projects[Plan Total (wks)],317)</f>
        <v/>
      </c>
      <c r="DD318" s="5">
        <f>INDEX(Projects[Act Mech Eng (wks)],317)</f>
        <v/>
      </c>
      <c r="DE318" s="5">
        <f>INDEX(Projects[Act Controls Eng (wks)],317)</f>
        <v/>
      </c>
      <c r="DF318" s="5">
        <f>INDEX(Projects[Act Systems Eng (wks)],317)</f>
        <v/>
      </c>
      <c r="DG318" s="5">
        <f>INDEX(Projects[Act Software Eng (wks)],317)</f>
        <v/>
      </c>
      <c r="DH318" s="5">
        <f>INDEX(Projects[Act M&amp;E Installation (wks)],317)</f>
        <v/>
      </c>
      <c r="DI318" s="5">
        <f>INDEX(Projects[Act Commissioning (wks)],317)</f>
        <v/>
      </c>
      <c r="DJ318" s="5">
        <f>INDEX(Projects[Act Total (wks)],317)</f>
        <v/>
      </c>
    </row>
    <row r="319" ht="15" customHeight="1" s="82">
      <c r="A319" s="64">
        <f>INDEX(Projects[Project ID *],318)&amp;""</f>
        <v/>
      </c>
      <c r="B319" s="64">
        <f>INDEX(Projects[Project Name *],318)&amp;""</f>
        <v/>
      </c>
      <c r="C319" s="64">
        <f>INDEX(Projects[MS Shuttles],318)</f>
        <v/>
      </c>
      <c r="D319" s="64">
        <f>INDEX(Projects[MS Tote Locations],318)</f>
        <v/>
      </c>
      <c r="E319" s="64">
        <f>INDEX(Projects[AS Robots],318)</f>
        <v/>
      </c>
      <c r="F319" s="64">
        <f>INDEX(Projects[AS Tote Locations],318)</f>
        <v/>
      </c>
      <c r="G319" s="64">
        <f>INDEX(Projects[PS Shuttles],318)</f>
        <v/>
      </c>
      <c r="H319" s="64">
        <f>INDEX(Projects[PS Pallet Locations],318)</f>
        <v/>
      </c>
      <c r="I319" s="64">
        <f>INDEX(Projects[SRM Cranes],318)</f>
        <v/>
      </c>
      <c r="J319" s="64">
        <f>INDEX(Projects[SRM Pallet Locations],318)</f>
        <v/>
      </c>
      <c r="K319" s="64">
        <f>INDEX(Projects[Case Conv (m)],318)</f>
        <v/>
      </c>
      <c r="L319" s="64">
        <f>INDEX(Projects[Pallet Conv (m)],318)</f>
        <v/>
      </c>
      <c r="M319" s="64">
        <f>IF(N(DJ319)&gt;0,DD319,CW319)</f>
        <v/>
      </c>
      <c r="N319" s="64">
        <f>IF(N(DJ319)&gt;0,DE319,CX319)</f>
        <v/>
      </c>
      <c r="O319" s="64">
        <f>IF(N(DJ319)&gt;0,DF319,CY319)</f>
        <v/>
      </c>
      <c r="P319" s="64">
        <f>IF(N(DJ319)&gt;0,DG319,CZ319)</f>
        <v/>
      </c>
      <c r="Q319" s="64">
        <f>IF(N(DJ319)&gt;0,DH319,DA319)</f>
        <v/>
      </c>
      <c r="R319" s="64">
        <f>IF(N(DJ319)&gt;0,DI319,DB319)</f>
        <v/>
      </c>
      <c r="S319" s="64">
        <f>IF(N(DJ319)&gt;0,DJ319,DC319)</f>
        <v/>
      </c>
      <c r="T319" s="64">
        <f>INDEX(Projects[Currency],318)&amp;""</f>
        <v/>
      </c>
      <c r="U319" s="65">
        <f>INDEX(Projects[Sold Value (M)],318)</f>
        <v/>
      </c>
      <c r="V319" s="64">
        <f>IF('Smart Search'!B13=1,IFERROR(1/'Smart Search'!H13,0),0)</f>
        <v/>
      </c>
      <c r="W319" s="64">
        <f>IF('Smart Search'!B13=1,IFERROR(1/'Smart Search'!H13,0),0)</f>
        <v/>
      </c>
      <c r="X319" s="64">
        <f>IF('Smart Search'!C13=1,IFERROR(1/'Smart Search'!H13,0),0)</f>
        <v/>
      </c>
      <c r="Y319" s="64">
        <f>IF('Smart Search'!C13=1,IFERROR(1/'Smart Search'!H13,0),0)</f>
        <v/>
      </c>
      <c r="Z319" s="64">
        <f>IF('Smart Search'!D13=1,IFERROR(1/'Smart Search'!H13,0),0)</f>
        <v/>
      </c>
      <c r="AA319" s="64">
        <f>IF('Smart Search'!D13=1,IFERROR(1/'Smart Search'!H13,0),0)</f>
        <v/>
      </c>
      <c r="AB319" s="64">
        <f>IF('Smart Search'!E13=1,IFERROR(1/'Smart Search'!H13,0),0)</f>
        <v/>
      </c>
      <c r="AC319" s="64">
        <f>IF('Smart Search'!E13=1,IFERROR(1/'Smart Search'!H13,0),0)</f>
        <v/>
      </c>
      <c r="AD319" s="64">
        <f>IF('Smart Search'!F13=1,IFERROR(1/'Smart Search'!H13,0),0)</f>
        <v/>
      </c>
      <c r="AE319" s="64">
        <f>IF('Smart Search'!F13=1,IFERROR(1/'Smart Search'!H13,0),0)</f>
        <v/>
      </c>
      <c r="AF319" s="64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4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4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4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4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4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4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4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4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4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4">
        <f>AF319*V319</f>
        <v/>
      </c>
      <c r="AQ319" s="64">
        <f>AG319*W319</f>
        <v/>
      </c>
      <c r="AR319" s="64">
        <f>AH319*X319</f>
        <v/>
      </c>
      <c r="AS319" s="64">
        <f>AI319*Y319</f>
        <v/>
      </c>
      <c r="AT319" s="64">
        <f>AJ319*Z319</f>
        <v/>
      </c>
      <c r="AU319" s="64">
        <f>AK319*AA319</f>
        <v/>
      </c>
      <c r="AV319" s="64">
        <f>AL319*AB319</f>
        <v/>
      </c>
      <c r="AW319" s="64">
        <f>AM319*AC319</f>
        <v/>
      </c>
      <c r="AX319" s="64">
        <f>AN319*AD319</f>
        <v/>
      </c>
      <c r="AY319" s="64">
        <f>AO319*AE319</f>
        <v/>
      </c>
      <c r="AZ319" s="64">
        <f>INDEX(Projects[Automation Equipment],318)&amp;""</f>
        <v/>
      </c>
      <c r="BA319" s="64">
        <f>IF(OR(A319="",'Smart Search'!H13=0),"",MAX(0,BE319*BF319*MAX(0,1-BG319)))</f>
        <v/>
      </c>
      <c r="BB319" s="64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4">
        <f>IF('Smart Search'!G13=1,IFERROR(1/'Smart Search'!H13,0),0)</f>
        <v/>
      </c>
      <c r="BD319" s="64">
        <f>BB319*BC319</f>
        <v/>
      </c>
      <c r="BE319" s="64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IF(A319="","",N(INDEX(Projects[Act Mech Inst],318)))</f>
        <v/>
      </c>
      <c r="BK319" s="5">
        <f>IF(A319="","",N(INDEX(Projects[Act Elec Inst],318)))</f>
        <v/>
      </c>
      <c r="BL319" s="5">
        <f>IF(A319="","",N(INDEX(Projects[Act Project Management],318)))</f>
        <v/>
      </c>
      <c r="BM319" s="5">
        <f>IF(A319="","",N(INDEX(Projects[Act Systems Eng],318)))</f>
        <v/>
      </c>
      <c r="BN319" s="5">
        <f>IF(A319="","",N(INDEX(Projects[Act Mechanical Eng],318)))</f>
        <v/>
      </c>
      <c r="BO319" s="5">
        <f>IF(A319="","",N(INDEX(Projects[Act Structural Engineering],318)))</f>
        <v/>
      </c>
      <c r="BP319" s="5">
        <f>IF(A319="","",N(INDEX(Projects[Act Site Sup],318)))</f>
        <v/>
      </c>
      <c r="BQ319" s="5">
        <f>IF(A319="","",N(INDEX(Projects[Act Controls Commissioning],318)))</f>
        <v/>
      </c>
      <c r="BR319" s="5">
        <f>IF(A319="","",N(INDEX(Projects[Act Systems Commissioning],318)))</f>
        <v/>
      </c>
      <c r="BS319" s="5">
        <f>IF(A319="","",N(INDEX(Projects[Act Service Commissioning],318)))</f>
        <v/>
      </c>
      <c r="BT319" s="5">
        <f>IF(A319="","",N(INDEX(Projects[Act Controls Eng],318)))</f>
        <v/>
      </c>
      <c r="BU319" s="5">
        <f>IF(A319="","",N(INDEX(Projects[Act Controls Purchase],318)))</f>
        <v/>
      </c>
      <c r="BV319" s="5">
        <f>IF(A319="","",N(INDEX(Projects[Act Software Eng],318)))</f>
        <v/>
      </c>
      <c r="BW319" s="5">
        <f>IF(A319="","",N(INDEX(Projects[Act 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INDEX(Projects[Sold Value (USD M)],318)</f>
        <v/>
      </c>
      <c r="CE319" s="5" t="n"/>
      <c r="CF319" s="5">
        <f>IF(A319="","",N(INDEX(Projects[Est Mech Inst],318)))</f>
        <v/>
      </c>
      <c r="CG319" s="5">
        <f>IF(A319="","",N(INDEX(Projects[Est Elec Inst],318)))</f>
        <v/>
      </c>
      <c r="CH319" s="5">
        <f>IF(A319="","",N(INDEX(Projects[Est Project Management],318)))</f>
        <v/>
      </c>
      <c r="CI319" s="5">
        <f>IF(A319="","",N(INDEX(Projects[Est Systems Eng],318)))</f>
        <v/>
      </c>
      <c r="CJ319" s="5">
        <f>IF(A319="","",N(INDEX(Projects[Est Mechanical Eng],318)))</f>
        <v/>
      </c>
      <c r="CK319" s="5">
        <f>IF(A319="","",N(INDEX(Projects[Est Structural Engineering],318)))</f>
        <v/>
      </c>
      <c r="CL319" s="5">
        <f>IF(A319="","",N(INDEX(Projects[Est Site Sup],318)))</f>
        <v/>
      </c>
      <c r="CM319" s="5">
        <f>IF(A319="","",N(INDEX(Projects[Est Controls Commissioning],318)))</f>
        <v/>
      </c>
      <c r="CN319" s="5">
        <f>IF(A319="","",N(INDEX(Projects[Est Systems Commissioning],318)))</f>
        <v/>
      </c>
      <c r="CO319" s="5">
        <f>IF(A319="","",N(INDEX(Projects[Est Service Commissioning],318)))</f>
        <v/>
      </c>
      <c r="CP319" s="5">
        <f>IF(A319="","",N(INDEX(Projects[Est Controls Eng],318)))</f>
        <v/>
      </c>
      <c r="CQ319" s="5">
        <f>IF(A319="","",N(INDEX(Projects[Est Controls Purchase],318)))</f>
        <v/>
      </c>
      <c r="CR319" s="5">
        <f>IF(A319="","",N(INDEX(Projects[Est Software Eng],318)))</f>
        <v/>
      </c>
      <c r="CS319" s="5">
        <f>IF(A319="","",N(INDEX(Projects[Est Misc],318)))</f>
        <v/>
      </c>
      <c r="CT319" s="5">
        <f>IF(A319="","",SUM(CF319:CS319))</f>
        <v/>
      </c>
      <c r="CU319" s="5">
        <f>INDEX(Projects[Est Cost (M)],318)</f>
        <v/>
      </c>
      <c r="CV319" s="5">
        <f>INDEX(Projects[Act Cost (M)],318)</f>
        <v/>
      </c>
      <c r="CW319" s="5">
        <f>INDEX(Projects[Plan Mech Eng (wks)],318)</f>
        <v/>
      </c>
      <c r="CX319" s="5">
        <f>INDEX(Projects[Plan Controls Eng (wks)],318)</f>
        <v/>
      </c>
      <c r="CY319" s="5">
        <f>INDEX(Projects[Plan Systems Eng (wks)],318)</f>
        <v/>
      </c>
      <c r="CZ319" s="5">
        <f>INDEX(Projects[Plan Software Eng (wks)],318)</f>
        <v/>
      </c>
      <c r="DA319" s="5">
        <f>INDEX(Projects[Plan M&amp;E Installation (wks)],318)</f>
        <v/>
      </c>
      <c r="DB319" s="5">
        <f>INDEX(Projects[Plan Commissioning (wks)],318)</f>
        <v/>
      </c>
      <c r="DC319" s="5">
        <f>INDEX(Projects[Plan Total (wks)],318)</f>
        <v/>
      </c>
      <c r="DD319" s="5">
        <f>INDEX(Projects[Act Mech Eng (wks)],318)</f>
        <v/>
      </c>
      <c r="DE319" s="5">
        <f>INDEX(Projects[Act Controls Eng (wks)],318)</f>
        <v/>
      </c>
      <c r="DF319" s="5">
        <f>INDEX(Projects[Act Systems Eng (wks)],318)</f>
        <v/>
      </c>
      <c r="DG319" s="5">
        <f>INDEX(Projects[Act Software Eng (wks)],318)</f>
        <v/>
      </c>
      <c r="DH319" s="5">
        <f>INDEX(Projects[Act M&amp;E Installation (wks)],318)</f>
        <v/>
      </c>
      <c r="DI319" s="5">
        <f>INDEX(Projects[Act Commissioning (wks)],318)</f>
        <v/>
      </c>
      <c r="DJ319" s="5">
        <f>INDEX(Projects[Act Total (wks)],318)</f>
        <v/>
      </c>
    </row>
    <row r="320" ht="15" customHeight="1" s="82">
      <c r="A320" s="64">
        <f>INDEX(Projects[Project ID *],319)&amp;""</f>
        <v/>
      </c>
      <c r="B320" s="64">
        <f>INDEX(Projects[Project Name *],319)&amp;""</f>
        <v/>
      </c>
      <c r="C320" s="64">
        <f>INDEX(Projects[MS Shuttles],319)</f>
        <v/>
      </c>
      <c r="D320" s="64">
        <f>INDEX(Projects[MS Tote Locations],319)</f>
        <v/>
      </c>
      <c r="E320" s="64">
        <f>INDEX(Projects[AS Robots],319)</f>
        <v/>
      </c>
      <c r="F320" s="64">
        <f>INDEX(Projects[AS Tote Locations],319)</f>
        <v/>
      </c>
      <c r="G320" s="64">
        <f>INDEX(Projects[PS Shuttles],319)</f>
        <v/>
      </c>
      <c r="H320" s="64">
        <f>INDEX(Projects[PS Pallet Locations],319)</f>
        <v/>
      </c>
      <c r="I320" s="64">
        <f>INDEX(Projects[SRM Cranes],319)</f>
        <v/>
      </c>
      <c r="J320" s="64">
        <f>INDEX(Projects[SRM Pallet Locations],319)</f>
        <v/>
      </c>
      <c r="K320" s="64">
        <f>INDEX(Projects[Case Conv (m)],319)</f>
        <v/>
      </c>
      <c r="L320" s="64">
        <f>INDEX(Projects[Pallet Conv (m)],319)</f>
        <v/>
      </c>
      <c r="M320" s="64">
        <f>IF(N(DJ320)&gt;0,DD320,CW320)</f>
        <v/>
      </c>
      <c r="N320" s="64">
        <f>IF(N(DJ320)&gt;0,DE320,CX320)</f>
        <v/>
      </c>
      <c r="O320" s="64">
        <f>IF(N(DJ320)&gt;0,DF320,CY320)</f>
        <v/>
      </c>
      <c r="P320" s="64">
        <f>IF(N(DJ320)&gt;0,DG320,CZ320)</f>
        <v/>
      </c>
      <c r="Q320" s="64">
        <f>IF(N(DJ320)&gt;0,DH320,DA320)</f>
        <v/>
      </c>
      <c r="R320" s="64">
        <f>IF(N(DJ320)&gt;0,DI320,DB320)</f>
        <v/>
      </c>
      <c r="S320" s="64">
        <f>IF(N(DJ320)&gt;0,DJ320,DC320)</f>
        <v/>
      </c>
      <c r="T320" s="64">
        <f>INDEX(Projects[Currency],319)&amp;""</f>
        <v/>
      </c>
      <c r="U320" s="65">
        <f>INDEX(Projects[Sold Value (M)],319)</f>
        <v/>
      </c>
      <c r="V320" s="64">
        <f>IF('Smart Search'!B13=1,IFERROR(1/'Smart Search'!H13,0),0)</f>
        <v/>
      </c>
      <c r="W320" s="64">
        <f>IF('Smart Search'!B13=1,IFERROR(1/'Smart Search'!H13,0),0)</f>
        <v/>
      </c>
      <c r="X320" s="64">
        <f>IF('Smart Search'!C13=1,IFERROR(1/'Smart Search'!H13,0),0)</f>
        <v/>
      </c>
      <c r="Y320" s="64">
        <f>IF('Smart Search'!C13=1,IFERROR(1/'Smart Search'!H13,0),0)</f>
        <v/>
      </c>
      <c r="Z320" s="64">
        <f>IF('Smart Search'!D13=1,IFERROR(1/'Smart Search'!H13,0),0)</f>
        <v/>
      </c>
      <c r="AA320" s="64">
        <f>IF('Smart Search'!D13=1,IFERROR(1/'Smart Search'!H13,0),0)</f>
        <v/>
      </c>
      <c r="AB320" s="64">
        <f>IF('Smart Search'!E13=1,IFERROR(1/'Smart Search'!H13,0),0)</f>
        <v/>
      </c>
      <c r="AC320" s="64">
        <f>IF('Smart Search'!E13=1,IFERROR(1/'Smart Search'!H13,0),0)</f>
        <v/>
      </c>
      <c r="AD320" s="64">
        <f>IF('Smart Search'!F13=1,IFERROR(1/'Smart Search'!H13,0),0)</f>
        <v/>
      </c>
      <c r="AE320" s="64">
        <f>IF('Smart Search'!F13=1,IFERROR(1/'Smart Search'!H13,0),0)</f>
        <v/>
      </c>
      <c r="AF320" s="64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4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4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4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4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4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4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4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4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4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4">
        <f>AF320*V320</f>
        <v/>
      </c>
      <c r="AQ320" s="64">
        <f>AG320*W320</f>
        <v/>
      </c>
      <c r="AR320" s="64">
        <f>AH320*X320</f>
        <v/>
      </c>
      <c r="AS320" s="64">
        <f>AI320*Y320</f>
        <v/>
      </c>
      <c r="AT320" s="64">
        <f>AJ320*Z320</f>
        <v/>
      </c>
      <c r="AU320" s="64">
        <f>AK320*AA320</f>
        <v/>
      </c>
      <c r="AV320" s="64">
        <f>AL320*AB320</f>
        <v/>
      </c>
      <c r="AW320" s="64">
        <f>AM320*AC320</f>
        <v/>
      </c>
      <c r="AX320" s="64">
        <f>AN320*AD320</f>
        <v/>
      </c>
      <c r="AY320" s="64">
        <f>AO320*AE320</f>
        <v/>
      </c>
      <c r="AZ320" s="64">
        <f>INDEX(Projects[Automation Equipment],319)&amp;""</f>
        <v/>
      </c>
      <c r="BA320" s="64">
        <f>IF(OR(A320="",'Smart Search'!H13=0),"",MAX(0,BE320*BF320*MAX(0,1-BG320)))</f>
        <v/>
      </c>
      <c r="BB320" s="64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4">
        <f>IF('Smart Search'!G13=1,IFERROR(1/'Smart Search'!H13,0),0)</f>
        <v/>
      </c>
      <c r="BD320" s="64">
        <f>BB320*BC320</f>
        <v/>
      </c>
      <c r="BE320" s="64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IF(A320="","",N(INDEX(Projects[Act Mech Inst],319)))</f>
        <v/>
      </c>
      <c r="BK320" s="5">
        <f>IF(A320="","",N(INDEX(Projects[Act Elec Inst],319)))</f>
        <v/>
      </c>
      <c r="BL320" s="5">
        <f>IF(A320="","",N(INDEX(Projects[Act Project Management],319)))</f>
        <v/>
      </c>
      <c r="BM320" s="5">
        <f>IF(A320="","",N(INDEX(Projects[Act Systems Eng],319)))</f>
        <v/>
      </c>
      <c r="BN320" s="5">
        <f>IF(A320="","",N(INDEX(Projects[Act Mechanical Eng],319)))</f>
        <v/>
      </c>
      <c r="BO320" s="5">
        <f>IF(A320="","",N(INDEX(Projects[Act Structural Engineering],319)))</f>
        <v/>
      </c>
      <c r="BP320" s="5">
        <f>IF(A320="","",N(INDEX(Projects[Act Site Sup],319)))</f>
        <v/>
      </c>
      <c r="BQ320" s="5">
        <f>IF(A320="","",N(INDEX(Projects[Act Controls Commissioning],319)))</f>
        <v/>
      </c>
      <c r="BR320" s="5">
        <f>IF(A320="","",N(INDEX(Projects[Act Systems Commissioning],319)))</f>
        <v/>
      </c>
      <c r="BS320" s="5">
        <f>IF(A320="","",N(INDEX(Projects[Act Service Commissioning],319)))</f>
        <v/>
      </c>
      <c r="BT320" s="5">
        <f>IF(A320="","",N(INDEX(Projects[Act Controls Eng],319)))</f>
        <v/>
      </c>
      <c r="BU320" s="5">
        <f>IF(A320="","",N(INDEX(Projects[Act Controls Purchase],319)))</f>
        <v/>
      </c>
      <c r="BV320" s="5">
        <f>IF(A320="","",N(INDEX(Projects[Act Software Eng],319)))</f>
        <v/>
      </c>
      <c r="BW320" s="5">
        <f>IF(A320="","",N(INDEX(Projects[Act 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INDEX(Projects[Sold Value (USD M)],319)</f>
        <v/>
      </c>
      <c r="CE320" s="5" t="n"/>
      <c r="CF320" s="5">
        <f>IF(A320="","",N(INDEX(Projects[Est Mech Inst],319)))</f>
        <v/>
      </c>
      <c r="CG320" s="5">
        <f>IF(A320="","",N(INDEX(Projects[Est Elec Inst],319)))</f>
        <v/>
      </c>
      <c r="CH320" s="5">
        <f>IF(A320="","",N(INDEX(Projects[Est Project Management],319)))</f>
        <v/>
      </c>
      <c r="CI320" s="5">
        <f>IF(A320="","",N(INDEX(Projects[Est Systems Eng],319)))</f>
        <v/>
      </c>
      <c r="CJ320" s="5">
        <f>IF(A320="","",N(INDEX(Projects[Est Mechanical Eng],319)))</f>
        <v/>
      </c>
      <c r="CK320" s="5">
        <f>IF(A320="","",N(INDEX(Projects[Est Structural Engineering],319)))</f>
        <v/>
      </c>
      <c r="CL320" s="5">
        <f>IF(A320="","",N(INDEX(Projects[Est Site Sup],319)))</f>
        <v/>
      </c>
      <c r="CM320" s="5">
        <f>IF(A320="","",N(INDEX(Projects[Est Controls Commissioning],319)))</f>
        <v/>
      </c>
      <c r="CN320" s="5">
        <f>IF(A320="","",N(INDEX(Projects[Est Systems Commissioning],319)))</f>
        <v/>
      </c>
      <c r="CO320" s="5">
        <f>IF(A320="","",N(INDEX(Projects[Est Service Commissioning],319)))</f>
        <v/>
      </c>
      <c r="CP320" s="5">
        <f>IF(A320="","",N(INDEX(Projects[Est Controls Eng],319)))</f>
        <v/>
      </c>
      <c r="CQ320" s="5">
        <f>IF(A320="","",N(INDEX(Projects[Est Controls Purchase],319)))</f>
        <v/>
      </c>
      <c r="CR320" s="5">
        <f>IF(A320="","",N(INDEX(Projects[Est Software Eng],319)))</f>
        <v/>
      </c>
      <c r="CS320" s="5">
        <f>IF(A320="","",N(INDEX(Projects[Est Misc],319)))</f>
        <v/>
      </c>
      <c r="CT320" s="5">
        <f>IF(A320="","",SUM(CF320:CS320))</f>
        <v/>
      </c>
      <c r="CU320" s="5">
        <f>INDEX(Projects[Est Cost (M)],319)</f>
        <v/>
      </c>
      <c r="CV320" s="5">
        <f>INDEX(Projects[Act Cost (M)],319)</f>
        <v/>
      </c>
      <c r="CW320" s="5">
        <f>INDEX(Projects[Plan Mech Eng (wks)],319)</f>
        <v/>
      </c>
      <c r="CX320" s="5">
        <f>INDEX(Projects[Plan Controls Eng (wks)],319)</f>
        <v/>
      </c>
      <c r="CY320" s="5">
        <f>INDEX(Projects[Plan Systems Eng (wks)],319)</f>
        <v/>
      </c>
      <c r="CZ320" s="5">
        <f>INDEX(Projects[Plan Software Eng (wks)],319)</f>
        <v/>
      </c>
      <c r="DA320" s="5">
        <f>INDEX(Projects[Plan M&amp;E Installation (wks)],319)</f>
        <v/>
      </c>
      <c r="DB320" s="5">
        <f>INDEX(Projects[Plan Commissioning (wks)],319)</f>
        <v/>
      </c>
      <c r="DC320" s="5">
        <f>INDEX(Projects[Plan Total (wks)],319)</f>
        <v/>
      </c>
      <c r="DD320" s="5">
        <f>INDEX(Projects[Act Mech Eng (wks)],319)</f>
        <v/>
      </c>
      <c r="DE320" s="5">
        <f>INDEX(Projects[Act Controls Eng (wks)],319)</f>
        <v/>
      </c>
      <c r="DF320" s="5">
        <f>INDEX(Projects[Act Systems Eng (wks)],319)</f>
        <v/>
      </c>
      <c r="DG320" s="5">
        <f>INDEX(Projects[Act Software Eng (wks)],319)</f>
        <v/>
      </c>
      <c r="DH320" s="5">
        <f>INDEX(Projects[Act M&amp;E Installation (wks)],319)</f>
        <v/>
      </c>
      <c r="DI320" s="5">
        <f>INDEX(Projects[Act Commissioning (wks)],319)</f>
        <v/>
      </c>
      <c r="DJ320" s="5">
        <f>INDEX(Projects[Act Total (wks)],319)</f>
        <v/>
      </c>
    </row>
    <row r="321" ht="15" customHeight="1" s="82">
      <c r="A321" s="64">
        <f>INDEX(Projects[Project ID *],320)&amp;""</f>
        <v/>
      </c>
      <c r="B321" s="64">
        <f>INDEX(Projects[Project Name *],320)&amp;""</f>
        <v/>
      </c>
      <c r="C321" s="64">
        <f>INDEX(Projects[MS Shuttles],320)</f>
        <v/>
      </c>
      <c r="D321" s="64">
        <f>INDEX(Projects[MS Tote Locations],320)</f>
        <v/>
      </c>
      <c r="E321" s="64">
        <f>INDEX(Projects[AS Robots],320)</f>
        <v/>
      </c>
      <c r="F321" s="64">
        <f>INDEX(Projects[AS Tote Locations],320)</f>
        <v/>
      </c>
      <c r="G321" s="64">
        <f>INDEX(Projects[PS Shuttles],320)</f>
        <v/>
      </c>
      <c r="H321" s="64">
        <f>INDEX(Projects[PS Pallet Locations],320)</f>
        <v/>
      </c>
      <c r="I321" s="64">
        <f>INDEX(Projects[SRM Cranes],320)</f>
        <v/>
      </c>
      <c r="J321" s="64">
        <f>INDEX(Projects[SRM Pallet Locations],320)</f>
        <v/>
      </c>
      <c r="K321" s="64">
        <f>INDEX(Projects[Case Conv (m)],320)</f>
        <v/>
      </c>
      <c r="L321" s="64">
        <f>INDEX(Projects[Pallet Conv (m)],320)</f>
        <v/>
      </c>
      <c r="M321" s="64">
        <f>IF(N(DJ321)&gt;0,DD321,CW321)</f>
        <v/>
      </c>
      <c r="N321" s="64">
        <f>IF(N(DJ321)&gt;0,DE321,CX321)</f>
        <v/>
      </c>
      <c r="O321" s="64">
        <f>IF(N(DJ321)&gt;0,DF321,CY321)</f>
        <v/>
      </c>
      <c r="P321" s="64">
        <f>IF(N(DJ321)&gt;0,DG321,CZ321)</f>
        <v/>
      </c>
      <c r="Q321" s="64">
        <f>IF(N(DJ321)&gt;0,DH321,DA321)</f>
        <v/>
      </c>
      <c r="R321" s="64">
        <f>IF(N(DJ321)&gt;0,DI321,DB321)</f>
        <v/>
      </c>
      <c r="S321" s="64">
        <f>IF(N(DJ321)&gt;0,DJ321,DC321)</f>
        <v/>
      </c>
      <c r="T321" s="64">
        <f>INDEX(Projects[Currency],320)&amp;""</f>
        <v/>
      </c>
      <c r="U321" s="65">
        <f>INDEX(Projects[Sold Value (M)],320)</f>
        <v/>
      </c>
      <c r="V321" s="64">
        <f>IF('Smart Search'!B13=1,IFERROR(1/'Smart Search'!H13,0),0)</f>
        <v/>
      </c>
      <c r="W321" s="64">
        <f>IF('Smart Search'!B13=1,IFERROR(1/'Smart Search'!H13,0),0)</f>
        <v/>
      </c>
      <c r="X321" s="64">
        <f>IF('Smart Search'!C13=1,IFERROR(1/'Smart Search'!H13,0),0)</f>
        <v/>
      </c>
      <c r="Y321" s="64">
        <f>IF('Smart Search'!C13=1,IFERROR(1/'Smart Search'!H13,0),0)</f>
        <v/>
      </c>
      <c r="Z321" s="64">
        <f>IF('Smart Search'!D13=1,IFERROR(1/'Smart Search'!H13,0),0)</f>
        <v/>
      </c>
      <c r="AA321" s="64">
        <f>IF('Smart Search'!D13=1,IFERROR(1/'Smart Search'!H13,0),0)</f>
        <v/>
      </c>
      <c r="AB321" s="64">
        <f>IF('Smart Search'!E13=1,IFERROR(1/'Smart Search'!H13,0),0)</f>
        <v/>
      </c>
      <c r="AC321" s="64">
        <f>IF('Smart Search'!E13=1,IFERROR(1/'Smart Search'!H13,0),0)</f>
        <v/>
      </c>
      <c r="AD321" s="64">
        <f>IF('Smart Search'!F13=1,IFERROR(1/'Smart Search'!H13,0),0)</f>
        <v/>
      </c>
      <c r="AE321" s="64">
        <f>IF('Smart Search'!F13=1,IFERROR(1/'Smart Search'!H13,0),0)</f>
        <v/>
      </c>
      <c r="AF321" s="64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4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4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4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4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4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4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4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4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4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4">
        <f>AF321*V321</f>
        <v/>
      </c>
      <c r="AQ321" s="64">
        <f>AG321*W321</f>
        <v/>
      </c>
      <c r="AR321" s="64">
        <f>AH321*X321</f>
        <v/>
      </c>
      <c r="AS321" s="64">
        <f>AI321*Y321</f>
        <v/>
      </c>
      <c r="AT321" s="64">
        <f>AJ321*Z321</f>
        <v/>
      </c>
      <c r="AU321" s="64">
        <f>AK321*AA321</f>
        <v/>
      </c>
      <c r="AV321" s="64">
        <f>AL321*AB321</f>
        <v/>
      </c>
      <c r="AW321" s="64">
        <f>AM321*AC321</f>
        <v/>
      </c>
      <c r="AX321" s="64">
        <f>AN321*AD321</f>
        <v/>
      </c>
      <c r="AY321" s="64">
        <f>AO321*AE321</f>
        <v/>
      </c>
      <c r="AZ321" s="64">
        <f>INDEX(Projects[Automation Equipment],320)&amp;""</f>
        <v/>
      </c>
      <c r="BA321" s="64">
        <f>IF(OR(A321="",'Smart Search'!H13=0),"",MAX(0,BE321*BF321*MAX(0,1-BG321)))</f>
        <v/>
      </c>
      <c r="BB321" s="64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4">
        <f>IF('Smart Search'!G13=1,IFERROR(1/'Smart Search'!H13,0),0)</f>
        <v/>
      </c>
      <c r="BD321" s="64">
        <f>BB321*BC321</f>
        <v/>
      </c>
      <c r="BE321" s="64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IF(A321="","",N(INDEX(Projects[Act Mech Inst],320)))</f>
        <v/>
      </c>
      <c r="BK321" s="5">
        <f>IF(A321="","",N(INDEX(Projects[Act Elec Inst],320)))</f>
        <v/>
      </c>
      <c r="BL321" s="5">
        <f>IF(A321="","",N(INDEX(Projects[Act Project Management],320)))</f>
        <v/>
      </c>
      <c r="BM321" s="5">
        <f>IF(A321="","",N(INDEX(Projects[Act Systems Eng],320)))</f>
        <v/>
      </c>
      <c r="BN321" s="5">
        <f>IF(A321="","",N(INDEX(Projects[Act Mechanical Eng],320)))</f>
        <v/>
      </c>
      <c r="BO321" s="5">
        <f>IF(A321="","",N(INDEX(Projects[Act Structural Engineering],320)))</f>
        <v/>
      </c>
      <c r="BP321" s="5">
        <f>IF(A321="","",N(INDEX(Projects[Act Site Sup],320)))</f>
        <v/>
      </c>
      <c r="BQ321" s="5">
        <f>IF(A321="","",N(INDEX(Projects[Act Controls Commissioning],320)))</f>
        <v/>
      </c>
      <c r="BR321" s="5">
        <f>IF(A321="","",N(INDEX(Projects[Act Systems Commissioning],320)))</f>
        <v/>
      </c>
      <c r="BS321" s="5">
        <f>IF(A321="","",N(INDEX(Projects[Act Service Commissioning],320)))</f>
        <v/>
      </c>
      <c r="BT321" s="5">
        <f>IF(A321="","",N(INDEX(Projects[Act Controls Eng],320)))</f>
        <v/>
      </c>
      <c r="BU321" s="5">
        <f>IF(A321="","",N(INDEX(Projects[Act Controls Purchase],320)))</f>
        <v/>
      </c>
      <c r="BV321" s="5">
        <f>IF(A321="","",N(INDEX(Projects[Act Software Eng],320)))</f>
        <v/>
      </c>
      <c r="BW321" s="5">
        <f>IF(A321="","",N(INDEX(Projects[Act 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INDEX(Projects[Sold Value (USD M)],320)</f>
        <v/>
      </c>
      <c r="CE321" s="5" t="n"/>
      <c r="CF321" s="5">
        <f>IF(A321="","",N(INDEX(Projects[Est Mech Inst],320)))</f>
        <v/>
      </c>
      <c r="CG321" s="5">
        <f>IF(A321="","",N(INDEX(Projects[Est Elec Inst],320)))</f>
        <v/>
      </c>
      <c r="CH321" s="5">
        <f>IF(A321="","",N(INDEX(Projects[Est Project Management],320)))</f>
        <v/>
      </c>
      <c r="CI321" s="5">
        <f>IF(A321="","",N(INDEX(Projects[Est Systems Eng],320)))</f>
        <v/>
      </c>
      <c r="CJ321" s="5">
        <f>IF(A321="","",N(INDEX(Projects[Est Mechanical Eng],320)))</f>
        <v/>
      </c>
      <c r="CK321" s="5">
        <f>IF(A321="","",N(INDEX(Projects[Est Structural Engineering],320)))</f>
        <v/>
      </c>
      <c r="CL321" s="5">
        <f>IF(A321="","",N(INDEX(Projects[Est Site Sup],320)))</f>
        <v/>
      </c>
      <c r="CM321" s="5">
        <f>IF(A321="","",N(INDEX(Projects[Est Controls Commissioning],320)))</f>
        <v/>
      </c>
      <c r="CN321" s="5">
        <f>IF(A321="","",N(INDEX(Projects[Est Systems Commissioning],320)))</f>
        <v/>
      </c>
      <c r="CO321" s="5">
        <f>IF(A321="","",N(INDEX(Projects[Est Service Commissioning],320)))</f>
        <v/>
      </c>
      <c r="CP321" s="5">
        <f>IF(A321="","",N(INDEX(Projects[Est Controls Eng],320)))</f>
        <v/>
      </c>
      <c r="CQ321" s="5">
        <f>IF(A321="","",N(INDEX(Projects[Est Controls Purchase],320)))</f>
        <v/>
      </c>
      <c r="CR321" s="5">
        <f>IF(A321="","",N(INDEX(Projects[Est Software Eng],320)))</f>
        <v/>
      </c>
      <c r="CS321" s="5">
        <f>IF(A321="","",N(INDEX(Projects[Est Misc],320)))</f>
        <v/>
      </c>
      <c r="CT321" s="5">
        <f>IF(A321="","",SUM(CF321:CS321))</f>
        <v/>
      </c>
      <c r="CU321" s="5">
        <f>INDEX(Projects[Est Cost (M)],320)</f>
        <v/>
      </c>
      <c r="CV321" s="5">
        <f>INDEX(Projects[Act Cost (M)],320)</f>
        <v/>
      </c>
      <c r="CW321" s="5">
        <f>INDEX(Projects[Plan Mech Eng (wks)],320)</f>
        <v/>
      </c>
      <c r="CX321" s="5">
        <f>INDEX(Projects[Plan Controls Eng (wks)],320)</f>
        <v/>
      </c>
      <c r="CY321" s="5">
        <f>INDEX(Projects[Plan Systems Eng (wks)],320)</f>
        <v/>
      </c>
      <c r="CZ321" s="5">
        <f>INDEX(Projects[Plan Software Eng (wks)],320)</f>
        <v/>
      </c>
      <c r="DA321" s="5">
        <f>INDEX(Projects[Plan M&amp;E Installation (wks)],320)</f>
        <v/>
      </c>
      <c r="DB321" s="5">
        <f>INDEX(Projects[Plan Commissioning (wks)],320)</f>
        <v/>
      </c>
      <c r="DC321" s="5">
        <f>INDEX(Projects[Plan Total (wks)],320)</f>
        <v/>
      </c>
      <c r="DD321" s="5">
        <f>INDEX(Projects[Act Mech Eng (wks)],320)</f>
        <v/>
      </c>
      <c r="DE321" s="5">
        <f>INDEX(Projects[Act Controls Eng (wks)],320)</f>
        <v/>
      </c>
      <c r="DF321" s="5">
        <f>INDEX(Projects[Act Systems Eng (wks)],320)</f>
        <v/>
      </c>
      <c r="DG321" s="5">
        <f>INDEX(Projects[Act Software Eng (wks)],320)</f>
        <v/>
      </c>
      <c r="DH321" s="5">
        <f>INDEX(Projects[Act M&amp;E Installation (wks)],320)</f>
        <v/>
      </c>
      <c r="DI321" s="5">
        <f>INDEX(Projects[Act Commissioning (wks)],320)</f>
        <v/>
      </c>
      <c r="DJ321" s="5">
        <f>INDEX(Projects[Act Total (wks)],320)</f>
        <v/>
      </c>
    </row>
    <row r="322" ht="15" customHeight="1" s="82">
      <c r="A322" s="64">
        <f>INDEX(Projects[Project ID *],321)&amp;""</f>
        <v/>
      </c>
      <c r="B322" s="64">
        <f>INDEX(Projects[Project Name *],321)&amp;""</f>
        <v/>
      </c>
      <c r="C322" s="64">
        <f>INDEX(Projects[MS Shuttles],321)</f>
        <v/>
      </c>
      <c r="D322" s="64">
        <f>INDEX(Projects[MS Tote Locations],321)</f>
        <v/>
      </c>
      <c r="E322" s="64">
        <f>INDEX(Projects[AS Robots],321)</f>
        <v/>
      </c>
      <c r="F322" s="64">
        <f>INDEX(Projects[AS Tote Locations],321)</f>
        <v/>
      </c>
      <c r="G322" s="64">
        <f>INDEX(Projects[PS Shuttles],321)</f>
        <v/>
      </c>
      <c r="H322" s="64">
        <f>INDEX(Projects[PS Pallet Locations],321)</f>
        <v/>
      </c>
      <c r="I322" s="64">
        <f>INDEX(Projects[SRM Cranes],321)</f>
        <v/>
      </c>
      <c r="J322" s="64">
        <f>INDEX(Projects[SRM Pallet Locations],321)</f>
        <v/>
      </c>
      <c r="K322" s="64">
        <f>INDEX(Projects[Case Conv (m)],321)</f>
        <v/>
      </c>
      <c r="L322" s="64">
        <f>INDEX(Projects[Pallet Conv (m)],321)</f>
        <v/>
      </c>
      <c r="M322" s="64">
        <f>IF(N(DJ322)&gt;0,DD322,CW322)</f>
        <v/>
      </c>
      <c r="N322" s="64">
        <f>IF(N(DJ322)&gt;0,DE322,CX322)</f>
        <v/>
      </c>
      <c r="O322" s="64">
        <f>IF(N(DJ322)&gt;0,DF322,CY322)</f>
        <v/>
      </c>
      <c r="P322" s="64">
        <f>IF(N(DJ322)&gt;0,DG322,CZ322)</f>
        <v/>
      </c>
      <c r="Q322" s="64">
        <f>IF(N(DJ322)&gt;0,DH322,DA322)</f>
        <v/>
      </c>
      <c r="R322" s="64">
        <f>IF(N(DJ322)&gt;0,DI322,DB322)</f>
        <v/>
      </c>
      <c r="S322" s="64">
        <f>IF(N(DJ322)&gt;0,DJ322,DC322)</f>
        <v/>
      </c>
      <c r="T322" s="64">
        <f>INDEX(Projects[Currency],321)&amp;""</f>
        <v/>
      </c>
      <c r="U322" s="65">
        <f>INDEX(Projects[Sold Value (M)],321)</f>
        <v/>
      </c>
      <c r="V322" s="64">
        <f>IF('Smart Search'!B13=1,IFERROR(1/'Smart Search'!H13,0),0)</f>
        <v/>
      </c>
      <c r="W322" s="64">
        <f>IF('Smart Search'!B13=1,IFERROR(1/'Smart Search'!H13,0),0)</f>
        <v/>
      </c>
      <c r="X322" s="64">
        <f>IF('Smart Search'!C13=1,IFERROR(1/'Smart Search'!H13,0),0)</f>
        <v/>
      </c>
      <c r="Y322" s="64">
        <f>IF('Smart Search'!C13=1,IFERROR(1/'Smart Search'!H13,0),0)</f>
        <v/>
      </c>
      <c r="Z322" s="64">
        <f>IF('Smart Search'!D13=1,IFERROR(1/'Smart Search'!H13,0),0)</f>
        <v/>
      </c>
      <c r="AA322" s="64">
        <f>IF('Smart Search'!D13=1,IFERROR(1/'Smart Search'!H13,0),0)</f>
        <v/>
      </c>
      <c r="AB322" s="64">
        <f>IF('Smart Search'!E13=1,IFERROR(1/'Smart Search'!H13,0),0)</f>
        <v/>
      </c>
      <c r="AC322" s="64">
        <f>IF('Smart Search'!E13=1,IFERROR(1/'Smart Search'!H13,0),0)</f>
        <v/>
      </c>
      <c r="AD322" s="64">
        <f>IF('Smart Search'!F13=1,IFERROR(1/'Smart Search'!H13,0),0)</f>
        <v/>
      </c>
      <c r="AE322" s="64">
        <f>IF('Smart Search'!F13=1,IFERROR(1/'Smart Search'!H13,0),0)</f>
        <v/>
      </c>
      <c r="AF322" s="64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4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4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4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4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4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4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4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4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4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4">
        <f>AF322*V322</f>
        <v/>
      </c>
      <c r="AQ322" s="64">
        <f>AG322*W322</f>
        <v/>
      </c>
      <c r="AR322" s="64">
        <f>AH322*X322</f>
        <v/>
      </c>
      <c r="AS322" s="64">
        <f>AI322*Y322</f>
        <v/>
      </c>
      <c r="AT322" s="64">
        <f>AJ322*Z322</f>
        <v/>
      </c>
      <c r="AU322" s="64">
        <f>AK322*AA322</f>
        <v/>
      </c>
      <c r="AV322" s="64">
        <f>AL322*AB322</f>
        <v/>
      </c>
      <c r="AW322" s="64">
        <f>AM322*AC322</f>
        <v/>
      </c>
      <c r="AX322" s="64">
        <f>AN322*AD322</f>
        <v/>
      </c>
      <c r="AY322" s="64">
        <f>AO322*AE322</f>
        <v/>
      </c>
      <c r="AZ322" s="64">
        <f>INDEX(Projects[Automation Equipment],321)&amp;""</f>
        <v/>
      </c>
      <c r="BA322" s="64">
        <f>IF(OR(A322="",'Smart Search'!H13=0),"",MAX(0,BE322*BF322*MAX(0,1-BG322)))</f>
        <v/>
      </c>
      <c r="BB322" s="64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4">
        <f>IF('Smart Search'!G13=1,IFERROR(1/'Smart Search'!H13,0),0)</f>
        <v/>
      </c>
      <c r="BD322" s="64">
        <f>BB322*BC322</f>
        <v/>
      </c>
      <c r="BE322" s="64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IF(A322="","",N(INDEX(Projects[Act Mech Inst],321)))</f>
        <v/>
      </c>
      <c r="BK322" s="5">
        <f>IF(A322="","",N(INDEX(Projects[Act Elec Inst],321)))</f>
        <v/>
      </c>
      <c r="BL322" s="5">
        <f>IF(A322="","",N(INDEX(Projects[Act Project Management],321)))</f>
        <v/>
      </c>
      <c r="BM322" s="5">
        <f>IF(A322="","",N(INDEX(Projects[Act Systems Eng],321)))</f>
        <v/>
      </c>
      <c r="BN322" s="5">
        <f>IF(A322="","",N(INDEX(Projects[Act Mechanical Eng],321)))</f>
        <v/>
      </c>
      <c r="BO322" s="5">
        <f>IF(A322="","",N(INDEX(Projects[Act Structural Engineering],321)))</f>
        <v/>
      </c>
      <c r="BP322" s="5">
        <f>IF(A322="","",N(INDEX(Projects[Act Site Sup],321)))</f>
        <v/>
      </c>
      <c r="BQ322" s="5">
        <f>IF(A322="","",N(INDEX(Projects[Act Controls Commissioning],321)))</f>
        <v/>
      </c>
      <c r="BR322" s="5">
        <f>IF(A322="","",N(INDEX(Projects[Act Systems Commissioning],321)))</f>
        <v/>
      </c>
      <c r="BS322" s="5">
        <f>IF(A322="","",N(INDEX(Projects[Act Service Commissioning],321)))</f>
        <v/>
      </c>
      <c r="BT322" s="5">
        <f>IF(A322="","",N(INDEX(Projects[Act Controls Eng],321)))</f>
        <v/>
      </c>
      <c r="BU322" s="5">
        <f>IF(A322="","",N(INDEX(Projects[Act Controls Purchase],321)))</f>
        <v/>
      </c>
      <c r="BV322" s="5">
        <f>IF(A322="","",N(INDEX(Projects[Act Software Eng],321)))</f>
        <v/>
      </c>
      <c r="BW322" s="5">
        <f>IF(A322="","",N(INDEX(Projects[Act 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INDEX(Projects[Sold Value (USD M)],321)</f>
        <v/>
      </c>
      <c r="CE322" s="5" t="n"/>
      <c r="CF322" s="5">
        <f>IF(A322="","",N(INDEX(Projects[Est Mech Inst],321)))</f>
        <v/>
      </c>
      <c r="CG322" s="5">
        <f>IF(A322="","",N(INDEX(Projects[Est Elec Inst],321)))</f>
        <v/>
      </c>
      <c r="CH322" s="5">
        <f>IF(A322="","",N(INDEX(Projects[Est Project Management],321)))</f>
        <v/>
      </c>
      <c r="CI322" s="5">
        <f>IF(A322="","",N(INDEX(Projects[Est Systems Eng],321)))</f>
        <v/>
      </c>
      <c r="CJ322" s="5">
        <f>IF(A322="","",N(INDEX(Projects[Est Mechanical Eng],321)))</f>
        <v/>
      </c>
      <c r="CK322" s="5">
        <f>IF(A322="","",N(INDEX(Projects[Est Structural Engineering],321)))</f>
        <v/>
      </c>
      <c r="CL322" s="5">
        <f>IF(A322="","",N(INDEX(Projects[Est Site Sup],321)))</f>
        <v/>
      </c>
      <c r="CM322" s="5">
        <f>IF(A322="","",N(INDEX(Projects[Est Controls Commissioning],321)))</f>
        <v/>
      </c>
      <c r="CN322" s="5">
        <f>IF(A322="","",N(INDEX(Projects[Est Systems Commissioning],321)))</f>
        <v/>
      </c>
      <c r="CO322" s="5">
        <f>IF(A322="","",N(INDEX(Projects[Est Service Commissioning],321)))</f>
        <v/>
      </c>
      <c r="CP322" s="5">
        <f>IF(A322="","",N(INDEX(Projects[Est Controls Eng],321)))</f>
        <v/>
      </c>
      <c r="CQ322" s="5">
        <f>IF(A322="","",N(INDEX(Projects[Est Controls Purchase],321)))</f>
        <v/>
      </c>
      <c r="CR322" s="5">
        <f>IF(A322="","",N(INDEX(Projects[Est Software Eng],321)))</f>
        <v/>
      </c>
      <c r="CS322" s="5">
        <f>IF(A322="","",N(INDEX(Projects[Est Misc],321)))</f>
        <v/>
      </c>
      <c r="CT322" s="5">
        <f>IF(A322="","",SUM(CF322:CS322))</f>
        <v/>
      </c>
      <c r="CU322" s="5">
        <f>INDEX(Projects[Est Cost (M)],321)</f>
        <v/>
      </c>
      <c r="CV322" s="5">
        <f>INDEX(Projects[Act Cost (M)],321)</f>
        <v/>
      </c>
      <c r="CW322" s="5">
        <f>INDEX(Projects[Plan Mech Eng (wks)],321)</f>
        <v/>
      </c>
      <c r="CX322" s="5">
        <f>INDEX(Projects[Plan Controls Eng (wks)],321)</f>
        <v/>
      </c>
      <c r="CY322" s="5">
        <f>INDEX(Projects[Plan Systems Eng (wks)],321)</f>
        <v/>
      </c>
      <c r="CZ322" s="5">
        <f>INDEX(Projects[Plan Software Eng (wks)],321)</f>
        <v/>
      </c>
      <c r="DA322" s="5">
        <f>INDEX(Projects[Plan M&amp;E Installation (wks)],321)</f>
        <v/>
      </c>
      <c r="DB322" s="5">
        <f>INDEX(Projects[Plan Commissioning (wks)],321)</f>
        <v/>
      </c>
      <c r="DC322" s="5">
        <f>INDEX(Projects[Plan Total (wks)],321)</f>
        <v/>
      </c>
      <c r="DD322" s="5">
        <f>INDEX(Projects[Act Mech Eng (wks)],321)</f>
        <v/>
      </c>
      <c r="DE322" s="5">
        <f>INDEX(Projects[Act Controls Eng (wks)],321)</f>
        <v/>
      </c>
      <c r="DF322" s="5">
        <f>INDEX(Projects[Act Systems Eng (wks)],321)</f>
        <v/>
      </c>
      <c r="DG322" s="5">
        <f>INDEX(Projects[Act Software Eng (wks)],321)</f>
        <v/>
      </c>
      <c r="DH322" s="5">
        <f>INDEX(Projects[Act M&amp;E Installation (wks)],321)</f>
        <v/>
      </c>
      <c r="DI322" s="5">
        <f>INDEX(Projects[Act Commissioning (wks)],321)</f>
        <v/>
      </c>
      <c r="DJ322" s="5">
        <f>INDEX(Projects[Act Total (wks)],321)</f>
        <v/>
      </c>
    </row>
    <row r="323" ht="15" customHeight="1" s="82">
      <c r="A323" s="64">
        <f>INDEX(Projects[Project ID *],322)&amp;""</f>
        <v/>
      </c>
      <c r="B323" s="64">
        <f>INDEX(Projects[Project Name *],322)&amp;""</f>
        <v/>
      </c>
      <c r="C323" s="64">
        <f>INDEX(Projects[MS Shuttles],322)</f>
        <v/>
      </c>
      <c r="D323" s="64">
        <f>INDEX(Projects[MS Tote Locations],322)</f>
        <v/>
      </c>
      <c r="E323" s="64">
        <f>INDEX(Projects[AS Robots],322)</f>
        <v/>
      </c>
      <c r="F323" s="64">
        <f>INDEX(Projects[AS Tote Locations],322)</f>
        <v/>
      </c>
      <c r="G323" s="64">
        <f>INDEX(Projects[PS Shuttles],322)</f>
        <v/>
      </c>
      <c r="H323" s="64">
        <f>INDEX(Projects[PS Pallet Locations],322)</f>
        <v/>
      </c>
      <c r="I323" s="64">
        <f>INDEX(Projects[SRM Cranes],322)</f>
        <v/>
      </c>
      <c r="J323" s="64">
        <f>INDEX(Projects[SRM Pallet Locations],322)</f>
        <v/>
      </c>
      <c r="K323" s="64">
        <f>INDEX(Projects[Case Conv (m)],322)</f>
        <v/>
      </c>
      <c r="L323" s="64">
        <f>INDEX(Projects[Pallet Conv (m)],322)</f>
        <v/>
      </c>
      <c r="M323" s="64">
        <f>IF(N(DJ323)&gt;0,DD323,CW323)</f>
        <v/>
      </c>
      <c r="N323" s="64">
        <f>IF(N(DJ323)&gt;0,DE323,CX323)</f>
        <v/>
      </c>
      <c r="O323" s="64">
        <f>IF(N(DJ323)&gt;0,DF323,CY323)</f>
        <v/>
      </c>
      <c r="P323" s="64">
        <f>IF(N(DJ323)&gt;0,DG323,CZ323)</f>
        <v/>
      </c>
      <c r="Q323" s="64">
        <f>IF(N(DJ323)&gt;0,DH323,DA323)</f>
        <v/>
      </c>
      <c r="R323" s="64">
        <f>IF(N(DJ323)&gt;0,DI323,DB323)</f>
        <v/>
      </c>
      <c r="S323" s="64">
        <f>IF(N(DJ323)&gt;0,DJ323,DC323)</f>
        <v/>
      </c>
      <c r="T323" s="64">
        <f>INDEX(Projects[Currency],322)&amp;""</f>
        <v/>
      </c>
      <c r="U323" s="65">
        <f>INDEX(Projects[Sold Value (M)],322)</f>
        <v/>
      </c>
      <c r="V323" s="64">
        <f>IF('Smart Search'!B13=1,IFERROR(1/'Smart Search'!H13,0),0)</f>
        <v/>
      </c>
      <c r="W323" s="64">
        <f>IF('Smart Search'!B13=1,IFERROR(1/'Smart Search'!H13,0),0)</f>
        <v/>
      </c>
      <c r="X323" s="64">
        <f>IF('Smart Search'!C13=1,IFERROR(1/'Smart Search'!H13,0),0)</f>
        <v/>
      </c>
      <c r="Y323" s="64">
        <f>IF('Smart Search'!C13=1,IFERROR(1/'Smart Search'!H13,0),0)</f>
        <v/>
      </c>
      <c r="Z323" s="64">
        <f>IF('Smart Search'!D13=1,IFERROR(1/'Smart Search'!H13,0),0)</f>
        <v/>
      </c>
      <c r="AA323" s="64">
        <f>IF('Smart Search'!D13=1,IFERROR(1/'Smart Search'!H13,0),0)</f>
        <v/>
      </c>
      <c r="AB323" s="64">
        <f>IF('Smart Search'!E13=1,IFERROR(1/'Smart Search'!H13,0),0)</f>
        <v/>
      </c>
      <c r="AC323" s="64">
        <f>IF('Smart Search'!E13=1,IFERROR(1/'Smart Search'!H13,0),0)</f>
        <v/>
      </c>
      <c r="AD323" s="64">
        <f>IF('Smart Search'!F13=1,IFERROR(1/'Smart Search'!H13,0),0)</f>
        <v/>
      </c>
      <c r="AE323" s="64">
        <f>IF('Smart Search'!F13=1,IFERROR(1/'Smart Search'!H13,0),0)</f>
        <v/>
      </c>
      <c r="AF323" s="64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4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4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4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4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4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4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4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4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4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4">
        <f>AF323*V323</f>
        <v/>
      </c>
      <c r="AQ323" s="64">
        <f>AG323*W323</f>
        <v/>
      </c>
      <c r="AR323" s="64">
        <f>AH323*X323</f>
        <v/>
      </c>
      <c r="AS323" s="64">
        <f>AI323*Y323</f>
        <v/>
      </c>
      <c r="AT323" s="64">
        <f>AJ323*Z323</f>
        <v/>
      </c>
      <c r="AU323" s="64">
        <f>AK323*AA323</f>
        <v/>
      </c>
      <c r="AV323" s="64">
        <f>AL323*AB323</f>
        <v/>
      </c>
      <c r="AW323" s="64">
        <f>AM323*AC323</f>
        <v/>
      </c>
      <c r="AX323" s="64">
        <f>AN323*AD323</f>
        <v/>
      </c>
      <c r="AY323" s="64">
        <f>AO323*AE323</f>
        <v/>
      </c>
      <c r="AZ323" s="64">
        <f>INDEX(Projects[Automation Equipment],322)&amp;""</f>
        <v/>
      </c>
      <c r="BA323" s="64">
        <f>IF(OR(A323="",'Smart Search'!H13=0),"",MAX(0,BE323*BF323*MAX(0,1-BG323)))</f>
        <v/>
      </c>
      <c r="BB323" s="64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4">
        <f>IF('Smart Search'!G13=1,IFERROR(1/'Smart Search'!H13,0),0)</f>
        <v/>
      </c>
      <c r="BD323" s="64">
        <f>BB323*BC323</f>
        <v/>
      </c>
      <c r="BE323" s="64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IF(A323="","",N(INDEX(Projects[Act Mech Inst],322)))</f>
        <v/>
      </c>
      <c r="BK323" s="5">
        <f>IF(A323="","",N(INDEX(Projects[Act Elec Inst],322)))</f>
        <v/>
      </c>
      <c r="BL323" s="5">
        <f>IF(A323="","",N(INDEX(Projects[Act Project Management],322)))</f>
        <v/>
      </c>
      <c r="BM323" s="5">
        <f>IF(A323="","",N(INDEX(Projects[Act Systems Eng],322)))</f>
        <v/>
      </c>
      <c r="BN323" s="5">
        <f>IF(A323="","",N(INDEX(Projects[Act Mechanical Eng],322)))</f>
        <v/>
      </c>
      <c r="BO323" s="5">
        <f>IF(A323="","",N(INDEX(Projects[Act Structural Engineering],322)))</f>
        <v/>
      </c>
      <c r="BP323" s="5">
        <f>IF(A323="","",N(INDEX(Projects[Act Site Sup],322)))</f>
        <v/>
      </c>
      <c r="BQ323" s="5">
        <f>IF(A323="","",N(INDEX(Projects[Act Controls Commissioning],322)))</f>
        <v/>
      </c>
      <c r="BR323" s="5">
        <f>IF(A323="","",N(INDEX(Projects[Act Systems Commissioning],322)))</f>
        <v/>
      </c>
      <c r="BS323" s="5">
        <f>IF(A323="","",N(INDEX(Projects[Act Service Commissioning],322)))</f>
        <v/>
      </c>
      <c r="BT323" s="5">
        <f>IF(A323="","",N(INDEX(Projects[Act Controls Eng],322)))</f>
        <v/>
      </c>
      <c r="BU323" s="5">
        <f>IF(A323="","",N(INDEX(Projects[Act Controls Purchase],322)))</f>
        <v/>
      </c>
      <c r="BV323" s="5">
        <f>IF(A323="","",N(INDEX(Projects[Act Software Eng],322)))</f>
        <v/>
      </c>
      <c r="BW323" s="5">
        <f>IF(A323="","",N(INDEX(Projects[Act 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INDEX(Projects[Sold Value (USD M)],322)</f>
        <v/>
      </c>
      <c r="CE323" s="5" t="n"/>
      <c r="CF323" s="5">
        <f>IF(A323="","",N(INDEX(Projects[Est Mech Inst],322)))</f>
        <v/>
      </c>
      <c r="CG323" s="5">
        <f>IF(A323="","",N(INDEX(Projects[Est Elec Inst],322)))</f>
        <v/>
      </c>
      <c r="CH323" s="5">
        <f>IF(A323="","",N(INDEX(Projects[Est Project Management],322)))</f>
        <v/>
      </c>
      <c r="CI323" s="5">
        <f>IF(A323="","",N(INDEX(Projects[Est Systems Eng],322)))</f>
        <v/>
      </c>
      <c r="CJ323" s="5">
        <f>IF(A323="","",N(INDEX(Projects[Est Mechanical Eng],322)))</f>
        <v/>
      </c>
      <c r="CK323" s="5">
        <f>IF(A323="","",N(INDEX(Projects[Est Structural Engineering],322)))</f>
        <v/>
      </c>
      <c r="CL323" s="5">
        <f>IF(A323="","",N(INDEX(Projects[Est Site Sup],322)))</f>
        <v/>
      </c>
      <c r="CM323" s="5">
        <f>IF(A323="","",N(INDEX(Projects[Est Controls Commissioning],322)))</f>
        <v/>
      </c>
      <c r="CN323" s="5">
        <f>IF(A323="","",N(INDEX(Projects[Est Systems Commissioning],322)))</f>
        <v/>
      </c>
      <c r="CO323" s="5">
        <f>IF(A323="","",N(INDEX(Projects[Est Service Commissioning],322)))</f>
        <v/>
      </c>
      <c r="CP323" s="5">
        <f>IF(A323="","",N(INDEX(Projects[Est Controls Eng],322)))</f>
        <v/>
      </c>
      <c r="CQ323" s="5">
        <f>IF(A323="","",N(INDEX(Projects[Est Controls Purchase],322)))</f>
        <v/>
      </c>
      <c r="CR323" s="5">
        <f>IF(A323="","",N(INDEX(Projects[Est Software Eng],322)))</f>
        <v/>
      </c>
      <c r="CS323" s="5">
        <f>IF(A323="","",N(INDEX(Projects[Est Misc],322)))</f>
        <v/>
      </c>
      <c r="CT323" s="5">
        <f>IF(A323="","",SUM(CF323:CS323))</f>
        <v/>
      </c>
      <c r="CU323" s="5">
        <f>INDEX(Projects[Est Cost (M)],322)</f>
        <v/>
      </c>
      <c r="CV323" s="5">
        <f>INDEX(Projects[Act Cost (M)],322)</f>
        <v/>
      </c>
      <c r="CW323" s="5">
        <f>INDEX(Projects[Plan Mech Eng (wks)],322)</f>
        <v/>
      </c>
      <c r="CX323" s="5">
        <f>INDEX(Projects[Plan Controls Eng (wks)],322)</f>
        <v/>
      </c>
      <c r="CY323" s="5">
        <f>INDEX(Projects[Plan Systems Eng (wks)],322)</f>
        <v/>
      </c>
      <c r="CZ323" s="5">
        <f>INDEX(Projects[Plan Software Eng (wks)],322)</f>
        <v/>
      </c>
      <c r="DA323" s="5">
        <f>INDEX(Projects[Plan M&amp;E Installation (wks)],322)</f>
        <v/>
      </c>
      <c r="DB323" s="5">
        <f>INDEX(Projects[Plan Commissioning (wks)],322)</f>
        <v/>
      </c>
      <c r="DC323" s="5">
        <f>INDEX(Projects[Plan Total (wks)],322)</f>
        <v/>
      </c>
      <c r="DD323" s="5">
        <f>INDEX(Projects[Act Mech Eng (wks)],322)</f>
        <v/>
      </c>
      <c r="DE323" s="5">
        <f>INDEX(Projects[Act Controls Eng (wks)],322)</f>
        <v/>
      </c>
      <c r="DF323" s="5">
        <f>INDEX(Projects[Act Systems Eng (wks)],322)</f>
        <v/>
      </c>
      <c r="DG323" s="5">
        <f>INDEX(Projects[Act Software Eng (wks)],322)</f>
        <v/>
      </c>
      <c r="DH323" s="5">
        <f>INDEX(Projects[Act M&amp;E Installation (wks)],322)</f>
        <v/>
      </c>
      <c r="DI323" s="5">
        <f>INDEX(Projects[Act Commissioning (wks)],322)</f>
        <v/>
      </c>
      <c r="DJ323" s="5">
        <f>INDEX(Projects[Act Total (wks)],322)</f>
        <v/>
      </c>
    </row>
    <row r="324" ht="15" customHeight="1" s="82">
      <c r="A324" s="64">
        <f>INDEX(Projects[Project ID *],323)&amp;""</f>
        <v/>
      </c>
      <c r="B324" s="64">
        <f>INDEX(Projects[Project Name *],323)&amp;""</f>
        <v/>
      </c>
      <c r="C324" s="64">
        <f>INDEX(Projects[MS Shuttles],323)</f>
        <v/>
      </c>
      <c r="D324" s="64">
        <f>INDEX(Projects[MS Tote Locations],323)</f>
        <v/>
      </c>
      <c r="E324" s="64">
        <f>INDEX(Projects[AS Robots],323)</f>
        <v/>
      </c>
      <c r="F324" s="64">
        <f>INDEX(Projects[AS Tote Locations],323)</f>
        <v/>
      </c>
      <c r="G324" s="64">
        <f>INDEX(Projects[PS Shuttles],323)</f>
        <v/>
      </c>
      <c r="H324" s="64">
        <f>INDEX(Projects[PS Pallet Locations],323)</f>
        <v/>
      </c>
      <c r="I324" s="64">
        <f>INDEX(Projects[SRM Cranes],323)</f>
        <v/>
      </c>
      <c r="J324" s="64">
        <f>INDEX(Projects[SRM Pallet Locations],323)</f>
        <v/>
      </c>
      <c r="K324" s="64">
        <f>INDEX(Projects[Case Conv (m)],323)</f>
        <v/>
      </c>
      <c r="L324" s="64">
        <f>INDEX(Projects[Pallet Conv (m)],323)</f>
        <v/>
      </c>
      <c r="M324" s="64">
        <f>IF(N(DJ324)&gt;0,DD324,CW324)</f>
        <v/>
      </c>
      <c r="N324" s="64">
        <f>IF(N(DJ324)&gt;0,DE324,CX324)</f>
        <v/>
      </c>
      <c r="O324" s="64">
        <f>IF(N(DJ324)&gt;0,DF324,CY324)</f>
        <v/>
      </c>
      <c r="P324" s="64">
        <f>IF(N(DJ324)&gt;0,DG324,CZ324)</f>
        <v/>
      </c>
      <c r="Q324" s="64">
        <f>IF(N(DJ324)&gt;0,DH324,DA324)</f>
        <v/>
      </c>
      <c r="R324" s="64">
        <f>IF(N(DJ324)&gt;0,DI324,DB324)</f>
        <v/>
      </c>
      <c r="S324" s="64">
        <f>IF(N(DJ324)&gt;0,DJ324,DC324)</f>
        <v/>
      </c>
      <c r="T324" s="64">
        <f>INDEX(Projects[Currency],323)&amp;""</f>
        <v/>
      </c>
      <c r="U324" s="65">
        <f>INDEX(Projects[Sold Value (M)],323)</f>
        <v/>
      </c>
      <c r="V324" s="64">
        <f>IF('Smart Search'!B13=1,IFERROR(1/'Smart Search'!H13,0),0)</f>
        <v/>
      </c>
      <c r="W324" s="64">
        <f>IF('Smart Search'!B13=1,IFERROR(1/'Smart Search'!H13,0),0)</f>
        <v/>
      </c>
      <c r="X324" s="64">
        <f>IF('Smart Search'!C13=1,IFERROR(1/'Smart Search'!H13,0),0)</f>
        <v/>
      </c>
      <c r="Y324" s="64">
        <f>IF('Smart Search'!C13=1,IFERROR(1/'Smart Search'!H13,0),0)</f>
        <v/>
      </c>
      <c r="Z324" s="64">
        <f>IF('Smart Search'!D13=1,IFERROR(1/'Smart Search'!H13,0),0)</f>
        <v/>
      </c>
      <c r="AA324" s="64">
        <f>IF('Smart Search'!D13=1,IFERROR(1/'Smart Search'!H13,0),0)</f>
        <v/>
      </c>
      <c r="AB324" s="64">
        <f>IF('Smart Search'!E13=1,IFERROR(1/'Smart Search'!H13,0),0)</f>
        <v/>
      </c>
      <c r="AC324" s="64">
        <f>IF('Smart Search'!E13=1,IFERROR(1/'Smart Search'!H13,0),0)</f>
        <v/>
      </c>
      <c r="AD324" s="64">
        <f>IF('Smart Search'!F13=1,IFERROR(1/'Smart Search'!H13,0),0)</f>
        <v/>
      </c>
      <c r="AE324" s="64">
        <f>IF('Smart Search'!F13=1,IFERROR(1/'Smart Search'!H13,0),0)</f>
        <v/>
      </c>
      <c r="AF324" s="64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4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4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4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4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4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4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4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4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4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4">
        <f>AF324*V324</f>
        <v/>
      </c>
      <c r="AQ324" s="64">
        <f>AG324*W324</f>
        <v/>
      </c>
      <c r="AR324" s="64">
        <f>AH324*X324</f>
        <v/>
      </c>
      <c r="AS324" s="64">
        <f>AI324*Y324</f>
        <v/>
      </c>
      <c r="AT324" s="64">
        <f>AJ324*Z324</f>
        <v/>
      </c>
      <c r="AU324" s="64">
        <f>AK324*AA324</f>
        <v/>
      </c>
      <c r="AV324" s="64">
        <f>AL324*AB324</f>
        <v/>
      </c>
      <c r="AW324" s="64">
        <f>AM324*AC324</f>
        <v/>
      </c>
      <c r="AX324" s="64">
        <f>AN324*AD324</f>
        <v/>
      </c>
      <c r="AY324" s="64">
        <f>AO324*AE324</f>
        <v/>
      </c>
      <c r="AZ324" s="64">
        <f>INDEX(Projects[Automation Equipment],323)&amp;""</f>
        <v/>
      </c>
      <c r="BA324" s="64">
        <f>IF(OR(A324="",'Smart Search'!H13=0),"",MAX(0,BE324*BF324*MAX(0,1-BG324)))</f>
        <v/>
      </c>
      <c r="BB324" s="64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4">
        <f>IF('Smart Search'!G13=1,IFERROR(1/'Smart Search'!H13,0),0)</f>
        <v/>
      </c>
      <c r="BD324" s="64">
        <f>BB324*BC324</f>
        <v/>
      </c>
      <c r="BE324" s="64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IF(A324="","",N(INDEX(Projects[Act Mech Inst],323)))</f>
        <v/>
      </c>
      <c r="BK324" s="5">
        <f>IF(A324="","",N(INDEX(Projects[Act Elec Inst],323)))</f>
        <v/>
      </c>
      <c r="BL324" s="5">
        <f>IF(A324="","",N(INDEX(Projects[Act Project Management],323)))</f>
        <v/>
      </c>
      <c r="BM324" s="5">
        <f>IF(A324="","",N(INDEX(Projects[Act Systems Eng],323)))</f>
        <v/>
      </c>
      <c r="BN324" s="5">
        <f>IF(A324="","",N(INDEX(Projects[Act Mechanical Eng],323)))</f>
        <v/>
      </c>
      <c r="BO324" s="5">
        <f>IF(A324="","",N(INDEX(Projects[Act Structural Engineering],323)))</f>
        <v/>
      </c>
      <c r="BP324" s="5">
        <f>IF(A324="","",N(INDEX(Projects[Act Site Sup],323)))</f>
        <v/>
      </c>
      <c r="BQ324" s="5">
        <f>IF(A324="","",N(INDEX(Projects[Act Controls Commissioning],323)))</f>
        <v/>
      </c>
      <c r="BR324" s="5">
        <f>IF(A324="","",N(INDEX(Projects[Act Systems Commissioning],323)))</f>
        <v/>
      </c>
      <c r="BS324" s="5">
        <f>IF(A324="","",N(INDEX(Projects[Act Service Commissioning],323)))</f>
        <v/>
      </c>
      <c r="BT324" s="5">
        <f>IF(A324="","",N(INDEX(Projects[Act Controls Eng],323)))</f>
        <v/>
      </c>
      <c r="BU324" s="5">
        <f>IF(A324="","",N(INDEX(Projects[Act Controls Purchase],323)))</f>
        <v/>
      </c>
      <c r="BV324" s="5">
        <f>IF(A324="","",N(INDEX(Projects[Act Software Eng],323)))</f>
        <v/>
      </c>
      <c r="BW324" s="5">
        <f>IF(A324="","",N(INDEX(Projects[Act 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INDEX(Projects[Sold Value (USD M)],323)</f>
        <v/>
      </c>
      <c r="CE324" s="5" t="n"/>
      <c r="CF324" s="5">
        <f>IF(A324="","",N(INDEX(Projects[Est Mech Inst],323)))</f>
        <v/>
      </c>
      <c r="CG324" s="5">
        <f>IF(A324="","",N(INDEX(Projects[Est Elec Inst],323)))</f>
        <v/>
      </c>
      <c r="CH324" s="5">
        <f>IF(A324="","",N(INDEX(Projects[Est Project Management],323)))</f>
        <v/>
      </c>
      <c r="CI324" s="5">
        <f>IF(A324="","",N(INDEX(Projects[Est Systems Eng],323)))</f>
        <v/>
      </c>
      <c r="CJ324" s="5">
        <f>IF(A324="","",N(INDEX(Projects[Est Mechanical Eng],323)))</f>
        <v/>
      </c>
      <c r="CK324" s="5">
        <f>IF(A324="","",N(INDEX(Projects[Est Structural Engineering],323)))</f>
        <v/>
      </c>
      <c r="CL324" s="5">
        <f>IF(A324="","",N(INDEX(Projects[Est Site Sup],323)))</f>
        <v/>
      </c>
      <c r="CM324" s="5">
        <f>IF(A324="","",N(INDEX(Projects[Est Controls Commissioning],323)))</f>
        <v/>
      </c>
      <c r="CN324" s="5">
        <f>IF(A324="","",N(INDEX(Projects[Est Systems Commissioning],323)))</f>
        <v/>
      </c>
      <c r="CO324" s="5">
        <f>IF(A324="","",N(INDEX(Projects[Est Service Commissioning],323)))</f>
        <v/>
      </c>
      <c r="CP324" s="5">
        <f>IF(A324="","",N(INDEX(Projects[Est Controls Eng],323)))</f>
        <v/>
      </c>
      <c r="CQ324" s="5">
        <f>IF(A324="","",N(INDEX(Projects[Est Controls Purchase],323)))</f>
        <v/>
      </c>
      <c r="CR324" s="5">
        <f>IF(A324="","",N(INDEX(Projects[Est Software Eng],323)))</f>
        <v/>
      </c>
      <c r="CS324" s="5">
        <f>IF(A324="","",N(INDEX(Projects[Est Misc],323)))</f>
        <v/>
      </c>
      <c r="CT324" s="5">
        <f>IF(A324="","",SUM(CF324:CS324))</f>
        <v/>
      </c>
      <c r="CU324" s="5">
        <f>INDEX(Projects[Est Cost (M)],323)</f>
        <v/>
      </c>
      <c r="CV324" s="5">
        <f>INDEX(Projects[Act Cost (M)],323)</f>
        <v/>
      </c>
      <c r="CW324" s="5">
        <f>INDEX(Projects[Plan Mech Eng (wks)],323)</f>
        <v/>
      </c>
      <c r="CX324" s="5">
        <f>INDEX(Projects[Plan Controls Eng (wks)],323)</f>
        <v/>
      </c>
      <c r="CY324" s="5">
        <f>INDEX(Projects[Plan Systems Eng (wks)],323)</f>
        <v/>
      </c>
      <c r="CZ324" s="5">
        <f>INDEX(Projects[Plan Software Eng (wks)],323)</f>
        <v/>
      </c>
      <c r="DA324" s="5">
        <f>INDEX(Projects[Plan M&amp;E Installation (wks)],323)</f>
        <v/>
      </c>
      <c r="DB324" s="5">
        <f>INDEX(Projects[Plan Commissioning (wks)],323)</f>
        <v/>
      </c>
      <c r="DC324" s="5">
        <f>INDEX(Projects[Plan Total (wks)],323)</f>
        <v/>
      </c>
      <c r="DD324" s="5">
        <f>INDEX(Projects[Act Mech Eng (wks)],323)</f>
        <v/>
      </c>
      <c r="DE324" s="5">
        <f>INDEX(Projects[Act Controls Eng (wks)],323)</f>
        <v/>
      </c>
      <c r="DF324" s="5">
        <f>INDEX(Projects[Act Systems Eng (wks)],323)</f>
        <v/>
      </c>
      <c r="DG324" s="5">
        <f>INDEX(Projects[Act Software Eng (wks)],323)</f>
        <v/>
      </c>
      <c r="DH324" s="5">
        <f>INDEX(Projects[Act M&amp;E Installation (wks)],323)</f>
        <v/>
      </c>
      <c r="DI324" s="5">
        <f>INDEX(Projects[Act Commissioning (wks)],323)</f>
        <v/>
      </c>
      <c r="DJ324" s="5">
        <f>INDEX(Projects[Act Total (wks)],323)</f>
        <v/>
      </c>
    </row>
    <row r="325" ht="15" customHeight="1" s="82">
      <c r="A325" s="64">
        <f>INDEX(Projects[Project ID *],324)&amp;""</f>
        <v/>
      </c>
      <c r="B325" s="64">
        <f>INDEX(Projects[Project Name *],324)&amp;""</f>
        <v/>
      </c>
      <c r="C325" s="64">
        <f>INDEX(Projects[MS Shuttles],324)</f>
        <v/>
      </c>
      <c r="D325" s="64">
        <f>INDEX(Projects[MS Tote Locations],324)</f>
        <v/>
      </c>
      <c r="E325" s="64">
        <f>INDEX(Projects[AS Robots],324)</f>
        <v/>
      </c>
      <c r="F325" s="64">
        <f>INDEX(Projects[AS Tote Locations],324)</f>
        <v/>
      </c>
      <c r="G325" s="64">
        <f>INDEX(Projects[PS Shuttles],324)</f>
        <v/>
      </c>
      <c r="H325" s="64">
        <f>INDEX(Projects[PS Pallet Locations],324)</f>
        <v/>
      </c>
      <c r="I325" s="64">
        <f>INDEX(Projects[SRM Cranes],324)</f>
        <v/>
      </c>
      <c r="J325" s="64">
        <f>INDEX(Projects[SRM Pallet Locations],324)</f>
        <v/>
      </c>
      <c r="K325" s="64">
        <f>INDEX(Projects[Case Conv (m)],324)</f>
        <v/>
      </c>
      <c r="L325" s="64">
        <f>INDEX(Projects[Pallet Conv (m)],324)</f>
        <v/>
      </c>
      <c r="M325" s="64">
        <f>IF(N(DJ325)&gt;0,DD325,CW325)</f>
        <v/>
      </c>
      <c r="N325" s="64">
        <f>IF(N(DJ325)&gt;0,DE325,CX325)</f>
        <v/>
      </c>
      <c r="O325" s="64">
        <f>IF(N(DJ325)&gt;0,DF325,CY325)</f>
        <v/>
      </c>
      <c r="P325" s="64">
        <f>IF(N(DJ325)&gt;0,DG325,CZ325)</f>
        <v/>
      </c>
      <c r="Q325" s="64">
        <f>IF(N(DJ325)&gt;0,DH325,DA325)</f>
        <v/>
      </c>
      <c r="R325" s="64">
        <f>IF(N(DJ325)&gt;0,DI325,DB325)</f>
        <v/>
      </c>
      <c r="S325" s="64">
        <f>IF(N(DJ325)&gt;0,DJ325,DC325)</f>
        <v/>
      </c>
      <c r="T325" s="64">
        <f>INDEX(Projects[Currency],324)&amp;""</f>
        <v/>
      </c>
      <c r="U325" s="65">
        <f>INDEX(Projects[Sold Value (M)],324)</f>
        <v/>
      </c>
      <c r="V325" s="64">
        <f>IF('Smart Search'!B13=1,IFERROR(1/'Smart Search'!H13,0),0)</f>
        <v/>
      </c>
      <c r="W325" s="64">
        <f>IF('Smart Search'!B13=1,IFERROR(1/'Smart Search'!H13,0),0)</f>
        <v/>
      </c>
      <c r="X325" s="64">
        <f>IF('Smart Search'!C13=1,IFERROR(1/'Smart Search'!H13,0),0)</f>
        <v/>
      </c>
      <c r="Y325" s="64">
        <f>IF('Smart Search'!C13=1,IFERROR(1/'Smart Search'!H13,0),0)</f>
        <v/>
      </c>
      <c r="Z325" s="64">
        <f>IF('Smart Search'!D13=1,IFERROR(1/'Smart Search'!H13,0),0)</f>
        <v/>
      </c>
      <c r="AA325" s="64">
        <f>IF('Smart Search'!D13=1,IFERROR(1/'Smart Search'!H13,0),0)</f>
        <v/>
      </c>
      <c r="AB325" s="64">
        <f>IF('Smart Search'!E13=1,IFERROR(1/'Smart Search'!H13,0),0)</f>
        <v/>
      </c>
      <c r="AC325" s="64">
        <f>IF('Smart Search'!E13=1,IFERROR(1/'Smart Search'!H13,0),0)</f>
        <v/>
      </c>
      <c r="AD325" s="64">
        <f>IF('Smart Search'!F13=1,IFERROR(1/'Smart Search'!H13,0),0)</f>
        <v/>
      </c>
      <c r="AE325" s="64">
        <f>IF('Smart Search'!F13=1,IFERROR(1/'Smart Search'!H13,0),0)</f>
        <v/>
      </c>
      <c r="AF325" s="64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4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4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4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4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4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4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4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4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4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4">
        <f>AF325*V325</f>
        <v/>
      </c>
      <c r="AQ325" s="64">
        <f>AG325*W325</f>
        <v/>
      </c>
      <c r="AR325" s="64">
        <f>AH325*X325</f>
        <v/>
      </c>
      <c r="AS325" s="64">
        <f>AI325*Y325</f>
        <v/>
      </c>
      <c r="AT325" s="64">
        <f>AJ325*Z325</f>
        <v/>
      </c>
      <c r="AU325" s="64">
        <f>AK325*AA325</f>
        <v/>
      </c>
      <c r="AV325" s="64">
        <f>AL325*AB325</f>
        <v/>
      </c>
      <c r="AW325" s="64">
        <f>AM325*AC325</f>
        <v/>
      </c>
      <c r="AX325" s="64">
        <f>AN325*AD325</f>
        <v/>
      </c>
      <c r="AY325" s="64">
        <f>AO325*AE325</f>
        <v/>
      </c>
      <c r="AZ325" s="64">
        <f>INDEX(Projects[Automation Equipment],324)&amp;""</f>
        <v/>
      </c>
      <c r="BA325" s="64">
        <f>IF(OR(A325="",'Smart Search'!H13=0),"",MAX(0,BE325*BF325*MAX(0,1-BG325)))</f>
        <v/>
      </c>
      <c r="BB325" s="64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4">
        <f>IF('Smart Search'!G13=1,IFERROR(1/'Smart Search'!H13,0),0)</f>
        <v/>
      </c>
      <c r="BD325" s="64">
        <f>BB325*BC325</f>
        <v/>
      </c>
      <c r="BE325" s="64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IF(A325="","",N(INDEX(Projects[Act Mech Inst],324)))</f>
        <v/>
      </c>
      <c r="BK325" s="5">
        <f>IF(A325="","",N(INDEX(Projects[Act Elec Inst],324)))</f>
        <v/>
      </c>
      <c r="BL325" s="5">
        <f>IF(A325="","",N(INDEX(Projects[Act Project Management],324)))</f>
        <v/>
      </c>
      <c r="BM325" s="5">
        <f>IF(A325="","",N(INDEX(Projects[Act Systems Eng],324)))</f>
        <v/>
      </c>
      <c r="BN325" s="5">
        <f>IF(A325="","",N(INDEX(Projects[Act Mechanical Eng],324)))</f>
        <v/>
      </c>
      <c r="BO325" s="5">
        <f>IF(A325="","",N(INDEX(Projects[Act Structural Engineering],324)))</f>
        <v/>
      </c>
      <c r="BP325" s="5">
        <f>IF(A325="","",N(INDEX(Projects[Act Site Sup],324)))</f>
        <v/>
      </c>
      <c r="BQ325" s="5">
        <f>IF(A325="","",N(INDEX(Projects[Act Controls Commissioning],324)))</f>
        <v/>
      </c>
      <c r="BR325" s="5">
        <f>IF(A325="","",N(INDEX(Projects[Act Systems Commissioning],324)))</f>
        <v/>
      </c>
      <c r="BS325" s="5">
        <f>IF(A325="","",N(INDEX(Projects[Act Service Commissioning],324)))</f>
        <v/>
      </c>
      <c r="BT325" s="5">
        <f>IF(A325="","",N(INDEX(Projects[Act Controls Eng],324)))</f>
        <v/>
      </c>
      <c r="BU325" s="5">
        <f>IF(A325="","",N(INDEX(Projects[Act Controls Purchase],324)))</f>
        <v/>
      </c>
      <c r="BV325" s="5">
        <f>IF(A325="","",N(INDEX(Projects[Act Software Eng],324)))</f>
        <v/>
      </c>
      <c r="BW325" s="5">
        <f>IF(A325="","",N(INDEX(Projects[Act 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INDEX(Projects[Sold Value (USD M)],324)</f>
        <v/>
      </c>
      <c r="CE325" s="5" t="n"/>
      <c r="CF325" s="5">
        <f>IF(A325="","",N(INDEX(Projects[Est Mech Inst],324)))</f>
        <v/>
      </c>
      <c r="CG325" s="5">
        <f>IF(A325="","",N(INDEX(Projects[Est Elec Inst],324)))</f>
        <v/>
      </c>
      <c r="CH325" s="5">
        <f>IF(A325="","",N(INDEX(Projects[Est Project Management],324)))</f>
        <v/>
      </c>
      <c r="CI325" s="5">
        <f>IF(A325="","",N(INDEX(Projects[Est Systems Eng],324)))</f>
        <v/>
      </c>
      <c r="CJ325" s="5">
        <f>IF(A325="","",N(INDEX(Projects[Est Mechanical Eng],324)))</f>
        <v/>
      </c>
      <c r="CK325" s="5">
        <f>IF(A325="","",N(INDEX(Projects[Est Structural Engineering],324)))</f>
        <v/>
      </c>
      <c r="CL325" s="5">
        <f>IF(A325="","",N(INDEX(Projects[Est Site Sup],324)))</f>
        <v/>
      </c>
      <c r="CM325" s="5">
        <f>IF(A325="","",N(INDEX(Projects[Est Controls Commissioning],324)))</f>
        <v/>
      </c>
      <c r="CN325" s="5">
        <f>IF(A325="","",N(INDEX(Projects[Est Systems Commissioning],324)))</f>
        <v/>
      </c>
      <c r="CO325" s="5">
        <f>IF(A325="","",N(INDEX(Projects[Est Service Commissioning],324)))</f>
        <v/>
      </c>
      <c r="CP325" s="5">
        <f>IF(A325="","",N(INDEX(Projects[Est Controls Eng],324)))</f>
        <v/>
      </c>
      <c r="CQ325" s="5">
        <f>IF(A325="","",N(INDEX(Projects[Est Controls Purchase],324)))</f>
        <v/>
      </c>
      <c r="CR325" s="5">
        <f>IF(A325="","",N(INDEX(Projects[Est Software Eng],324)))</f>
        <v/>
      </c>
      <c r="CS325" s="5">
        <f>IF(A325="","",N(INDEX(Projects[Est Misc],324)))</f>
        <v/>
      </c>
      <c r="CT325" s="5">
        <f>IF(A325="","",SUM(CF325:CS325))</f>
        <v/>
      </c>
      <c r="CU325" s="5">
        <f>INDEX(Projects[Est Cost (M)],324)</f>
        <v/>
      </c>
      <c r="CV325" s="5">
        <f>INDEX(Projects[Act Cost (M)],324)</f>
        <v/>
      </c>
      <c r="CW325" s="5">
        <f>INDEX(Projects[Plan Mech Eng (wks)],324)</f>
        <v/>
      </c>
      <c r="CX325" s="5">
        <f>INDEX(Projects[Plan Controls Eng (wks)],324)</f>
        <v/>
      </c>
      <c r="CY325" s="5">
        <f>INDEX(Projects[Plan Systems Eng (wks)],324)</f>
        <v/>
      </c>
      <c r="CZ325" s="5">
        <f>INDEX(Projects[Plan Software Eng (wks)],324)</f>
        <v/>
      </c>
      <c r="DA325" s="5">
        <f>INDEX(Projects[Plan M&amp;E Installation (wks)],324)</f>
        <v/>
      </c>
      <c r="DB325" s="5">
        <f>INDEX(Projects[Plan Commissioning (wks)],324)</f>
        <v/>
      </c>
      <c r="DC325" s="5">
        <f>INDEX(Projects[Plan Total (wks)],324)</f>
        <v/>
      </c>
      <c r="DD325" s="5">
        <f>INDEX(Projects[Act Mech Eng (wks)],324)</f>
        <v/>
      </c>
      <c r="DE325" s="5">
        <f>INDEX(Projects[Act Controls Eng (wks)],324)</f>
        <v/>
      </c>
      <c r="DF325" s="5">
        <f>INDEX(Projects[Act Systems Eng (wks)],324)</f>
        <v/>
      </c>
      <c r="DG325" s="5">
        <f>INDEX(Projects[Act Software Eng (wks)],324)</f>
        <v/>
      </c>
      <c r="DH325" s="5">
        <f>INDEX(Projects[Act M&amp;E Installation (wks)],324)</f>
        <v/>
      </c>
      <c r="DI325" s="5">
        <f>INDEX(Projects[Act Commissioning (wks)],324)</f>
        <v/>
      </c>
      <c r="DJ325" s="5">
        <f>INDEX(Projects[Act Total (wks)],324)</f>
        <v/>
      </c>
    </row>
    <row r="326" ht="15" customHeight="1" s="82">
      <c r="A326" s="64">
        <f>INDEX(Projects[Project ID *],325)&amp;""</f>
        <v/>
      </c>
      <c r="B326" s="64">
        <f>INDEX(Projects[Project Name *],325)&amp;""</f>
        <v/>
      </c>
      <c r="C326" s="64">
        <f>INDEX(Projects[MS Shuttles],325)</f>
        <v/>
      </c>
      <c r="D326" s="64">
        <f>INDEX(Projects[MS Tote Locations],325)</f>
        <v/>
      </c>
      <c r="E326" s="64">
        <f>INDEX(Projects[AS Robots],325)</f>
        <v/>
      </c>
      <c r="F326" s="64">
        <f>INDEX(Projects[AS Tote Locations],325)</f>
        <v/>
      </c>
      <c r="G326" s="64">
        <f>INDEX(Projects[PS Shuttles],325)</f>
        <v/>
      </c>
      <c r="H326" s="64">
        <f>INDEX(Projects[PS Pallet Locations],325)</f>
        <v/>
      </c>
      <c r="I326" s="64">
        <f>INDEX(Projects[SRM Cranes],325)</f>
        <v/>
      </c>
      <c r="J326" s="64">
        <f>INDEX(Projects[SRM Pallet Locations],325)</f>
        <v/>
      </c>
      <c r="K326" s="64">
        <f>INDEX(Projects[Case Conv (m)],325)</f>
        <v/>
      </c>
      <c r="L326" s="64">
        <f>INDEX(Projects[Pallet Conv (m)],325)</f>
        <v/>
      </c>
      <c r="M326" s="64">
        <f>IF(N(DJ326)&gt;0,DD326,CW326)</f>
        <v/>
      </c>
      <c r="N326" s="64">
        <f>IF(N(DJ326)&gt;0,DE326,CX326)</f>
        <v/>
      </c>
      <c r="O326" s="64">
        <f>IF(N(DJ326)&gt;0,DF326,CY326)</f>
        <v/>
      </c>
      <c r="P326" s="64">
        <f>IF(N(DJ326)&gt;0,DG326,CZ326)</f>
        <v/>
      </c>
      <c r="Q326" s="64">
        <f>IF(N(DJ326)&gt;0,DH326,DA326)</f>
        <v/>
      </c>
      <c r="R326" s="64">
        <f>IF(N(DJ326)&gt;0,DI326,DB326)</f>
        <v/>
      </c>
      <c r="S326" s="64">
        <f>IF(N(DJ326)&gt;0,DJ326,DC326)</f>
        <v/>
      </c>
      <c r="T326" s="64">
        <f>INDEX(Projects[Currency],325)&amp;""</f>
        <v/>
      </c>
      <c r="U326" s="65">
        <f>INDEX(Projects[Sold Value (M)],325)</f>
        <v/>
      </c>
      <c r="V326" s="64">
        <f>IF('Smart Search'!B13=1,IFERROR(1/'Smart Search'!H13,0),0)</f>
        <v/>
      </c>
      <c r="W326" s="64">
        <f>IF('Smart Search'!B13=1,IFERROR(1/'Smart Search'!H13,0),0)</f>
        <v/>
      </c>
      <c r="X326" s="64">
        <f>IF('Smart Search'!C13=1,IFERROR(1/'Smart Search'!H13,0),0)</f>
        <v/>
      </c>
      <c r="Y326" s="64">
        <f>IF('Smart Search'!C13=1,IFERROR(1/'Smart Search'!H13,0),0)</f>
        <v/>
      </c>
      <c r="Z326" s="64">
        <f>IF('Smart Search'!D13=1,IFERROR(1/'Smart Search'!H13,0),0)</f>
        <v/>
      </c>
      <c r="AA326" s="64">
        <f>IF('Smart Search'!D13=1,IFERROR(1/'Smart Search'!H13,0),0)</f>
        <v/>
      </c>
      <c r="AB326" s="64">
        <f>IF('Smart Search'!E13=1,IFERROR(1/'Smart Search'!H13,0),0)</f>
        <v/>
      </c>
      <c r="AC326" s="64">
        <f>IF('Smart Search'!E13=1,IFERROR(1/'Smart Search'!H13,0),0)</f>
        <v/>
      </c>
      <c r="AD326" s="64">
        <f>IF('Smart Search'!F13=1,IFERROR(1/'Smart Search'!H13,0),0)</f>
        <v/>
      </c>
      <c r="AE326" s="64">
        <f>IF('Smart Search'!F13=1,IFERROR(1/'Smart Search'!H13,0),0)</f>
        <v/>
      </c>
      <c r="AF326" s="64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4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4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4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4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4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4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4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4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4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4">
        <f>AF326*V326</f>
        <v/>
      </c>
      <c r="AQ326" s="64">
        <f>AG326*W326</f>
        <v/>
      </c>
      <c r="AR326" s="64">
        <f>AH326*X326</f>
        <v/>
      </c>
      <c r="AS326" s="64">
        <f>AI326*Y326</f>
        <v/>
      </c>
      <c r="AT326" s="64">
        <f>AJ326*Z326</f>
        <v/>
      </c>
      <c r="AU326" s="64">
        <f>AK326*AA326</f>
        <v/>
      </c>
      <c r="AV326" s="64">
        <f>AL326*AB326</f>
        <v/>
      </c>
      <c r="AW326" s="64">
        <f>AM326*AC326</f>
        <v/>
      </c>
      <c r="AX326" s="64">
        <f>AN326*AD326</f>
        <v/>
      </c>
      <c r="AY326" s="64">
        <f>AO326*AE326</f>
        <v/>
      </c>
      <c r="AZ326" s="64">
        <f>INDEX(Projects[Automation Equipment],325)&amp;""</f>
        <v/>
      </c>
      <c r="BA326" s="64">
        <f>IF(OR(A326="",'Smart Search'!H13=0),"",MAX(0,BE326*BF326*MAX(0,1-BG326)))</f>
        <v/>
      </c>
      <c r="BB326" s="64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4">
        <f>IF('Smart Search'!G13=1,IFERROR(1/'Smart Search'!H13,0),0)</f>
        <v/>
      </c>
      <c r="BD326" s="64">
        <f>BB326*BC326</f>
        <v/>
      </c>
      <c r="BE326" s="64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IF(A326="","",N(INDEX(Projects[Act Mech Inst],325)))</f>
        <v/>
      </c>
      <c r="BK326" s="5">
        <f>IF(A326="","",N(INDEX(Projects[Act Elec Inst],325)))</f>
        <v/>
      </c>
      <c r="BL326" s="5">
        <f>IF(A326="","",N(INDEX(Projects[Act Project Management],325)))</f>
        <v/>
      </c>
      <c r="BM326" s="5">
        <f>IF(A326="","",N(INDEX(Projects[Act Systems Eng],325)))</f>
        <v/>
      </c>
      <c r="BN326" s="5">
        <f>IF(A326="","",N(INDEX(Projects[Act Mechanical Eng],325)))</f>
        <v/>
      </c>
      <c r="BO326" s="5">
        <f>IF(A326="","",N(INDEX(Projects[Act Structural Engineering],325)))</f>
        <v/>
      </c>
      <c r="BP326" s="5">
        <f>IF(A326="","",N(INDEX(Projects[Act Site Sup],325)))</f>
        <v/>
      </c>
      <c r="BQ326" s="5">
        <f>IF(A326="","",N(INDEX(Projects[Act Controls Commissioning],325)))</f>
        <v/>
      </c>
      <c r="BR326" s="5">
        <f>IF(A326="","",N(INDEX(Projects[Act Systems Commissioning],325)))</f>
        <v/>
      </c>
      <c r="BS326" s="5">
        <f>IF(A326="","",N(INDEX(Projects[Act Service Commissioning],325)))</f>
        <v/>
      </c>
      <c r="BT326" s="5">
        <f>IF(A326="","",N(INDEX(Projects[Act Controls Eng],325)))</f>
        <v/>
      </c>
      <c r="BU326" s="5">
        <f>IF(A326="","",N(INDEX(Projects[Act Controls Purchase],325)))</f>
        <v/>
      </c>
      <c r="BV326" s="5">
        <f>IF(A326="","",N(INDEX(Projects[Act Software Eng],325)))</f>
        <v/>
      </c>
      <c r="BW326" s="5">
        <f>IF(A326="","",N(INDEX(Projects[Act 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INDEX(Projects[Sold Value (USD M)],325)</f>
        <v/>
      </c>
      <c r="CE326" s="5" t="n"/>
      <c r="CF326" s="5">
        <f>IF(A326="","",N(INDEX(Projects[Est Mech Inst],325)))</f>
        <v/>
      </c>
      <c r="CG326" s="5">
        <f>IF(A326="","",N(INDEX(Projects[Est Elec Inst],325)))</f>
        <v/>
      </c>
      <c r="CH326" s="5">
        <f>IF(A326="","",N(INDEX(Projects[Est Project Management],325)))</f>
        <v/>
      </c>
      <c r="CI326" s="5">
        <f>IF(A326="","",N(INDEX(Projects[Est Systems Eng],325)))</f>
        <v/>
      </c>
      <c r="CJ326" s="5">
        <f>IF(A326="","",N(INDEX(Projects[Est Mechanical Eng],325)))</f>
        <v/>
      </c>
      <c r="CK326" s="5">
        <f>IF(A326="","",N(INDEX(Projects[Est Structural Engineering],325)))</f>
        <v/>
      </c>
      <c r="CL326" s="5">
        <f>IF(A326="","",N(INDEX(Projects[Est Site Sup],325)))</f>
        <v/>
      </c>
      <c r="CM326" s="5">
        <f>IF(A326="","",N(INDEX(Projects[Est Controls Commissioning],325)))</f>
        <v/>
      </c>
      <c r="CN326" s="5">
        <f>IF(A326="","",N(INDEX(Projects[Est Systems Commissioning],325)))</f>
        <v/>
      </c>
      <c r="CO326" s="5">
        <f>IF(A326="","",N(INDEX(Projects[Est Service Commissioning],325)))</f>
        <v/>
      </c>
      <c r="CP326" s="5">
        <f>IF(A326="","",N(INDEX(Projects[Est Controls Eng],325)))</f>
        <v/>
      </c>
      <c r="CQ326" s="5">
        <f>IF(A326="","",N(INDEX(Projects[Est Controls Purchase],325)))</f>
        <v/>
      </c>
      <c r="CR326" s="5">
        <f>IF(A326="","",N(INDEX(Projects[Est Software Eng],325)))</f>
        <v/>
      </c>
      <c r="CS326" s="5">
        <f>IF(A326="","",N(INDEX(Projects[Est Misc],325)))</f>
        <v/>
      </c>
      <c r="CT326" s="5">
        <f>IF(A326="","",SUM(CF326:CS326))</f>
        <v/>
      </c>
      <c r="CU326" s="5">
        <f>INDEX(Projects[Est Cost (M)],325)</f>
        <v/>
      </c>
      <c r="CV326" s="5">
        <f>INDEX(Projects[Act Cost (M)],325)</f>
        <v/>
      </c>
      <c r="CW326" s="5">
        <f>INDEX(Projects[Plan Mech Eng (wks)],325)</f>
        <v/>
      </c>
      <c r="CX326" s="5">
        <f>INDEX(Projects[Plan Controls Eng (wks)],325)</f>
        <v/>
      </c>
      <c r="CY326" s="5">
        <f>INDEX(Projects[Plan Systems Eng (wks)],325)</f>
        <v/>
      </c>
      <c r="CZ326" s="5">
        <f>INDEX(Projects[Plan Software Eng (wks)],325)</f>
        <v/>
      </c>
      <c r="DA326" s="5">
        <f>INDEX(Projects[Plan M&amp;E Installation (wks)],325)</f>
        <v/>
      </c>
      <c r="DB326" s="5">
        <f>INDEX(Projects[Plan Commissioning (wks)],325)</f>
        <v/>
      </c>
      <c r="DC326" s="5">
        <f>INDEX(Projects[Plan Total (wks)],325)</f>
        <v/>
      </c>
      <c r="DD326" s="5">
        <f>INDEX(Projects[Act Mech Eng (wks)],325)</f>
        <v/>
      </c>
      <c r="DE326" s="5">
        <f>INDEX(Projects[Act Controls Eng (wks)],325)</f>
        <v/>
      </c>
      <c r="DF326" s="5">
        <f>INDEX(Projects[Act Systems Eng (wks)],325)</f>
        <v/>
      </c>
      <c r="DG326" s="5">
        <f>INDEX(Projects[Act Software Eng (wks)],325)</f>
        <v/>
      </c>
      <c r="DH326" s="5">
        <f>INDEX(Projects[Act M&amp;E Installation (wks)],325)</f>
        <v/>
      </c>
      <c r="DI326" s="5">
        <f>INDEX(Projects[Act Commissioning (wks)],325)</f>
        <v/>
      </c>
      <c r="DJ326" s="5">
        <f>INDEX(Projects[Act Total (wks)],325)</f>
        <v/>
      </c>
    </row>
    <row r="327" ht="15" customHeight="1" s="82">
      <c r="A327" s="64">
        <f>INDEX(Projects[Project ID *],326)&amp;""</f>
        <v/>
      </c>
      <c r="B327" s="64">
        <f>INDEX(Projects[Project Name *],326)&amp;""</f>
        <v/>
      </c>
      <c r="C327" s="64">
        <f>INDEX(Projects[MS Shuttles],326)</f>
        <v/>
      </c>
      <c r="D327" s="64">
        <f>INDEX(Projects[MS Tote Locations],326)</f>
        <v/>
      </c>
      <c r="E327" s="64">
        <f>INDEX(Projects[AS Robots],326)</f>
        <v/>
      </c>
      <c r="F327" s="64">
        <f>INDEX(Projects[AS Tote Locations],326)</f>
        <v/>
      </c>
      <c r="G327" s="64">
        <f>INDEX(Projects[PS Shuttles],326)</f>
        <v/>
      </c>
      <c r="H327" s="64">
        <f>INDEX(Projects[PS Pallet Locations],326)</f>
        <v/>
      </c>
      <c r="I327" s="64">
        <f>INDEX(Projects[SRM Cranes],326)</f>
        <v/>
      </c>
      <c r="J327" s="64">
        <f>INDEX(Projects[SRM Pallet Locations],326)</f>
        <v/>
      </c>
      <c r="K327" s="64">
        <f>INDEX(Projects[Case Conv (m)],326)</f>
        <v/>
      </c>
      <c r="L327" s="64">
        <f>INDEX(Projects[Pallet Conv (m)],326)</f>
        <v/>
      </c>
      <c r="M327" s="64">
        <f>IF(N(DJ327)&gt;0,DD327,CW327)</f>
        <v/>
      </c>
      <c r="N327" s="64">
        <f>IF(N(DJ327)&gt;0,DE327,CX327)</f>
        <v/>
      </c>
      <c r="O327" s="64">
        <f>IF(N(DJ327)&gt;0,DF327,CY327)</f>
        <v/>
      </c>
      <c r="P327" s="64">
        <f>IF(N(DJ327)&gt;0,DG327,CZ327)</f>
        <v/>
      </c>
      <c r="Q327" s="64">
        <f>IF(N(DJ327)&gt;0,DH327,DA327)</f>
        <v/>
      </c>
      <c r="R327" s="64">
        <f>IF(N(DJ327)&gt;0,DI327,DB327)</f>
        <v/>
      </c>
      <c r="S327" s="64">
        <f>IF(N(DJ327)&gt;0,DJ327,DC327)</f>
        <v/>
      </c>
      <c r="T327" s="64">
        <f>INDEX(Projects[Currency],326)&amp;""</f>
        <v/>
      </c>
      <c r="U327" s="65">
        <f>INDEX(Projects[Sold Value (M)],326)</f>
        <v/>
      </c>
      <c r="V327" s="64">
        <f>IF('Smart Search'!B13=1,IFERROR(1/'Smart Search'!H13,0),0)</f>
        <v/>
      </c>
      <c r="W327" s="64">
        <f>IF('Smart Search'!B13=1,IFERROR(1/'Smart Search'!H13,0),0)</f>
        <v/>
      </c>
      <c r="X327" s="64">
        <f>IF('Smart Search'!C13=1,IFERROR(1/'Smart Search'!H13,0),0)</f>
        <v/>
      </c>
      <c r="Y327" s="64">
        <f>IF('Smart Search'!C13=1,IFERROR(1/'Smart Search'!H13,0),0)</f>
        <v/>
      </c>
      <c r="Z327" s="64">
        <f>IF('Smart Search'!D13=1,IFERROR(1/'Smart Search'!H13,0),0)</f>
        <v/>
      </c>
      <c r="AA327" s="64">
        <f>IF('Smart Search'!D13=1,IFERROR(1/'Smart Search'!H13,0),0)</f>
        <v/>
      </c>
      <c r="AB327" s="64">
        <f>IF('Smart Search'!E13=1,IFERROR(1/'Smart Search'!H13,0),0)</f>
        <v/>
      </c>
      <c r="AC327" s="64">
        <f>IF('Smart Search'!E13=1,IFERROR(1/'Smart Search'!H13,0),0)</f>
        <v/>
      </c>
      <c r="AD327" s="64">
        <f>IF('Smart Search'!F13=1,IFERROR(1/'Smart Search'!H13,0),0)</f>
        <v/>
      </c>
      <c r="AE327" s="64">
        <f>IF('Smart Search'!F13=1,IFERROR(1/'Smart Search'!H13,0),0)</f>
        <v/>
      </c>
      <c r="AF327" s="64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4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4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4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4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4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4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4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4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4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4">
        <f>AF327*V327</f>
        <v/>
      </c>
      <c r="AQ327" s="64">
        <f>AG327*W327</f>
        <v/>
      </c>
      <c r="AR327" s="64">
        <f>AH327*X327</f>
        <v/>
      </c>
      <c r="AS327" s="64">
        <f>AI327*Y327</f>
        <v/>
      </c>
      <c r="AT327" s="64">
        <f>AJ327*Z327</f>
        <v/>
      </c>
      <c r="AU327" s="64">
        <f>AK327*AA327</f>
        <v/>
      </c>
      <c r="AV327" s="64">
        <f>AL327*AB327</f>
        <v/>
      </c>
      <c r="AW327" s="64">
        <f>AM327*AC327</f>
        <v/>
      </c>
      <c r="AX327" s="64">
        <f>AN327*AD327</f>
        <v/>
      </c>
      <c r="AY327" s="64">
        <f>AO327*AE327</f>
        <v/>
      </c>
      <c r="AZ327" s="64">
        <f>INDEX(Projects[Automation Equipment],326)&amp;""</f>
        <v/>
      </c>
      <c r="BA327" s="64">
        <f>IF(OR(A327="",'Smart Search'!H13=0),"",MAX(0,BE327*BF327*MAX(0,1-BG327)))</f>
        <v/>
      </c>
      <c r="BB327" s="64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4">
        <f>IF('Smart Search'!G13=1,IFERROR(1/'Smart Search'!H13,0),0)</f>
        <v/>
      </c>
      <c r="BD327" s="64">
        <f>BB327*BC327</f>
        <v/>
      </c>
      <c r="BE327" s="64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IF(A327="","",N(INDEX(Projects[Act Mech Inst],326)))</f>
        <v/>
      </c>
      <c r="BK327" s="5">
        <f>IF(A327="","",N(INDEX(Projects[Act Elec Inst],326)))</f>
        <v/>
      </c>
      <c r="BL327" s="5">
        <f>IF(A327="","",N(INDEX(Projects[Act Project Management],326)))</f>
        <v/>
      </c>
      <c r="BM327" s="5">
        <f>IF(A327="","",N(INDEX(Projects[Act Systems Eng],326)))</f>
        <v/>
      </c>
      <c r="BN327" s="5">
        <f>IF(A327="","",N(INDEX(Projects[Act Mechanical Eng],326)))</f>
        <v/>
      </c>
      <c r="BO327" s="5">
        <f>IF(A327="","",N(INDEX(Projects[Act Structural Engineering],326)))</f>
        <v/>
      </c>
      <c r="BP327" s="5">
        <f>IF(A327="","",N(INDEX(Projects[Act Site Sup],326)))</f>
        <v/>
      </c>
      <c r="BQ327" s="5">
        <f>IF(A327="","",N(INDEX(Projects[Act Controls Commissioning],326)))</f>
        <v/>
      </c>
      <c r="BR327" s="5">
        <f>IF(A327="","",N(INDEX(Projects[Act Systems Commissioning],326)))</f>
        <v/>
      </c>
      <c r="BS327" s="5">
        <f>IF(A327="","",N(INDEX(Projects[Act Service Commissioning],326)))</f>
        <v/>
      </c>
      <c r="BT327" s="5">
        <f>IF(A327="","",N(INDEX(Projects[Act Controls Eng],326)))</f>
        <v/>
      </c>
      <c r="BU327" s="5">
        <f>IF(A327="","",N(INDEX(Projects[Act Controls Purchase],326)))</f>
        <v/>
      </c>
      <c r="BV327" s="5">
        <f>IF(A327="","",N(INDEX(Projects[Act Software Eng],326)))</f>
        <v/>
      </c>
      <c r="BW327" s="5">
        <f>IF(A327="","",N(INDEX(Projects[Act 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INDEX(Projects[Sold Value (USD M)],326)</f>
        <v/>
      </c>
      <c r="CE327" s="5" t="n"/>
      <c r="CF327" s="5">
        <f>IF(A327="","",N(INDEX(Projects[Est Mech Inst],326)))</f>
        <v/>
      </c>
      <c r="CG327" s="5">
        <f>IF(A327="","",N(INDEX(Projects[Est Elec Inst],326)))</f>
        <v/>
      </c>
      <c r="CH327" s="5">
        <f>IF(A327="","",N(INDEX(Projects[Est Project Management],326)))</f>
        <v/>
      </c>
      <c r="CI327" s="5">
        <f>IF(A327="","",N(INDEX(Projects[Est Systems Eng],326)))</f>
        <v/>
      </c>
      <c r="CJ327" s="5">
        <f>IF(A327="","",N(INDEX(Projects[Est Mechanical Eng],326)))</f>
        <v/>
      </c>
      <c r="CK327" s="5">
        <f>IF(A327="","",N(INDEX(Projects[Est Structural Engineering],326)))</f>
        <v/>
      </c>
      <c r="CL327" s="5">
        <f>IF(A327="","",N(INDEX(Projects[Est Site Sup],326)))</f>
        <v/>
      </c>
      <c r="CM327" s="5">
        <f>IF(A327="","",N(INDEX(Projects[Est Controls Commissioning],326)))</f>
        <v/>
      </c>
      <c r="CN327" s="5">
        <f>IF(A327="","",N(INDEX(Projects[Est Systems Commissioning],326)))</f>
        <v/>
      </c>
      <c r="CO327" s="5">
        <f>IF(A327="","",N(INDEX(Projects[Est Service Commissioning],326)))</f>
        <v/>
      </c>
      <c r="CP327" s="5">
        <f>IF(A327="","",N(INDEX(Projects[Est Controls Eng],326)))</f>
        <v/>
      </c>
      <c r="CQ327" s="5">
        <f>IF(A327="","",N(INDEX(Projects[Est Controls Purchase],326)))</f>
        <v/>
      </c>
      <c r="CR327" s="5">
        <f>IF(A327="","",N(INDEX(Projects[Est Software Eng],326)))</f>
        <v/>
      </c>
      <c r="CS327" s="5">
        <f>IF(A327="","",N(INDEX(Projects[Est Misc],326)))</f>
        <v/>
      </c>
      <c r="CT327" s="5">
        <f>IF(A327="","",SUM(CF327:CS327))</f>
        <v/>
      </c>
      <c r="CU327" s="5">
        <f>INDEX(Projects[Est Cost (M)],326)</f>
        <v/>
      </c>
      <c r="CV327" s="5">
        <f>INDEX(Projects[Act Cost (M)],326)</f>
        <v/>
      </c>
      <c r="CW327" s="5">
        <f>INDEX(Projects[Plan Mech Eng (wks)],326)</f>
        <v/>
      </c>
      <c r="CX327" s="5">
        <f>INDEX(Projects[Plan Controls Eng (wks)],326)</f>
        <v/>
      </c>
      <c r="CY327" s="5">
        <f>INDEX(Projects[Plan Systems Eng (wks)],326)</f>
        <v/>
      </c>
      <c r="CZ327" s="5">
        <f>INDEX(Projects[Plan Software Eng (wks)],326)</f>
        <v/>
      </c>
      <c r="DA327" s="5">
        <f>INDEX(Projects[Plan M&amp;E Installation (wks)],326)</f>
        <v/>
      </c>
      <c r="DB327" s="5">
        <f>INDEX(Projects[Plan Commissioning (wks)],326)</f>
        <v/>
      </c>
      <c r="DC327" s="5">
        <f>INDEX(Projects[Plan Total (wks)],326)</f>
        <v/>
      </c>
      <c r="DD327" s="5">
        <f>INDEX(Projects[Act Mech Eng (wks)],326)</f>
        <v/>
      </c>
      <c r="DE327" s="5">
        <f>INDEX(Projects[Act Controls Eng (wks)],326)</f>
        <v/>
      </c>
      <c r="DF327" s="5">
        <f>INDEX(Projects[Act Systems Eng (wks)],326)</f>
        <v/>
      </c>
      <c r="DG327" s="5">
        <f>INDEX(Projects[Act Software Eng (wks)],326)</f>
        <v/>
      </c>
      <c r="DH327" s="5">
        <f>INDEX(Projects[Act M&amp;E Installation (wks)],326)</f>
        <v/>
      </c>
      <c r="DI327" s="5">
        <f>INDEX(Projects[Act Commissioning (wks)],326)</f>
        <v/>
      </c>
      <c r="DJ327" s="5">
        <f>INDEX(Projects[Act Total (wks)],326)</f>
        <v/>
      </c>
    </row>
    <row r="328" ht="15" customHeight="1" s="82">
      <c r="A328" s="64">
        <f>INDEX(Projects[Project ID *],327)&amp;""</f>
        <v/>
      </c>
      <c r="B328" s="64">
        <f>INDEX(Projects[Project Name *],327)&amp;""</f>
        <v/>
      </c>
      <c r="C328" s="64">
        <f>INDEX(Projects[MS Shuttles],327)</f>
        <v/>
      </c>
      <c r="D328" s="64">
        <f>INDEX(Projects[MS Tote Locations],327)</f>
        <v/>
      </c>
      <c r="E328" s="64">
        <f>INDEX(Projects[AS Robots],327)</f>
        <v/>
      </c>
      <c r="F328" s="64">
        <f>INDEX(Projects[AS Tote Locations],327)</f>
        <v/>
      </c>
      <c r="G328" s="64">
        <f>INDEX(Projects[PS Shuttles],327)</f>
        <v/>
      </c>
      <c r="H328" s="64">
        <f>INDEX(Projects[PS Pallet Locations],327)</f>
        <v/>
      </c>
      <c r="I328" s="64">
        <f>INDEX(Projects[SRM Cranes],327)</f>
        <v/>
      </c>
      <c r="J328" s="64">
        <f>INDEX(Projects[SRM Pallet Locations],327)</f>
        <v/>
      </c>
      <c r="K328" s="64">
        <f>INDEX(Projects[Case Conv (m)],327)</f>
        <v/>
      </c>
      <c r="L328" s="64">
        <f>INDEX(Projects[Pallet Conv (m)],327)</f>
        <v/>
      </c>
      <c r="M328" s="64">
        <f>IF(N(DJ328)&gt;0,DD328,CW328)</f>
        <v/>
      </c>
      <c r="N328" s="64">
        <f>IF(N(DJ328)&gt;0,DE328,CX328)</f>
        <v/>
      </c>
      <c r="O328" s="64">
        <f>IF(N(DJ328)&gt;0,DF328,CY328)</f>
        <v/>
      </c>
      <c r="P328" s="64">
        <f>IF(N(DJ328)&gt;0,DG328,CZ328)</f>
        <v/>
      </c>
      <c r="Q328" s="64">
        <f>IF(N(DJ328)&gt;0,DH328,DA328)</f>
        <v/>
      </c>
      <c r="R328" s="64">
        <f>IF(N(DJ328)&gt;0,DI328,DB328)</f>
        <v/>
      </c>
      <c r="S328" s="64">
        <f>IF(N(DJ328)&gt;0,DJ328,DC328)</f>
        <v/>
      </c>
      <c r="T328" s="64">
        <f>INDEX(Projects[Currency],327)&amp;""</f>
        <v/>
      </c>
      <c r="U328" s="65">
        <f>INDEX(Projects[Sold Value (M)],327)</f>
        <v/>
      </c>
      <c r="V328" s="64">
        <f>IF('Smart Search'!B13=1,IFERROR(1/'Smart Search'!H13,0),0)</f>
        <v/>
      </c>
      <c r="W328" s="64">
        <f>IF('Smart Search'!B13=1,IFERROR(1/'Smart Search'!H13,0),0)</f>
        <v/>
      </c>
      <c r="X328" s="64">
        <f>IF('Smart Search'!C13=1,IFERROR(1/'Smart Search'!H13,0),0)</f>
        <v/>
      </c>
      <c r="Y328" s="64">
        <f>IF('Smart Search'!C13=1,IFERROR(1/'Smart Search'!H13,0),0)</f>
        <v/>
      </c>
      <c r="Z328" s="64">
        <f>IF('Smart Search'!D13=1,IFERROR(1/'Smart Search'!H13,0),0)</f>
        <v/>
      </c>
      <c r="AA328" s="64">
        <f>IF('Smart Search'!D13=1,IFERROR(1/'Smart Search'!H13,0),0)</f>
        <v/>
      </c>
      <c r="AB328" s="64">
        <f>IF('Smart Search'!E13=1,IFERROR(1/'Smart Search'!H13,0),0)</f>
        <v/>
      </c>
      <c r="AC328" s="64">
        <f>IF('Smart Search'!E13=1,IFERROR(1/'Smart Search'!H13,0),0)</f>
        <v/>
      </c>
      <c r="AD328" s="64">
        <f>IF('Smart Search'!F13=1,IFERROR(1/'Smart Search'!H13,0),0)</f>
        <v/>
      </c>
      <c r="AE328" s="64">
        <f>IF('Smart Search'!F13=1,IFERROR(1/'Smart Search'!H13,0),0)</f>
        <v/>
      </c>
      <c r="AF328" s="64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4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4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4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4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4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4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4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4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4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4">
        <f>AF328*V328</f>
        <v/>
      </c>
      <c r="AQ328" s="64">
        <f>AG328*W328</f>
        <v/>
      </c>
      <c r="AR328" s="64">
        <f>AH328*X328</f>
        <v/>
      </c>
      <c r="AS328" s="64">
        <f>AI328*Y328</f>
        <v/>
      </c>
      <c r="AT328" s="64">
        <f>AJ328*Z328</f>
        <v/>
      </c>
      <c r="AU328" s="64">
        <f>AK328*AA328</f>
        <v/>
      </c>
      <c r="AV328" s="64">
        <f>AL328*AB328</f>
        <v/>
      </c>
      <c r="AW328" s="64">
        <f>AM328*AC328</f>
        <v/>
      </c>
      <c r="AX328" s="64">
        <f>AN328*AD328</f>
        <v/>
      </c>
      <c r="AY328" s="64">
        <f>AO328*AE328</f>
        <v/>
      </c>
      <c r="AZ328" s="64">
        <f>INDEX(Projects[Automation Equipment],327)&amp;""</f>
        <v/>
      </c>
      <c r="BA328" s="64">
        <f>IF(OR(A328="",'Smart Search'!H13=0),"",MAX(0,BE328*BF328*MAX(0,1-BG328)))</f>
        <v/>
      </c>
      <c r="BB328" s="64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4">
        <f>IF('Smart Search'!G13=1,IFERROR(1/'Smart Search'!H13,0),0)</f>
        <v/>
      </c>
      <c r="BD328" s="64">
        <f>BB328*BC328</f>
        <v/>
      </c>
      <c r="BE328" s="64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IF(A328="","",N(INDEX(Projects[Act Mech Inst],327)))</f>
        <v/>
      </c>
      <c r="BK328" s="5">
        <f>IF(A328="","",N(INDEX(Projects[Act Elec Inst],327)))</f>
        <v/>
      </c>
      <c r="BL328" s="5">
        <f>IF(A328="","",N(INDEX(Projects[Act Project Management],327)))</f>
        <v/>
      </c>
      <c r="BM328" s="5">
        <f>IF(A328="","",N(INDEX(Projects[Act Systems Eng],327)))</f>
        <v/>
      </c>
      <c r="BN328" s="5">
        <f>IF(A328="","",N(INDEX(Projects[Act Mechanical Eng],327)))</f>
        <v/>
      </c>
      <c r="BO328" s="5">
        <f>IF(A328="","",N(INDEX(Projects[Act Structural Engineering],327)))</f>
        <v/>
      </c>
      <c r="BP328" s="5">
        <f>IF(A328="","",N(INDEX(Projects[Act Site Sup],327)))</f>
        <v/>
      </c>
      <c r="BQ328" s="5">
        <f>IF(A328="","",N(INDEX(Projects[Act Controls Commissioning],327)))</f>
        <v/>
      </c>
      <c r="BR328" s="5">
        <f>IF(A328="","",N(INDEX(Projects[Act Systems Commissioning],327)))</f>
        <v/>
      </c>
      <c r="BS328" s="5">
        <f>IF(A328="","",N(INDEX(Projects[Act Service Commissioning],327)))</f>
        <v/>
      </c>
      <c r="BT328" s="5">
        <f>IF(A328="","",N(INDEX(Projects[Act Controls Eng],327)))</f>
        <v/>
      </c>
      <c r="BU328" s="5">
        <f>IF(A328="","",N(INDEX(Projects[Act Controls Purchase],327)))</f>
        <v/>
      </c>
      <c r="BV328" s="5">
        <f>IF(A328="","",N(INDEX(Projects[Act Software Eng],327)))</f>
        <v/>
      </c>
      <c r="BW328" s="5">
        <f>IF(A328="","",N(INDEX(Projects[Act 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INDEX(Projects[Sold Value (USD M)],327)</f>
        <v/>
      </c>
      <c r="CE328" s="5" t="n"/>
      <c r="CF328" s="5">
        <f>IF(A328="","",N(INDEX(Projects[Est Mech Inst],327)))</f>
        <v/>
      </c>
      <c r="CG328" s="5">
        <f>IF(A328="","",N(INDEX(Projects[Est Elec Inst],327)))</f>
        <v/>
      </c>
      <c r="CH328" s="5">
        <f>IF(A328="","",N(INDEX(Projects[Est Project Management],327)))</f>
        <v/>
      </c>
      <c r="CI328" s="5">
        <f>IF(A328="","",N(INDEX(Projects[Est Systems Eng],327)))</f>
        <v/>
      </c>
      <c r="CJ328" s="5">
        <f>IF(A328="","",N(INDEX(Projects[Est Mechanical Eng],327)))</f>
        <v/>
      </c>
      <c r="CK328" s="5">
        <f>IF(A328="","",N(INDEX(Projects[Est Structural Engineering],327)))</f>
        <v/>
      </c>
      <c r="CL328" s="5">
        <f>IF(A328="","",N(INDEX(Projects[Est Site Sup],327)))</f>
        <v/>
      </c>
      <c r="CM328" s="5">
        <f>IF(A328="","",N(INDEX(Projects[Est Controls Commissioning],327)))</f>
        <v/>
      </c>
      <c r="CN328" s="5">
        <f>IF(A328="","",N(INDEX(Projects[Est Systems Commissioning],327)))</f>
        <v/>
      </c>
      <c r="CO328" s="5">
        <f>IF(A328="","",N(INDEX(Projects[Est Service Commissioning],327)))</f>
        <v/>
      </c>
      <c r="CP328" s="5">
        <f>IF(A328="","",N(INDEX(Projects[Est Controls Eng],327)))</f>
        <v/>
      </c>
      <c r="CQ328" s="5">
        <f>IF(A328="","",N(INDEX(Projects[Est Controls Purchase],327)))</f>
        <v/>
      </c>
      <c r="CR328" s="5">
        <f>IF(A328="","",N(INDEX(Projects[Est Software Eng],327)))</f>
        <v/>
      </c>
      <c r="CS328" s="5">
        <f>IF(A328="","",N(INDEX(Projects[Est Misc],327)))</f>
        <v/>
      </c>
      <c r="CT328" s="5">
        <f>IF(A328="","",SUM(CF328:CS328))</f>
        <v/>
      </c>
      <c r="CU328" s="5">
        <f>INDEX(Projects[Est Cost (M)],327)</f>
        <v/>
      </c>
      <c r="CV328" s="5">
        <f>INDEX(Projects[Act Cost (M)],327)</f>
        <v/>
      </c>
      <c r="CW328" s="5">
        <f>INDEX(Projects[Plan Mech Eng (wks)],327)</f>
        <v/>
      </c>
      <c r="CX328" s="5">
        <f>INDEX(Projects[Plan Controls Eng (wks)],327)</f>
        <v/>
      </c>
      <c r="CY328" s="5">
        <f>INDEX(Projects[Plan Systems Eng (wks)],327)</f>
        <v/>
      </c>
      <c r="CZ328" s="5">
        <f>INDEX(Projects[Plan Software Eng (wks)],327)</f>
        <v/>
      </c>
      <c r="DA328" s="5">
        <f>INDEX(Projects[Plan M&amp;E Installation (wks)],327)</f>
        <v/>
      </c>
      <c r="DB328" s="5">
        <f>INDEX(Projects[Plan Commissioning (wks)],327)</f>
        <v/>
      </c>
      <c r="DC328" s="5">
        <f>INDEX(Projects[Plan Total (wks)],327)</f>
        <v/>
      </c>
      <c r="DD328" s="5">
        <f>INDEX(Projects[Act Mech Eng (wks)],327)</f>
        <v/>
      </c>
      <c r="DE328" s="5">
        <f>INDEX(Projects[Act Controls Eng (wks)],327)</f>
        <v/>
      </c>
      <c r="DF328" s="5">
        <f>INDEX(Projects[Act Systems Eng (wks)],327)</f>
        <v/>
      </c>
      <c r="DG328" s="5">
        <f>INDEX(Projects[Act Software Eng (wks)],327)</f>
        <v/>
      </c>
      <c r="DH328" s="5">
        <f>INDEX(Projects[Act M&amp;E Installation (wks)],327)</f>
        <v/>
      </c>
      <c r="DI328" s="5">
        <f>INDEX(Projects[Act Commissioning (wks)],327)</f>
        <v/>
      </c>
      <c r="DJ328" s="5">
        <f>INDEX(Projects[Act Total (wks)],327)</f>
        <v/>
      </c>
    </row>
    <row r="329" ht="15" customHeight="1" s="82">
      <c r="A329" s="64">
        <f>INDEX(Projects[Project ID *],328)&amp;""</f>
        <v/>
      </c>
      <c r="B329" s="64">
        <f>INDEX(Projects[Project Name *],328)&amp;""</f>
        <v/>
      </c>
      <c r="C329" s="64">
        <f>INDEX(Projects[MS Shuttles],328)</f>
        <v/>
      </c>
      <c r="D329" s="64">
        <f>INDEX(Projects[MS Tote Locations],328)</f>
        <v/>
      </c>
      <c r="E329" s="64">
        <f>INDEX(Projects[AS Robots],328)</f>
        <v/>
      </c>
      <c r="F329" s="64">
        <f>INDEX(Projects[AS Tote Locations],328)</f>
        <v/>
      </c>
      <c r="G329" s="64">
        <f>INDEX(Projects[PS Shuttles],328)</f>
        <v/>
      </c>
      <c r="H329" s="64">
        <f>INDEX(Projects[PS Pallet Locations],328)</f>
        <v/>
      </c>
      <c r="I329" s="64">
        <f>INDEX(Projects[SRM Cranes],328)</f>
        <v/>
      </c>
      <c r="J329" s="64">
        <f>INDEX(Projects[SRM Pallet Locations],328)</f>
        <v/>
      </c>
      <c r="K329" s="64">
        <f>INDEX(Projects[Case Conv (m)],328)</f>
        <v/>
      </c>
      <c r="L329" s="64">
        <f>INDEX(Projects[Pallet Conv (m)],328)</f>
        <v/>
      </c>
      <c r="M329" s="64">
        <f>IF(N(DJ329)&gt;0,DD329,CW329)</f>
        <v/>
      </c>
      <c r="N329" s="64">
        <f>IF(N(DJ329)&gt;0,DE329,CX329)</f>
        <v/>
      </c>
      <c r="O329" s="64">
        <f>IF(N(DJ329)&gt;0,DF329,CY329)</f>
        <v/>
      </c>
      <c r="P329" s="64">
        <f>IF(N(DJ329)&gt;0,DG329,CZ329)</f>
        <v/>
      </c>
      <c r="Q329" s="64">
        <f>IF(N(DJ329)&gt;0,DH329,DA329)</f>
        <v/>
      </c>
      <c r="R329" s="64">
        <f>IF(N(DJ329)&gt;0,DI329,DB329)</f>
        <v/>
      </c>
      <c r="S329" s="64">
        <f>IF(N(DJ329)&gt;0,DJ329,DC329)</f>
        <v/>
      </c>
      <c r="T329" s="64">
        <f>INDEX(Projects[Currency],328)&amp;""</f>
        <v/>
      </c>
      <c r="U329" s="65">
        <f>INDEX(Projects[Sold Value (M)],328)</f>
        <v/>
      </c>
      <c r="V329" s="64">
        <f>IF('Smart Search'!B13=1,IFERROR(1/'Smart Search'!H13,0),0)</f>
        <v/>
      </c>
      <c r="W329" s="64">
        <f>IF('Smart Search'!B13=1,IFERROR(1/'Smart Search'!H13,0),0)</f>
        <v/>
      </c>
      <c r="X329" s="64">
        <f>IF('Smart Search'!C13=1,IFERROR(1/'Smart Search'!H13,0),0)</f>
        <v/>
      </c>
      <c r="Y329" s="64">
        <f>IF('Smart Search'!C13=1,IFERROR(1/'Smart Search'!H13,0),0)</f>
        <v/>
      </c>
      <c r="Z329" s="64">
        <f>IF('Smart Search'!D13=1,IFERROR(1/'Smart Search'!H13,0),0)</f>
        <v/>
      </c>
      <c r="AA329" s="64">
        <f>IF('Smart Search'!D13=1,IFERROR(1/'Smart Search'!H13,0),0)</f>
        <v/>
      </c>
      <c r="AB329" s="64">
        <f>IF('Smart Search'!E13=1,IFERROR(1/'Smart Search'!H13,0),0)</f>
        <v/>
      </c>
      <c r="AC329" s="64">
        <f>IF('Smart Search'!E13=1,IFERROR(1/'Smart Search'!H13,0),0)</f>
        <v/>
      </c>
      <c r="AD329" s="64">
        <f>IF('Smart Search'!F13=1,IFERROR(1/'Smart Search'!H13,0),0)</f>
        <v/>
      </c>
      <c r="AE329" s="64">
        <f>IF('Smart Search'!F13=1,IFERROR(1/'Smart Search'!H13,0),0)</f>
        <v/>
      </c>
      <c r="AF329" s="64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4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4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4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4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4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4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4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4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4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4">
        <f>AF329*V329</f>
        <v/>
      </c>
      <c r="AQ329" s="64">
        <f>AG329*W329</f>
        <v/>
      </c>
      <c r="AR329" s="64">
        <f>AH329*X329</f>
        <v/>
      </c>
      <c r="AS329" s="64">
        <f>AI329*Y329</f>
        <v/>
      </c>
      <c r="AT329" s="64">
        <f>AJ329*Z329</f>
        <v/>
      </c>
      <c r="AU329" s="64">
        <f>AK329*AA329</f>
        <v/>
      </c>
      <c r="AV329" s="64">
        <f>AL329*AB329</f>
        <v/>
      </c>
      <c r="AW329" s="64">
        <f>AM329*AC329</f>
        <v/>
      </c>
      <c r="AX329" s="64">
        <f>AN329*AD329</f>
        <v/>
      </c>
      <c r="AY329" s="64">
        <f>AO329*AE329</f>
        <v/>
      </c>
      <c r="AZ329" s="64">
        <f>INDEX(Projects[Automation Equipment],328)&amp;""</f>
        <v/>
      </c>
      <c r="BA329" s="64">
        <f>IF(OR(A329="",'Smart Search'!H13=0),"",MAX(0,BE329*BF329*MAX(0,1-BG329)))</f>
        <v/>
      </c>
      <c r="BB329" s="64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4">
        <f>IF('Smart Search'!G13=1,IFERROR(1/'Smart Search'!H13,0),0)</f>
        <v/>
      </c>
      <c r="BD329" s="64">
        <f>BB329*BC329</f>
        <v/>
      </c>
      <c r="BE329" s="64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IF(A329="","",N(INDEX(Projects[Act Mech Inst],328)))</f>
        <v/>
      </c>
      <c r="BK329" s="5">
        <f>IF(A329="","",N(INDEX(Projects[Act Elec Inst],328)))</f>
        <v/>
      </c>
      <c r="BL329" s="5">
        <f>IF(A329="","",N(INDEX(Projects[Act Project Management],328)))</f>
        <v/>
      </c>
      <c r="BM329" s="5">
        <f>IF(A329="","",N(INDEX(Projects[Act Systems Eng],328)))</f>
        <v/>
      </c>
      <c r="BN329" s="5">
        <f>IF(A329="","",N(INDEX(Projects[Act Mechanical Eng],328)))</f>
        <v/>
      </c>
      <c r="BO329" s="5">
        <f>IF(A329="","",N(INDEX(Projects[Act Structural Engineering],328)))</f>
        <v/>
      </c>
      <c r="BP329" s="5">
        <f>IF(A329="","",N(INDEX(Projects[Act Site Sup],328)))</f>
        <v/>
      </c>
      <c r="BQ329" s="5">
        <f>IF(A329="","",N(INDEX(Projects[Act Controls Commissioning],328)))</f>
        <v/>
      </c>
      <c r="BR329" s="5">
        <f>IF(A329="","",N(INDEX(Projects[Act Systems Commissioning],328)))</f>
        <v/>
      </c>
      <c r="BS329" s="5">
        <f>IF(A329="","",N(INDEX(Projects[Act Service Commissioning],328)))</f>
        <v/>
      </c>
      <c r="BT329" s="5">
        <f>IF(A329="","",N(INDEX(Projects[Act Controls Eng],328)))</f>
        <v/>
      </c>
      <c r="BU329" s="5">
        <f>IF(A329="","",N(INDEX(Projects[Act Controls Purchase],328)))</f>
        <v/>
      </c>
      <c r="BV329" s="5">
        <f>IF(A329="","",N(INDEX(Projects[Act Software Eng],328)))</f>
        <v/>
      </c>
      <c r="BW329" s="5">
        <f>IF(A329="","",N(INDEX(Projects[Act 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INDEX(Projects[Sold Value (USD M)],328)</f>
        <v/>
      </c>
      <c r="CE329" s="5" t="n"/>
      <c r="CF329" s="5">
        <f>IF(A329="","",N(INDEX(Projects[Est Mech Inst],328)))</f>
        <v/>
      </c>
      <c r="CG329" s="5">
        <f>IF(A329="","",N(INDEX(Projects[Est Elec Inst],328)))</f>
        <v/>
      </c>
      <c r="CH329" s="5">
        <f>IF(A329="","",N(INDEX(Projects[Est Project Management],328)))</f>
        <v/>
      </c>
      <c r="CI329" s="5">
        <f>IF(A329="","",N(INDEX(Projects[Est Systems Eng],328)))</f>
        <v/>
      </c>
      <c r="CJ329" s="5">
        <f>IF(A329="","",N(INDEX(Projects[Est Mechanical Eng],328)))</f>
        <v/>
      </c>
      <c r="CK329" s="5">
        <f>IF(A329="","",N(INDEX(Projects[Est Structural Engineering],328)))</f>
        <v/>
      </c>
      <c r="CL329" s="5">
        <f>IF(A329="","",N(INDEX(Projects[Est Site Sup],328)))</f>
        <v/>
      </c>
      <c r="CM329" s="5">
        <f>IF(A329="","",N(INDEX(Projects[Est Controls Commissioning],328)))</f>
        <v/>
      </c>
      <c r="CN329" s="5">
        <f>IF(A329="","",N(INDEX(Projects[Est Systems Commissioning],328)))</f>
        <v/>
      </c>
      <c r="CO329" s="5">
        <f>IF(A329="","",N(INDEX(Projects[Est Service Commissioning],328)))</f>
        <v/>
      </c>
      <c r="CP329" s="5">
        <f>IF(A329="","",N(INDEX(Projects[Est Controls Eng],328)))</f>
        <v/>
      </c>
      <c r="CQ329" s="5">
        <f>IF(A329="","",N(INDEX(Projects[Est Controls Purchase],328)))</f>
        <v/>
      </c>
      <c r="CR329" s="5">
        <f>IF(A329="","",N(INDEX(Projects[Est Software Eng],328)))</f>
        <v/>
      </c>
      <c r="CS329" s="5">
        <f>IF(A329="","",N(INDEX(Projects[Est Misc],328)))</f>
        <v/>
      </c>
      <c r="CT329" s="5">
        <f>IF(A329="","",SUM(CF329:CS329))</f>
        <v/>
      </c>
      <c r="CU329" s="5">
        <f>INDEX(Projects[Est Cost (M)],328)</f>
        <v/>
      </c>
      <c r="CV329" s="5">
        <f>INDEX(Projects[Act Cost (M)],328)</f>
        <v/>
      </c>
      <c r="CW329" s="5">
        <f>INDEX(Projects[Plan Mech Eng (wks)],328)</f>
        <v/>
      </c>
      <c r="CX329" s="5">
        <f>INDEX(Projects[Plan Controls Eng (wks)],328)</f>
        <v/>
      </c>
      <c r="CY329" s="5">
        <f>INDEX(Projects[Plan Systems Eng (wks)],328)</f>
        <v/>
      </c>
      <c r="CZ329" s="5">
        <f>INDEX(Projects[Plan Software Eng (wks)],328)</f>
        <v/>
      </c>
      <c r="DA329" s="5">
        <f>INDEX(Projects[Plan M&amp;E Installation (wks)],328)</f>
        <v/>
      </c>
      <c r="DB329" s="5">
        <f>INDEX(Projects[Plan Commissioning (wks)],328)</f>
        <v/>
      </c>
      <c r="DC329" s="5">
        <f>INDEX(Projects[Plan Total (wks)],328)</f>
        <v/>
      </c>
      <c r="DD329" s="5">
        <f>INDEX(Projects[Act Mech Eng (wks)],328)</f>
        <v/>
      </c>
      <c r="DE329" s="5">
        <f>INDEX(Projects[Act Controls Eng (wks)],328)</f>
        <v/>
      </c>
      <c r="DF329" s="5">
        <f>INDEX(Projects[Act Systems Eng (wks)],328)</f>
        <v/>
      </c>
      <c r="DG329" s="5">
        <f>INDEX(Projects[Act Software Eng (wks)],328)</f>
        <v/>
      </c>
      <c r="DH329" s="5">
        <f>INDEX(Projects[Act M&amp;E Installation (wks)],328)</f>
        <v/>
      </c>
      <c r="DI329" s="5">
        <f>INDEX(Projects[Act Commissioning (wks)],328)</f>
        <v/>
      </c>
      <c r="DJ329" s="5">
        <f>INDEX(Projects[Act Total (wks)],328)</f>
        <v/>
      </c>
    </row>
    <row r="330" ht="15" customHeight="1" s="82">
      <c r="A330" s="64">
        <f>INDEX(Projects[Project ID *],329)&amp;""</f>
        <v/>
      </c>
      <c r="B330" s="64">
        <f>INDEX(Projects[Project Name *],329)&amp;""</f>
        <v/>
      </c>
      <c r="C330" s="64">
        <f>INDEX(Projects[MS Shuttles],329)</f>
        <v/>
      </c>
      <c r="D330" s="64">
        <f>INDEX(Projects[MS Tote Locations],329)</f>
        <v/>
      </c>
      <c r="E330" s="64">
        <f>INDEX(Projects[AS Robots],329)</f>
        <v/>
      </c>
      <c r="F330" s="64">
        <f>INDEX(Projects[AS Tote Locations],329)</f>
        <v/>
      </c>
      <c r="G330" s="64">
        <f>INDEX(Projects[PS Shuttles],329)</f>
        <v/>
      </c>
      <c r="H330" s="64">
        <f>INDEX(Projects[PS Pallet Locations],329)</f>
        <v/>
      </c>
      <c r="I330" s="64">
        <f>INDEX(Projects[SRM Cranes],329)</f>
        <v/>
      </c>
      <c r="J330" s="64">
        <f>INDEX(Projects[SRM Pallet Locations],329)</f>
        <v/>
      </c>
      <c r="K330" s="64">
        <f>INDEX(Projects[Case Conv (m)],329)</f>
        <v/>
      </c>
      <c r="L330" s="64">
        <f>INDEX(Projects[Pallet Conv (m)],329)</f>
        <v/>
      </c>
      <c r="M330" s="64">
        <f>IF(N(DJ330)&gt;0,DD330,CW330)</f>
        <v/>
      </c>
      <c r="N330" s="64">
        <f>IF(N(DJ330)&gt;0,DE330,CX330)</f>
        <v/>
      </c>
      <c r="O330" s="64">
        <f>IF(N(DJ330)&gt;0,DF330,CY330)</f>
        <v/>
      </c>
      <c r="P330" s="64">
        <f>IF(N(DJ330)&gt;0,DG330,CZ330)</f>
        <v/>
      </c>
      <c r="Q330" s="64">
        <f>IF(N(DJ330)&gt;0,DH330,DA330)</f>
        <v/>
      </c>
      <c r="R330" s="64">
        <f>IF(N(DJ330)&gt;0,DI330,DB330)</f>
        <v/>
      </c>
      <c r="S330" s="64">
        <f>IF(N(DJ330)&gt;0,DJ330,DC330)</f>
        <v/>
      </c>
      <c r="T330" s="64">
        <f>INDEX(Projects[Currency],329)&amp;""</f>
        <v/>
      </c>
      <c r="U330" s="65">
        <f>INDEX(Projects[Sold Value (M)],329)</f>
        <v/>
      </c>
      <c r="V330" s="64">
        <f>IF('Smart Search'!B13=1,IFERROR(1/'Smart Search'!H13,0),0)</f>
        <v/>
      </c>
      <c r="W330" s="64">
        <f>IF('Smart Search'!B13=1,IFERROR(1/'Smart Search'!H13,0),0)</f>
        <v/>
      </c>
      <c r="X330" s="64">
        <f>IF('Smart Search'!C13=1,IFERROR(1/'Smart Search'!H13,0),0)</f>
        <v/>
      </c>
      <c r="Y330" s="64">
        <f>IF('Smart Search'!C13=1,IFERROR(1/'Smart Search'!H13,0),0)</f>
        <v/>
      </c>
      <c r="Z330" s="64">
        <f>IF('Smart Search'!D13=1,IFERROR(1/'Smart Search'!H13,0),0)</f>
        <v/>
      </c>
      <c r="AA330" s="64">
        <f>IF('Smart Search'!D13=1,IFERROR(1/'Smart Search'!H13,0),0)</f>
        <v/>
      </c>
      <c r="AB330" s="64">
        <f>IF('Smart Search'!E13=1,IFERROR(1/'Smart Search'!H13,0),0)</f>
        <v/>
      </c>
      <c r="AC330" s="64">
        <f>IF('Smart Search'!E13=1,IFERROR(1/'Smart Search'!H13,0),0)</f>
        <v/>
      </c>
      <c r="AD330" s="64">
        <f>IF('Smart Search'!F13=1,IFERROR(1/'Smart Search'!H13,0),0)</f>
        <v/>
      </c>
      <c r="AE330" s="64">
        <f>IF('Smart Search'!F13=1,IFERROR(1/'Smart Search'!H13,0),0)</f>
        <v/>
      </c>
      <c r="AF330" s="64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4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4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4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4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4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4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4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4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4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4">
        <f>AF330*V330</f>
        <v/>
      </c>
      <c r="AQ330" s="64">
        <f>AG330*W330</f>
        <v/>
      </c>
      <c r="AR330" s="64">
        <f>AH330*X330</f>
        <v/>
      </c>
      <c r="AS330" s="64">
        <f>AI330*Y330</f>
        <v/>
      </c>
      <c r="AT330" s="64">
        <f>AJ330*Z330</f>
        <v/>
      </c>
      <c r="AU330" s="64">
        <f>AK330*AA330</f>
        <v/>
      </c>
      <c r="AV330" s="64">
        <f>AL330*AB330</f>
        <v/>
      </c>
      <c r="AW330" s="64">
        <f>AM330*AC330</f>
        <v/>
      </c>
      <c r="AX330" s="64">
        <f>AN330*AD330</f>
        <v/>
      </c>
      <c r="AY330" s="64">
        <f>AO330*AE330</f>
        <v/>
      </c>
      <c r="AZ330" s="64">
        <f>INDEX(Projects[Automation Equipment],329)&amp;""</f>
        <v/>
      </c>
      <c r="BA330" s="64">
        <f>IF(OR(A330="",'Smart Search'!H13=0),"",MAX(0,BE330*BF330*MAX(0,1-BG330)))</f>
        <v/>
      </c>
      <c r="BB330" s="64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4">
        <f>IF('Smart Search'!G13=1,IFERROR(1/'Smart Search'!H13,0),0)</f>
        <v/>
      </c>
      <c r="BD330" s="64">
        <f>BB330*BC330</f>
        <v/>
      </c>
      <c r="BE330" s="64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IF(A330="","",N(INDEX(Projects[Act Mech Inst],329)))</f>
        <v/>
      </c>
      <c r="BK330" s="5">
        <f>IF(A330="","",N(INDEX(Projects[Act Elec Inst],329)))</f>
        <v/>
      </c>
      <c r="BL330" s="5">
        <f>IF(A330="","",N(INDEX(Projects[Act Project Management],329)))</f>
        <v/>
      </c>
      <c r="BM330" s="5">
        <f>IF(A330="","",N(INDEX(Projects[Act Systems Eng],329)))</f>
        <v/>
      </c>
      <c r="BN330" s="5">
        <f>IF(A330="","",N(INDEX(Projects[Act Mechanical Eng],329)))</f>
        <v/>
      </c>
      <c r="BO330" s="5">
        <f>IF(A330="","",N(INDEX(Projects[Act Structural Engineering],329)))</f>
        <v/>
      </c>
      <c r="BP330" s="5">
        <f>IF(A330="","",N(INDEX(Projects[Act Site Sup],329)))</f>
        <v/>
      </c>
      <c r="BQ330" s="5">
        <f>IF(A330="","",N(INDEX(Projects[Act Controls Commissioning],329)))</f>
        <v/>
      </c>
      <c r="BR330" s="5">
        <f>IF(A330="","",N(INDEX(Projects[Act Systems Commissioning],329)))</f>
        <v/>
      </c>
      <c r="BS330" s="5">
        <f>IF(A330="","",N(INDEX(Projects[Act Service Commissioning],329)))</f>
        <v/>
      </c>
      <c r="BT330" s="5">
        <f>IF(A330="","",N(INDEX(Projects[Act Controls Eng],329)))</f>
        <v/>
      </c>
      <c r="BU330" s="5">
        <f>IF(A330="","",N(INDEX(Projects[Act Controls Purchase],329)))</f>
        <v/>
      </c>
      <c r="BV330" s="5">
        <f>IF(A330="","",N(INDEX(Projects[Act Software Eng],329)))</f>
        <v/>
      </c>
      <c r="BW330" s="5">
        <f>IF(A330="","",N(INDEX(Projects[Act 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INDEX(Projects[Sold Value (USD M)],329)</f>
        <v/>
      </c>
      <c r="CE330" s="5" t="n"/>
      <c r="CF330" s="5">
        <f>IF(A330="","",N(INDEX(Projects[Est Mech Inst],329)))</f>
        <v/>
      </c>
      <c r="CG330" s="5">
        <f>IF(A330="","",N(INDEX(Projects[Est Elec Inst],329)))</f>
        <v/>
      </c>
      <c r="CH330" s="5">
        <f>IF(A330="","",N(INDEX(Projects[Est Project Management],329)))</f>
        <v/>
      </c>
      <c r="CI330" s="5">
        <f>IF(A330="","",N(INDEX(Projects[Est Systems Eng],329)))</f>
        <v/>
      </c>
      <c r="CJ330" s="5">
        <f>IF(A330="","",N(INDEX(Projects[Est Mechanical Eng],329)))</f>
        <v/>
      </c>
      <c r="CK330" s="5">
        <f>IF(A330="","",N(INDEX(Projects[Est Structural Engineering],329)))</f>
        <v/>
      </c>
      <c r="CL330" s="5">
        <f>IF(A330="","",N(INDEX(Projects[Est Site Sup],329)))</f>
        <v/>
      </c>
      <c r="CM330" s="5">
        <f>IF(A330="","",N(INDEX(Projects[Est Controls Commissioning],329)))</f>
        <v/>
      </c>
      <c r="CN330" s="5">
        <f>IF(A330="","",N(INDEX(Projects[Est Systems Commissioning],329)))</f>
        <v/>
      </c>
      <c r="CO330" s="5">
        <f>IF(A330="","",N(INDEX(Projects[Est Service Commissioning],329)))</f>
        <v/>
      </c>
      <c r="CP330" s="5">
        <f>IF(A330="","",N(INDEX(Projects[Est Controls Eng],329)))</f>
        <v/>
      </c>
      <c r="CQ330" s="5">
        <f>IF(A330="","",N(INDEX(Projects[Est Controls Purchase],329)))</f>
        <v/>
      </c>
      <c r="CR330" s="5">
        <f>IF(A330="","",N(INDEX(Projects[Est Software Eng],329)))</f>
        <v/>
      </c>
      <c r="CS330" s="5">
        <f>IF(A330="","",N(INDEX(Projects[Est Misc],329)))</f>
        <v/>
      </c>
      <c r="CT330" s="5">
        <f>IF(A330="","",SUM(CF330:CS330))</f>
        <v/>
      </c>
      <c r="CU330" s="5">
        <f>INDEX(Projects[Est Cost (M)],329)</f>
        <v/>
      </c>
      <c r="CV330" s="5">
        <f>INDEX(Projects[Act Cost (M)],329)</f>
        <v/>
      </c>
      <c r="CW330" s="5">
        <f>INDEX(Projects[Plan Mech Eng (wks)],329)</f>
        <v/>
      </c>
      <c r="CX330" s="5">
        <f>INDEX(Projects[Plan Controls Eng (wks)],329)</f>
        <v/>
      </c>
      <c r="CY330" s="5">
        <f>INDEX(Projects[Plan Systems Eng (wks)],329)</f>
        <v/>
      </c>
      <c r="CZ330" s="5">
        <f>INDEX(Projects[Plan Software Eng (wks)],329)</f>
        <v/>
      </c>
      <c r="DA330" s="5">
        <f>INDEX(Projects[Plan M&amp;E Installation (wks)],329)</f>
        <v/>
      </c>
      <c r="DB330" s="5">
        <f>INDEX(Projects[Plan Commissioning (wks)],329)</f>
        <v/>
      </c>
      <c r="DC330" s="5">
        <f>INDEX(Projects[Plan Total (wks)],329)</f>
        <v/>
      </c>
      <c r="DD330" s="5">
        <f>INDEX(Projects[Act Mech Eng (wks)],329)</f>
        <v/>
      </c>
      <c r="DE330" s="5">
        <f>INDEX(Projects[Act Controls Eng (wks)],329)</f>
        <v/>
      </c>
      <c r="DF330" s="5">
        <f>INDEX(Projects[Act Systems Eng (wks)],329)</f>
        <v/>
      </c>
      <c r="DG330" s="5">
        <f>INDEX(Projects[Act Software Eng (wks)],329)</f>
        <v/>
      </c>
      <c r="DH330" s="5">
        <f>INDEX(Projects[Act M&amp;E Installation (wks)],329)</f>
        <v/>
      </c>
      <c r="DI330" s="5">
        <f>INDEX(Projects[Act Commissioning (wks)],329)</f>
        <v/>
      </c>
      <c r="DJ330" s="5">
        <f>INDEX(Projects[Act Total (wks)],329)</f>
        <v/>
      </c>
    </row>
    <row r="331" ht="15" customHeight="1" s="82">
      <c r="A331" s="64">
        <f>INDEX(Projects[Project ID *],330)&amp;""</f>
        <v/>
      </c>
      <c r="B331" s="64">
        <f>INDEX(Projects[Project Name *],330)&amp;""</f>
        <v/>
      </c>
      <c r="C331" s="64">
        <f>INDEX(Projects[MS Shuttles],330)</f>
        <v/>
      </c>
      <c r="D331" s="64">
        <f>INDEX(Projects[MS Tote Locations],330)</f>
        <v/>
      </c>
      <c r="E331" s="64">
        <f>INDEX(Projects[AS Robots],330)</f>
        <v/>
      </c>
      <c r="F331" s="64">
        <f>INDEX(Projects[AS Tote Locations],330)</f>
        <v/>
      </c>
      <c r="G331" s="64">
        <f>INDEX(Projects[PS Shuttles],330)</f>
        <v/>
      </c>
      <c r="H331" s="64">
        <f>INDEX(Projects[PS Pallet Locations],330)</f>
        <v/>
      </c>
      <c r="I331" s="64">
        <f>INDEX(Projects[SRM Cranes],330)</f>
        <v/>
      </c>
      <c r="J331" s="64">
        <f>INDEX(Projects[SRM Pallet Locations],330)</f>
        <v/>
      </c>
      <c r="K331" s="64">
        <f>INDEX(Projects[Case Conv (m)],330)</f>
        <v/>
      </c>
      <c r="L331" s="64">
        <f>INDEX(Projects[Pallet Conv (m)],330)</f>
        <v/>
      </c>
      <c r="M331" s="64">
        <f>IF(N(DJ331)&gt;0,DD331,CW331)</f>
        <v/>
      </c>
      <c r="N331" s="64">
        <f>IF(N(DJ331)&gt;0,DE331,CX331)</f>
        <v/>
      </c>
      <c r="O331" s="64">
        <f>IF(N(DJ331)&gt;0,DF331,CY331)</f>
        <v/>
      </c>
      <c r="P331" s="64">
        <f>IF(N(DJ331)&gt;0,DG331,CZ331)</f>
        <v/>
      </c>
      <c r="Q331" s="64">
        <f>IF(N(DJ331)&gt;0,DH331,DA331)</f>
        <v/>
      </c>
      <c r="R331" s="64">
        <f>IF(N(DJ331)&gt;0,DI331,DB331)</f>
        <v/>
      </c>
      <c r="S331" s="64">
        <f>IF(N(DJ331)&gt;0,DJ331,DC331)</f>
        <v/>
      </c>
      <c r="T331" s="64">
        <f>INDEX(Projects[Currency],330)&amp;""</f>
        <v/>
      </c>
      <c r="U331" s="65">
        <f>INDEX(Projects[Sold Value (M)],330)</f>
        <v/>
      </c>
      <c r="V331" s="64">
        <f>IF('Smart Search'!B13=1,IFERROR(1/'Smart Search'!H13,0),0)</f>
        <v/>
      </c>
      <c r="W331" s="64">
        <f>IF('Smart Search'!B13=1,IFERROR(1/'Smart Search'!H13,0),0)</f>
        <v/>
      </c>
      <c r="X331" s="64">
        <f>IF('Smart Search'!C13=1,IFERROR(1/'Smart Search'!H13,0),0)</f>
        <v/>
      </c>
      <c r="Y331" s="64">
        <f>IF('Smart Search'!C13=1,IFERROR(1/'Smart Search'!H13,0),0)</f>
        <v/>
      </c>
      <c r="Z331" s="64">
        <f>IF('Smart Search'!D13=1,IFERROR(1/'Smart Search'!H13,0),0)</f>
        <v/>
      </c>
      <c r="AA331" s="64">
        <f>IF('Smart Search'!D13=1,IFERROR(1/'Smart Search'!H13,0),0)</f>
        <v/>
      </c>
      <c r="AB331" s="64">
        <f>IF('Smart Search'!E13=1,IFERROR(1/'Smart Search'!H13,0),0)</f>
        <v/>
      </c>
      <c r="AC331" s="64">
        <f>IF('Smart Search'!E13=1,IFERROR(1/'Smart Search'!H13,0),0)</f>
        <v/>
      </c>
      <c r="AD331" s="64">
        <f>IF('Smart Search'!F13=1,IFERROR(1/'Smart Search'!H13,0),0)</f>
        <v/>
      </c>
      <c r="AE331" s="64">
        <f>IF('Smart Search'!F13=1,IFERROR(1/'Smart Search'!H13,0),0)</f>
        <v/>
      </c>
      <c r="AF331" s="64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4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4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4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4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4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4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4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4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4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4">
        <f>AF331*V331</f>
        <v/>
      </c>
      <c r="AQ331" s="64">
        <f>AG331*W331</f>
        <v/>
      </c>
      <c r="AR331" s="64">
        <f>AH331*X331</f>
        <v/>
      </c>
      <c r="AS331" s="64">
        <f>AI331*Y331</f>
        <v/>
      </c>
      <c r="AT331" s="64">
        <f>AJ331*Z331</f>
        <v/>
      </c>
      <c r="AU331" s="64">
        <f>AK331*AA331</f>
        <v/>
      </c>
      <c r="AV331" s="64">
        <f>AL331*AB331</f>
        <v/>
      </c>
      <c r="AW331" s="64">
        <f>AM331*AC331</f>
        <v/>
      </c>
      <c r="AX331" s="64">
        <f>AN331*AD331</f>
        <v/>
      </c>
      <c r="AY331" s="64">
        <f>AO331*AE331</f>
        <v/>
      </c>
      <c r="AZ331" s="64">
        <f>INDEX(Projects[Automation Equipment],330)&amp;""</f>
        <v/>
      </c>
      <c r="BA331" s="64">
        <f>IF(OR(A331="",'Smart Search'!H13=0),"",MAX(0,BE331*BF331*MAX(0,1-BG331)))</f>
        <v/>
      </c>
      <c r="BB331" s="64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4">
        <f>IF('Smart Search'!G13=1,IFERROR(1/'Smart Search'!H13,0),0)</f>
        <v/>
      </c>
      <c r="BD331" s="64">
        <f>BB331*BC331</f>
        <v/>
      </c>
      <c r="BE331" s="64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IF(A331="","",N(INDEX(Projects[Act Mech Inst],330)))</f>
        <v/>
      </c>
      <c r="BK331" s="5">
        <f>IF(A331="","",N(INDEX(Projects[Act Elec Inst],330)))</f>
        <v/>
      </c>
      <c r="BL331" s="5">
        <f>IF(A331="","",N(INDEX(Projects[Act Project Management],330)))</f>
        <v/>
      </c>
      <c r="BM331" s="5">
        <f>IF(A331="","",N(INDEX(Projects[Act Systems Eng],330)))</f>
        <v/>
      </c>
      <c r="BN331" s="5">
        <f>IF(A331="","",N(INDEX(Projects[Act Mechanical Eng],330)))</f>
        <v/>
      </c>
      <c r="BO331" s="5">
        <f>IF(A331="","",N(INDEX(Projects[Act Structural Engineering],330)))</f>
        <v/>
      </c>
      <c r="BP331" s="5">
        <f>IF(A331="","",N(INDEX(Projects[Act Site Sup],330)))</f>
        <v/>
      </c>
      <c r="BQ331" s="5">
        <f>IF(A331="","",N(INDEX(Projects[Act Controls Commissioning],330)))</f>
        <v/>
      </c>
      <c r="BR331" s="5">
        <f>IF(A331="","",N(INDEX(Projects[Act Systems Commissioning],330)))</f>
        <v/>
      </c>
      <c r="BS331" s="5">
        <f>IF(A331="","",N(INDEX(Projects[Act Service Commissioning],330)))</f>
        <v/>
      </c>
      <c r="BT331" s="5">
        <f>IF(A331="","",N(INDEX(Projects[Act Controls Eng],330)))</f>
        <v/>
      </c>
      <c r="BU331" s="5">
        <f>IF(A331="","",N(INDEX(Projects[Act Controls Purchase],330)))</f>
        <v/>
      </c>
      <c r="BV331" s="5">
        <f>IF(A331="","",N(INDEX(Projects[Act Software Eng],330)))</f>
        <v/>
      </c>
      <c r="BW331" s="5">
        <f>IF(A331="","",N(INDEX(Projects[Act 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INDEX(Projects[Sold Value (USD M)],330)</f>
        <v/>
      </c>
      <c r="CE331" s="5" t="n"/>
      <c r="CF331" s="5">
        <f>IF(A331="","",N(INDEX(Projects[Est Mech Inst],330)))</f>
        <v/>
      </c>
      <c r="CG331" s="5">
        <f>IF(A331="","",N(INDEX(Projects[Est Elec Inst],330)))</f>
        <v/>
      </c>
      <c r="CH331" s="5">
        <f>IF(A331="","",N(INDEX(Projects[Est Project Management],330)))</f>
        <v/>
      </c>
      <c r="CI331" s="5">
        <f>IF(A331="","",N(INDEX(Projects[Est Systems Eng],330)))</f>
        <v/>
      </c>
      <c r="CJ331" s="5">
        <f>IF(A331="","",N(INDEX(Projects[Est Mechanical Eng],330)))</f>
        <v/>
      </c>
      <c r="CK331" s="5">
        <f>IF(A331="","",N(INDEX(Projects[Est Structural Engineering],330)))</f>
        <v/>
      </c>
      <c r="CL331" s="5">
        <f>IF(A331="","",N(INDEX(Projects[Est Site Sup],330)))</f>
        <v/>
      </c>
      <c r="CM331" s="5">
        <f>IF(A331="","",N(INDEX(Projects[Est Controls Commissioning],330)))</f>
        <v/>
      </c>
      <c r="CN331" s="5">
        <f>IF(A331="","",N(INDEX(Projects[Est Systems Commissioning],330)))</f>
        <v/>
      </c>
      <c r="CO331" s="5">
        <f>IF(A331="","",N(INDEX(Projects[Est Service Commissioning],330)))</f>
        <v/>
      </c>
      <c r="CP331" s="5">
        <f>IF(A331="","",N(INDEX(Projects[Est Controls Eng],330)))</f>
        <v/>
      </c>
      <c r="CQ331" s="5">
        <f>IF(A331="","",N(INDEX(Projects[Est Controls Purchase],330)))</f>
        <v/>
      </c>
      <c r="CR331" s="5">
        <f>IF(A331="","",N(INDEX(Projects[Est Software Eng],330)))</f>
        <v/>
      </c>
      <c r="CS331" s="5">
        <f>IF(A331="","",N(INDEX(Projects[Est Misc],330)))</f>
        <v/>
      </c>
      <c r="CT331" s="5">
        <f>IF(A331="","",SUM(CF331:CS331))</f>
        <v/>
      </c>
      <c r="CU331" s="5">
        <f>INDEX(Projects[Est Cost (M)],330)</f>
        <v/>
      </c>
      <c r="CV331" s="5">
        <f>INDEX(Projects[Act Cost (M)],330)</f>
        <v/>
      </c>
      <c r="CW331" s="5">
        <f>INDEX(Projects[Plan Mech Eng (wks)],330)</f>
        <v/>
      </c>
      <c r="CX331" s="5">
        <f>INDEX(Projects[Plan Controls Eng (wks)],330)</f>
        <v/>
      </c>
      <c r="CY331" s="5">
        <f>INDEX(Projects[Plan Systems Eng (wks)],330)</f>
        <v/>
      </c>
      <c r="CZ331" s="5">
        <f>INDEX(Projects[Plan Software Eng (wks)],330)</f>
        <v/>
      </c>
      <c r="DA331" s="5">
        <f>INDEX(Projects[Plan M&amp;E Installation (wks)],330)</f>
        <v/>
      </c>
      <c r="DB331" s="5">
        <f>INDEX(Projects[Plan Commissioning (wks)],330)</f>
        <v/>
      </c>
      <c r="DC331" s="5">
        <f>INDEX(Projects[Plan Total (wks)],330)</f>
        <v/>
      </c>
      <c r="DD331" s="5">
        <f>INDEX(Projects[Act Mech Eng (wks)],330)</f>
        <v/>
      </c>
      <c r="DE331" s="5">
        <f>INDEX(Projects[Act Controls Eng (wks)],330)</f>
        <v/>
      </c>
      <c r="DF331" s="5">
        <f>INDEX(Projects[Act Systems Eng (wks)],330)</f>
        <v/>
      </c>
      <c r="DG331" s="5">
        <f>INDEX(Projects[Act Software Eng (wks)],330)</f>
        <v/>
      </c>
      <c r="DH331" s="5">
        <f>INDEX(Projects[Act M&amp;E Installation (wks)],330)</f>
        <v/>
      </c>
      <c r="DI331" s="5">
        <f>INDEX(Projects[Act Commissioning (wks)],330)</f>
        <v/>
      </c>
      <c r="DJ331" s="5">
        <f>INDEX(Projects[Act Total (wks)],330)</f>
        <v/>
      </c>
    </row>
    <row r="332" ht="15" customHeight="1" s="82">
      <c r="A332" s="64">
        <f>INDEX(Projects[Project ID *],331)&amp;""</f>
        <v/>
      </c>
      <c r="B332" s="64">
        <f>INDEX(Projects[Project Name *],331)&amp;""</f>
        <v/>
      </c>
      <c r="C332" s="64">
        <f>INDEX(Projects[MS Shuttles],331)</f>
        <v/>
      </c>
      <c r="D332" s="64">
        <f>INDEX(Projects[MS Tote Locations],331)</f>
        <v/>
      </c>
      <c r="E332" s="64">
        <f>INDEX(Projects[AS Robots],331)</f>
        <v/>
      </c>
      <c r="F332" s="64">
        <f>INDEX(Projects[AS Tote Locations],331)</f>
        <v/>
      </c>
      <c r="G332" s="64">
        <f>INDEX(Projects[PS Shuttles],331)</f>
        <v/>
      </c>
      <c r="H332" s="64">
        <f>INDEX(Projects[PS Pallet Locations],331)</f>
        <v/>
      </c>
      <c r="I332" s="64">
        <f>INDEX(Projects[SRM Cranes],331)</f>
        <v/>
      </c>
      <c r="J332" s="64">
        <f>INDEX(Projects[SRM Pallet Locations],331)</f>
        <v/>
      </c>
      <c r="K332" s="64">
        <f>INDEX(Projects[Case Conv (m)],331)</f>
        <v/>
      </c>
      <c r="L332" s="64">
        <f>INDEX(Projects[Pallet Conv (m)],331)</f>
        <v/>
      </c>
      <c r="M332" s="64">
        <f>IF(N(DJ332)&gt;0,DD332,CW332)</f>
        <v/>
      </c>
      <c r="N332" s="64">
        <f>IF(N(DJ332)&gt;0,DE332,CX332)</f>
        <v/>
      </c>
      <c r="O332" s="64">
        <f>IF(N(DJ332)&gt;0,DF332,CY332)</f>
        <v/>
      </c>
      <c r="P332" s="64">
        <f>IF(N(DJ332)&gt;0,DG332,CZ332)</f>
        <v/>
      </c>
      <c r="Q332" s="64">
        <f>IF(N(DJ332)&gt;0,DH332,DA332)</f>
        <v/>
      </c>
      <c r="R332" s="64">
        <f>IF(N(DJ332)&gt;0,DI332,DB332)</f>
        <v/>
      </c>
      <c r="S332" s="64">
        <f>IF(N(DJ332)&gt;0,DJ332,DC332)</f>
        <v/>
      </c>
      <c r="T332" s="64">
        <f>INDEX(Projects[Currency],331)&amp;""</f>
        <v/>
      </c>
      <c r="U332" s="65">
        <f>INDEX(Projects[Sold Value (M)],331)</f>
        <v/>
      </c>
      <c r="V332" s="64">
        <f>IF('Smart Search'!B13=1,IFERROR(1/'Smart Search'!H13,0),0)</f>
        <v/>
      </c>
      <c r="W332" s="64">
        <f>IF('Smart Search'!B13=1,IFERROR(1/'Smart Search'!H13,0),0)</f>
        <v/>
      </c>
      <c r="X332" s="64">
        <f>IF('Smart Search'!C13=1,IFERROR(1/'Smart Search'!H13,0),0)</f>
        <v/>
      </c>
      <c r="Y332" s="64">
        <f>IF('Smart Search'!C13=1,IFERROR(1/'Smart Search'!H13,0),0)</f>
        <v/>
      </c>
      <c r="Z332" s="64">
        <f>IF('Smart Search'!D13=1,IFERROR(1/'Smart Search'!H13,0),0)</f>
        <v/>
      </c>
      <c r="AA332" s="64">
        <f>IF('Smart Search'!D13=1,IFERROR(1/'Smart Search'!H13,0),0)</f>
        <v/>
      </c>
      <c r="AB332" s="64">
        <f>IF('Smart Search'!E13=1,IFERROR(1/'Smart Search'!H13,0),0)</f>
        <v/>
      </c>
      <c r="AC332" s="64">
        <f>IF('Smart Search'!E13=1,IFERROR(1/'Smart Search'!H13,0),0)</f>
        <v/>
      </c>
      <c r="AD332" s="64">
        <f>IF('Smart Search'!F13=1,IFERROR(1/'Smart Search'!H13,0),0)</f>
        <v/>
      </c>
      <c r="AE332" s="64">
        <f>IF('Smart Search'!F13=1,IFERROR(1/'Smart Search'!H13,0),0)</f>
        <v/>
      </c>
      <c r="AF332" s="64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4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4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4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4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4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4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4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4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4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4">
        <f>AF332*V332</f>
        <v/>
      </c>
      <c r="AQ332" s="64">
        <f>AG332*W332</f>
        <v/>
      </c>
      <c r="AR332" s="64">
        <f>AH332*X332</f>
        <v/>
      </c>
      <c r="AS332" s="64">
        <f>AI332*Y332</f>
        <v/>
      </c>
      <c r="AT332" s="64">
        <f>AJ332*Z332</f>
        <v/>
      </c>
      <c r="AU332" s="64">
        <f>AK332*AA332</f>
        <v/>
      </c>
      <c r="AV332" s="64">
        <f>AL332*AB332</f>
        <v/>
      </c>
      <c r="AW332" s="64">
        <f>AM332*AC332</f>
        <v/>
      </c>
      <c r="AX332" s="64">
        <f>AN332*AD332</f>
        <v/>
      </c>
      <c r="AY332" s="64">
        <f>AO332*AE332</f>
        <v/>
      </c>
      <c r="AZ332" s="64">
        <f>INDEX(Projects[Automation Equipment],331)&amp;""</f>
        <v/>
      </c>
      <c r="BA332" s="64">
        <f>IF(OR(A332="",'Smart Search'!H13=0),"",MAX(0,BE332*BF332*MAX(0,1-BG332)))</f>
        <v/>
      </c>
      <c r="BB332" s="64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4">
        <f>IF('Smart Search'!G13=1,IFERROR(1/'Smart Search'!H13,0),0)</f>
        <v/>
      </c>
      <c r="BD332" s="64">
        <f>BB332*BC332</f>
        <v/>
      </c>
      <c r="BE332" s="64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IF(A332="","",N(INDEX(Projects[Act Mech Inst],331)))</f>
        <v/>
      </c>
      <c r="BK332" s="5">
        <f>IF(A332="","",N(INDEX(Projects[Act Elec Inst],331)))</f>
        <v/>
      </c>
      <c r="BL332" s="5">
        <f>IF(A332="","",N(INDEX(Projects[Act Project Management],331)))</f>
        <v/>
      </c>
      <c r="BM332" s="5">
        <f>IF(A332="","",N(INDEX(Projects[Act Systems Eng],331)))</f>
        <v/>
      </c>
      <c r="BN332" s="5">
        <f>IF(A332="","",N(INDEX(Projects[Act Mechanical Eng],331)))</f>
        <v/>
      </c>
      <c r="BO332" s="5">
        <f>IF(A332="","",N(INDEX(Projects[Act Structural Engineering],331)))</f>
        <v/>
      </c>
      <c r="BP332" s="5">
        <f>IF(A332="","",N(INDEX(Projects[Act Site Sup],331)))</f>
        <v/>
      </c>
      <c r="BQ332" s="5">
        <f>IF(A332="","",N(INDEX(Projects[Act Controls Commissioning],331)))</f>
        <v/>
      </c>
      <c r="BR332" s="5">
        <f>IF(A332="","",N(INDEX(Projects[Act Systems Commissioning],331)))</f>
        <v/>
      </c>
      <c r="BS332" s="5">
        <f>IF(A332="","",N(INDEX(Projects[Act Service Commissioning],331)))</f>
        <v/>
      </c>
      <c r="BT332" s="5">
        <f>IF(A332="","",N(INDEX(Projects[Act Controls Eng],331)))</f>
        <v/>
      </c>
      <c r="BU332" s="5">
        <f>IF(A332="","",N(INDEX(Projects[Act Controls Purchase],331)))</f>
        <v/>
      </c>
      <c r="BV332" s="5">
        <f>IF(A332="","",N(INDEX(Projects[Act Software Eng],331)))</f>
        <v/>
      </c>
      <c r="BW332" s="5">
        <f>IF(A332="","",N(INDEX(Projects[Act 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INDEX(Projects[Sold Value (USD M)],331)</f>
        <v/>
      </c>
      <c r="CE332" s="5" t="n"/>
      <c r="CF332" s="5">
        <f>IF(A332="","",N(INDEX(Projects[Est Mech Inst],331)))</f>
        <v/>
      </c>
      <c r="CG332" s="5">
        <f>IF(A332="","",N(INDEX(Projects[Est Elec Inst],331)))</f>
        <v/>
      </c>
      <c r="CH332" s="5">
        <f>IF(A332="","",N(INDEX(Projects[Est Project Management],331)))</f>
        <v/>
      </c>
      <c r="CI332" s="5">
        <f>IF(A332="","",N(INDEX(Projects[Est Systems Eng],331)))</f>
        <v/>
      </c>
      <c r="CJ332" s="5">
        <f>IF(A332="","",N(INDEX(Projects[Est Mechanical Eng],331)))</f>
        <v/>
      </c>
      <c r="CK332" s="5">
        <f>IF(A332="","",N(INDEX(Projects[Est Structural Engineering],331)))</f>
        <v/>
      </c>
      <c r="CL332" s="5">
        <f>IF(A332="","",N(INDEX(Projects[Est Site Sup],331)))</f>
        <v/>
      </c>
      <c r="CM332" s="5">
        <f>IF(A332="","",N(INDEX(Projects[Est Controls Commissioning],331)))</f>
        <v/>
      </c>
      <c r="CN332" s="5">
        <f>IF(A332="","",N(INDEX(Projects[Est Systems Commissioning],331)))</f>
        <v/>
      </c>
      <c r="CO332" s="5">
        <f>IF(A332="","",N(INDEX(Projects[Est Service Commissioning],331)))</f>
        <v/>
      </c>
      <c r="CP332" s="5">
        <f>IF(A332="","",N(INDEX(Projects[Est Controls Eng],331)))</f>
        <v/>
      </c>
      <c r="CQ332" s="5">
        <f>IF(A332="","",N(INDEX(Projects[Est Controls Purchase],331)))</f>
        <v/>
      </c>
      <c r="CR332" s="5">
        <f>IF(A332="","",N(INDEX(Projects[Est Software Eng],331)))</f>
        <v/>
      </c>
      <c r="CS332" s="5">
        <f>IF(A332="","",N(INDEX(Projects[Est Misc],331)))</f>
        <v/>
      </c>
      <c r="CT332" s="5">
        <f>IF(A332="","",SUM(CF332:CS332))</f>
        <v/>
      </c>
      <c r="CU332" s="5">
        <f>INDEX(Projects[Est Cost (M)],331)</f>
        <v/>
      </c>
      <c r="CV332" s="5">
        <f>INDEX(Projects[Act Cost (M)],331)</f>
        <v/>
      </c>
      <c r="CW332" s="5">
        <f>INDEX(Projects[Plan Mech Eng (wks)],331)</f>
        <v/>
      </c>
      <c r="CX332" s="5">
        <f>INDEX(Projects[Plan Controls Eng (wks)],331)</f>
        <v/>
      </c>
      <c r="CY332" s="5">
        <f>INDEX(Projects[Plan Systems Eng (wks)],331)</f>
        <v/>
      </c>
      <c r="CZ332" s="5">
        <f>INDEX(Projects[Plan Software Eng (wks)],331)</f>
        <v/>
      </c>
      <c r="DA332" s="5">
        <f>INDEX(Projects[Plan M&amp;E Installation (wks)],331)</f>
        <v/>
      </c>
      <c r="DB332" s="5">
        <f>INDEX(Projects[Plan Commissioning (wks)],331)</f>
        <v/>
      </c>
      <c r="DC332" s="5">
        <f>INDEX(Projects[Plan Total (wks)],331)</f>
        <v/>
      </c>
      <c r="DD332" s="5">
        <f>INDEX(Projects[Act Mech Eng (wks)],331)</f>
        <v/>
      </c>
      <c r="DE332" s="5">
        <f>INDEX(Projects[Act Controls Eng (wks)],331)</f>
        <v/>
      </c>
      <c r="DF332" s="5">
        <f>INDEX(Projects[Act Systems Eng (wks)],331)</f>
        <v/>
      </c>
      <c r="DG332" s="5">
        <f>INDEX(Projects[Act Software Eng (wks)],331)</f>
        <v/>
      </c>
      <c r="DH332" s="5">
        <f>INDEX(Projects[Act M&amp;E Installation (wks)],331)</f>
        <v/>
      </c>
      <c r="DI332" s="5">
        <f>INDEX(Projects[Act Commissioning (wks)],331)</f>
        <v/>
      </c>
      <c r="DJ332" s="5">
        <f>INDEX(Projects[Act Total (wks)],331)</f>
        <v/>
      </c>
    </row>
    <row r="333" ht="15" customHeight="1" s="82">
      <c r="A333" s="64">
        <f>INDEX(Projects[Project ID *],332)&amp;""</f>
        <v/>
      </c>
      <c r="B333" s="64">
        <f>INDEX(Projects[Project Name *],332)&amp;""</f>
        <v/>
      </c>
      <c r="C333" s="64">
        <f>INDEX(Projects[MS Shuttles],332)</f>
        <v/>
      </c>
      <c r="D333" s="64">
        <f>INDEX(Projects[MS Tote Locations],332)</f>
        <v/>
      </c>
      <c r="E333" s="64">
        <f>INDEX(Projects[AS Robots],332)</f>
        <v/>
      </c>
      <c r="F333" s="64">
        <f>INDEX(Projects[AS Tote Locations],332)</f>
        <v/>
      </c>
      <c r="G333" s="64">
        <f>INDEX(Projects[PS Shuttles],332)</f>
        <v/>
      </c>
      <c r="H333" s="64">
        <f>INDEX(Projects[PS Pallet Locations],332)</f>
        <v/>
      </c>
      <c r="I333" s="64">
        <f>INDEX(Projects[SRM Cranes],332)</f>
        <v/>
      </c>
      <c r="J333" s="64">
        <f>INDEX(Projects[SRM Pallet Locations],332)</f>
        <v/>
      </c>
      <c r="K333" s="64">
        <f>INDEX(Projects[Case Conv (m)],332)</f>
        <v/>
      </c>
      <c r="L333" s="64">
        <f>INDEX(Projects[Pallet Conv (m)],332)</f>
        <v/>
      </c>
      <c r="M333" s="64">
        <f>IF(N(DJ333)&gt;0,DD333,CW333)</f>
        <v/>
      </c>
      <c r="N333" s="64">
        <f>IF(N(DJ333)&gt;0,DE333,CX333)</f>
        <v/>
      </c>
      <c r="O333" s="64">
        <f>IF(N(DJ333)&gt;0,DF333,CY333)</f>
        <v/>
      </c>
      <c r="P333" s="64">
        <f>IF(N(DJ333)&gt;0,DG333,CZ333)</f>
        <v/>
      </c>
      <c r="Q333" s="64">
        <f>IF(N(DJ333)&gt;0,DH333,DA333)</f>
        <v/>
      </c>
      <c r="R333" s="64">
        <f>IF(N(DJ333)&gt;0,DI333,DB333)</f>
        <v/>
      </c>
      <c r="S333" s="64">
        <f>IF(N(DJ333)&gt;0,DJ333,DC333)</f>
        <v/>
      </c>
      <c r="T333" s="64">
        <f>INDEX(Projects[Currency],332)&amp;""</f>
        <v/>
      </c>
      <c r="U333" s="65">
        <f>INDEX(Projects[Sold Value (M)],332)</f>
        <v/>
      </c>
      <c r="V333" s="64">
        <f>IF('Smart Search'!B13=1,IFERROR(1/'Smart Search'!H13,0),0)</f>
        <v/>
      </c>
      <c r="W333" s="64">
        <f>IF('Smart Search'!B13=1,IFERROR(1/'Smart Search'!H13,0),0)</f>
        <v/>
      </c>
      <c r="X333" s="64">
        <f>IF('Smart Search'!C13=1,IFERROR(1/'Smart Search'!H13,0),0)</f>
        <v/>
      </c>
      <c r="Y333" s="64">
        <f>IF('Smart Search'!C13=1,IFERROR(1/'Smart Search'!H13,0),0)</f>
        <v/>
      </c>
      <c r="Z333" s="64">
        <f>IF('Smart Search'!D13=1,IFERROR(1/'Smart Search'!H13,0),0)</f>
        <v/>
      </c>
      <c r="AA333" s="64">
        <f>IF('Smart Search'!D13=1,IFERROR(1/'Smart Search'!H13,0),0)</f>
        <v/>
      </c>
      <c r="AB333" s="64">
        <f>IF('Smart Search'!E13=1,IFERROR(1/'Smart Search'!H13,0),0)</f>
        <v/>
      </c>
      <c r="AC333" s="64">
        <f>IF('Smart Search'!E13=1,IFERROR(1/'Smart Search'!H13,0),0)</f>
        <v/>
      </c>
      <c r="AD333" s="64">
        <f>IF('Smart Search'!F13=1,IFERROR(1/'Smart Search'!H13,0),0)</f>
        <v/>
      </c>
      <c r="AE333" s="64">
        <f>IF('Smart Search'!F13=1,IFERROR(1/'Smart Search'!H13,0),0)</f>
        <v/>
      </c>
      <c r="AF333" s="64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4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4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4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4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4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4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4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4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4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4">
        <f>AF333*V333</f>
        <v/>
      </c>
      <c r="AQ333" s="64">
        <f>AG333*W333</f>
        <v/>
      </c>
      <c r="AR333" s="64">
        <f>AH333*X333</f>
        <v/>
      </c>
      <c r="AS333" s="64">
        <f>AI333*Y333</f>
        <v/>
      </c>
      <c r="AT333" s="64">
        <f>AJ333*Z333</f>
        <v/>
      </c>
      <c r="AU333" s="64">
        <f>AK333*AA333</f>
        <v/>
      </c>
      <c r="AV333" s="64">
        <f>AL333*AB333</f>
        <v/>
      </c>
      <c r="AW333" s="64">
        <f>AM333*AC333</f>
        <v/>
      </c>
      <c r="AX333" s="64">
        <f>AN333*AD333</f>
        <v/>
      </c>
      <c r="AY333" s="64">
        <f>AO333*AE333</f>
        <v/>
      </c>
      <c r="AZ333" s="64">
        <f>INDEX(Projects[Automation Equipment],332)&amp;""</f>
        <v/>
      </c>
      <c r="BA333" s="64">
        <f>IF(OR(A333="",'Smart Search'!H13=0),"",MAX(0,BE333*BF333*MAX(0,1-BG333)))</f>
        <v/>
      </c>
      <c r="BB333" s="64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4">
        <f>IF('Smart Search'!G13=1,IFERROR(1/'Smart Search'!H13,0),0)</f>
        <v/>
      </c>
      <c r="BD333" s="64">
        <f>BB333*BC333</f>
        <v/>
      </c>
      <c r="BE333" s="64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IF(A333="","",N(INDEX(Projects[Act Mech Inst],332)))</f>
        <v/>
      </c>
      <c r="BK333" s="5">
        <f>IF(A333="","",N(INDEX(Projects[Act Elec Inst],332)))</f>
        <v/>
      </c>
      <c r="BL333" s="5">
        <f>IF(A333="","",N(INDEX(Projects[Act Project Management],332)))</f>
        <v/>
      </c>
      <c r="BM333" s="5">
        <f>IF(A333="","",N(INDEX(Projects[Act Systems Eng],332)))</f>
        <v/>
      </c>
      <c r="BN333" s="5">
        <f>IF(A333="","",N(INDEX(Projects[Act Mechanical Eng],332)))</f>
        <v/>
      </c>
      <c r="BO333" s="5">
        <f>IF(A333="","",N(INDEX(Projects[Act Structural Engineering],332)))</f>
        <v/>
      </c>
      <c r="BP333" s="5">
        <f>IF(A333="","",N(INDEX(Projects[Act Site Sup],332)))</f>
        <v/>
      </c>
      <c r="BQ333" s="5">
        <f>IF(A333="","",N(INDEX(Projects[Act Controls Commissioning],332)))</f>
        <v/>
      </c>
      <c r="BR333" s="5">
        <f>IF(A333="","",N(INDEX(Projects[Act Systems Commissioning],332)))</f>
        <v/>
      </c>
      <c r="BS333" s="5">
        <f>IF(A333="","",N(INDEX(Projects[Act Service Commissioning],332)))</f>
        <v/>
      </c>
      <c r="BT333" s="5">
        <f>IF(A333="","",N(INDEX(Projects[Act Controls Eng],332)))</f>
        <v/>
      </c>
      <c r="BU333" s="5">
        <f>IF(A333="","",N(INDEX(Projects[Act Controls Purchase],332)))</f>
        <v/>
      </c>
      <c r="BV333" s="5">
        <f>IF(A333="","",N(INDEX(Projects[Act Software Eng],332)))</f>
        <v/>
      </c>
      <c r="BW333" s="5">
        <f>IF(A333="","",N(INDEX(Projects[Act 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INDEX(Projects[Sold Value (USD M)],332)</f>
        <v/>
      </c>
      <c r="CE333" s="5" t="n"/>
      <c r="CF333" s="5">
        <f>IF(A333="","",N(INDEX(Projects[Est Mech Inst],332)))</f>
        <v/>
      </c>
      <c r="CG333" s="5">
        <f>IF(A333="","",N(INDEX(Projects[Est Elec Inst],332)))</f>
        <v/>
      </c>
      <c r="CH333" s="5">
        <f>IF(A333="","",N(INDEX(Projects[Est Project Management],332)))</f>
        <v/>
      </c>
      <c r="CI333" s="5">
        <f>IF(A333="","",N(INDEX(Projects[Est Systems Eng],332)))</f>
        <v/>
      </c>
      <c r="CJ333" s="5">
        <f>IF(A333="","",N(INDEX(Projects[Est Mechanical Eng],332)))</f>
        <v/>
      </c>
      <c r="CK333" s="5">
        <f>IF(A333="","",N(INDEX(Projects[Est Structural Engineering],332)))</f>
        <v/>
      </c>
      <c r="CL333" s="5">
        <f>IF(A333="","",N(INDEX(Projects[Est Site Sup],332)))</f>
        <v/>
      </c>
      <c r="CM333" s="5">
        <f>IF(A333="","",N(INDEX(Projects[Est Controls Commissioning],332)))</f>
        <v/>
      </c>
      <c r="CN333" s="5">
        <f>IF(A333="","",N(INDEX(Projects[Est Systems Commissioning],332)))</f>
        <v/>
      </c>
      <c r="CO333" s="5">
        <f>IF(A333="","",N(INDEX(Projects[Est Service Commissioning],332)))</f>
        <v/>
      </c>
      <c r="CP333" s="5">
        <f>IF(A333="","",N(INDEX(Projects[Est Controls Eng],332)))</f>
        <v/>
      </c>
      <c r="CQ333" s="5">
        <f>IF(A333="","",N(INDEX(Projects[Est Controls Purchase],332)))</f>
        <v/>
      </c>
      <c r="CR333" s="5">
        <f>IF(A333="","",N(INDEX(Projects[Est Software Eng],332)))</f>
        <v/>
      </c>
      <c r="CS333" s="5">
        <f>IF(A333="","",N(INDEX(Projects[Est Misc],332)))</f>
        <v/>
      </c>
      <c r="CT333" s="5">
        <f>IF(A333="","",SUM(CF333:CS333))</f>
        <v/>
      </c>
      <c r="CU333" s="5">
        <f>INDEX(Projects[Est Cost (M)],332)</f>
        <v/>
      </c>
      <c r="CV333" s="5">
        <f>INDEX(Projects[Act Cost (M)],332)</f>
        <v/>
      </c>
      <c r="CW333" s="5">
        <f>INDEX(Projects[Plan Mech Eng (wks)],332)</f>
        <v/>
      </c>
      <c r="CX333" s="5">
        <f>INDEX(Projects[Plan Controls Eng (wks)],332)</f>
        <v/>
      </c>
      <c r="CY333" s="5">
        <f>INDEX(Projects[Plan Systems Eng (wks)],332)</f>
        <v/>
      </c>
      <c r="CZ333" s="5">
        <f>INDEX(Projects[Plan Software Eng (wks)],332)</f>
        <v/>
      </c>
      <c r="DA333" s="5">
        <f>INDEX(Projects[Plan M&amp;E Installation (wks)],332)</f>
        <v/>
      </c>
      <c r="DB333" s="5">
        <f>INDEX(Projects[Plan Commissioning (wks)],332)</f>
        <v/>
      </c>
      <c r="DC333" s="5">
        <f>INDEX(Projects[Plan Total (wks)],332)</f>
        <v/>
      </c>
      <c r="DD333" s="5">
        <f>INDEX(Projects[Act Mech Eng (wks)],332)</f>
        <v/>
      </c>
      <c r="DE333" s="5">
        <f>INDEX(Projects[Act Controls Eng (wks)],332)</f>
        <v/>
      </c>
      <c r="DF333" s="5">
        <f>INDEX(Projects[Act Systems Eng (wks)],332)</f>
        <v/>
      </c>
      <c r="DG333" s="5">
        <f>INDEX(Projects[Act Software Eng (wks)],332)</f>
        <v/>
      </c>
      <c r="DH333" s="5">
        <f>INDEX(Projects[Act M&amp;E Installation (wks)],332)</f>
        <v/>
      </c>
      <c r="DI333" s="5">
        <f>INDEX(Projects[Act Commissioning (wks)],332)</f>
        <v/>
      </c>
      <c r="DJ333" s="5">
        <f>INDEX(Projects[Act Total (wks)],332)</f>
        <v/>
      </c>
    </row>
    <row r="334" ht="15" customHeight="1" s="82">
      <c r="A334" s="64">
        <f>INDEX(Projects[Project ID *],333)&amp;""</f>
        <v/>
      </c>
      <c r="B334" s="64">
        <f>INDEX(Projects[Project Name *],333)&amp;""</f>
        <v/>
      </c>
      <c r="C334" s="64">
        <f>INDEX(Projects[MS Shuttles],333)</f>
        <v/>
      </c>
      <c r="D334" s="64">
        <f>INDEX(Projects[MS Tote Locations],333)</f>
        <v/>
      </c>
      <c r="E334" s="64">
        <f>INDEX(Projects[AS Robots],333)</f>
        <v/>
      </c>
      <c r="F334" s="64">
        <f>INDEX(Projects[AS Tote Locations],333)</f>
        <v/>
      </c>
      <c r="G334" s="64">
        <f>INDEX(Projects[PS Shuttles],333)</f>
        <v/>
      </c>
      <c r="H334" s="64">
        <f>INDEX(Projects[PS Pallet Locations],333)</f>
        <v/>
      </c>
      <c r="I334" s="64">
        <f>INDEX(Projects[SRM Cranes],333)</f>
        <v/>
      </c>
      <c r="J334" s="64">
        <f>INDEX(Projects[SRM Pallet Locations],333)</f>
        <v/>
      </c>
      <c r="K334" s="64">
        <f>INDEX(Projects[Case Conv (m)],333)</f>
        <v/>
      </c>
      <c r="L334" s="64">
        <f>INDEX(Projects[Pallet Conv (m)],333)</f>
        <v/>
      </c>
      <c r="M334" s="64">
        <f>IF(N(DJ334)&gt;0,DD334,CW334)</f>
        <v/>
      </c>
      <c r="N334" s="64">
        <f>IF(N(DJ334)&gt;0,DE334,CX334)</f>
        <v/>
      </c>
      <c r="O334" s="64">
        <f>IF(N(DJ334)&gt;0,DF334,CY334)</f>
        <v/>
      </c>
      <c r="P334" s="64">
        <f>IF(N(DJ334)&gt;0,DG334,CZ334)</f>
        <v/>
      </c>
      <c r="Q334" s="64">
        <f>IF(N(DJ334)&gt;0,DH334,DA334)</f>
        <v/>
      </c>
      <c r="R334" s="64">
        <f>IF(N(DJ334)&gt;0,DI334,DB334)</f>
        <v/>
      </c>
      <c r="S334" s="64">
        <f>IF(N(DJ334)&gt;0,DJ334,DC334)</f>
        <v/>
      </c>
      <c r="T334" s="64">
        <f>INDEX(Projects[Currency],333)&amp;""</f>
        <v/>
      </c>
      <c r="U334" s="65">
        <f>INDEX(Projects[Sold Value (M)],333)</f>
        <v/>
      </c>
      <c r="V334" s="64">
        <f>IF('Smart Search'!B13=1,IFERROR(1/'Smart Search'!H13,0),0)</f>
        <v/>
      </c>
      <c r="W334" s="64">
        <f>IF('Smart Search'!B13=1,IFERROR(1/'Smart Search'!H13,0),0)</f>
        <v/>
      </c>
      <c r="X334" s="64">
        <f>IF('Smart Search'!C13=1,IFERROR(1/'Smart Search'!H13,0),0)</f>
        <v/>
      </c>
      <c r="Y334" s="64">
        <f>IF('Smart Search'!C13=1,IFERROR(1/'Smart Search'!H13,0),0)</f>
        <v/>
      </c>
      <c r="Z334" s="64">
        <f>IF('Smart Search'!D13=1,IFERROR(1/'Smart Search'!H13,0),0)</f>
        <v/>
      </c>
      <c r="AA334" s="64">
        <f>IF('Smart Search'!D13=1,IFERROR(1/'Smart Search'!H13,0),0)</f>
        <v/>
      </c>
      <c r="AB334" s="64">
        <f>IF('Smart Search'!E13=1,IFERROR(1/'Smart Search'!H13,0),0)</f>
        <v/>
      </c>
      <c r="AC334" s="64">
        <f>IF('Smart Search'!E13=1,IFERROR(1/'Smart Search'!H13,0),0)</f>
        <v/>
      </c>
      <c r="AD334" s="64">
        <f>IF('Smart Search'!F13=1,IFERROR(1/'Smart Search'!H13,0),0)</f>
        <v/>
      </c>
      <c r="AE334" s="64">
        <f>IF('Smart Search'!F13=1,IFERROR(1/'Smart Search'!H13,0),0)</f>
        <v/>
      </c>
      <c r="AF334" s="64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4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4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4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4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4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4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4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4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4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4">
        <f>AF334*V334</f>
        <v/>
      </c>
      <c r="AQ334" s="64">
        <f>AG334*W334</f>
        <v/>
      </c>
      <c r="AR334" s="64">
        <f>AH334*X334</f>
        <v/>
      </c>
      <c r="AS334" s="64">
        <f>AI334*Y334</f>
        <v/>
      </c>
      <c r="AT334" s="64">
        <f>AJ334*Z334</f>
        <v/>
      </c>
      <c r="AU334" s="64">
        <f>AK334*AA334</f>
        <v/>
      </c>
      <c r="AV334" s="64">
        <f>AL334*AB334</f>
        <v/>
      </c>
      <c r="AW334" s="64">
        <f>AM334*AC334</f>
        <v/>
      </c>
      <c r="AX334" s="64">
        <f>AN334*AD334</f>
        <v/>
      </c>
      <c r="AY334" s="64">
        <f>AO334*AE334</f>
        <v/>
      </c>
      <c r="AZ334" s="64">
        <f>INDEX(Projects[Automation Equipment],333)&amp;""</f>
        <v/>
      </c>
      <c r="BA334" s="64">
        <f>IF(OR(A334="",'Smart Search'!H13=0),"",MAX(0,BE334*BF334*MAX(0,1-BG334)))</f>
        <v/>
      </c>
      <c r="BB334" s="64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4">
        <f>IF('Smart Search'!G13=1,IFERROR(1/'Smart Search'!H13,0),0)</f>
        <v/>
      </c>
      <c r="BD334" s="64">
        <f>BB334*BC334</f>
        <v/>
      </c>
      <c r="BE334" s="64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IF(A334="","",N(INDEX(Projects[Act Mech Inst],333)))</f>
        <v/>
      </c>
      <c r="BK334" s="5">
        <f>IF(A334="","",N(INDEX(Projects[Act Elec Inst],333)))</f>
        <v/>
      </c>
      <c r="BL334" s="5">
        <f>IF(A334="","",N(INDEX(Projects[Act Project Management],333)))</f>
        <v/>
      </c>
      <c r="BM334" s="5">
        <f>IF(A334="","",N(INDEX(Projects[Act Systems Eng],333)))</f>
        <v/>
      </c>
      <c r="BN334" s="5">
        <f>IF(A334="","",N(INDEX(Projects[Act Mechanical Eng],333)))</f>
        <v/>
      </c>
      <c r="BO334" s="5">
        <f>IF(A334="","",N(INDEX(Projects[Act Structural Engineering],333)))</f>
        <v/>
      </c>
      <c r="BP334" s="5">
        <f>IF(A334="","",N(INDEX(Projects[Act Site Sup],333)))</f>
        <v/>
      </c>
      <c r="BQ334" s="5">
        <f>IF(A334="","",N(INDEX(Projects[Act Controls Commissioning],333)))</f>
        <v/>
      </c>
      <c r="BR334" s="5">
        <f>IF(A334="","",N(INDEX(Projects[Act Systems Commissioning],333)))</f>
        <v/>
      </c>
      <c r="BS334" s="5">
        <f>IF(A334="","",N(INDEX(Projects[Act Service Commissioning],333)))</f>
        <v/>
      </c>
      <c r="BT334" s="5">
        <f>IF(A334="","",N(INDEX(Projects[Act Controls Eng],333)))</f>
        <v/>
      </c>
      <c r="BU334" s="5">
        <f>IF(A334="","",N(INDEX(Projects[Act Controls Purchase],333)))</f>
        <v/>
      </c>
      <c r="BV334" s="5">
        <f>IF(A334="","",N(INDEX(Projects[Act Software Eng],333)))</f>
        <v/>
      </c>
      <c r="BW334" s="5">
        <f>IF(A334="","",N(INDEX(Projects[Act 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INDEX(Projects[Sold Value (USD M)],333)</f>
        <v/>
      </c>
      <c r="CE334" s="5" t="n"/>
      <c r="CF334" s="5">
        <f>IF(A334="","",N(INDEX(Projects[Est Mech Inst],333)))</f>
        <v/>
      </c>
      <c r="CG334" s="5">
        <f>IF(A334="","",N(INDEX(Projects[Est Elec Inst],333)))</f>
        <v/>
      </c>
      <c r="CH334" s="5">
        <f>IF(A334="","",N(INDEX(Projects[Est Project Management],333)))</f>
        <v/>
      </c>
      <c r="CI334" s="5">
        <f>IF(A334="","",N(INDEX(Projects[Est Systems Eng],333)))</f>
        <v/>
      </c>
      <c r="CJ334" s="5">
        <f>IF(A334="","",N(INDEX(Projects[Est Mechanical Eng],333)))</f>
        <v/>
      </c>
      <c r="CK334" s="5">
        <f>IF(A334="","",N(INDEX(Projects[Est Structural Engineering],333)))</f>
        <v/>
      </c>
      <c r="CL334" s="5">
        <f>IF(A334="","",N(INDEX(Projects[Est Site Sup],333)))</f>
        <v/>
      </c>
      <c r="CM334" s="5">
        <f>IF(A334="","",N(INDEX(Projects[Est Controls Commissioning],333)))</f>
        <v/>
      </c>
      <c r="CN334" s="5">
        <f>IF(A334="","",N(INDEX(Projects[Est Systems Commissioning],333)))</f>
        <v/>
      </c>
      <c r="CO334" s="5">
        <f>IF(A334="","",N(INDEX(Projects[Est Service Commissioning],333)))</f>
        <v/>
      </c>
      <c r="CP334" s="5">
        <f>IF(A334="","",N(INDEX(Projects[Est Controls Eng],333)))</f>
        <v/>
      </c>
      <c r="CQ334" s="5">
        <f>IF(A334="","",N(INDEX(Projects[Est Controls Purchase],333)))</f>
        <v/>
      </c>
      <c r="CR334" s="5">
        <f>IF(A334="","",N(INDEX(Projects[Est Software Eng],333)))</f>
        <v/>
      </c>
      <c r="CS334" s="5">
        <f>IF(A334="","",N(INDEX(Projects[Est Misc],333)))</f>
        <v/>
      </c>
      <c r="CT334" s="5">
        <f>IF(A334="","",SUM(CF334:CS334))</f>
        <v/>
      </c>
      <c r="CU334" s="5">
        <f>INDEX(Projects[Est Cost (M)],333)</f>
        <v/>
      </c>
      <c r="CV334" s="5">
        <f>INDEX(Projects[Act Cost (M)],333)</f>
        <v/>
      </c>
      <c r="CW334" s="5">
        <f>INDEX(Projects[Plan Mech Eng (wks)],333)</f>
        <v/>
      </c>
      <c r="CX334" s="5">
        <f>INDEX(Projects[Plan Controls Eng (wks)],333)</f>
        <v/>
      </c>
      <c r="CY334" s="5">
        <f>INDEX(Projects[Plan Systems Eng (wks)],333)</f>
        <v/>
      </c>
      <c r="CZ334" s="5">
        <f>INDEX(Projects[Plan Software Eng (wks)],333)</f>
        <v/>
      </c>
      <c r="DA334" s="5">
        <f>INDEX(Projects[Plan M&amp;E Installation (wks)],333)</f>
        <v/>
      </c>
      <c r="DB334" s="5">
        <f>INDEX(Projects[Plan Commissioning (wks)],333)</f>
        <v/>
      </c>
      <c r="DC334" s="5">
        <f>INDEX(Projects[Plan Total (wks)],333)</f>
        <v/>
      </c>
      <c r="DD334" s="5">
        <f>INDEX(Projects[Act Mech Eng (wks)],333)</f>
        <v/>
      </c>
      <c r="DE334" s="5">
        <f>INDEX(Projects[Act Controls Eng (wks)],333)</f>
        <v/>
      </c>
      <c r="DF334" s="5">
        <f>INDEX(Projects[Act Systems Eng (wks)],333)</f>
        <v/>
      </c>
      <c r="DG334" s="5">
        <f>INDEX(Projects[Act Software Eng (wks)],333)</f>
        <v/>
      </c>
      <c r="DH334" s="5">
        <f>INDEX(Projects[Act M&amp;E Installation (wks)],333)</f>
        <v/>
      </c>
      <c r="DI334" s="5">
        <f>INDEX(Projects[Act Commissioning (wks)],333)</f>
        <v/>
      </c>
      <c r="DJ334" s="5">
        <f>INDEX(Projects[Act Total (wks)],333)</f>
        <v/>
      </c>
    </row>
    <row r="335" ht="15" customHeight="1" s="82">
      <c r="A335" s="64">
        <f>INDEX(Projects[Project ID *],334)&amp;""</f>
        <v/>
      </c>
      <c r="B335" s="64">
        <f>INDEX(Projects[Project Name *],334)&amp;""</f>
        <v/>
      </c>
      <c r="C335" s="64">
        <f>INDEX(Projects[MS Shuttles],334)</f>
        <v/>
      </c>
      <c r="D335" s="64">
        <f>INDEX(Projects[MS Tote Locations],334)</f>
        <v/>
      </c>
      <c r="E335" s="64">
        <f>INDEX(Projects[AS Robots],334)</f>
        <v/>
      </c>
      <c r="F335" s="64">
        <f>INDEX(Projects[AS Tote Locations],334)</f>
        <v/>
      </c>
      <c r="G335" s="64">
        <f>INDEX(Projects[PS Shuttles],334)</f>
        <v/>
      </c>
      <c r="H335" s="64">
        <f>INDEX(Projects[PS Pallet Locations],334)</f>
        <v/>
      </c>
      <c r="I335" s="64">
        <f>INDEX(Projects[SRM Cranes],334)</f>
        <v/>
      </c>
      <c r="J335" s="64">
        <f>INDEX(Projects[SRM Pallet Locations],334)</f>
        <v/>
      </c>
      <c r="K335" s="64">
        <f>INDEX(Projects[Case Conv (m)],334)</f>
        <v/>
      </c>
      <c r="L335" s="64">
        <f>INDEX(Projects[Pallet Conv (m)],334)</f>
        <v/>
      </c>
      <c r="M335" s="64">
        <f>IF(N(DJ335)&gt;0,DD335,CW335)</f>
        <v/>
      </c>
      <c r="N335" s="64">
        <f>IF(N(DJ335)&gt;0,DE335,CX335)</f>
        <v/>
      </c>
      <c r="O335" s="64">
        <f>IF(N(DJ335)&gt;0,DF335,CY335)</f>
        <v/>
      </c>
      <c r="P335" s="64">
        <f>IF(N(DJ335)&gt;0,DG335,CZ335)</f>
        <v/>
      </c>
      <c r="Q335" s="64">
        <f>IF(N(DJ335)&gt;0,DH335,DA335)</f>
        <v/>
      </c>
      <c r="R335" s="64">
        <f>IF(N(DJ335)&gt;0,DI335,DB335)</f>
        <v/>
      </c>
      <c r="S335" s="64">
        <f>IF(N(DJ335)&gt;0,DJ335,DC335)</f>
        <v/>
      </c>
      <c r="T335" s="64">
        <f>INDEX(Projects[Currency],334)&amp;""</f>
        <v/>
      </c>
      <c r="U335" s="65">
        <f>INDEX(Projects[Sold Value (M)],334)</f>
        <v/>
      </c>
      <c r="V335" s="64">
        <f>IF('Smart Search'!B13=1,IFERROR(1/'Smart Search'!H13,0),0)</f>
        <v/>
      </c>
      <c r="W335" s="64">
        <f>IF('Smart Search'!B13=1,IFERROR(1/'Smart Search'!H13,0),0)</f>
        <v/>
      </c>
      <c r="X335" s="64">
        <f>IF('Smart Search'!C13=1,IFERROR(1/'Smart Search'!H13,0),0)</f>
        <v/>
      </c>
      <c r="Y335" s="64">
        <f>IF('Smart Search'!C13=1,IFERROR(1/'Smart Search'!H13,0),0)</f>
        <v/>
      </c>
      <c r="Z335" s="64">
        <f>IF('Smart Search'!D13=1,IFERROR(1/'Smart Search'!H13,0),0)</f>
        <v/>
      </c>
      <c r="AA335" s="64">
        <f>IF('Smart Search'!D13=1,IFERROR(1/'Smart Search'!H13,0),0)</f>
        <v/>
      </c>
      <c r="AB335" s="64">
        <f>IF('Smart Search'!E13=1,IFERROR(1/'Smart Search'!H13,0),0)</f>
        <v/>
      </c>
      <c r="AC335" s="64">
        <f>IF('Smart Search'!E13=1,IFERROR(1/'Smart Search'!H13,0),0)</f>
        <v/>
      </c>
      <c r="AD335" s="64">
        <f>IF('Smart Search'!F13=1,IFERROR(1/'Smart Search'!H13,0),0)</f>
        <v/>
      </c>
      <c r="AE335" s="64">
        <f>IF('Smart Search'!F13=1,IFERROR(1/'Smart Search'!H13,0),0)</f>
        <v/>
      </c>
      <c r="AF335" s="64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4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4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4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4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4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4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4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4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4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4">
        <f>AF335*V335</f>
        <v/>
      </c>
      <c r="AQ335" s="64">
        <f>AG335*W335</f>
        <v/>
      </c>
      <c r="AR335" s="64">
        <f>AH335*X335</f>
        <v/>
      </c>
      <c r="AS335" s="64">
        <f>AI335*Y335</f>
        <v/>
      </c>
      <c r="AT335" s="64">
        <f>AJ335*Z335</f>
        <v/>
      </c>
      <c r="AU335" s="64">
        <f>AK335*AA335</f>
        <v/>
      </c>
      <c r="AV335" s="64">
        <f>AL335*AB335</f>
        <v/>
      </c>
      <c r="AW335" s="64">
        <f>AM335*AC335</f>
        <v/>
      </c>
      <c r="AX335" s="64">
        <f>AN335*AD335</f>
        <v/>
      </c>
      <c r="AY335" s="64">
        <f>AO335*AE335</f>
        <v/>
      </c>
      <c r="AZ335" s="64">
        <f>INDEX(Projects[Automation Equipment],334)&amp;""</f>
        <v/>
      </c>
      <c r="BA335" s="64">
        <f>IF(OR(A335="",'Smart Search'!H13=0),"",MAX(0,BE335*BF335*MAX(0,1-BG335)))</f>
        <v/>
      </c>
      <c r="BB335" s="64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4">
        <f>IF('Smart Search'!G13=1,IFERROR(1/'Smart Search'!H13,0),0)</f>
        <v/>
      </c>
      <c r="BD335" s="64">
        <f>BB335*BC335</f>
        <v/>
      </c>
      <c r="BE335" s="64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IF(A335="","",N(INDEX(Projects[Act Mech Inst],334)))</f>
        <v/>
      </c>
      <c r="BK335" s="5">
        <f>IF(A335="","",N(INDEX(Projects[Act Elec Inst],334)))</f>
        <v/>
      </c>
      <c r="BL335" s="5">
        <f>IF(A335="","",N(INDEX(Projects[Act Project Management],334)))</f>
        <v/>
      </c>
      <c r="BM335" s="5">
        <f>IF(A335="","",N(INDEX(Projects[Act Systems Eng],334)))</f>
        <v/>
      </c>
      <c r="BN335" s="5">
        <f>IF(A335="","",N(INDEX(Projects[Act Mechanical Eng],334)))</f>
        <v/>
      </c>
      <c r="BO335" s="5">
        <f>IF(A335="","",N(INDEX(Projects[Act Structural Engineering],334)))</f>
        <v/>
      </c>
      <c r="BP335" s="5">
        <f>IF(A335="","",N(INDEX(Projects[Act Site Sup],334)))</f>
        <v/>
      </c>
      <c r="BQ335" s="5">
        <f>IF(A335="","",N(INDEX(Projects[Act Controls Commissioning],334)))</f>
        <v/>
      </c>
      <c r="BR335" s="5">
        <f>IF(A335="","",N(INDEX(Projects[Act Systems Commissioning],334)))</f>
        <v/>
      </c>
      <c r="BS335" s="5">
        <f>IF(A335="","",N(INDEX(Projects[Act Service Commissioning],334)))</f>
        <v/>
      </c>
      <c r="BT335" s="5">
        <f>IF(A335="","",N(INDEX(Projects[Act Controls Eng],334)))</f>
        <v/>
      </c>
      <c r="BU335" s="5">
        <f>IF(A335="","",N(INDEX(Projects[Act Controls Purchase],334)))</f>
        <v/>
      </c>
      <c r="BV335" s="5">
        <f>IF(A335="","",N(INDEX(Projects[Act Software Eng],334)))</f>
        <v/>
      </c>
      <c r="BW335" s="5">
        <f>IF(A335="","",N(INDEX(Projects[Act 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INDEX(Projects[Sold Value (USD M)],334)</f>
        <v/>
      </c>
      <c r="CE335" s="5" t="n"/>
      <c r="CF335" s="5">
        <f>IF(A335="","",N(INDEX(Projects[Est Mech Inst],334)))</f>
        <v/>
      </c>
      <c r="CG335" s="5">
        <f>IF(A335="","",N(INDEX(Projects[Est Elec Inst],334)))</f>
        <v/>
      </c>
      <c r="CH335" s="5">
        <f>IF(A335="","",N(INDEX(Projects[Est Project Management],334)))</f>
        <v/>
      </c>
      <c r="CI335" s="5">
        <f>IF(A335="","",N(INDEX(Projects[Est Systems Eng],334)))</f>
        <v/>
      </c>
      <c r="CJ335" s="5">
        <f>IF(A335="","",N(INDEX(Projects[Est Mechanical Eng],334)))</f>
        <v/>
      </c>
      <c r="CK335" s="5">
        <f>IF(A335="","",N(INDEX(Projects[Est Structural Engineering],334)))</f>
        <v/>
      </c>
      <c r="CL335" s="5">
        <f>IF(A335="","",N(INDEX(Projects[Est Site Sup],334)))</f>
        <v/>
      </c>
      <c r="CM335" s="5">
        <f>IF(A335="","",N(INDEX(Projects[Est Controls Commissioning],334)))</f>
        <v/>
      </c>
      <c r="CN335" s="5">
        <f>IF(A335="","",N(INDEX(Projects[Est Systems Commissioning],334)))</f>
        <v/>
      </c>
      <c r="CO335" s="5">
        <f>IF(A335="","",N(INDEX(Projects[Est Service Commissioning],334)))</f>
        <v/>
      </c>
      <c r="CP335" s="5">
        <f>IF(A335="","",N(INDEX(Projects[Est Controls Eng],334)))</f>
        <v/>
      </c>
      <c r="CQ335" s="5">
        <f>IF(A335="","",N(INDEX(Projects[Est Controls Purchase],334)))</f>
        <v/>
      </c>
      <c r="CR335" s="5">
        <f>IF(A335="","",N(INDEX(Projects[Est Software Eng],334)))</f>
        <v/>
      </c>
      <c r="CS335" s="5">
        <f>IF(A335="","",N(INDEX(Projects[Est Misc],334)))</f>
        <v/>
      </c>
      <c r="CT335" s="5">
        <f>IF(A335="","",SUM(CF335:CS335))</f>
        <v/>
      </c>
      <c r="CU335" s="5">
        <f>INDEX(Projects[Est Cost (M)],334)</f>
        <v/>
      </c>
      <c r="CV335" s="5">
        <f>INDEX(Projects[Act Cost (M)],334)</f>
        <v/>
      </c>
      <c r="CW335" s="5">
        <f>INDEX(Projects[Plan Mech Eng (wks)],334)</f>
        <v/>
      </c>
      <c r="CX335" s="5">
        <f>INDEX(Projects[Plan Controls Eng (wks)],334)</f>
        <v/>
      </c>
      <c r="CY335" s="5">
        <f>INDEX(Projects[Plan Systems Eng (wks)],334)</f>
        <v/>
      </c>
      <c r="CZ335" s="5">
        <f>INDEX(Projects[Plan Software Eng (wks)],334)</f>
        <v/>
      </c>
      <c r="DA335" s="5">
        <f>INDEX(Projects[Plan M&amp;E Installation (wks)],334)</f>
        <v/>
      </c>
      <c r="DB335" s="5">
        <f>INDEX(Projects[Plan Commissioning (wks)],334)</f>
        <v/>
      </c>
      <c r="DC335" s="5">
        <f>INDEX(Projects[Plan Total (wks)],334)</f>
        <v/>
      </c>
      <c r="DD335" s="5">
        <f>INDEX(Projects[Act Mech Eng (wks)],334)</f>
        <v/>
      </c>
      <c r="DE335" s="5">
        <f>INDEX(Projects[Act Controls Eng (wks)],334)</f>
        <v/>
      </c>
      <c r="DF335" s="5">
        <f>INDEX(Projects[Act Systems Eng (wks)],334)</f>
        <v/>
      </c>
      <c r="DG335" s="5">
        <f>INDEX(Projects[Act Software Eng (wks)],334)</f>
        <v/>
      </c>
      <c r="DH335" s="5">
        <f>INDEX(Projects[Act M&amp;E Installation (wks)],334)</f>
        <v/>
      </c>
      <c r="DI335" s="5">
        <f>INDEX(Projects[Act Commissioning (wks)],334)</f>
        <v/>
      </c>
      <c r="DJ335" s="5">
        <f>INDEX(Projects[Act Total (wks)],334)</f>
        <v/>
      </c>
    </row>
    <row r="336" ht="15" customHeight="1" s="82">
      <c r="A336" s="64">
        <f>INDEX(Projects[Project ID *],335)&amp;""</f>
        <v/>
      </c>
      <c r="B336" s="64">
        <f>INDEX(Projects[Project Name *],335)&amp;""</f>
        <v/>
      </c>
      <c r="C336" s="64">
        <f>INDEX(Projects[MS Shuttles],335)</f>
        <v/>
      </c>
      <c r="D336" s="64">
        <f>INDEX(Projects[MS Tote Locations],335)</f>
        <v/>
      </c>
      <c r="E336" s="64">
        <f>INDEX(Projects[AS Robots],335)</f>
        <v/>
      </c>
      <c r="F336" s="64">
        <f>INDEX(Projects[AS Tote Locations],335)</f>
        <v/>
      </c>
      <c r="G336" s="64">
        <f>INDEX(Projects[PS Shuttles],335)</f>
        <v/>
      </c>
      <c r="H336" s="64">
        <f>INDEX(Projects[PS Pallet Locations],335)</f>
        <v/>
      </c>
      <c r="I336" s="64">
        <f>INDEX(Projects[SRM Cranes],335)</f>
        <v/>
      </c>
      <c r="J336" s="64">
        <f>INDEX(Projects[SRM Pallet Locations],335)</f>
        <v/>
      </c>
      <c r="K336" s="64">
        <f>INDEX(Projects[Case Conv (m)],335)</f>
        <v/>
      </c>
      <c r="L336" s="64">
        <f>INDEX(Projects[Pallet Conv (m)],335)</f>
        <v/>
      </c>
      <c r="M336" s="64">
        <f>IF(N(DJ336)&gt;0,DD336,CW336)</f>
        <v/>
      </c>
      <c r="N336" s="64">
        <f>IF(N(DJ336)&gt;0,DE336,CX336)</f>
        <v/>
      </c>
      <c r="O336" s="64">
        <f>IF(N(DJ336)&gt;0,DF336,CY336)</f>
        <v/>
      </c>
      <c r="P336" s="64">
        <f>IF(N(DJ336)&gt;0,DG336,CZ336)</f>
        <v/>
      </c>
      <c r="Q336" s="64">
        <f>IF(N(DJ336)&gt;0,DH336,DA336)</f>
        <v/>
      </c>
      <c r="R336" s="64">
        <f>IF(N(DJ336)&gt;0,DI336,DB336)</f>
        <v/>
      </c>
      <c r="S336" s="64">
        <f>IF(N(DJ336)&gt;0,DJ336,DC336)</f>
        <v/>
      </c>
      <c r="T336" s="64">
        <f>INDEX(Projects[Currency],335)&amp;""</f>
        <v/>
      </c>
      <c r="U336" s="65">
        <f>INDEX(Projects[Sold Value (M)],335)</f>
        <v/>
      </c>
      <c r="V336" s="64">
        <f>IF('Smart Search'!B13=1,IFERROR(1/'Smart Search'!H13,0),0)</f>
        <v/>
      </c>
      <c r="W336" s="64">
        <f>IF('Smart Search'!B13=1,IFERROR(1/'Smart Search'!H13,0),0)</f>
        <v/>
      </c>
      <c r="X336" s="64">
        <f>IF('Smart Search'!C13=1,IFERROR(1/'Smart Search'!H13,0),0)</f>
        <v/>
      </c>
      <c r="Y336" s="64">
        <f>IF('Smart Search'!C13=1,IFERROR(1/'Smart Search'!H13,0),0)</f>
        <v/>
      </c>
      <c r="Z336" s="64">
        <f>IF('Smart Search'!D13=1,IFERROR(1/'Smart Search'!H13,0),0)</f>
        <v/>
      </c>
      <c r="AA336" s="64">
        <f>IF('Smart Search'!D13=1,IFERROR(1/'Smart Search'!H13,0),0)</f>
        <v/>
      </c>
      <c r="AB336" s="64">
        <f>IF('Smart Search'!E13=1,IFERROR(1/'Smart Search'!H13,0),0)</f>
        <v/>
      </c>
      <c r="AC336" s="64">
        <f>IF('Smart Search'!E13=1,IFERROR(1/'Smart Search'!H13,0),0)</f>
        <v/>
      </c>
      <c r="AD336" s="64">
        <f>IF('Smart Search'!F13=1,IFERROR(1/'Smart Search'!H13,0),0)</f>
        <v/>
      </c>
      <c r="AE336" s="64">
        <f>IF('Smart Search'!F13=1,IFERROR(1/'Smart Search'!H13,0),0)</f>
        <v/>
      </c>
      <c r="AF336" s="64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4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4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4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4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4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4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4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4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4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4">
        <f>AF336*V336</f>
        <v/>
      </c>
      <c r="AQ336" s="64">
        <f>AG336*W336</f>
        <v/>
      </c>
      <c r="AR336" s="64">
        <f>AH336*X336</f>
        <v/>
      </c>
      <c r="AS336" s="64">
        <f>AI336*Y336</f>
        <v/>
      </c>
      <c r="AT336" s="64">
        <f>AJ336*Z336</f>
        <v/>
      </c>
      <c r="AU336" s="64">
        <f>AK336*AA336</f>
        <v/>
      </c>
      <c r="AV336" s="64">
        <f>AL336*AB336</f>
        <v/>
      </c>
      <c r="AW336" s="64">
        <f>AM336*AC336</f>
        <v/>
      </c>
      <c r="AX336" s="64">
        <f>AN336*AD336</f>
        <v/>
      </c>
      <c r="AY336" s="64">
        <f>AO336*AE336</f>
        <v/>
      </c>
      <c r="AZ336" s="64">
        <f>INDEX(Projects[Automation Equipment],335)&amp;""</f>
        <v/>
      </c>
      <c r="BA336" s="64">
        <f>IF(OR(A336="",'Smart Search'!H13=0),"",MAX(0,BE336*BF336*MAX(0,1-BG336)))</f>
        <v/>
      </c>
      <c r="BB336" s="64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4">
        <f>IF('Smart Search'!G13=1,IFERROR(1/'Smart Search'!H13,0),0)</f>
        <v/>
      </c>
      <c r="BD336" s="64">
        <f>BB336*BC336</f>
        <v/>
      </c>
      <c r="BE336" s="64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IF(A336="","",N(INDEX(Projects[Act Mech Inst],335)))</f>
        <v/>
      </c>
      <c r="BK336" s="5">
        <f>IF(A336="","",N(INDEX(Projects[Act Elec Inst],335)))</f>
        <v/>
      </c>
      <c r="BL336" s="5">
        <f>IF(A336="","",N(INDEX(Projects[Act Project Management],335)))</f>
        <v/>
      </c>
      <c r="BM336" s="5">
        <f>IF(A336="","",N(INDEX(Projects[Act Systems Eng],335)))</f>
        <v/>
      </c>
      <c r="BN336" s="5">
        <f>IF(A336="","",N(INDEX(Projects[Act Mechanical Eng],335)))</f>
        <v/>
      </c>
      <c r="BO336" s="5">
        <f>IF(A336="","",N(INDEX(Projects[Act Structural Engineering],335)))</f>
        <v/>
      </c>
      <c r="BP336" s="5">
        <f>IF(A336="","",N(INDEX(Projects[Act Site Sup],335)))</f>
        <v/>
      </c>
      <c r="BQ336" s="5">
        <f>IF(A336="","",N(INDEX(Projects[Act Controls Commissioning],335)))</f>
        <v/>
      </c>
      <c r="BR336" s="5">
        <f>IF(A336="","",N(INDEX(Projects[Act Systems Commissioning],335)))</f>
        <v/>
      </c>
      <c r="BS336" s="5">
        <f>IF(A336="","",N(INDEX(Projects[Act Service Commissioning],335)))</f>
        <v/>
      </c>
      <c r="BT336" s="5">
        <f>IF(A336="","",N(INDEX(Projects[Act Controls Eng],335)))</f>
        <v/>
      </c>
      <c r="BU336" s="5">
        <f>IF(A336="","",N(INDEX(Projects[Act Controls Purchase],335)))</f>
        <v/>
      </c>
      <c r="BV336" s="5">
        <f>IF(A336="","",N(INDEX(Projects[Act Software Eng],335)))</f>
        <v/>
      </c>
      <c r="BW336" s="5">
        <f>IF(A336="","",N(INDEX(Projects[Act 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INDEX(Projects[Sold Value (USD M)],335)</f>
        <v/>
      </c>
      <c r="CE336" s="5" t="n"/>
      <c r="CF336" s="5">
        <f>IF(A336="","",N(INDEX(Projects[Est Mech Inst],335)))</f>
        <v/>
      </c>
      <c r="CG336" s="5">
        <f>IF(A336="","",N(INDEX(Projects[Est Elec Inst],335)))</f>
        <v/>
      </c>
      <c r="CH336" s="5">
        <f>IF(A336="","",N(INDEX(Projects[Est Project Management],335)))</f>
        <v/>
      </c>
      <c r="CI336" s="5">
        <f>IF(A336="","",N(INDEX(Projects[Est Systems Eng],335)))</f>
        <v/>
      </c>
      <c r="CJ336" s="5">
        <f>IF(A336="","",N(INDEX(Projects[Est Mechanical Eng],335)))</f>
        <v/>
      </c>
      <c r="CK336" s="5">
        <f>IF(A336="","",N(INDEX(Projects[Est Structural Engineering],335)))</f>
        <v/>
      </c>
      <c r="CL336" s="5">
        <f>IF(A336="","",N(INDEX(Projects[Est Site Sup],335)))</f>
        <v/>
      </c>
      <c r="CM336" s="5">
        <f>IF(A336="","",N(INDEX(Projects[Est Controls Commissioning],335)))</f>
        <v/>
      </c>
      <c r="CN336" s="5">
        <f>IF(A336="","",N(INDEX(Projects[Est Systems Commissioning],335)))</f>
        <v/>
      </c>
      <c r="CO336" s="5">
        <f>IF(A336="","",N(INDEX(Projects[Est Service Commissioning],335)))</f>
        <v/>
      </c>
      <c r="CP336" s="5">
        <f>IF(A336="","",N(INDEX(Projects[Est Controls Eng],335)))</f>
        <v/>
      </c>
      <c r="CQ336" s="5">
        <f>IF(A336="","",N(INDEX(Projects[Est Controls Purchase],335)))</f>
        <v/>
      </c>
      <c r="CR336" s="5">
        <f>IF(A336="","",N(INDEX(Projects[Est Software Eng],335)))</f>
        <v/>
      </c>
      <c r="CS336" s="5">
        <f>IF(A336="","",N(INDEX(Projects[Est Misc],335)))</f>
        <v/>
      </c>
      <c r="CT336" s="5">
        <f>IF(A336="","",SUM(CF336:CS336))</f>
        <v/>
      </c>
      <c r="CU336" s="5">
        <f>INDEX(Projects[Est Cost (M)],335)</f>
        <v/>
      </c>
      <c r="CV336" s="5">
        <f>INDEX(Projects[Act Cost (M)],335)</f>
        <v/>
      </c>
      <c r="CW336" s="5">
        <f>INDEX(Projects[Plan Mech Eng (wks)],335)</f>
        <v/>
      </c>
      <c r="CX336" s="5">
        <f>INDEX(Projects[Plan Controls Eng (wks)],335)</f>
        <v/>
      </c>
      <c r="CY336" s="5">
        <f>INDEX(Projects[Plan Systems Eng (wks)],335)</f>
        <v/>
      </c>
      <c r="CZ336" s="5">
        <f>INDEX(Projects[Plan Software Eng (wks)],335)</f>
        <v/>
      </c>
      <c r="DA336" s="5">
        <f>INDEX(Projects[Plan M&amp;E Installation (wks)],335)</f>
        <v/>
      </c>
      <c r="DB336" s="5">
        <f>INDEX(Projects[Plan Commissioning (wks)],335)</f>
        <v/>
      </c>
      <c r="DC336" s="5">
        <f>INDEX(Projects[Plan Total (wks)],335)</f>
        <v/>
      </c>
      <c r="DD336" s="5">
        <f>INDEX(Projects[Act Mech Eng (wks)],335)</f>
        <v/>
      </c>
      <c r="DE336" s="5">
        <f>INDEX(Projects[Act Controls Eng (wks)],335)</f>
        <v/>
      </c>
      <c r="DF336" s="5">
        <f>INDEX(Projects[Act Systems Eng (wks)],335)</f>
        <v/>
      </c>
      <c r="DG336" s="5">
        <f>INDEX(Projects[Act Software Eng (wks)],335)</f>
        <v/>
      </c>
      <c r="DH336" s="5">
        <f>INDEX(Projects[Act M&amp;E Installation (wks)],335)</f>
        <v/>
      </c>
      <c r="DI336" s="5">
        <f>INDEX(Projects[Act Commissioning (wks)],335)</f>
        <v/>
      </c>
      <c r="DJ336" s="5">
        <f>INDEX(Projects[Act Total (wks)],335)</f>
        <v/>
      </c>
    </row>
    <row r="337" ht="15" customHeight="1" s="82">
      <c r="A337" s="64">
        <f>INDEX(Projects[Project ID *],336)&amp;""</f>
        <v/>
      </c>
      <c r="B337" s="64">
        <f>INDEX(Projects[Project Name *],336)&amp;""</f>
        <v/>
      </c>
      <c r="C337" s="64">
        <f>INDEX(Projects[MS Shuttles],336)</f>
        <v/>
      </c>
      <c r="D337" s="64">
        <f>INDEX(Projects[MS Tote Locations],336)</f>
        <v/>
      </c>
      <c r="E337" s="64">
        <f>INDEX(Projects[AS Robots],336)</f>
        <v/>
      </c>
      <c r="F337" s="64">
        <f>INDEX(Projects[AS Tote Locations],336)</f>
        <v/>
      </c>
      <c r="G337" s="64">
        <f>INDEX(Projects[PS Shuttles],336)</f>
        <v/>
      </c>
      <c r="H337" s="64">
        <f>INDEX(Projects[PS Pallet Locations],336)</f>
        <v/>
      </c>
      <c r="I337" s="64">
        <f>INDEX(Projects[SRM Cranes],336)</f>
        <v/>
      </c>
      <c r="J337" s="64">
        <f>INDEX(Projects[SRM Pallet Locations],336)</f>
        <v/>
      </c>
      <c r="K337" s="64">
        <f>INDEX(Projects[Case Conv (m)],336)</f>
        <v/>
      </c>
      <c r="L337" s="64">
        <f>INDEX(Projects[Pallet Conv (m)],336)</f>
        <v/>
      </c>
      <c r="M337" s="64">
        <f>IF(N(DJ337)&gt;0,DD337,CW337)</f>
        <v/>
      </c>
      <c r="N337" s="64">
        <f>IF(N(DJ337)&gt;0,DE337,CX337)</f>
        <v/>
      </c>
      <c r="O337" s="64">
        <f>IF(N(DJ337)&gt;0,DF337,CY337)</f>
        <v/>
      </c>
      <c r="P337" s="64">
        <f>IF(N(DJ337)&gt;0,DG337,CZ337)</f>
        <v/>
      </c>
      <c r="Q337" s="64">
        <f>IF(N(DJ337)&gt;0,DH337,DA337)</f>
        <v/>
      </c>
      <c r="R337" s="64">
        <f>IF(N(DJ337)&gt;0,DI337,DB337)</f>
        <v/>
      </c>
      <c r="S337" s="64">
        <f>IF(N(DJ337)&gt;0,DJ337,DC337)</f>
        <v/>
      </c>
      <c r="T337" s="64">
        <f>INDEX(Projects[Currency],336)&amp;""</f>
        <v/>
      </c>
      <c r="U337" s="65">
        <f>INDEX(Projects[Sold Value (M)],336)</f>
        <v/>
      </c>
      <c r="V337" s="64">
        <f>IF('Smart Search'!B13=1,IFERROR(1/'Smart Search'!H13,0),0)</f>
        <v/>
      </c>
      <c r="W337" s="64">
        <f>IF('Smart Search'!B13=1,IFERROR(1/'Smart Search'!H13,0),0)</f>
        <v/>
      </c>
      <c r="X337" s="64">
        <f>IF('Smart Search'!C13=1,IFERROR(1/'Smart Search'!H13,0),0)</f>
        <v/>
      </c>
      <c r="Y337" s="64">
        <f>IF('Smart Search'!C13=1,IFERROR(1/'Smart Search'!H13,0),0)</f>
        <v/>
      </c>
      <c r="Z337" s="64">
        <f>IF('Smart Search'!D13=1,IFERROR(1/'Smart Search'!H13,0),0)</f>
        <v/>
      </c>
      <c r="AA337" s="64">
        <f>IF('Smart Search'!D13=1,IFERROR(1/'Smart Search'!H13,0),0)</f>
        <v/>
      </c>
      <c r="AB337" s="64">
        <f>IF('Smart Search'!E13=1,IFERROR(1/'Smart Search'!H13,0),0)</f>
        <v/>
      </c>
      <c r="AC337" s="64">
        <f>IF('Smart Search'!E13=1,IFERROR(1/'Smart Search'!H13,0),0)</f>
        <v/>
      </c>
      <c r="AD337" s="64">
        <f>IF('Smart Search'!F13=1,IFERROR(1/'Smart Search'!H13,0),0)</f>
        <v/>
      </c>
      <c r="AE337" s="64">
        <f>IF('Smart Search'!F13=1,IFERROR(1/'Smart Search'!H13,0),0)</f>
        <v/>
      </c>
      <c r="AF337" s="64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4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4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4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4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4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4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4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4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4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4">
        <f>AF337*V337</f>
        <v/>
      </c>
      <c r="AQ337" s="64">
        <f>AG337*W337</f>
        <v/>
      </c>
      <c r="AR337" s="64">
        <f>AH337*X337</f>
        <v/>
      </c>
      <c r="AS337" s="64">
        <f>AI337*Y337</f>
        <v/>
      </c>
      <c r="AT337" s="64">
        <f>AJ337*Z337</f>
        <v/>
      </c>
      <c r="AU337" s="64">
        <f>AK337*AA337</f>
        <v/>
      </c>
      <c r="AV337" s="64">
        <f>AL337*AB337</f>
        <v/>
      </c>
      <c r="AW337" s="64">
        <f>AM337*AC337</f>
        <v/>
      </c>
      <c r="AX337" s="64">
        <f>AN337*AD337</f>
        <v/>
      </c>
      <c r="AY337" s="64">
        <f>AO337*AE337</f>
        <v/>
      </c>
      <c r="AZ337" s="64">
        <f>INDEX(Projects[Automation Equipment],336)&amp;""</f>
        <v/>
      </c>
      <c r="BA337" s="64">
        <f>IF(OR(A337="",'Smart Search'!H13=0),"",MAX(0,BE337*BF337*MAX(0,1-BG337)))</f>
        <v/>
      </c>
      <c r="BB337" s="64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4">
        <f>IF('Smart Search'!G13=1,IFERROR(1/'Smart Search'!H13,0),0)</f>
        <v/>
      </c>
      <c r="BD337" s="64">
        <f>BB337*BC337</f>
        <v/>
      </c>
      <c r="BE337" s="64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IF(A337="","",N(INDEX(Projects[Act Mech Inst],336)))</f>
        <v/>
      </c>
      <c r="BK337" s="5">
        <f>IF(A337="","",N(INDEX(Projects[Act Elec Inst],336)))</f>
        <v/>
      </c>
      <c r="BL337" s="5">
        <f>IF(A337="","",N(INDEX(Projects[Act Project Management],336)))</f>
        <v/>
      </c>
      <c r="BM337" s="5">
        <f>IF(A337="","",N(INDEX(Projects[Act Systems Eng],336)))</f>
        <v/>
      </c>
      <c r="BN337" s="5">
        <f>IF(A337="","",N(INDEX(Projects[Act Mechanical Eng],336)))</f>
        <v/>
      </c>
      <c r="BO337" s="5">
        <f>IF(A337="","",N(INDEX(Projects[Act Structural Engineering],336)))</f>
        <v/>
      </c>
      <c r="BP337" s="5">
        <f>IF(A337="","",N(INDEX(Projects[Act Site Sup],336)))</f>
        <v/>
      </c>
      <c r="BQ337" s="5">
        <f>IF(A337="","",N(INDEX(Projects[Act Controls Commissioning],336)))</f>
        <v/>
      </c>
      <c r="BR337" s="5">
        <f>IF(A337="","",N(INDEX(Projects[Act Systems Commissioning],336)))</f>
        <v/>
      </c>
      <c r="BS337" s="5">
        <f>IF(A337="","",N(INDEX(Projects[Act Service Commissioning],336)))</f>
        <v/>
      </c>
      <c r="BT337" s="5">
        <f>IF(A337="","",N(INDEX(Projects[Act Controls Eng],336)))</f>
        <v/>
      </c>
      <c r="BU337" s="5">
        <f>IF(A337="","",N(INDEX(Projects[Act Controls Purchase],336)))</f>
        <v/>
      </c>
      <c r="BV337" s="5">
        <f>IF(A337="","",N(INDEX(Projects[Act Software Eng],336)))</f>
        <v/>
      </c>
      <c r="BW337" s="5">
        <f>IF(A337="","",N(INDEX(Projects[Act 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INDEX(Projects[Sold Value (USD M)],336)</f>
        <v/>
      </c>
      <c r="CE337" s="5" t="n"/>
      <c r="CF337" s="5">
        <f>IF(A337="","",N(INDEX(Projects[Est Mech Inst],336)))</f>
        <v/>
      </c>
      <c r="CG337" s="5">
        <f>IF(A337="","",N(INDEX(Projects[Est Elec Inst],336)))</f>
        <v/>
      </c>
      <c r="CH337" s="5">
        <f>IF(A337="","",N(INDEX(Projects[Est Project Management],336)))</f>
        <v/>
      </c>
      <c r="CI337" s="5">
        <f>IF(A337="","",N(INDEX(Projects[Est Systems Eng],336)))</f>
        <v/>
      </c>
      <c r="CJ337" s="5">
        <f>IF(A337="","",N(INDEX(Projects[Est Mechanical Eng],336)))</f>
        <v/>
      </c>
      <c r="CK337" s="5">
        <f>IF(A337="","",N(INDEX(Projects[Est Structural Engineering],336)))</f>
        <v/>
      </c>
      <c r="CL337" s="5">
        <f>IF(A337="","",N(INDEX(Projects[Est Site Sup],336)))</f>
        <v/>
      </c>
      <c r="CM337" s="5">
        <f>IF(A337="","",N(INDEX(Projects[Est Controls Commissioning],336)))</f>
        <v/>
      </c>
      <c r="CN337" s="5">
        <f>IF(A337="","",N(INDEX(Projects[Est Systems Commissioning],336)))</f>
        <v/>
      </c>
      <c r="CO337" s="5">
        <f>IF(A337="","",N(INDEX(Projects[Est Service Commissioning],336)))</f>
        <v/>
      </c>
      <c r="CP337" s="5">
        <f>IF(A337="","",N(INDEX(Projects[Est Controls Eng],336)))</f>
        <v/>
      </c>
      <c r="CQ337" s="5">
        <f>IF(A337="","",N(INDEX(Projects[Est Controls Purchase],336)))</f>
        <v/>
      </c>
      <c r="CR337" s="5">
        <f>IF(A337="","",N(INDEX(Projects[Est Software Eng],336)))</f>
        <v/>
      </c>
      <c r="CS337" s="5">
        <f>IF(A337="","",N(INDEX(Projects[Est Misc],336)))</f>
        <v/>
      </c>
      <c r="CT337" s="5">
        <f>IF(A337="","",SUM(CF337:CS337))</f>
        <v/>
      </c>
      <c r="CU337" s="5">
        <f>INDEX(Projects[Est Cost (M)],336)</f>
        <v/>
      </c>
      <c r="CV337" s="5">
        <f>INDEX(Projects[Act Cost (M)],336)</f>
        <v/>
      </c>
      <c r="CW337" s="5">
        <f>INDEX(Projects[Plan Mech Eng (wks)],336)</f>
        <v/>
      </c>
      <c r="CX337" s="5">
        <f>INDEX(Projects[Plan Controls Eng (wks)],336)</f>
        <v/>
      </c>
      <c r="CY337" s="5">
        <f>INDEX(Projects[Plan Systems Eng (wks)],336)</f>
        <v/>
      </c>
      <c r="CZ337" s="5">
        <f>INDEX(Projects[Plan Software Eng (wks)],336)</f>
        <v/>
      </c>
      <c r="DA337" s="5">
        <f>INDEX(Projects[Plan M&amp;E Installation (wks)],336)</f>
        <v/>
      </c>
      <c r="DB337" s="5">
        <f>INDEX(Projects[Plan Commissioning (wks)],336)</f>
        <v/>
      </c>
      <c r="DC337" s="5">
        <f>INDEX(Projects[Plan Total (wks)],336)</f>
        <v/>
      </c>
      <c r="DD337" s="5">
        <f>INDEX(Projects[Act Mech Eng (wks)],336)</f>
        <v/>
      </c>
      <c r="DE337" s="5">
        <f>INDEX(Projects[Act Controls Eng (wks)],336)</f>
        <v/>
      </c>
      <c r="DF337" s="5">
        <f>INDEX(Projects[Act Systems Eng (wks)],336)</f>
        <v/>
      </c>
      <c r="DG337" s="5">
        <f>INDEX(Projects[Act Software Eng (wks)],336)</f>
        <v/>
      </c>
      <c r="DH337" s="5">
        <f>INDEX(Projects[Act M&amp;E Installation (wks)],336)</f>
        <v/>
      </c>
      <c r="DI337" s="5">
        <f>INDEX(Projects[Act Commissioning (wks)],336)</f>
        <v/>
      </c>
      <c r="DJ337" s="5">
        <f>INDEX(Projects[Act Total (wks)],336)</f>
        <v/>
      </c>
    </row>
    <row r="338" ht="15" customHeight="1" s="82">
      <c r="A338" s="64">
        <f>INDEX(Projects[Project ID *],337)&amp;""</f>
        <v/>
      </c>
      <c r="B338" s="64">
        <f>INDEX(Projects[Project Name *],337)&amp;""</f>
        <v/>
      </c>
      <c r="C338" s="64">
        <f>INDEX(Projects[MS Shuttles],337)</f>
        <v/>
      </c>
      <c r="D338" s="64">
        <f>INDEX(Projects[MS Tote Locations],337)</f>
        <v/>
      </c>
      <c r="E338" s="64">
        <f>INDEX(Projects[AS Robots],337)</f>
        <v/>
      </c>
      <c r="F338" s="64">
        <f>INDEX(Projects[AS Tote Locations],337)</f>
        <v/>
      </c>
      <c r="G338" s="64">
        <f>INDEX(Projects[PS Shuttles],337)</f>
        <v/>
      </c>
      <c r="H338" s="64">
        <f>INDEX(Projects[PS Pallet Locations],337)</f>
        <v/>
      </c>
      <c r="I338" s="64">
        <f>INDEX(Projects[SRM Cranes],337)</f>
        <v/>
      </c>
      <c r="J338" s="64">
        <f>INDEX(Projects[SRM Pallet Locations],337)</f>
        <v/>
      </c>
      <c r="K338" s="64">
        <f>INDEX(Projects[Case Conv (m)],337)</f>
        <v/>
      </c>
      <c r="L338" s="64">
        <f>INDEX(Projects[Pallet Conv (m)],337)</f>
        <v/>
      </c>
      <c r="M338" s="64">
        <f>IF(N(DJ338)&gt;0,DD338,CW338)</f>
        <v/>
      </c>
      <c r="N338" s="64">
        <f>IF(N(DJ338)&gt;0,DE338,CX338)</f>
        <v/>
      </c>
      <c r="O338" s="64">
        <f>IF(N(DJ338)&gt;0,DF338,CY338)</f>
        <v/>
      </c>
      <c r="P338" s="64">
        <f>IF(N(DJ338)&gt;0,DG338,CZ338)</f>
        <v/>
      </c>
      <c r="Q338" s="64">
        <f>IF(N(DJ338)&gt;0,DH338,DA338)</f>
        <v/>
      </c>
      <c r="R338" s="64">
        <f>IF(N(DJ338)&gt;0,DI338,DB338)</f>
        <v/>
      </c>
      <c r="S338" s="64">
        <f>IF(N(DJ338)&gt;0,DJ338,DC338)</f>
        <v/>
      </c>
      <c r="T338" s="64">
        <f>INDEX(Projects[Currency],337)&amp;""</f>
        <v/>
      </c>
      <c r="U338" s="65">
        <f>INDEX(Projects[Sold Value (M)],337)</f>
        <v/>
      </c>
      <c r="V338" s="64">
        <f>IF('Smart Search'!B13=1,IFERROR(1/'Smart Search'!H13,0),0)</f>
        <v/>
      </c>
      <c r="W338" s="64">
        <f>IF('Smart Search'!B13=1,IFERROR(1/'Smart Search'!H13,0),0)</f>
        <v/>
      </c>
      <c r="X338" s="64">
        <f>IF('Smart Search'!C13=1,IFERROR(1/'Smart Search'!H13,0),0)</f>
        <v/>
      </c>
      <c r="Y338" s="64">
        <f>IF('Smart Search'!C13=1,IFERROR(1/'Smart Search'!H13,0),0)</f>
        <v/>
      </c>
      <c r="Z338" s="64">
        <f>IF('Smart Search'!D13=1,IFERROR(1/'Smart Search'!H13,0),0)</f>
        <v/>
      </c>
      <c r="AA338" s="64">
        <f>IF('Smart Search'!D13=1,IFERROR(1/'Smart Search'!H13,0),0)</f>
        <v/>
      </c>
      <c r="AB338" s="64">
        <f>IF('Smart Search'!E13=1,IFERROR(1/'Smart Search'!H13,0),0)</f>
        <v/>
      </c>
      <c r="AC338" s="64">
        <f>IF('Smart Search'!E13=1,IFERROR(1/'Smart Search'!H13,0),0)</f>
        <v/>
      </c>
      <c r="AD338" s="64">
        <f>IF('Smart Search'!F13=1,IFERROR(1/'Smart Search'!H13,0),0)</f>
        <v/>
      </c>
      <c r="AE338" s="64">
        <f>IF('Smart Search'!F13=1,IFERROR(1/'Smart Search'!H13,0),0)</f>
        <v/>
      </c>
      <c r="AF338" s="64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4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4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4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4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4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4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4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4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4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4">
        <f>AF338*V338</f>
        <v/>
      </c>
      <c r="AQ338" s="64">
        <f>AG338*W338</f>
        <v/>
      </c>
      <c r="AR338" s="64">
        <f>AH338*X338</f>
        <v/>
      </c>
      <c r="AS338" s="64">
        <f>AI338*Y338</f>
        <v/>
      </c>
      <c r="AT338" s="64">
        <f>AJ338*Z338</f>
        <v/>
      </c>
      <c r="AU338" s="64">
        <f>AK338*AA338</f>
        <v/>
      </c>
      <c r="AV338" s="64">
        <f>AL338*AB338</f>
        <v/>
      </c>
      <c r="AW338" s="64">
        <f>AM338*AC338</f>
        <v/>
      </c>
      <c r="AX338" s="64">
        <f>AN338*AD338</f>
        <v/>
      </c>
      <c r="AY338" s="64">
        <f>AO338*AE338</f>
        <v/>
      </c>
      <c r="AZ338" s="64">
        <f>INDEX(Projects[Automation Equipment],337)&amp;""</f>
        <v/>
      </c>
      <c r="BA338" s="64">
        <f>IF(OR(A338="",'Smart Search'!H13=0),"",MAX(0,BE338*BF338*MAX(0,1-BG338)))</f>
        <v/>
      </c>
      <c r="BB338" s="64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4">
        <f>IF('Smart Search'!G13=1,IFERROR(1/'Smart Search'!H13,0),0)</f>
        <v/>
      </c>
      <c r="BD338" s="64">
        <f>BB338*BC338</f>
        <v/>
      </c>
      <c r="BE338" s="64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IF(A338="","",N(INDEX(Projects[Act Mech Inst],337)))</f>
        <v/>
      </c>
      <c r="BK338" s="5">
        <f>IF(A338="","",N(INDEX(Projects[Act Elec Inst],337)))</f>
        <v/>
      </c>
      <c r="BL338" s="5">
        <f>IF(A338="","",N(INDEX(Projects[Act Project Management],337)))</f>
        <v/>
      </c>
      <c r="BM338" s="5">
        <f>IF(A338="","",N(INDEX(Projects[Act Systems Eng],337)))</f>
        <v/>
      </c>
      <c r="BN338" s="5">
        <f>IF(A338="","",N(INDEX(Projects[Act Mechanical Eng],337)))</f>
        <v/>
      </c>
      <c r="BO338" s="5">
        <f>IF(A338="","",N(INDEX(Projects[Act Structural Engineering],337)))</f>
        <v/>
      </c>
      <c r="BP338" s="5">
        <f>IF(A338="","",N(INDEX(Projects[Act Site Sup],337)))</f>
        <v/>
      </c>
      <c r="BQ338" s="5">
        <f>IF(A338="","",N(INDEX(Projects[Act Controls Commissioning],337)))</f>
        <v/>
      </c>
      <c r="BR338" s="5">
        <f>IF(A338="","",N(INDEX(Projects[Act Systems Commissioning],337)))</f>
        <v/>
      </c>
      <c r="BS338" s="5">
        <f>IF(A338="","",N(INDEX(Projects[Act Service Commissioning],337)))</f>
        <v/>
      </c>
      <c r="BT338" s="5">
        <f>IF(A338="","",N(INDEX(Projects[Act Controls Eng],337)))</f>
        <v/>
      </c>
      <c r="BU338" s="5">
        <f>IF(A338="","",N(INDEX(Projects[Act Controls Purchase],337)))</f>
        <v/>
      </c>
      <c r="BV338" s="5">
        <f>IF(A338="","",N(INDEX(Projects[Act Software Eng],337)))</f>
        <v/>
      </c>
      <c r="BW338" s="5">
        <f>IF(A338="","",N(INDEX(Projects[Act 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INDEX(Projects[Sold Value (USD M)],337)</f>
        <v/>
      </c>
      <c r="CE338" s="5" t="n"/>
      <c r="CF338" s="5">
        <f>IF(A338="","",N(INDEX(Projects[Est Mech Inst],337)))</f>
        <v/>
      </c>
      <c r="CG338" s="5">
        <f>IF(A338="","",N(INDEX(Projects[Est Elec Inst],337)))</f>
        <v/>
      </c>
      <c r="CH338" s="5">
        <f>IF(A338="","",N(INDEX(Projects[Est Project Management],337)))</f>
        <v/>
      </c>
      <c r="CI338" s="5">
        <f>IF(A338="","",N(INDEX(Projects[Est Systems Eng],337)))</f>
        <v/>
      </c>
      <c r="CJ338" s="5">
        <f>IF(A338="","",N(INDEX(Projects[Est Mechanical Eng],337)))</f>
        <v/>
      </c>
      <c r="CK338" s="5">
        <f>IF(A338="","",N(INDEX(Projects[Est Structural Engineering],337)))</f>
        <v/>
      </c>
      <c r="CL338" s="5">
        <f>IF(A338="","",N(INDEX(Projects[Est Site Sup],337)))</f>
        <v/>
      </c>
      <c r="CM338" s="5">
        <f>IF(A338="","",N(INDEX(Projects[Est Controls Commissioning],337)))</f>
        <v/>
      </c>
      <c r="CN338" s="5">
        <f>IF(A338="","",N(INDEX(Projects[Est Systems Commissioning],337)))</f>
        <v/>
      </c>
      <c r="CO338" s="5">
        <f>IF(A338="","",N(INDEX(Projects[Est Service Commissioning],337)))</f>
        <v/>
      </c>
      <c r="CP338" s="5">
        <f>IF(A338="","",N(INDEX(Projects[Est Controls Eng],337)))</f>
        <v/>
      </c>
      <c r="CQ338" s="5">
        <f>IF(A338="","",N(INDEX(Projects[Est Controls Purchase],337)))</f>
        <v/>
      </c>
      <c r="CR338" s="5">
        <f>IF(A338="","",N(INDEX(Projects[Est Software Eng],337)))</f>
        <v/>
      </c>
      <c r="CS338" s="5">
        <f>IF(A338="","",N(INDEX(Projects[Est Misc],337)))</f>
        <v/>
      </c>
      <c r="CT338" s="5">
        <f>IF(A338="","",SUM(CF338:CS338))</f>
        <v/>
      </c>
      <c r="CU338" s="5">
        <f>INDEX(Projects[Est Cost (M)],337)</f>
        <v/>
      </c>
      <c r="CV338" s="5">
        <f>INDEX(Projects[Act Cost (M)],337)</f>
        <v/>
      </c>
      <c r="CW338" s="5">
        <f>INDEX(Projects[Plan Mech Eng (wks)],337)</f>
        <v/>
      </c>
      <c r="CX338" s="5">
        <f>INDEX(Projects[Plan Controls Eng (wks)],337)</f>
        <v/>
      </c>
      <c r="CY338" s="5">
        <f>INDEX(Projects[Plan Systems Eng (wks)],337)</f>
        <v/>
      </c>
      <c r="CZ338" s="5">
        <f>INDEX(Projects[Plan Software Eng (wks)],337)</f>
        <v/>
      </c>
      <c r="DA338" s="5">
        <f>INDEX(Projects[Plan M&amp;E Installation (wks)],337)</f>
        <v/>
      </c>
      <c r="DB338" s="5">
        <f>INDEX(Projects[Plan Commissioning (wks)],337)</f>
        <v/>
      </c>
      <c r="DC338" s="5">
        <f>INDEX(Projects[Plan Total (wks)],337)</f>
        <v/>
      </c>
      <c r="DD338" s="5">
        <f>INDEX(Projects[Act Mech Eng (wks)],337)</f>
        <v/>
      </c>
      <c r="DE338" s="5">
        <f>INDEX(Projects[Act Controls Eng (wks)],337)</f>
        <v/>
      </c>
      <c r="DF338" s="5">
        <f>INDEX(Projects[Act Systems Eng (wks)],337)</f>
        <v/>
      </c>
      <c r="DG338" s="5">
        <f>INDEX(Projects[Act Software Eng (wks)],337)</f>
        <v/>
      </c>
      <c r="DH338" s="5">
        <f>INDEX(Projects[Act M&amp;E Installation (wks)],337)</f>
        <v/>
      </c>
      <c r="DI338" s="5">
        <f>INDEX(Projects[Act Commissioning (wks)],337)</f>
        <v/>
      </c>
      <c r="DJ338" s="5">
        <f>INDEX(Projects[Act Total (wks)],337)</f>
        <v/>
      </c>
    </row>
    <row r="339" ht="15" customHeight="1" s="82">
      <c r="A339" s="64">
        <f>INDEX(Projects[Project ID *],338)&amp;""</f>
        <v/>
      </c>
      <c r="B339" s="64">
        <f>INDEX(Projects[Project Name *],338)&amp;""</f>
        <v/>
      </c>
      <c r="C339" s="64">
        <f>INDEX(Projects[MS Shuttles],338)</f>
        <v/>
      </c>
      <c r="D339" s="64">
        <f>INDEX(Projects[MS Tote Locations],338)</f>
        <v/>
      </c>
      <c r="E339" s="64">
        <f>INDEX(Projects[AS Robots],338)</f>
        <v/>
      </c>
      <c r="F339" s="64">
        <f>INDEX(Projects[AS Tote Locations],338)</f>
        <v/>
      </c>
      <c r="G339" s="64">
        <f>INDEX(Projects[PS Shuttles],338)</f>
        <v/>
      </c>
      <c r="H339" s="64">
        <f>INDEX(Projects[PS Pallet Locations],338)</f>
        <v/>
      </c>
      <c r="I339" s="64">
        <f>INDEX(Projects[SRM Cranes],338)</f>
        <v/>
      </c>
      <c r="J339" s="64">
        <f>INDEX(Projects[SRM Pallet Locations],338)</f>
        <v/>
      </c>
      <c r="K339" s="64">
        <f>INDEX(Projects[Case Conv (m)],338)</f>
        <v/>
      </c>
      <c r="L339" s="64">
        <f>INDEX(Projects[Pallet Conv (m)],338)</f>
        <v/>
      </c>
      <c r="M339" s="64">
        <f>IF(N(DJ339)&gt;0,DD339,CW339)</f>
        <v/>
      </c>
      <c r="N339" s="64">
        <f>IF(N(DJ339)&gt;0,DE339,CX339)</f>
        <v/>
      </c>
      <c r="O339" s="64">
        <f>IF(N(DJ339)&gt;0,DF339,CY339)</f>
        <v/>
      </c>
      <c r="P339" s="64">
        <f>IF(N(DJ339)&gt;0,DG339,CZ339)</f>
        <v/>
      </c>
      <c r="Q339" s="64">
        <f>IF(N(DJ339)&gt;0,DH339,DA339)</f>
        <v/>
      </c>
      <c r="R339" s="64">
        <f>IF(N(DJ339)&gt;0,DI339,DB339)</f>
        <v/>
      </c>
      <c r="S339" s="64">
        <f>IF(N(DJ339)&gt;0,DJ339,DC339)</f>
        <v/>
      </c>
      <c r="T339" s="64">
        <f>INDEX(Projects[Currency],338)&amp;""</f>
        <v/>
      </c>
      <c r="U339" s="65">
        <f>INDEX(Projects[Sold Value (M)],338)</f>
        <v/>
      </c>
      <c r="V339" s="64">
        <f>IF('Smart Search'!B13=1,IFERROR(1/'Smart Search'!H13,0),0)</f>
        <v/>
      </c>
      <c r="W339" s="64">
        <f>IF('Smart Search'!B13=1,IFERROR(1/'Smart Search'!H13,0),0)</f>
        <v/>
      </c>
      <c r="X339" s="64">
        <f>IF('Smart Search'!C13=1,IFERROR(1/'Smart Search'!H13,0),0)</f>
        <v/>
      </c>
      <c r="Y339" s="64">
        <f>IF('Smart Search'!C13=1,IFERROR(1/'Smart Search'!H13,0),0)</f>
        <v/>
      </c>
      <c r="Z339" s="64">
        <f>IF('Smart Search'!D13=1,IFERROR(1/'Smart Search'!H13,0),0)</f>
        <v/>
      </c>
      <c r="AA339" s="64">
        <f>IF('Smart Search'!D13=1,IFERROR(1/'Smart Search'!H13,0),0)</f>
        <v/>
      </c>
      <c r="AB339" s="64">
        <f>IF('Smart Search'!E13=1,IFERROR(1/'Smart Search'!H13,0),0)</f>
        <v/>
      </c>
      <c r="AC339" s="64">
        <f>IF('Smart Search'!E13=1,IFERROR(1/'Smart Search'!H13,0),0)</f>
        <v/>
      </c>
      <c r="AD339" s="64">
        <f>IF('Smart Search'!F13=1,IFERROR(1/'Smart Search'!H13,0),0)</f>
        <v/>
      </c>
      <c r="AE339" s="64">
        <f>IF('Smart Search'!F13=1,IFERROR(1/'Smart Search'!H13,0),0)</f>
        <v/>
      </c>
      <c r="AF339" s="64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4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4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4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4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4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4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4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4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4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4">
        <f>AF339*V339</f>
        <v/>
      </c>
      <c r="AQ339" s="64">
        <f>AG339*W339</f>
        <v/>
      </c>
      <c r="AR339" s="64">
        <f>AH339*X339</f>
        <v/>
      </c>
      <c r="AS339" s="64">
        <f>AI339*Y339</f>
        <v/>
      </c>
      <c r="AT339" s="64">
        <f>AJ339*Z339</f>
        <v/>
      </c>
      <c r="AU339" s="64">
        <f>AK339*AA339</f>
        <v/>
      </c>
      <c r="AV339" s="64">
        <f>AL339*AB339</f>
        <v/>
      </c>
      <c r="AW339" s="64">
        <f>AM339*AC339</f>
        <v/>
      </c>
      <c r="AX339" s="64">
        <f>AN339*AD339</f>
        <v/>
      </c>
      <c r="AY339" s="64">
        <f>AO339*AE339</f>
        <v/>
      </c>
      <c r="AZ339" s="64">
        <f>INDEX(Projects[Automation Equipment],338)&amp;""</f>
        <v/>
      </c>
      <c r="BA339" s="64">
        <f>IF(OR(A339="",'Smart Search'!H13=0),"",MAX(0,BE339*BF339*MAX(0,1-BG339)))</f>
        <v/>
      </c>
      <c r="BB339" s="64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4">
        <f>IF('Smart Search'!G13=1,IFERROR(1/'Smart Search'!H13,0),0)</f>
        <v/>
      </c>
      <c r="BD339" s="64">
        <f>BB339*BC339</f>
        <v/>
      </c>
      <c r="BE339" s="64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IF(A339="","",N(INDEX(Projects[Act Mech Inst],338)))</f>
        <v/>
      </c>
      <c r="BK339" s="5">
        <f>IF(A339="","",N(INDEX(Projects[Act Elec Inst],338)))</f>
        <v/>
      </c>
      <c r="BL339" s="5">
        <f>IF(A339="","",N(INDEX(Projects[Act Project Management],338)))</f>
        <v/>
      </c>
      <c r="BM339" s="5">
        <f>IF(A339="","",N(INDEX(Projects[Act Systems Eng],338)))</f>
        <v/>
      </c>
      <c r="BN339" s="5">
        <f>IF(A339="","",N(INDEX(Projects[Act Mechanical Eng],338)))</f>
        <v/>
      </c>
      <c r="BO339" s="5">
        <f>IF(A339="","",N(INDEX(Projects[Act Structural Engineering],338)))</f>
        <v/>
      </c>
      <c r="BP339" s="5">
        <f>IF(A339="","",N(INDEX(Projects[Act Site Sup],338)))</f>
        <v/>
      </c>
      <c r="BQ339" s="5">
        <f>IF(A339="","",N(INDEX(Projects[Act Controls Commissioning],338)))</f>
        <v/>
      </c>
      <c r="BR339" s="5">
        <f>IF(A339="","",N(INDEX(Projects[Act Systems Commissioning],338)))</f>
        <v/>
      </c>
      <c r="BS339" s="5">
        <f>IF(A339="","",N(INDEX(Projects[Act Service Commissioning],338)))</f>
        <v/>
      </c>
      <c r="BT339" s="5">
        <f>IF(A339="","",N(INDEX(Projects[Act Controls Eng],338)))</f>
        <v/>
      </c>
      <c r="BU339" s="5">
        <f>IF(A339="","",N(INDEX(Projects[Act Controls Purchase],338)))</f>
        <v/>
      </c>
      <c r="BV339" s="5">
        <f>IF(A339="","",N(INDEX(Projects[Act Software Eng],338)))</f>
        <v/>
      </c>
      <c r="BW339" s="5">
        <f>IF(A339="","",N(INDEX(Projects[Act 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INDEX(Projects[Sold Value (USD M)],338)</f>
        <v/>
      </c>
      <c r="CE339" s="5" t="n"/>
      <c r="CF339" s="5">
        <f>IF(A339="","",N(INDEX(Projects[Est Mech Inst],338)))</f>
        <v/>
      </c>
      <c r="CG339" s="5">
        <f>IF(A339="","",N(INDEX(Projects[Est Elec Inst],338)))</f>
        <v/>
      </c>
      <c r="CH339" s="5">
        <f>IF(A339="","",N(INDEX(Projects[Est Project Management],338)))</f>
        <v/>
      </c>
      <c r="CI339" s="5">
        <f>IF(A339="","",N(INDEX(Projects[Est Systems Eng],338)))</f>
        <v/>
      </c>
      <c r="CJ339" s="5">
        <f>IF(A339="","",N(INDEX(Projects[Est Mechanical Eng],338)))</f>
        <v/>
      </c>
      <c r="CK339" s="5">
        <f>IF(A339="","",N(INDEX(Projects[Est Structural Engineering],338)))</f>
        <v/>
      </c>
      <c r="CL339" s="5">
        <f>IF(A339="","",N(INDEX(Projects[Est Site Sup],338)))</f>
        <v/>
      </c>
      <c r="CM339" s="5">
        <f>IF(A339="","",N(INDEX(Projects[Est Controls Commissioning],338)))</f>
        <v/>
      </c>
      <c r="CN339" s="5">
        <f>IF(A339="","",N(INDEX(Projects[Est Systems Commissioning],338)))</f>
        <v/>
      </c>
      <c r="CO339" s="5">
        <f>IF(A339="","",N(INDEX(Projects[Est Service Commissioning],338)))</f>
        <v/>
      </c>
      <c r="CP339" s="5">
        <f>IF(A339="","",N(INDEX(Projects[Est Controls Eng],338)))</f>
        <v/>
      </c>
      <c r="CQ339" s="5">
        <f>IF(A339="","",N(INDEX(Projects[Est Controls Purchase],338)))</f>
        <v/>
      </c>
      <c r="CR339" s="5">
        <f>IF(A339="","",N(INDEX(Projects[Est Software Eng],338)))</f>
        <v/>
      </c>
      <c r="CS339" s="5">
        <f>IF(A339="","",N(INDEX(Projects[Est Misc],338)))</f>
        <v/>
      </c>
      <c r="CT339" s="5">
        <f>IF(A339="","",SUM(CF339:CS339))</f>
        <v/>
      </c>
      <c r="CU339" s="5">
        <f>INDEX(Projects[Est Cost (M)],338)</f>
        <v/>
      </c>
      <c r="CV339" s="5">
        <f>INDEX(Projects[Act Cost (M)],338)</f>
        <v/>
      </c>
      <c r="CW339" s="5">
        <f>INDEX(Projects[Plan Mech Eng (wks)],338)</f>
        <v/>
      </c>
      <c r="CX339" s="5">
        <f>INDEX(Projects[Plan Controls Eng (wks)],338)</f>
        <v/>
      </c>
      <c r="CY339" s="5">
        <f>INDEX(Projects[Plan Systems Eng (wks)],338)</f>
        <v/>
      </c>
      <c r="CZ339" s="5">
        <f>INDEX(Projects[Plan Software Eng (wks)],338)</f>
        <v/>
      </c>
      <c r="DA339" s="5">
        <f>INDEX(Projects[Plan M&amp;E Installation (wks)],338)</f>
        <v/>
      </c>
      <c r="DB339" s="5">
        <f>INDEX(Projects[Plan Commissioning (wks)],338)</f>
        <v/>
      </c>
      <c r="DC339" s="5">
        <f>INDEX(Projects[Plan Total (wks)],338)</f>
        <v/>
      </c>
      <c r="DD339" s="5">
        <f>INDEX(Projects[Act Mech Eng (wks)],338)</f>
        <v/>
      </c>
      <c r="DE339" s="5">
        <f>INDEX(Projects[Act Controls Eng (wks)],338)</f>
        <v/>
      </c>
      <c r="DF339" s="5">
        <f>INDEX(Projects[Act Systems Eng (wks)],338)</f>
        <v/>
      </c>
      <c r="DG339" s="5">
        <f>INDEX(Projects[Act Software Eng (wks)],338)</f>
        <v/>
      </c>
      <c r="DH339" s="5">
        <f>INDEX(Projects[Act M&amp;E Installation (wks)],338)</f>
        <v/>
      </c>
      <c r="DI339" s="5">
        <f>INDEX(Projects[Act Commissioning (wks)],338)</f>
        <v/>
      </c>
      <c r="DJ339" s="5">
        <f>INDEX(Projects[Act Total (wks)],338)</f>
        <v/>
      </c>
    </row>
    <row r="340" ht="15" customHeight="1" s="82">
      <c r="A340" s="64">
        <f>INDEX(Projects[Project ID *],339)&amp;""</f>
        <v/>
      </c>
      <c r="B340" s="64">
        <f>INDEX(Projects[Project Name *],339)&amp;""</f>
        <v/>
      </c>
      <c r="C340" s="64">
        <f>INDEX(Projects[MS Shuttles],339)</f>
        <v/>
      </c>
      <c r="D340" s="64">
        <f>INDEX(Projects[MS Tote Locations],339)</f>
        <v/>
      </c>
      <c r="E340" s="64">
        <f>INDEX(Projects[AS Robots],339)</f>
        <v/>
      </c>
      <c r="F340" s="64">
        <f>INDEX(Projects[AS Tote Locations],339)</f>
        <v/>
      </c>
      <c r="G340" s="64">
        <f>INDEX(Projects[PS Shuttles],339)</f>
        <v/>
      </c>
      <c r="H340" s="64">
        <f>INDEX(Projects[PS Pallet Locations],339)</f>
        <v/>
      </c>
      <c r="I340" s="64">
        <f>INDEX(Projects[SRM Cranes],339)</f>
        <v/>
      </c>
      <c r="J340" s="64">
        <f>INDEX(Projects[SRM Pallet Locations],339)</f>
        <v/>
      </c>
      <c r="K340" s="64">
        <f>INDEX(Projects[Case Conv (m)],339)</f>
        <v/>
      </c>
      <c r="L340" s="64">
        <f>INDEX(Projects[Pallet Conv (m)],339)</f>
        <v/>
      </c>
      <c r="M340" s="64">
        <f>IF(N(DJ340)&gt;0,DD340,CW340)</f>
        <v/>
      </c>
      <c r="N340" s="64">
        <f>IF(N(DJ340)&gt;0,DE340,CX340)</f>
        <v/>
      </c>
      <c r="O340" s="64">
        <f>IF(N(DJ340)&gt;0,DF340,CY340)</f>
        <v/>
      </c>
      <c r="P340" s="64">
        <f>IF(N(DJ340)&gt;0,DG340,CZ340)</f>
        <v/>
      </c>
      <c r="Q340" s="64">
        <f>IF(N(DJ340)&gt;0,DH340,DA340)</f>
        <v/>
      </c>
      <c r="R340" s="64">
        <f>IF(N(DJ340)&gt;0,DI340,DB340)</f>
        <v/>
      </c>
      <c r="S340" s="64">
        <f>IF(N(DJ340)&gt;0,DJ340,DC340)</f>
        <v/>
      </c>
      <c r="T340" s="64">
        <f>INDEX(Projects[Currency],339)&amp;""</f>
        <v/>
      </c>
      <c r="U340" s="65">
        <f>INDEX(Projects[Sold Value (M)],339)</f>
        <v/>
      </c>
      <c r="V340" s="64">
        <f>IF('Smart Search'!B13=1,IFERROR(1/'Smart Search'!H13,0),0)</f>
        <v/>
      </c>
      <c r="W340" s="64">
        <f>IF('Smart Search'!B13=1,IFERROR(1/'Smart Search'!H13,0),0)</f>
        <v/>
      </c>
      <c r="X340" s="64">
        <f>IF('Smart Search'!C13=1,IFERROR(1/'Smart Search'!H13,0),0)</f>
        <v/>
      </c>
      <c r="Y340" s="64">
        <f>IF('Smart Search'!C13=1,IFERROR(1/'Smart Search'!H13,0),0)</f>
        <v/>
      </c>
      <c r="Z340" s="64">
        <f>IF('Smart Search'!D13=1,IFERROR(1/'Smart Search'!H13,0),0)</f>
        <v/>
      </c>
      <c r="AA340" s="64">
        <f>IF('Smart Search'!D13=1,IFERROR(1/'Smart Search'!H13,0),0)</f>
        <v/>
      </c>
      <c r="AB340" s="64">
        <f>IF('Smart Search'!E13=1,IFERROR(1/'Smart Search'!H13,0),0)</f>
        <v/>
      </c>
      <c r="AC340" s="64">
        <f>IF('Smart Search'!E13=1,IFERROR(1/'Smart Search'!H13,0),0)</f>
        <v/>
      </c>
      <c r="AD340" s="64">
        <f>IF('Smart Search'!F13=1,IFERROR(1/'Smart Search'!H13,0),0)</f>
        <v/>
      </c>
      <c r="AE340" s="64">
        <f>IF('Smart Search'!F13=1,IFERROR(1/'Smart Search'!H13,0),0)</f>
        <v/>
      </c>
      <c r="AF340" s="64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4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4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4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4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4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4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4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4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4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4">
        <f>AF340*V340</f>
        <v/>
      </c>
      <c r="AQ340" s="64">
        <f>AG340*W340</f>
        <v/>
      </c>
      <c r="AR340" s="64">
        <f>AH340*X340</f>
        <v/>
      </c>
      <c r="AS340" s="64">
        <f>AI340*Y340</f>
        <v/>
      </c>
      <c r="AT340" s="64">
        <f>AJ340*Z340</f>
        <v/>
      </c>
      <c r="AU340" s="64">
        <f>AK340*AA340</f>
        <v/>
      </c>
      <c r="AV340" s="64">
        <f>AL340*AB340</f>
        <v/>
      </c>
      <c r="AW340" s="64">
        <f>AM340*AC340</f>
        <v/>
      </c>
      <c r="AX340" s="64">
        <f>AN340*AD340</f>
        <v/>
      </c>
      <c r="AY340" s="64">
        <f>AO340*AE340</f>
        <v/>
      </c>
      <c r="AZ340" s="64">
        <f>INDEX(Projects[Automation Equipment],339)&amp;""</f>
        <v/>
      </c>
      <c r="BA340" s="64">
        <f>IF(OR(A340="",'Smart Search'!H13=0),"",MAX(0,BE340*BF340*MAX(0,1-BG340)))</f>
        <v/>
      </c>
      <c r="BB340" s="64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4">
        <f>IF('Smart Search'!G13=1,IFERROR(1/'Smart Search'!H13,0),0)</f>
        <v/>
      </c>
      <c r="BD340" s="64">
        <f>BB340*BC340</f>
        <v/>
      </c>
      <c r="BE340" s="64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IF(A340="","",N(INDEX(Projects[Act Mech Inst],339)))</f>
        <v/>
      </c>
      <c r="BK340" s="5">
        <f>IF(A340="","",N(INDEX(Projects[Act Elec Inst],339)))</f>
        <v/>
      </c>
      <c r="BL340" s="5">
        <f>IF(A340="","",N(INDEX(Projects[Act Project Management],339)))</f>
        <v/>
      </c>
      <c r="BM340" s="5">
        <f>IF(A340="","",N(INDEX(Projects[Act Systems Eng],339)))</f>
        <v/>
      </c>
      <c r="BN340" s="5">
        <f>IF(A340="","",N(INDEX(Projects[Act Mechanical Eng],339)))</f>
        <v/>
      </c>
      <c r="BO340" s="5">
        <f>IF(A340="","",N(INDEX(Projects[Act Structural Engineering],339)))</f>
        <v/>
      </c>
      <c r="BP340" s="5">
        <f>IF(A340="","",N(INDEX(Projects[Act Site Sup],339)))</f>
        <v/>
      </c>
      <c r="BQ340" s="5">
        <f>IF(A340="","",N(INDEX(Projects[Act Controls Commissioning],339)))</f>
        <v/>
      </c>
      <c r="BR340" s="5">
        <f>IF(A340="","",N(INDEX(Projects[Act Systems Commissioning],339)))</f>
        <v/>
      </c>
      <c r="BS340" s="5">
        <f>IF(A340="","",N(INDEX(Projects[Act Service Commissioning],339)))</f>
        <v/>
      </c>
      <c r="BT340" s="5">
        <f>IF(A340="","",N(INDEX(Projects[Act Controls Eng],339)))</f>
        <v/>
      </c>
      <c r="BU340" s="5">
        <f>IF(A340="","",N(INDEX(Projects[Act Controls Purchase],339)))</f>
        <v/>
      </c>
      <c r="BV340" s="5">
        <f>IF(A340="","",N(INDEX(Projects[Act Software Eng],339)))</f>
        <v/>
      </c>
      <c r="BW340" s="5">
        <f>IF(A340="","",N(INDEX(Projects[Act 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INDEX(Projects[Sold Value (USD M)],339)</f>
        <v/>
      </c>
      <c r="CE340" s="5" t="n"/>
      <c r="CF340" s="5">
        <f>IF(A340="","",N(INDEX(Projects[Est Mech Inst],339)))</f>
        <v/>
      </c>
      <c r="CG340" s="5">
        <f>IF(A340="","",N(INDEX(Projects[Est Elec Inst],339)))</f>
        <v/>
      </c>
      <c r="CH340" s="5">
        <f>IF(A340="","",N(INDEX(Projects[Est Project Management],339)))</f>
        <v/>
      </c>
      <c r="CI340" s="5">
        <f>IF(A340="","",N(INDEX(Projects[Est Systems Eng],339)))</f>
        <v/>
      </c>
      <c r="CJ340" s="5">
        <f>IF(A340="","",N(INDEX(Projects[Est Mechanical Eng],339)))</f>
        <v/>
      </c>
      <c r="CK340" s="5">
        <f>IF(A340="","",N(INDEX(Projects[Est Structural Engineering],339)))</f>
        <v/>
      </c>
      <c r="CL340" s="5">
        <f>IF(A340="","",N(INDEX(Projects[Est Site Sup],339)))</f>
        <v/>
      </c>
      <c r="CM340" s="5">
        <f>IF(A340="","",N(INDEX(Projects[Est Controls Commissioning],339)))</f>
        <v/>
      </c>
      <c r="CN340" s="5">
        <f>IF(A340="","",N(INDEX(Projects[Est Systems Commissioning],339)))</f>
        <v/>
      </c>
      <c r="CO340" s="5">
        <f>IF(A340="","",N(INDEX(Projects[Est Service Commissioning],339)))</f>
        <v/>
      </c>
      <c r="CP340" s="5">
        <f>IF(A340="","",N(INDEX(Projects[Est Controls Eng],339)))</f>
        <v/>
      </c>
      <c r="CQ340" s="5">
        <f>IF(A340="","",N(INDEX(Projects[Est Controls Purchase],339)))</f>
        <v/>
      </c>
      <c r="CR340" s="5">
        <f>IF(A340="","",N(INDEX(Projects[Est Software Eng],339)))</f>
        <v/>
      </c>
      <c r="CS340" s="5">
        <f>IF(A340="","",N(INDEX(Projects[Est Misc],339)))</f>
        <v/>
      </c>
      <c r="CT340" s="5">
        <f>IF(A340="","",SUM(CF340:CS340))</f>
        <v/>
      </c>
      <c r="CU340" s="5">
        <f>INDEX(Projects[Est Cost (M)],339)</f>
        <v/>
      </c>
      <c r="CV340" s="5">
        <f>INDEX(Projects[Act Cost (M)],339)</f>
        <v/>
      </c>
      <c r="CW340" s="5">
        <f>INDEX(Projects[Plan Mech Eng (wks)],339)</f>
        <v/>
      </c>
      <c r="CX340" s="5">
        <f>INDEX(Projects[Plan Controls Eng (wks)],339)</f>
        <v/>
      </c>
      <c r="CY340" s="5">
        <f>INDEX(Projects[Plan Systems Eng (wks)],339)</f>
        <v/>
      </c>
      <c r="CZ340" s="5">
        <f>INDEX(Projects[Plan Software Eng (wks)],339)</f>
        <v/>
      </c>
      <c r="DA340" s="5">
        <f>INDEX(Projects[Plan M&amp;E Installation (wks)],339)</f>
        <v/>
      </c>
      <c r="DB340" s="5">
        <f>INDEX(Projects[Plan Commissioning (wks)],339)</f>
        <v/>
      </c>
      <c r="DC340" s="5">
        <f>INDEX(Projects[Plan Total (wks)],339)</f>
        <v/>
      </c>
      <c r="DD340" s="5">
        <f>INDEX(Projects[Act Mech Eng (wks)],339)</f>
        <v/>
      </c>
      <c r="DE340" s="5">
        <f>INDEX(Projects[Act Controls Eng (wks)],339)</f>
        <v/>
      </c>
      <c r="DF340" s="5">
        <f>INDEX(Projects[Act Systems Eng (wks)],339)</f>
        <v/>
      </c>
      <c r="DG340" s="5">
        <f>INDEX(Projects[Act Software Eng (wks)],339)</f>
        <v/>
      </c>
      <c r="DH340" s="5">
        <f>INDEX(Projects[Act M&amp;E Installation (wks)],339)</f>
        <v/>
      </c>
      <c r="DI340" s="5">
        <f>INDEX(Projects[Act Commissioning (wks)],339)</f>
        <v/>
      </c>
      <c r="DJ340" s="5">
        <f>INDEX(Projects[Act Total (wks)],339)</f>
        <v/>
      </c>
    </row>
    <row r="341" ht="15" customHeight="1" s="82">
      <c r="A341" s="64">
        <f>INDEX(Projects[Project ID *],340)&amp;""</f>
        <v/>
      </c>
      <c r="B341" s="64">
        <f>INDEX(Projects[Project Name *],340)&amp;""</f>
        <v/>
      </c>
      <c r="C341" s="64">
        <f>INDEX(Projects[MS Shuttles],340)</f>
        <v/>
      </c>
      <c r="D341" s="64">
        <f>INDEX(Projects[MS Tote Locations],340)</f>
        <v/>
      </c>
      <c r="E341" s="64">
        <f>INDEX(Projects[AS Robots],340)</f>
        <v/>
      </c>
      <c r="F341" s="64">
        <f>INDEX(Projects[AS Tote Locations],340)</f>
        <v/>
      </c>
      <c r="G341" s="64">
        <f>INDEX(Projects[PS Shuttles],340)</f>
        <v/>
      </c>
      <c r="H341" s="64">
        <f>INDEX(Projects[PS Pallet Locations],340)</f>
        <v/>
      </c>
      <c r="I341" s="64">
        <f>INDEX(Projects[SRM Cranes],340)</f>
        <v/>
      </c>
      <c r="J341" s="64">
        <f>INDEX(Projects[SRM Pallet Locations],340)</f>
        <v/>
      </c>
      <c r="K341" s="64">
        <f>INDEX(Projects[Case Conv (m)],340)</f>
        <v/>
      </c>
      <c r="L341" s="64">
        <f>INDEX(Projects[Pallet Conv (m)],340)</f>
        <v/>
      </c>
      <c r="M341" s="64">
        <f>IF(N(DJ341)&gt;0,DD341,CW341)</f>
        <v/>
      </c>
      <c r="N341" s="64">
        <f>IF(N(DJ341)&gt;0,DE341,CX341)</f>
        <v/>
      </c>
      <c r="O341" s="64">
        <f>IF(N(DJ341)&gt;0,DF341,CY341)</f>
        <v/>
      </c>
      <c r="P341" s="64">
        <f>IF(N(DJ341)&gt;0,DG341,CZ341)</f>
        <v/>
      </c>
      <c r="Q341" s="64">
        <f>IF(N(DJ341)&gt;0,DH341,DA341)</f>
        <v/>
      </c>
      <c r="R341" s="64">
        <f>IF(N(DJ341)&gt;0,DI341,DB341)</f>
        <v/>
      </c>
      <c r="S341" s="64">
        <f>IF(N(DJ341)&gt;0,DJ341,DC341)</f>
        <v/>
      </c>
      <c r="T341" s="64">
        <f>INDEX(Projects[Currency],340)&amp;""</f>
        <v/>
      </c>
      <c r="U341" s="65">
        <f>INDEX(Projects[Sold Value (M)],340)</f>
        <v/>
      </c>
      <c r="V341" s="64">
        <f>IF('Smart Search'!B13=1,IFERROR(1/'Smart Search'!H13,0),0)</f>
        <v/>
      </c>
      <c r="W341" s="64">
        <f>IF('Smart Search'!B13=1,IFERROR(1/'Smart Search'!H13,0),0)</f>
        <v/>
      </c>
      <c r="X341" s="64">
        <f>IF('Smart Search'!C13=1,IFERROR(1/'Smart Search'!H13,0),0)</f>
        <v/>
      </c>
      <c r="Y341" s="64">
        <f>IF('Smart Search'!C13=1,IFERROR(1/'Smart Search'!H13,0),0)</f>
        <v/>
      </c>
      <c r="Z341" s="64">
        <f>IF('Smart Search'!D13=1,IFERROR(1/'Smart Search'!H13,0),0)</f>
        <v/>
      </c>
      <c r="AA341" s="64">
        <f>IF('Smart Search'!D13=1,IFERROR(1/'Smart Search'!H13,0),0)</f>
        <v/>
      </c>
      <c r="AB341" s="64">
        <f>IF('Smart Search'!E13=1,IFERROR(1/'Smart Search'!H13,0),0)</f>
        <v/>
      </c>
      <c r="AC341" s="64">
        <f>IF('Smart Search'!E13=1,IFERROR(1/'Smart Search'!H13,0),0)</f>
        <v/>
      </c>
      <c r="AD341" s="64">
        <f>IF('Smart Search'!F13=1,IFERROR(1/'Smart Search'!H13,0),0)</f>
        <v/>
      </c>
      <c r="AE341" s="64">
        <f>IF('Smart Search'!F13=1,IFERROR(1/'Smart Search'!H13,0),0)</f>
        <v/>
      </c>
      <c r="AF341" s="64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4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4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4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4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4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4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4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4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4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4">
        <f>AF341*V341</f>
        <v/>
      </c>
      <c r="AQ341" s="64">
        <f>AG341*W341</f>
        <v/>
      </c>
      <c r="AR341" s="64">
        <f>AH341*X341</f>
        <v/>
      </c>
      <c r="AS341" s="64">
        <f>AI341*Y341</f>
        <v/>
      </c>
      <c r="AT341" s="64">
        <f>AJ341*Z341</f>
        <v/>
      </c>
      <c r="AU341" s="64">
        <f>AK341*AA341</f>
        <v/>
      </c>
      <c r="AV341" s="64">
        <f>AL341*AB341</f>
        <v/>
      </c>
      <c r="AW341" s="64">
        <f>AM341*AC341</f>
        <v/>
      </c>
      <c r="AX341" s="64">
        <f>AN341*AD341</f>
        <v/>
      </c>
      <c r="AY341" s="64">
        <f>AO341*AE341</f>
        <v/>
      </c>
      <c r="AZ341" s="64">
        <f>INDEX(Projects[Automation Equipment],340)&amp;""</f>
        <v/>
      </c>
      <c r="BA341" s="64">
        <f>IF(OR(A341="",'Smart Search'!H13=0),"",MAX(0,BE341*BF341*MAX(0,1-BG341)))</f>
        <v/>
      </c>
      <c r="BB341" s="64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4">
        <f>IF('Smart Search'!G13=1,IFERROR(1/'Smart Search'!H13,0),0)</f>
        <v/>
      </c>
      <c r="BD341" s="64">
        <f>BB341*BC341</f>
        <v/>
      </c>
      <c r="BE341" s="64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IF(A341="","",N(INDEX(Projects[Act Mech Inst],340)))</f>
        <v/>
      </c>
      <c r="BK341" s="5">
        <f>IF(A341="","",N(INDEX(Projects[Act Elec Inst],340)))</f>
        <v/>
      </c>
      <c r="BL341" s="5">
        <f>IF(A341="","",N(INDEX(Projects[Act Project Management],340)))</f>
        <v/>
      </c>
      <c r="BM341" s="5">
        <f>IF(A341="","",N(INDEX(Projects[Act Systems Eng],340)))</f>
        <v/>
      </c>
      <c r="BN341" s="5">
        <f>IF(A341="","",N(INDEX(Projects[Act Mechanical Eng],340)))</f>
        <v/>
      </c>
      <c r="BO341" s="5">
        <f>IF(A341="","",N(INDEX(Projects[Act Structural Engineering],340)))</f>
        <v/>
      </c>
      <c r="BP341" s="5">
        <f>IF(A341="","",N(INDEX(Projects[Act Site Sup],340)))</f>
        <v/>
      </c>
      <c r="BQ341" s="5">
        <f>IF(A341="","",N(INDEX(Projects[Act Controls Commissioning],340)))</f>
        <v/>
      </c>
      <c r="BR341" s="5">
        <f>IF(A341="","",N(INDEX(Projects[Act Systems Commissioning],340)))</f>
        <v/>
      </c>
      <c r="BS341" s="5">
        <f>IF(A341="","",N(INDEX(Projects[Act Service Commissioning],340)))</f>
        <v/>
      </c>
      <c r="BT341" s="5">
        <f>IF(A341="","",N(INDEX(Projects[Act Controls Eng],340)))</f>
        <v/>
      </c>
      <c r="BU341" s="5">
        <f>IF(A341="","",N(INDEX(Projects[Act Controls Purchase],340)))</f>
        <v/>
      </c>
      <c r="BV341" s="5">
        <f>IF(A341="","",N(INDEX(Projects[Act Software Eng],340)))</f>
        <v/>
      </c>
      <c r="BW341" s="5">
        <f>IF(A341="","",N(INDEX(Projects[Act 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INDEX(Projects[Sold Value (USD M)],340)</f>
        <v/>
      </c>
      <c r="CE341" s="5" t="n"/>
      <c r="CF341" s="5">
        <f>IF(A341="","",N(INDEX(Projects[Est Mech Inst],340)))</f>
        <v/>
      </c>
      <c r="CG341" s="5">
        <f>IF(A341="","",N(INDEX(Projects[Est Elec Inst],340)))</f>
        <v/>
      </c>
      <c r="CH341" s="5">
        <f>IF(A341="","",N(INDEX(Projects[Est Project Management],340)))</f>
        <v/>
      </c>
      <c r="CI341" s="5">
        <f>IF(A341="","",N(INDEX(Projects[Est Systems Eng],340)))</f>
        <v/>
      </c>
      <c r="CJ341" s="5">
        <f>IF(A341="","",N(INDEX(Projects[Est Mechanical Eng],340)))</f>
        <v/>
      </c>
      <c r="CK341" s="5">
        <f>IF(A341="","",N(INDEX(Projects[Est Structural Engineering],340)))</f>
        <v/>
      </c>
      <c r="CL341" s="5">
        <f>IF(A341="","",N(INDEX(Projects[Est Site Sup],340)))</f>
        <v/>
      </c>
      <c r="CM341" s="5">
        <f>IF(A341="","",N(INDEX(Projects[Est Controls Commissioning],340)))</f>
        <v/>
      </c>
      <c r="CN341" s="5">
        <f>IF(A341="","",N(INDEX(Projects[Est Systems Commissioning],340)))</f>
        <v/>
      </c>
      <c r="CO341" s="5">
        <f>IF(A341="","",N(INDEX(Projects[Est Service Commissioning],340)))</f>
        <v/>
      </c>
      <c r="CP341" s="5">
        <f>IF(A341="","",N(INDEX(Projects[Est Controls Eng],340)))</f>
        <v/>
      </c>
      <c r="CQ341" s="5">
        <f>IF(A341="","",N(INDEX(Projects[Est Controls Purchase],340)))</f>
        <v/>
      </c>
      <c r="CR341" s="5">
        <f>IF(A341="","",N(INDEX(Projects[Est Software Eng],340)))</f>
        <v/>
      </c>
      <c r="CS341" s="5">
        <f>IF(A341="","",N(INDEX(Projects[Est Misc],340)))</f>
        <v/>
      </c>
      <c r="CT341" s="5">
        <f>IF(A341="","",SUM(CF341:CS341))</f>
        <v/>
      </c>
      <c r="CU341" s="5">
        <f>INDEX(Projects[Est Cost (M)],340)</f>
        <v/>
      </c>
      <c r="CV341" s="5">
        <f>INDEX(Projects[Act Cost (M)],340)</f>
        <v/>
      </c>
      <c r="CW341" s="5">
        <f>INDEX(Projects[Plan Mech Eng (wks)],340)</f>
        <v/>
      </c>
      <c r="CX341" s="5">
        <f>INDEX(Projects[Plan Controls Eng (wks)],340)</f>
        <v/>
      </c>
      <c r="CY341" s="5">
        <f>INDEX(Projects[Plan Systems Eng (wks)],340)</f>
        <v/>
      </c>
      <c r="CZ341" s="5">
        <f>INDEX(Projects[Plan Software Eng (wks)],340)</f>
        <v/>
      </c>
      <c r="DA341" s="5">
        <f>INDEX(Projects[Plan M&amp;E Installation (wks)],340)</f>
        <v/>
      </c>
      <c r="DB341" s="5">
        <f>INDEX(Projects[Plan Commissioning (wks)],340)</f>
        <v/>
      </c>
      <c r="DC341" s="5">
        <f>INDEX(Projects[Plan Total (wks)],340)</f>
        <v/>
      </c>
      <c r="DD341" s="5">
        <f>INDEX(Projects[Act Mech Eng (wks)],340)</f>
        <v/>
      </c>
      <c r="DE341" s="5">
        <f>INDEX(Projects[Act Controls Eng (wks)],340)</f>
        <v/>
      </c>
      <c r="DF341" s="5">
        <f>INDEX(Projects[Act Systems Eng (wks)],340)</f>
        <v/>
      </c>
      <c r="DG341" s="5">
        <f>INDEX(Projects[Act Software Eng (wks)],340)</f>
        <v/>
      </c>
      <c r="DH341" s="5">
        <f>INDEX(Projects[Act M&amp;E Installation (wks)],340)</f>
        <v/>
      </c>
      <c r="DI341" s="5">
        <f>INDEX(Projects[Act Commissioning (wks)],340)</f>
        <v/>
      </c>
      <c r="DJ341" s="5">
        <f>INDEX(Projects[Act Total (wks)],340)</f>
        <v/>
      </c>
    </row>
    <row r="342" ht="15" customHeight="1" s="82">
      <c r="A342" s="64">
        <f>INDEX(Projects[Project ID *],341)&amp;""</f>
        <v/>
      </c>
      <c r="B342" s="64">
        <f>INDEX(Projects[Project Name *],341)&amp;""</f>
        <v/>
      </c>
      <c r="C342" s="64">
        <f>INDEX(Projects[MS Shuttles],341)</f>
        <v/>
      </c>
      <c r="D342" s="64">
        <f>INDEX(Projects[MS Tote Locations],341)</f>
        <v/>
      </c>
      <c r="E342" s="64">
        <f>INDEX(Projects[AS Robots],341)</f>
        <v/>
      </c>
      <c r="F342" s="64">
        <f>INDEX(Projects[AS Tote Locations],341)</f>
        <v/>
      </c>
      <c r="G342" s="64">
        <f>INDEX(Projects[PS Shuttles],341)</f>
        <v/>
      </c>
      <c r="H342" s="64">
        <f>INDEX(Projects[PS Pallet Locations],341)</f>
        <v/>
      </c>
      <c r="I342" s="64">
        <f>INDEX(Projects[SRM Cranes],341)</f>
        <v/>
      </c>
      <c r="J342" s="64">
        <f>INDEX(Projects[SRM Pallet Locations],341)</f>
        <v/>
      </c>
      <c r="K342" s="64">
        <f>INDEX(Projects[Case Conv (m)],341)</f>
        <v/>
      </c>
      <c r="L342" s="64">
        <f>INDEX(Projects[Pallet Conv (m)],341)</f>
        <v/>
      </c>
      <c r="M342" s="64">
        <f>IF(N(DJ342)&gt;0,DD342,CW342)</f>
        <v/>
      </c>
      <c r="N342" s="64">
        <f>IF(N(DJ342)&gt;0,DE342,CX342)</f>
        <v/>
      </c>
      <c r="O342" s="64">
        <f>IF(N(DJ342)&gt;0,DF342,CY342)</f>
        <v/>
      </c>
      <c r="P342" s="64">
        <f>IF(N(DJ342)&gt;0,DG342,CZ342)</f>
        <v/>
      </c>
      <c r="Q342" s="64">
        <f>IF(N(DJ342)&gt;0,DH342,DA342)</f>
        <v/>
      </c>
      <c r="R342" s="64">
        <f>IF(N(DJ342)&gt;0,DI342,DB342)</f>
        <v/>
      </c>
      <c r="S342" s="64">
        <f>IF(N(DJ342)&gt;0,DJ342,DC342)</f>
        <v/>
      </c>
      <c r="T342" s="64">
        <f>INDEX(Projects[Currency],341)&amp;""</f>
        <v/>
      </c>
      <c r="U342" s="65">
        <f>INDEX(Projects[Sold Value (M)],341)</f>
        <v/>
      </c>
      <c r="V342" s="64">
        <f>IF('Smart Search'!B13=1,IFERROR(1/'Smart Search'!H13,0),0)</f>
        <v/>
      </c>
      <c r="W342" s="64">
        <f>IF('Smart Search'!B13=1,IFERROR(1/'Smart Search'!H13,0),0)</f>
        <v/>
      </c>
      <c r="X342" s="64">
        <f>IF('Smart Search'!C13=1,IFERROR(1/'Smart Search'!H13,0),0)</f>
        <v/>
      </c>
      <c r="Y342" s="64">
        <f>IF('Smart Search'!C13=1,IFERROR(1/'Smart Search'!H13,0),0)</f>
        <v/>
      </c>
      <c r="Z342" s="64">
        <f>IF('Smart Search'!D13=1,IFERROR(1/'Smart Search'!H13,0),0)</f>
        <v/>
      </c>
      <c r="AA342" s="64">
        <f>IF('Smart Search'!D13=1,IFERROR(1/'Smart Search'!H13,0),0)</f>
        <v/>
      </c>
      <c r="AB342" s="64">
        <f>IF('Smart Search'!E13=1,IFERROR(1/'Smart Search'!H13,0),0)</f>
        <v/>
      </c>
      <c r="AC342" s="64">
        <f>IF('Smart Search'!E13=1,IFERROR(1/'Smart Search'!H13,0),0)</f>
        <v/>
      </c>
      <c r="AD342" s="64">
        <f>IF('Smart Search'!F13=1,IFERROR(1/'Smart Search'!H13,0),0)</f>
        <v/>
      </c>
      <c r="AE342" s="64">
        <f>IF('Smart Search'!F13=1,IFERROR(1/'Smart Search'!H13,0),0)</f>
        <v/>
      </c>
      <c r="AF342" s="64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4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4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4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4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4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4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4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4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4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4">
        <f>AF342*V342</f>
        <v/>
      </c>
      <c r="AQ342" s="64">
        <f>AG342*W342</f>
        <v/>
      </c>
      <c r="AR342" s="64">
        <f>AH342*X342</f>
        <v/>
      </c>
      <c r="AS342" s="64">
        <f>AI342*Y342</f>
        <v/>
      </c>
      <c r="AT342" s="64">
        <f>AJ342*Z342</f>
        <v/>
      </c>
      <c r="AU342" s="64">
        <f>AK342*AA342</f>
        <v/>
      </c>
      <c r="AV342" s="64">
        <f>AL342*AB342</f>
        <v/>
      </c>
      <c r="AW342" s="64">
        <f>AM342*AC342</f>
        <v/>
      </c>
      <c r="AX342" s="64">
        <f>AN342*AD342</f>
        <v/>
      </c>
      <c r="AY342" s="64">
        <f>AO342*AE342</f>
        <v/>
      </c>
      <c r="AZ342" s="64">
        <f>INDEX(Projects[Automation Equipment],341)&amp;""</f>
        <v/>
      </c>
      <c r="BA342" s="64">
        <f>IF(OR(A342="",'Smart Search'!H13=0),"",MAX(0,BE342*BF342*MAX(0,1-BG342)))</f>
        <v/>
      </c>
      <c r="BB342" s="64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4">
        <f>IF('Smart Search'!G13=1,IFERROR(1/'Smart Search'!H13,0),0)</f>
        <v/>
      </c>
      <c r="BD342" s="64">
        <f>BB342*BC342</f>
        <v/>
      </c>
      <c r="BE342" s="64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IF(A342="","",N(INDEX(Projects[Act Mech Inst],341)))</f>
        <v/>
      </c>
      <c r="BK342" s="5">
        <f>IF(A342="","",N(INDEX(Projects[Act Elec Inst],341)))</f>
        <v/>
      </c>
      <c r="BL342" s="5">
        <f>IF(A342="","",N(INDEX(Projects[Act Project Management],341)))</f>
        <v/>
      </c>
      <c r="BM342" s="5">
        <f>IF(A342="","",N(INDEX(Projects[Act Systems Eng],341)))</f>
        <v/>
      </c>
      <c r="BN342" s="5">
        <f>IF(A342="","",N(INDEX(Projects[Act Mechanical Eng],341)))</f>
        <v/>
      </c>
      <c r="BO342" s="5">
        <f>IF(A342="","",N(INDEX(Projects[Act Structural Engineering],341)))</f>
        <v/>
      </c>
      <c r="BP342" s="5">
        <f>IF(A342="","",N(INDEX(Projects[Act Site Sup],341)))</f>
        <v/>
      </c>
      <c r="BQ342" s="5">
        <f>IF(A342="","",N(INDEX(Projects[Act Controls Commissioning],341)))</f>
        <v/>
      </c>
      <c r="BR342" s="5">
        <f>IF(A342="","",N(INDEX(Projects[Act Systems Commissioning],341)))</f>
        <v/>
      </c>
      <c r="BS342" s="5">
        <f>IF(A342="","",N(INDEX(Projects[Act Service Commissioning],341)))</f>
        <v/>
      </c>
      <c r="BT342" s="5">
        <f>IF(A342="","",N(INDEX(Projects[Act Controls Eng],341)))</f>
        <v/>
      </c>
      <c r="BU342" s="5">
        <f>IF(A342="","",N(INDEX(Projects[Act Controls Purchase],341)))</f>
        <v/>
      </c>
      <c r="BV342" s="5">
        <f>IF(A342="","",N(INDEX(Projects[Act Software Eng],341)))</f>
        <v/>
      </c>
      <c r="BW342" s="5">
        <f>IF(A342="","",N(INDEX(Projects[Act 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INDEX(Projects[Sold Value (USD M)],341)</f>
        <v/>
      </c>
      <c r="CE342" s="5" t="n"/>
      <c r="CF342" s="5">
        <f>IF(A342="","",N(INDEX(Projects[Est Mech Inst],341)))</f>
        <v/>
      </c>
      <c r="CG342" s="5">
        <f>IF(A342="","",N(INDEX(Projects[Est Elec Inst],341)))</f>
        <v/>
      </c>
      <c r="CH342" s="5">
        <f>IF(A342="","",N(INDEX(Projects[Est Project Management],341)))</f>
        <v/>
      </c>
      <c r="CI342" s="5">
        <f>IF(A342="","",N(INDEX(Projects[Est Systems Eng],341)))</f>
        <v/>
      </c>
      <c r="CJ342" s="5">
        <f>IF(A342="","",N(INDEX(Projects[Est Mechanical Eng],341)))</f>
        <v/>
      </c>
      <c r="CK342" s="5">
        <f>IF(A342="","",N(INDEX(Projects[Est Structural Engineering],341)))</f>
        <v/>
      </c>
      <c r="CL342" s="5">
        <f>IF(A342="","",N(INDEX(Projects[Est Site Sup],341)))</f>
        <v/>
      </c>
      <c r="CM342" s="5">
        <f>IF(A342="","",N(INDEX(Projects[Est Controls Commissioning],341)))</f>
        <v/>
      </c>
      <c r="CN342" s="5">
        <f>IF(A342="","",N(INDEX(Projects[Est Systems Commissioning],341)))</f>
        <v/>
      </c>
      <c r="CO342" s="5">
        <f>IF(A342="","",N(INDEX(Projects[Est Service Commissioning],341)))</f>
        <v/>
      </c>
      <c r="CP342" s="5">
        <f>IF(A342="","",N(INDEX(Projects[Est Controls Eng],341)))</f>
        <v/>
      </c>
      <c r="CQ342" s="5">
        <f>IF(A342="","",N(INDEX(Projects[Est Controls Purchase],341)))</f>
        <v/>
      </c>
      <c r="CR342" s="5">
        <f>IF(A342="","",N(INDEX(Projects[Est Software Eng],341)))</f>
        <v/>
      </c>
      <c r="CS342" s="5">
        <f>IF(A342="","",N(INDEX(Projects[Est Misc],341)))</f>
        <v/>
      </c>
      <c r="CT342" s="5">
        <f>IF(A342="","",SUM(CF342:CS342))</f>
        <v/>
      </c>
      <c r="CU342" s="5">
        <f>INDEX(Projects[Est Cost (M)],341)</f>
        <v/>
      </c>
      <c r="CV342" s="5">
        <f>INDEX(Projects[Act Cost (M)],341)</f>
        <v/>
      </c>
      <c r="CW342" s="5">
        <f>INDEX(Projects[Plan Mech Eng (wks)],341)</f>
        <v/>
      </c>
      <c r="CX342" s="5">
        <f>INDEX(Projects[Plan Controls Eng (wks)],341)</f>
        <v/>
      </c>
      <c r="CY342" s="5">
        <f>INDEX(Projects[Plan Systems Eng (wks)],341)</f>
        <v/>
      </c>
      <c r="CZ342" s="5">
        <f>INDEX(Projects[Plan Software Eng (wks)],341)</f>
        <v/>
      </c>
      <c r="DA342" s="5">
        <f>INDEX(Projects[Plan M&amp;E Installation (wks)],341)</f>
        <v/>
      </c>
      <c r="DB342" s="5">
        <f>INDEX(Projects[Plan Commissioning (wks)],341)</f>
        <v/>
      </c>
      <c r="DC342" s="5">
        <f>INDEX(Projects[Plan Total (wks)],341)</f>
        <v/>
      </c>
      <c r="DD342" s="5">
        <f>INDEX(Projects[Act Mech Eng (wks)],341)</f>
        <v/>
      </c>
      <c r="DE342" s="5">
        <f>INDEX(Projects[Act Controls Eng (wks)],341)</f>
        <v/>
      </c>
      <c r="DF342" s="5">
        <f>INDEX(Projects[Act Systems Eng (wks)],341)</f>
        <v/>
      </c>
      <c r="DG342" s="5">
        <f>INDEX(Projects[Act Software Eng (wks)],341)</f>
        <v/>
      </c>
      <c r="DH342" s="5">
        <f>INDEX(Projects[Act M&amp;E Installation (wks)],341)</f>
        <v/>
      </c>
      <c r="DI342" s="5">
        <f>INDEX(Projects[Act Commissioning (wks)],341)</f>
        <v/>
      </c>
      <c r="DJ342" s="5">
        <f>INDEX(Projects[Act Total (wks)],341)</f>
        <v/>
      </c>
    </row>
    <row r="343" ht="15" customHeight="1" s="82">
      <c r="A343" s="64">
        <f>INDEX(Projects[Project ID *],342)&amp;""</f>
        <v/>
      </c>
      <c r="B343" s="64">
        <f>INDEX(Projects[Project Name *],342)&amp;""</f>
        <v/>
      </c>
      <c r="C343" s="64">
        <f>INDEX(Projects[MS Shuttles],342)</f>
        <v/>
      </c>
      <c r="D343" s="64">
        <f>INDEX(Projects[MS Tote Locations],342)</f>
        <v/>
      </c>
      <c r="E343" s="64">
        <f>INDEX(Projects[AS Robots],342)</f>
        <v/>
      </c>
      <c r="F343" s="64">
        <f>INDEX(Projects[AS Tote Locations],342)</f>
        <v/>
      </c>
      <c r="G343" s="64">
        <f>INDEX(Projects[PS Shuttles],342)</f>
        <v/>
      </c>
      <c r="H343" s="64">
        <f>INDEX(Projects[PS Pallet Locations],342)</f>
        <v/>
      </c>
      <c r="I343" s="64">
        <f>INDEX(Projects[SRM Cranes],342)</f>
        <v/>
      </c>
      <c r="J343" s="64">
        <f>INDEX(Projects[SRM Pallet Locations],342)</f>
        <v/>
      </c>
      <c r="K343" s="64">
        <f>INDEX(Projects[Case Conv (m)],342)</f>
        <v/>
      </c>
      <c r="L343" s="64">
        <f>INDEX(Projects[Pallet Conv (m)],342)</f>
        <v/>
      </c>
      <c r="M343" s="64">
        <f>IF(N(DJ343)&gt;0,DD343,CW343)</f>
        <v/>
      </c>
      <c r="N343" s="64">
        <f>IF(N(DJ343)&gt;0,DE343,CX343)</f>
        <v/>
      </c>
      <c r="O343" s="64">
        <f>IF(N(DJ343)&gt;0,DF343,CY343)</f>
        <v/>
      </c>
      <c r="P343" s="64">
        <f>IF(N(DJ343)&gt;0,DG343,CZ343)</f>
        <v/>
      </c>
      <c r="Q343" s="64">
        <f>IF(N(DJ343)&gt;0,DH343,DA343)</f>
        <v/>
      </c>
      <c r="R343" s="64">
        <f>IF(N(DJ343)&gt;0,DI343,DB343)</f>
        <v/>
      </c>
      <c r="S343" s="64">
        <f>IF(N(DJ343)&gt;0,DJ343,DC343)</f>
        <v/>
      </c>
      <c r="T343" s="64">
        <f>INDEX(Projects[Currency],342)&amp;""</f>
        <v/>
      </c>
      <c r="U343" s="65">
        <f>INDEX(Projects[Sold Value (M)],342)</f>
        <v/>
      </c>
      <c r="V343" s="64">
        <f>IF('Smart Search'!B13=1,IFERROR(1/'Smart Search'!H13,0),0)</f>
        <v/>
      </c>
      <c r="W343" s="64">
        <f>IF('Smart Search'!B13=1,IFERROR(1/'Smart Search'!H13,0),0)</f>
        <v/>
      </c>
      <c r="X343" s="64">
        <f>IF('Smart Search'!C13=1,IFERROR(1/'Smart Search'!H13,0),0)</f>
        <v/>
      </c>
      <c r="Y343" s="64">
        <f>IF('Smart Search'!C13=1,IFERROR(1/'Smart Search'!H13,0),0)</f>
        <v/>
      </c>
      <c r="Z343" s="64">
        <f>IF('Smart Search'!D13=1,IFERROR(1/'Smart Search'!H13,0),0)</f>
        <v/>
      </c>
      <c r="AA343" s="64">
        <f>IF('Smart Search'!D13=1,IFERROR(1/'Smart Search'!H13,0),0)</f>
        <v/>
      </c>
      <c r="AB343" s="64">
        <f>IF('Smart Search'!E13=1,IFERROR(1/'Smart Search'!H13,0),0)</f>
        <v/>
      </c>
      <c r="AC343" s="64">
        <f>IF('Smart Search'!E13=1,IFERROR(1/'Smart Search'!H13,0),0)</f>
        <v/>
      </c>
      <c r="AD343" s="64">
        <f>IF('Smart Search'!F13=1,IFERROR(1/'Smart Search'!H13,0),0)</f>
        <v/>
      </c>
      <c r="AE343" s="64">
        <f>IF('Smart Search'!F13=1,IFERROR(1/'Smart Search'!H13,0),0)</f>
        <v/>
      </c>
      <c r="AF343" s="64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4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4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4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4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4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4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4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4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4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4">
        <f>AF343*V343</f>
        <v/>
      </c>
      <c r="AQ343" s="64">
        <f>AG343*W343</f>
        <v/>
      </c>
      <c r="AR343" s="64">
        <f>AH343*X343</f>
        <v/>
      </c>
      <c r="AS343" s="64">
        <f>AI343*Y343</f>
        <v/>
      </c>
      <c r="AT343" s="64">
        <f>AJ343*Z343</f>
        <v/>
      </c>
      <c r="AU343" s="64">
        <f>AK343*AA343</f>
        <v/>
      </c>
      <c r="AV343" s="64">
        <f>AL343*AB343</f>
        <v/>
      </c>
      <c r="AW343" s="64">
        <f>AM343*AC343</f>
        <v/>
      </c>
      <c r="AX343" s="64">
        <f>AN343*AD343</f>
        <v/>
      </c>
      <c r="AY343" s="64">
        <f>AO343*AE343</f>
        <v/>
      </c>
      <c r="AZ343" s="64">
        <f>INDEX(Projects[Automation Equipment],342)&amp;""</f>
        <v/>
      </c>
      <c r="BA343" s="64">
        <f>IF(OR(A343="",'Smart Search'!H13=0),"",MAX(0,BE343*BF343*MAX(0,1-BG343)))</f>
        <v/>
      </c>
      <c r="BB343" s="64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4">
        <f>IF('Smart Search'!G13=1,IFERROR(1/'Smart Search'!H13,0),0)</f>
        <v/>
      </c>
      <c r="BD343" s="64">
        <f>BB343*BC343</f>
        <v/>
      </c>
      <c r="BE343" s="64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IF(A343="","",N(INDEX(Projects[Act Mech Inst],342)))</f>
        <v/>
      </c>
      <c r="BK343" s="5">
        <f>IF(A343="","",N(INDEX(Projects[Act Elec Inst],342)))</f>
        <v/>
      </c>
      <c r="BL343" s="5">
        <f>IF(A343="","",N(INDEX(Projects[Act Project Management],342)))</f>
        <v/>
      </c>
      <c r="BM343" s="5">
        <f>IF(A343="","",N(INDEX(Projects[Act Systems Eng],342)))</f>
        <v/>
      </c>
      <c r="BN343" s="5">
        <f>IF(A343="","",N(INDEX(Projects[Act Mechanical Eng],342)))</f>
        <v/>
      </c>
      <c r="BO343" s="5">
        <f>IF(A343="","",N(INDEX(Projects[Act Structural Engineering],342)))</f>
        <v/>
      </c>
      <c r="BP343" s="5">
        <f>IF(A343="","",N(INDEX(Projects[Act Site Sup],342)))</f>
        <v/>
      </c>
      <c r="BQ343" s="5">
        <f>IF(A343="","",N(INDEX(Projects[Act Controls Commissioning],342)))</f>
        <v/>
      </c>
      <c r="BR343" s="5">
        <f>IF(A343="","",N(INDEX(Projects[Act Systems Commissioning],342)))</f>
        <v/>
      </c>
      <c r="BS343" s="5">
        <f>IF(A343="","",N(INDEX(Projects[Act Service Commissioning],342)))</f>
        <v/>
      </c>
      <c r="BT343" s="5">
        <f>IF(A343="","",N(INDEX(Projects[Act Controls Eng],342)))</f>
        <v/>
      </c>
      <c r="BU343" s="5">
        <f>IF(A343="","",N(INDEX(Projects[Act Controls Purchase],342)))</f>
        <v/>
      </c>
      <c r="BV343" s="5">
        <f>IF(A343="","",N(INDEX(Projects[Act Software Eng],342)))</f>
        <v/>
      </c>
      <c r="BW343" s="5">
        <f>IF(A343="","",N(INDEX(Projects[Act 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INDEX(Projects[Sold Value (USD M)],342)</f>
        <v/>
      </c>
      <c r="CE343" s="5" t="n"/>
      <c r="CF343" s="5">
        <f>IF(A343="","",N(INDEX(Projects[Est Mech Inst],342)))</f>
        <v/>
      </c>
      <c r="CG343" s="5">
        <f>IF(A343="","",N(INDEX(Projects[Est Elec Inst],342)))</f>
        <v/>
      </c>
      <c r="CH343" s="5">
        <f>IF(A343="","",N(INDEX(Projects[Est Project Management],342)))</f>
        <v/>
      </c>
      <c r="CI343" s="5">
        <f>IF(A343="","",N(INDEX(Projects[Est Systems Eng],342)))</f>
        <v/>
      </c>
      <c r="CJ343" s="5">
        <f>IF(A343="","",N(INDEX(Projects[Est Mechanical Eng],342)))</f>
        <v/>
      </c>
      <c r="CK343" s="5">
        <f>IF(A343="","",N(INDEX(Projects[Est Structural Engineering],342)))</f>
        <v/>
      </c>
      <c r="CL343" s="5">
        <f>IF(A343="","",N(INDEX(Projects[Est Site Sup],342)))</f>
        <v/>
      </c>
      <c r="CM343" s="5">
        <f>IF(A343="","",N(INDEX(Projects[Est Controls Commissioning],342)))</f>
        <v/>
      </c>
      <c r="CN343" s="5">
        <f>IF(A343="","",N(INDEX(Projects[Est Systems Commissioning],342)))</f>
        <v/>
      </c>
      <c r="CO343" s="5">
        <f>IF(A343="","",N(INDEX(Projects[Est Service Commissioning],342)))</f>
        <v/>
      </c>
      <c r="CP343" s="5">
        <f>IF(A343="","",N(INDEX(Projects[Est Controls Eng],342)))</f>
        <v/>
      </c>
      <c r="CQ343" s="5">
        <f>IF(A343="","",N(INDEX(Projects[Est Controls Purchase],342)))</f>
        <v/>
      </c>
      <c r="CR343" s="5">
        <f>IF(A343="","",N(INDEX(Projects[Est Software Eng],342)))</f>
        <v/>
      </c>
      <c r="CS343" s="5">
        <f>IF(A343="","",N(INDEX(Projects[Est Misc],342)))</f>
        <v/>
      </c>
      <c r="CT343" s="5">
        <f>IF(A343="","",SUM(CF343:CS343))</f>
        <v/>
      </c>
      <c r="CU343" s="5">
        <f>INDEX(Projects[Est Cost (M)],342)</f>
        <v/>
      </c>
      <c r="CV343" s="5">
        <f>INDEX(Projects[Act Cost (M)],342)</f>
        <v/>
      </c>
      <c r="CW343" s="5">
        <f>INDEX(Projects[Plan Mech Eng (wks)],342)</f>
        <v/>
      </c>
      <c r="CX343" s="5">
        <f>INDEX(Projects[Plan Controls Eng (wks)],342)</f>
        <v/>
      </c>
      <c r="CY343" s="5">
        <f>INDEX(Projects[Plan Systems Eng (wks)],342)</f>
        <v/>
      </c>
      <c r="CZ343" s="5">
        <f>INDEX(Projects[Plan Software Eng (wks)],342)</f>
        <v/>
      </c>
      <c r="DA343" s="5">
        <f>INDEX(Projects[Plan M&amp;E Installation (wks)],342)</f>
        <v/>
      </c>
      <c r="DB343" s="5">
        <f>INDEX(Projects[Plan Commissioning (wks)],342)</f>
        <v/>
      </c>
      <c r="DC343" s="5">
        <f>INDEX(Projects[Plan Total (wks)],342)</f>
        <v/>
      </c>
      <c r="DD343" s="5">
        <f>INDEX(Projects[Act Mech Eng (wks)],342)</f>
        <v/>
      </c>
      <c r="DE343" s="5">
        <f>INDEX(Projects[Act Controls Eng (wks)],342)</f>
        <v/>
      </c>
      <c r="DF343" s="5">
        <f>INDEX(Projects[Act Systems Eng (wks)],342)</f>
        <v/>
      </c>
      <c r="DG343" s="5">
        <f>INDEX(Projects[Act Software Eng (wks)],342)</f>
        <v/>
      </c>
      <c r="DH343" s="5">
        <f>INDEX(Projects[Act M&amp;E Installation (wks)],342)</f>
        <v/>
      </c>
      <c r="DI343" s="5">
        <f>INDEX(Projects[Act Commissioning (wks)],342)</f>
        <v/>
      </c>
      <c r="DJ343" s="5">
        <f>INDEX(Projects[Act Total (wks)],342)</f>
        <v/>
      </c>
    </row>
    <row r="344" ht="15" customHeight="1" s="82">
      <c r="A344" s="64">
        <f>INDEX(Projects[Project ID *],343)&amp;""</f>
        <v/>
      </c>
      <c r="B344" s="64">
        <f>INDEX(Projects[Project Name *],343)&amp;""</f>
        <v/>
      </c>
      <c r="C344" s="64">
        <f>INDEX(Projects[MS Shuttles],343)</f>
        <v/>
      </c>
      <c r="D344" s="64">
        <f>INDEX(Projects[MS Tote Locations],343)</f>
        <v/>
      </c>
      <c r="E344" s="64">
        <f>INDEX(Projects[AS Robots],343)</f>
        <v/>
      </c>
      <c r="F344" s="64">
        <f>INDEX(Projects[AS Tote Locations],343)</f>
        <v/>
      </c>
      <c r="G344" s="64">
        <f>INDEX(Projects[PS Shuttles],343)</f>
        <v/>
      </c>
      <c r="H344" s="64">
        <f>INDEX(Projects[PS Pallet Locations],343)</f>
        <v/>
      </c>
      <c r="I344" s="64">
        <f>INDEX(Projects[SRM Cranes],343)</f>
        <v/>
      </c>
      <c r="J344" s="64">
        <f>INDEX(Projects[SRM Pallet Locations],343)</f>
        <v/>
      </c>
      <c r="K344" s="64">
        <f>INDEX(Projects[Case Conv (m)],343)</f>
        <v/>
      </c>
      <c r="L344" s="64">
        <f>INDEX(Projects[Pallet Conv (m)],343)</f>
        <v/>
      </c>
      <c r="M344" s="64">
        <f>IF(N(DJ344)&gt;0,DD344,CW344)</f>
        <v/>
      </c>
      <c r="N344" s="64">
        <f>IF(N(DJ344)&gt;0,DE344,CX344)</f>
        <v/>
      </c>
      <c r="O344" s="64">
        <f>IF(N(DJ344)&gt;0,DF344,CY344)</f>
        <v/>
      </c>
      <c r="P344" s="64">
        <f>IF(N(DJ344)&gt;0,DG344,CZ344)</f>
        <v/>
      </c>
      <c r="Q344" s="64">
        <f>IF(N(DJ344)&gt;0,DH344,DA344)</f>
        <v/>
      </c>
      <c r="R344" s="64">
        <f>IF(N(DJ344)&gt;0,DI344,DB344)</f>
        <v/>
      </c>
      <c r="S344" s="64">
        <f>IF(N(DJ344)&gt;0,DJ344,DC344)</f>
        <v/>
      </c>
      <c r="T344" s="64">
        <f>INDEX(Projects[Currency],343)&amp;""</f>
        <v/>
      </c>
      <c r="U344" s="65">
        <f>INDEX(Projects[Sold Value (M)],343)</f>
        <v/>
      </c>
      <c r="V344" s="64">
        <f>IF('Smart Search'!B13=1,IFERROR(1/'Smart Search'!H13,0),0)</f>
        <v/>
      </c>
      <c r="W344" s="64">
        <f>IF('Smart Search'!B13=1,IFERROR(1/'Smart Search'!H13,0),0)</f>
        <v/>
      </c>
      <c r="X344" s="64">
        <f>IF('Smart Search'!C13=1,IFERROR(1/'Smart Search'!H13,0),0)</f>
        <v/>
      </c>
      <c r="Y344" s="64">
        <f>IF('Smart Search'!C13=1,IFERROR(1/'Smart Search'!H13,0),0)</f>
        <v/>
      </c>
      <c r="Z344" s="64">
        <f>IF('Smart Search'!D13=1,IFERROR(1/'Smart Search'!H13,0),0)</f>
        <v/>
      </c>
      <c r="AA344" s="64">
        <f>IF('Smart Search'!D13=1,IFERROR(1/'Smart Search'!H13,0),0)</f>
        <v/>
      </c>
      <c r="AB344" s="64">
        <f>IF('Smart Search'!E13=1,IFERROR(1/'Smart Search'!H13,0),0)</f>
        <v/>
      </c>
      <c r="AC344" s="64">
        <f>IF('Smart Search'!E13=1,IFERROR(1/'Smart Search'!H13,0),0)</f>
        <v/>
      </c>
      <c r="AD344" s="64">
        <f>IF('Smart Search'!F13=1,IFERROR(1/'Smart Search'!H13,0),0)</f>
        <v/>
      </c>
      <c r="AE344" s="64">
        <f>IF('Smart Search'!F13=1,IFERROR(1/'Smart Search'!H13,0),0)</f>
        <v/>
      </c>
      <c r="AF344" s="64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4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4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4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4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4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4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4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4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4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4">
        <f>AF344*V344</f>
        <v/>
      </c>
      <c r="AQ344" s="64">
        <f>AG344*W344</f>
        <v/>
      </c>
      <c r="AR344" s="64">
        <f>AH344*X344</f>
        <v/>
      </c>
      <c r="AS344" s="64">
        <f>AI344*Y344</f>
        <v/>
      </c>
      <c r="AT344" s="64">
        <f>AJ344*Z344</f>
        <v/>
      </c>
      <c r="AU344" s="64">
        <f>AK344*AA344</f>
        <v/>
      </c>
      <c r="AV344" s="64">
        <f>AL344*AB344</f>
        <v/>
      </c>
      <c r="AW344" s="64">
        <f>AM344*AC344</f>
        <v/>
      </c>
      <c r="AX344" s="64">
        <f>AN344*AD344</f>
        <v/>
      </c>
      <c r="AY344" s="64">
        <f>AO344*AE344</f>
        <v/>
      </c>
      <c r="AZ344" s="64">
        <f>INDEX(Projects[Automation Equipment],343)&amp;""</f>
        <v/>
      </c>
      <c r="BA344" s="64">
        <f>IF(OR(A344="",'Smart Search'!H13=0),"",MAX(0,BE344*BF344*MAX(0,1-BG344)))</f>
        <v/>
      </c>
      <c r="BB344" s="64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4">
        <f>IF('Smart Search'!G13=1,IFERROR(1/'Smart Search'!H13,0),0)</f>
        <v/>
      </c>
      <c r="BD344" s="64">
        <f>BB344*BC344</f>
        <v/>
      </c>
      <c r="BE344" s="64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IF(A344="","",N(INDEX(Projects[Act Mech Inst],343)))</f>
        <v/>
      </c>
      <c r="BK344" s="5">
        <f>IF(A344="","",N(INDEX(Projects[Act Elec Inst],343)))</f>
        <v/>
      </c>
      <c r="BL344" s="5">
        <f>IF(A344="","",N(INDEX(Projects[Act Project Management],343)))</f>
        <v/>
      </c>
      <c r="BM344" s="5">
        <f>IF(A344="","",N(INDEX(Projects[Act Systems Eng],343)))</f>
        <v/>
      </c>
      <c r="BN344" s="5">
        <f>IF(A344="","",N(INDEX(Projects[Act Mechanical Eng],343)))</f>
        <v/>
      </c>
      <c r="BO344" s="5">
        <f>IF(A344="","",N(INDEX(Projects[Act Structural Engineering],343)))</f>
        <v/>
      </c>
      <c r="BP344" s="5">
        <f>IF(A344="","",N(INDEX(Projects[Act Site Sup],343)))</f>
        <v/>
      </c>
      <c r="BQ344" s="5">
        <f>IF(A344="","",N(INDEX(Projects[Act Controls Commissioning],343)))</f>
        <v/>
      </c>
      <c r="BR344" s="5">
        <f>IF(A344="","",N(INDEX(Projects[Act Systems Commissioning],343)))</f>
        <v/>
      </c>
      <c r="BS344" s="5">
        <f>IF(A344="","",N(INDEX(Projects[Act Service Commissioning],343)))</f>
        <v/>
      </c>
      <c r="BT344" s="5">
        <f>IF(A344="","",N(INDEX(Projects[Act Controls Eng],343)))</f>
        <v/>
      </c>
      <c r="BU344" s="5">
        <f>IF(A344="","",N(INDEX(Projects[Act Controls Purchase],343)))</f>
        <v/>
      </c>
      <c r="BV344" s="5">
        <f>IF(A344="","",N(INDEX(Projects[Act Software Eng],343)))</f>
        <v/>
      </c>
      <c r="BW344" s="5">
        <f>IF(A344="","",N(INDEX(Projects[Act 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INDEX(Projects[Sold Value (USD M)],343)</f>
        <v/>
      </c>
      <c r="CE344" s="5" t="n"/>
      <c r="CF344" s="5">
        <f>IF(A344="","",N(INDEX(Projects[Est Mech Inst],343)))</f>
        <v/>
      </c>
      <c r="CG344" s="5">
        <f>IF(A344="","",N(INDEX(Projects[Est Elec Inst],343)))</f>
        <v/>
      </c>
      <c r="CH344" s="5">
        <f>IF(A344="","",N(INDEX(Projects[Est Project Management],343)))</f>
        <v/>
      </c>
      <c r="CI344" s="5">
        <f>IF(A344="","",N(INDEX(Projects[Est Systems Eng],343)))</f>
        <v/>
      </c>
      <c r="CJ344" s="5">
        <f>IF(A344="","",N(INDEX(Projects[Est Mechanical Eng],343)))</f>
        <v/>
      </c>
      <c r="CK344" s="5">
        <f>IF(A344="","",N(INDEX(Projects[Est Structural Engineering],343)))</f>
        <v/>
      </c>
      <c r="CL344" s="5">
        <f>IF(A344="","",N(INDEX(Projects[Est Site Sup],343)))</f>
        <v/>
      </c>
      <c r="CM344" s="5">
        <f>IF(A344="","",N(INDEX(Projects[Est Controls Commissioning],343)))</f>
        <v/>
      </c>
      <c r="CN344" s="5">
        <f>IF(A344="","",N(INDEX(Projects[Est Systems Commissioning],343)))</f>
        <v/>
      </c>
      <c r="CO344" s="5">
        <f>IF(A344="","",N(INDEX(Projects[Est Service Commissioning],343)))</f>
        <v/>
      </c>
      <c r="CP344" s="5">
        <f>IF(A344="","",N(INDEX(Projects[Est Controls Eng],343)))</f>
        <v/>
      </c>
      <c r="CQ344" s="5">
        <f>IF(A344="","",N(INDEX(Projects[Est Controls Purchase],343)))</f>
        <v/>
      </c>
      <c r="CR344" s="5">
        <f>IF(A344="","",N(INDEX(Projects[Est Software Eng],343)))</f>
        <v/>
      </c>
      <c r="CS344" s="5">
        <f>IF(A344="","",N(INDEX(Projects[Est Misc],343)))</f>
        <v/>
      </c>
      <c r="CT344" s="5">
        <f>IF(A344="","",SUM(CF344:CS344))</f>
        <v/>
      </c>
      <c r="CU344" s="5">
        <f>INDEX(Projects[Est Cost (M)],343)</f>
        <v/>
      </c>
      <c r="CV344" s="5">
        <f>INDEX(Projects[Act Cost (M)],343)</f>
        <v/>
      </c>
      <c r="CW344" s="5">
        <f>INDEX(Projects[Plan Mech Eng (wks)],343)</f>
        <v/>
      </c>
      <c r="CX344" s="5">
        <f>INDEX(Projects[Plan Controls Eng (wks)],343)</f>
        <v/>
      </c>
      <c r="CY344" s="5">
        <f>INDEX(Projects[Plan Systems Eng (wks)],343)</f>
        <v/>
      </c>
      <c r="CZ344" s="5">
        <f>INDEX(Projects[Plan Software Eng (wks)],343)</f>
        <v/>
      </c>
      <c r="DA344" s="5">
        <f>INDEX(Projects[Plan M&amp;E Installation (wks)],343)</f>
        <v/>
      </c>
      <c r="DB344" s="5">
        <f>INDEX(Projects[Plan Commissioning (wks)],343)</f>
        <v/>
      </c>
      <c r="DC344" s="5">
        <f>INDEX(Projects[Plan Total (wks)],343)</f>
        <v/>
      </c>
      <c r="DD344" s="5">
        <f>INDEX(Projects[Act Mech Eng (wks)],343)</f>
        <v/>
      </c>
      <c r="DE344" s="5">
        <f>INDEX(Projects[Act Controls Eng (wks)],343)</f>
        <v/>
      </c>
      <c r="DF344" s="5">
        <f>INDEX(Projects[Act Systems Eng (wks)],343)</f>
        <v/>
      </c>
      <c r="DG344" s="5">
        <f>INDEX(Projects[Act Software Eng (wks)],343)</f>
        <v/>
      </c>
      <c r="DH344" s="5">
        <f>INDEX(Projects[Act M&amp;E Installation (wks)],343)</f>
        <v/>
      </c>
      <c r="DI344" s="5">
        <f>INDEX(Projects[Act Commissioning (wks)],343)</f>
        <v/>
      </c>
      <c r="DJ344" s="5">
        <f>INDEX(Projects[Act Total (wks)],343)</f>
        <v/>
      </c>
    </row>
    <row r="345" ht="15" customHeight="1" s="82">
      <c r="A345" s="64">
        <f>INDEX(Projects[Project ID *],344)&amp;""</f>
        <v/>
      </c>
      <c r="B345" s="64">
        <f>INDEX(Projects[Project Name *],344)&amp;""</f>
        <v/>
      </c>
      <c r="C345" s="64">
        <f>INDEX(Projects[MS Shuttles],344)</f>
        <v/>
      </c>
      <c r="D345" s="64">
        <f>INDEX(Projects[MS Tote Locations],344)</f>
        <v/>
      </c>
      <c r="E345" s="64">
        <f>INDEX(Projects[AS Robots],344)</f>
        <v/>
      </c>
      <c r="F345" s="64">
        <f>INDEX(Projects[AS Tote Locations],344)</f>
        <v/>
      </c>
      <c r="G345" s="64">
        <f>INDEX(Projects[PS Shuttles],344)</f>
        <v/>
      </c>
      <c r="H345" s="64">
        <f>INDEX(Projects[PS Pallet Locations],344)</f>
        <v/>
      </c>
      <c r="I345" s="64">
        <f>INDEX(Projects[SRM Cranes],344)</f>
        <v/>
      </c>
      <c r="J345" s="64">
        <f>INDEX(Projects[SRM Pallet Locations],344)</f>
        <v/>
      </c>
      <c r="K345" s="64">
        <f>INDEX(Projects[Case Conv (m)],344)</f>
        <v/>
      </c>
      <c r="L345" s="64">
        <f>INDEX(Projects[Pallet Conv (m)],344)</f>
        <v/>
      </c>
      <c r="M345" s="64">
        <f>IF(N(DJ345)&gt;0,DD345,CW345)</f>
        <v/>
      </c>
      <c r="N345" s="64">
        <f>IF(N(DJ345)&gt;0,DE345,CX345)</f>
        <v/>
      </c>
      <c r="O345" s="64">
        <f>IF(N(DJ345)&gt;0,DF345,CY345)</f>
        <v/>
      </c>
      <c r="P345" s="64">
        <f>IF(N(DJ345)&gt;0,DG345,CZ345)</f>
        <v/>
      </c>
      <c r="Q345" s="64">
        <f>IF(N(DJ345)&gt;0,DH345,DA345)</f>
        <v/>
      </c>
      <c r="R345" s="64">
        <f>IF(N(DJ345)&gt;0,DI345,DB345)</f>
        <v/>
      </c>
      <c r="S345" s="64">
        <f>IF(N(DJ345)&gt;0,DJ345,DC345)</f>
        <v/>
      </c>
      <c r="T345" s="64">
        <f>INDEX(Projects[Currency],344)&amp;""</f>
        <v/>
      </c>
      <c r="U345" s="65">
        <f>INDEX(Projects[Sold Value (M)],344)</f>
        <v/>
      </c>
      <c r="V345" s="64">
        <f>IF('Smart Search'!B13=1,IFERROR(1/'Smart Search'!H13,0),0)</f>
        <v/>
      </c>
      <c r="W345" s="64">
        <f>IF('Smart Search'!B13=1,IFERROR(1/'Smart Search'!H13,0),0)</f>
        <v/>
      </c>
      <c r="X345" s="64">
        <f>IF('Smart Search'!C13=1,IFERROR(1/'Smart Search'!H13,0),0)</f>
        <v/>
      </c>
      <c r="Y345" s="64">
        <f>IF('Smart Search'!C13=1,IFERROR(1/'Smart Search'!H13,0),0)</f>
        <v/>
      </c>
      <c r="Z345" s="64">
        <f>IF('Smart Search'!D13=1,IFERROR(1/'Smart Search'!H13,0),0)</f>
        <v/>
      </c>
      <c r="AA345" s="64">
        <f>IF('Smart Search'!D13=1,IFERROR(1/'Smart Search'!H13,0),0)</f>
        <v/>
      </c>
      <c r="AB345" s="64">
        <f>IF('Smart Search'!E13=1,IFERROR(1/'Smart Search'!H13,0),0)</f>
        <v/>
      </c>
      <c r="AC345" s="64">
        <f>IF('Smart Search'!E13=1,IFERROR(1/'Smart Search'!H13,0),0)</f>
        <v/>
      </c>
      <c r="AD345" s="64">
        <f>IF('Smart Search'!F13=1,IFERROR(1/'Smart Search'!H13,0),0)</f>
        <v/>
      </c>
      <c r="AE345" s="64">
        <f>IF('Smart Search'!F13=1,IFERROR(1/'Smart Search'!H13,0),0)</f>
        <v/>
      </c>
      <c r="AF345" s="64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4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4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4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4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4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4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4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4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4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4">
        <f>AF345*V345</f>
        <v/>
      </c>
      <c r="AQ345" s="64">
        <f>AG345*W345</f>
        <v/>
      </c>
      <c r="AR345" s="64">
        <f>AH345*X345</f>
        <v/>
      </c>
      <c r="AS345" s="64">
        <f>AI345*Y345</f>
        <v/>
      </c>
      <c r="AT345" s="64">
        <f>AJ345*Z345</f>
        <v/>
      </c>
      <c r="AU345" s="64">
        <f>AK345*AA345</f>
        <v/>
      </c>
      <c r="AV345" s="64">
        <f>AL345*AB345</f>
        <v/>
      </c>
      <c r="AW345" s="64">
        <f>AM345*AC345</f>
        <v/>
      </c>
      <c r="AX345" s="64">
        <f>AN345*AD345</f>
        <v/>
      </c>
      <c r="AY345" s="64">
        <f>AO345*AE345</f>
        <v/>
      </c>
      <c r="AZ345" s="64">
        <f>INDEX(Projects[Automation Equipment],344)&amp;""</f>
        <v/>
      </c>
      <c r="BA345" s="64">
        <f>IF(OR(A345="",'Smart Search'!H13=0),"",MAX(0,BE345*BF345*MAX(0,1-BG345)))</f>
        <v/>
      </c>
      <c r="BB345" s="64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4">
        <f>IF('Smart Search'!G13=1,IFERROR(1/'Smart Search'!H13,0),0)</f>
        <v/>
      </c>
      <c r="BD345" s="64">
        <f>BB345*BC345</f>
        <v/>
      </c>
      <c r="BE345" s="64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IF(A345="","",N(INDEX(Projects[Act Mech Inst],344)))</f>
        <v/>
      </c>
      <c r="BK345" s="5">
        <f>IF(A345="","",N(INDEX(Projects[Act Elec Inst],344)))</f>
        <v/>
      </c>
      <c r="BL345" s="5">
        <f>IF(A345="","",N(INDEX(Projects[Act Project Management],344)))</f>
        <v/>
      </c>
      <c r="BM345" s="5">
        <f>IF(A345="","",N(INDEX(Projects[Act Systems Eng],344)))</f>
        <v/>
      </c>
      <c r="BN345" s="5">
        <f>IF(A345="","",N(INDEX(Projects[Act Mechanical Eng],344)))</f>
        <v/>
      </c>
      <c r="BO345" s="5">
        <f>IF(A345="","",N(INDEX(Projects[Act Structural Engineering],344)))</f>
        <v/>
      </c>
      <c r="BP345" s="5">
        <f>IF(A345="","",N(INDEX(Projects[Act Site Sup],344)))</f>
        <v/>
      </c>
      <c r="BQ345" s="5">
        <f>IF(A345="","",N(INDEX(Projects[Act Controls Commissioning],344)))</f>
        <v/>
      </c>
      <c r="BR345" s="5">
        <f>IF(A345="","",N(INDEX(Projects[Act Systems Commissioning],344)))</f>
        <v/>
      </c>
      <c r="BS345" s="5">
        <f>IF(A345="","",N(INDEX(Projects[Act Service Commissioning],344)))</f>
        <v/>
      </c>
      <c r="BT345" s="5">
        <f>IF(A345="","",N(INDEX(Projects[Act Controls Eng],344)))</f>
        <v/>
      </c>
      <c r="BU345" s="5">
        <f>IF(A345="","",N(INDEX(Projects[Act Controls Purchase],344)))</f>
        <v/>
      </c>
      <c r="BV345" s="5">
        <f>IF(A345="","",N(INDEX(Projects[Act Software Eng],344)))</f>
        <v/>
      </c>
      <c r="BW345" s="5">
        <f>IF(A345="","",N(INDEX(Projects[Act 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INDEX(Projects[Sold Value (USD M)],344)</f>
        <v/>
      </c>
      <c r="CE345" s="5" t="n"/>
      <c r="CF345" s="5">
        <f>IF(A345="","",N(INDEX(Projects[Est Mech Inst],344)))</f>
        <v/>
      </c>
      <c r="CG345" s="5">
        <f>IF(A345="","",N(INDEX(Projects[Est Elec Inst],344)))</f>
        <v/>
      </c>
      <c r="CH345" s="5">
        <f>IF(A345="","",N(INDEX(Projects[Est Project Management],344)))</f>
        <v/>
      </c>
      <c r="CI345" s="5">
        <f>IF(A345="","",N(INDEX(Projects[Est Systems Eng],344)))</f>
        <v/>
      </c>
      <c r="CJ345" s="5">
        <f>IF(A345="","",N(INDEX(Projects[Est Mechanical Eng],344)))</f>
        <v/>
      </c>
      <c r="CK345" s="5">
        <f>IF(A345="","",N(INDEX(Projects[Est Structural Engineering],344)))</f>
        <v/>
      </c>
      <c r="CL345" s="5">
        <f>IF(A345="","",N(INDEX(Projects[Est Site Sup],344)))</f>
        <v/>
      </c>
      <c r="CM345" s="5">
        <f>IF(A345="","",N(INDEX(Projects[Est Controls Commissioning],344)))</f>
        <v/>
      </c>
      <c r="CN345" s="5">
        <f>IF(A345="","",N(INDEX(Projects[Est Systems Commissioning],344)))</f>
        <v/>
      </c>
      <c r="CO345" s="5">
        <f>IF(A345="","",N(INDEX(Projects[Est Service Commissioning],344)))</f>
        <v/>
      </c>
      <c r="CP345" s="5">
        <f>IF(A345="","",N(INDEX(Projects[Est Controls Eng],344)))</f>
        <v/>
      </c>
      <c r="CQ345" s="5">
        <f>IF(A345="","",N(INDEX(Projects[Est Controls Purchase],344)))</f>
        <v/>
      </c>
      <c r="CR345" s="5">
        <f>IF(A345="","",N(INDEX(Projects[Est Software Eng],344)))</f>
        <v/>
      </c>
      <c r="CS345" s="5">
        <f>IF(A345="","",N(INDEX(Projects[Est Misc],344)))</f>
        <v/>
      </c>
      <c r="CT345" s="5">
        <f>IF(A345="","",SUM(CF345:CS345))</f>
        <v/>
      </c>
      <c r="CU345" s="5">
        <f>INDEX(Projects[Est Cost (M)],344)</f>
        <v/>
      </c>
      <c r="CV345" s="5">
        <f>INDEX(Projects[Act Cost (M)],344)</f>
        <v/>
      </c>
      <c r="CW345" s="5">
        <f>INDEX(Projects[Plan Mech Eng (wks)],344)</f>
        <v/>
      </c>
      <c r="CX345" s="5">
        <f>INDEX(Projects[Plan Controls Eng (wks)],344)</f>
        <v/>
      </c>
      <c r="CY345" s="5">
        <f>INDEX(Projects[Plan Systems Eng (wks)],344)</f>
        <v/>
      </c>
      <c r="CZ345" s="5">
        <f>INDEX(Projects[Plan Software Eng (wks)],344)</f>
        <v/>
      </c>
      <c r="DA345" s="5">
        <f>INDEX(Projects[Plan M&amp;E Installation (wks)],344)</f>
        <v/>
      </c>
      <c r="DB345" s="5">
        <f>INDEX(Projects[Plan Commissioning (wks)],344)</f>
        <v/>
      </c>
      <c r="DC345" s="5">
        <f>INDEX(Projects[Plan Total (wks)],344)</f>
        <v/>
      </c>
      <c r="DD345" s="5">
        <f>INDEX(Projects[Act Mech Eng (wks)],344)</f>
        <v/>
      </c>
      <c r="DE345" s="5">
        <f>INDEX(Projects[Act Controls Eng (wks)],344)</f>
        <v/>
      </c>
      <c r="DF345" s="5">
        <f>INDEX(Projects[Act Systems Eng (wks)],344)</f>
        <v/>
      </c>
      <c r="DG345" s="5">
        <f>INDEX(Projects[Act Software Eng (wks)],344)</f>
        <v/>
      </c>
      <c r="DH345" s="5">
        <f>INDEX(Projects[Act M&amp;E Installation (wks)],344)</f>
        <v/>
      </c>
      <c r="DI345" s="5">
        <f>INDEX(Projects[Act Commissioning (wks)],344)</f>
        <v/>
      </c>
      <c r="DJ345" s="5">
        <f>INDEX(Projects[Act Total (wks)],344)</f>
        <v/>
      </c>
    </row>
    <row r="346" ht="15" customHeight="1" s="82">
      <c r="A346" s="64">
        <f>INDEX(Projects[Project ID *],345)&amp;""</f>
        <v/>
      </c>
      <c r="B346" s="64">
        <f>INDEX(Projects[Project Name *],345)&amp;""</f>
        <v/>
      </c>
      <c r="C346" s="64">
        <f>INDEX(Projects[MS Shuttles],345)</f>
        <v/>
      </c>
      <c r="D346" s="64">
        <f>INDEX(Projects[MS Tote Locations],345)</f>
        <v/>
      </c>
      <c r="E346" s="64">
        <f>INDEX(Projects[AS Robots],345)</f>
        <v/>
      </c>
      <c r="F346" s="64">
        <f>INDEX(Projects[AS Tote Locations],345)</f>
        <v/>
      </c>
      <c r="G346" s="64">
        <f>INDEX(Projects[PS Shuttles],345)</f>
        <v/>
      </c>
      <c r="H346" s="64">
        <f>INDEX(Projects[PS Pallet Locations],345)</f>
        <v/>
      </c>
      <c r="I346" s="64">
        <f>INDEX(Projects[SRM Cranes],345)</f>
        <v/>
      </c>
      <c r="J346" s="64">
        <f>INDEX(Projects[SRM Pallet Locations],345)</f>
        <v/>
      </c>
      <c r="K346" s="64">
        <f>INDEX(Projects[Case Conv (m)],345)</f>
        <v/>
      </c>
      <c r="L346" s="64">
        <f>INDEX(Projects[Pallet Conv (m)],345)</f>
        <v/>
      </c>
      <c r="M346" s="64">
        <f>IF(N(DJ346)&gt;0,DD346,CW346)</f>
        <v/>
      </c>
      <c r="N346" s="64">
        <f>IF(N(DJ346)&gt;0,DE346,CX346)</f>
        <v/>
      </c>
      <c r="O346" s="64">
        <f>IF(N(DJ346)&gt;0,DF346,CY346)</f>
        <v/>
      </c>
      <c r="P346" s="64">
        <f>IF(N(DJ346)&gt;0,DG346,CZ346)</f>
        <v/>
      </c>
      <c r="Q346" s="64">
        <f>IF(N(DJ346)&gt;0,DH346,DA346)</f>
        <v/>
      </c>
      <c r="R346" s="64">
        <f>IF(N(DJ346)&gt;0,DI346,DB346)</f>
        <v/>
      </c>
      <c r="S346" s="64">
        <f>IF(N(DJ346)&gt;0,DJ346,DC346)</f>
        <v/>
      </c>
      <c r="T346" s="64">
        <f>INDEX(Projects[Currency],345)&amp;""</f>
        <v/>
      </c>
      <c r="U346" s="65">
        <f>INDEX(Projects[Sold Value (M)],345)</f>
        <v/>
      </c>
      <c r="V346" s="64">
        <f>IF('Smart Search'!B13=1,IFERROR(1/'Smart Search'!H13,0),0)</f>
        <v/>
      </c>
      <c r="W346" s="64">
        <f>IF('Smart Search'!B13=1,IFERROR(1/'Smart Search'!H13,0),0)</f>
        <v/>
      </c>
      <c r="X346" s="64">
        <f>IF('Smart Search'!C13=1,IFERROR(1/'Smart Search'!H13,0),0)</f>
        <v/>
      </c>
      <c r="Y346" s="64">
        <f>IF('Smart Search'!C13=1,IFERROR(1/'Smart Search'!H13,0),0)</f>
        <v/>
      </c>
      <c r="Z346" s="64">
        <f>IF('Smart Search'!D13=1,IFERROR(1/'Smart Search'!H13,0),0)</f>
        <v/>
      </c>
      <c r="AA346" s="64">
        <f>IF('Smart Search'!D13=1,IFERROR(1/'Smart Search'!H13,0),0)</f>
        <v/>
      </c>
      <c r="AB346" s="64">
        <f>IF('Smart Search'!E13=1,IFERROR(1/'Smart Search'!H13,0),0)</f>
        <v/>
      </c>
      <c r="AC346" s="64">
        <f>IF('Smart Search'!E13=1,IFERROR(1/'Smart Search'!H13,0),0)</f>
        <v/>
      </c>
      <c r="AD346" s="64">
        <f>IF('Smart Search'!F13=1,IFERROR(1/'Smart Search'!H13,0),0)</f>
        <v/>
      </c>
      <c r="AE346" s="64">
        <f>IF('Smart Search'!F13=1,IFERROR(1/'Smart Search'!H13,0),0)</f>
        <v/>
      </c>
      <c r="AF346" s="64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4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4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4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4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4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4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4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4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4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4">
        <f>AF346*V346</f>
        <v/>
      </c>
      <c r="AQ346" s="64">
        <f>AG346*W346</f>
        <v/>
      </c>
      <c r="AR346" s="64">
        <f>AH346*X346</f>
        <v/>
      </c>
      <c r="AS346" s="64">
        <f>AI346*Y346</f>
        <v/>
      </c>
      <c r="AT346" s="64">
        <f>AJ346*Z346</f>
        <v/>
      </c>
      <c r="AU346" s="64">
        <f>AK346*AA346</f>
        <v/>
      </c>
      <c r="AV346" s="64">
        <f>AL346*AB346</f>
        <v/>
      </c>
      <c r="AW346" s="64">
        <f>AM346*AC346</f>
        <v/>
      </c>
      <c r="AX346" s="64">
        <f>AN346*AD346</f>
        <v/>
      </c>
      <c r="AY346" s="64">
        <f>AO346*AE346</f>
        <v/>
      </c>
      <c r="AZ346" s="64">
        <f>INDEX(Projects[Automation Equipment],345)&amp;""</f>
        <v/>
      </c>
      <c r="BA346" s="64">
        <f>IF(OR(A346="",'Smart Search'!H13=0),"",MAX(0,BE346*BF346*MAX(0,1-BG346)))</f>
        <v/>
      </c>
      <c r="BB346" s="64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4">
        <f>IF('Smart Search'!G13=1,IFERROR(1/'Smart Search'!H13,0),0)</f>
        <v/>
      </c>
      <c r="BD346" s="64">
        <f>BB346*BC346</f>
        <v/>
      </c>
      <c r="BE346" s="64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IF(A346="","",N(INDEX(Projects[Act Mech Inst],345)))</f>
        <v/>
      </c>
      <c r="BK346" s="5">
        <f>IF(A346="","",N(INDEX(Projects[Act Elec Inst],345)))</f>
        <v/>
      </c>
      <c r="BL346" s="5">
        <f>IF(A346="","",N(INDEX(Projects[Act Project Management],345)))</f>
        <v/>
      </c>
      <c r="BM346" s="5">
        <f>IF(A346="","",N(INDEX(Projects[Act Systems Eng],345)))</f>
        <v/>
      </c>
      <c r="BN346" s="5">
        <f>IF(A346="","",N(INDEX(Projects[Act Mechanical Eng],345)))</f>
        <v/>
      </c>
      <c r="BO346" s="5">
        <f>IF(A346="","",N(INDEX(Projects[Act Structural Engineering],345)))</f>
        <v/>
      </c>
      <c r="BP346" s="5">
        <f>IF(A346="","",N(INDEX(Projects[Act Site Sup],345)))</f>
        <v/>
      </c>
      <c r="BQ346" s="5">
        <f>IF(A346="","",N(INDEX(Projects[Act Controls Commissioning],345)))</f>
        <v/>
      </c>
      <c r="BR346" s="5">
        <f>IF(A346="","",N(INDEX(Projects[Act Systems Commissioning],345)))</f>
        <v/>
      </c>
      <c r="BS346" s="5">
        <f>IF(A346="","",N(INDEX(Projects[Act Service Commissioning],345)))</f>
        <v/>
      </c>
      <c r="BT346" s="5">
        <f>IF(A346="","",N(INDEX(Projects[Act Controls Eng],345)))</f>
        <v/>
      </c>
      <c r="BU346" s="5">
        <f>IF(A346="","",N(INDEX(Projects[Act Controls Purchase],345)))</f>
        <v/>
      </c>
      <c r="BV346" s="5">
        <f>IF(A346="","",N(INDEX(Projects[Act Software Eng],345)))</f>
        <v/>
      </c>
      <c r="BW346" s="5">
        <f>IF(A346="","",N(INDEX(Projects[Act 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INDEX(Projects[Sold Value (USD M)],345)</f>
        <v/>
      </c>
      <c r="CE346" s="5" t="n"/>
      <c r="CF346" s="5">
        <f>IF(A346="","",N(INDEX(Projects[Est Mech Inst],345)))</f>
        <v/>
      </c>
      <c r="CG346" s="5">
        <f>IF(A346="","",N(INDEX(Projects[Est Elec Inst],345)))</f>
        <v/>
      </c>
      <c r="CH346" s="5">
        <f>IF(A346="","",N(INDEX(Projects[Est Project Management],345)))</f>
        <v/>
      </c>
      <c r="CI346" s="5">
        <f>IF(A346="","",N(INDEX(Projects[Est Systems Eng],345)))</f>
        <v/>
      </c>
      <c r="CJ346" s="5">
        <f>IF(A346="","",N(INDEX(Projects[Est Mechanical Eng],345)))</f>
        <v/>
      </c>
      <c r="CK346" s="5">
        <f>IF(A346="","",N(INDEX(Projects[Est Structural Engineering],345)))</f>
        <v/>
      </c>
      <c r="CL346" s="5">
        <f>IF(A346="","",N(INDEX(Projects[Est Site Sup],345)))</f>
        <v/>
      </c>
      <c r="CM346" s="5">
        <f>IF(A346="","",N(INDEX(Projects[Est Controls Commissioning],345)))</f>
        <v/>
      </c>
      <c r="CN346" s="5">
        <f>IF(A346="","",N(INDEX(Projects[Est Systems Commissioning],345)))</f>
        <v/>
      </c>
      <c r="CO346" s="5">
        <f>IF(A346="","",N(INDEX(Projects[Est Service Commissioning],345)))</f>
        <v/>
      </c>
      <c r="CP346" s="5">
        <f>IF(A346="","",N(INDEX(Projects[Est Controls Eng],345)))</f>
        <v/>
      </c>
      <c r="CQ346" s="5">
        <f>IF(A346="","",N(INDEX(Projects[Est Controls Purchase],345)))</f>
        <v/>
      </c>
      <c r="CR346" s="5">
        <f>IF(A346="","",N(INDEX(Projects[Est Software Eng],345)))</f>
        <v/>
      </c>
      <c r="CS346" s="5">
        <f>IF(A346="","",N(INDEX(Projects[Est Misc],345)))</f>
        <v/>
      </c>
      <c r="CT346" s="5">
        <f>IF(A346="","",SUM(CF346:CS346))</f>
        <v/>
      </c>
      <c r="CU346" s="5">
        <f>INDEX(Projects[Est Cost (M)],345)</f>
        <v/>
      </c>
      <c r="CV346" s="5">
        <f>INDEX(Projects[Act Cost (M)],345)</f>
        <v/>
      </c>
      <c r="CW346" s="5">
        <f>INDEX(Projects[Plan Mech Eng (wks)],345)</f>
        <v/>
      </c>
      <c r="CX346" s="5">
        <f>INDEX(Projects[Plan Controls Eng (wks)],345)</f>
        <v/>
      </c>
      <c r="CY346" s="5">
        <f>INDEX(Projects[Plan Systems Eng (wks)],345)</f>
        <v/>
      </c>
      <c r="CZ346" s="5">
        <f>INDEX(Projects[Plan Software Eng (wks)],345)</f>
        <v/>
      </c>
      <c r="DA346" s="5">
        <f>INDEX(Projects[Plan M&amp;E Installation (wks)],345)</f>
        <v/>
      </c>
      <c r="DB346" s="5">
        <f>INDEX(Projects[Plan Commissioning (wks)],345)</f>
        <v/>
      </c>
      <c r="DC346" s="5">
        <f>INDEX(Projects[Plan Total (wks)],345)</f>
        <v/>
      </c>
      <c r="DD346" s="5">
        <f>INDEX(Projects[Act Mech Eng (wks)],345)</f>
        <v/>
      </c>
      <c r="DE346" s="5">
        <f>INDEX(Projects[Act Controls Eng (wks)],345)</f>
        <v/>
      </c>
      <c r="DF346" s="5">
        <f>INDEX(Projects[Act Systems Eng (wks)],345)</f>
        <v/>
      </c>
      <c r="DG346" s="5">
        <f>INDEX(Projects[Act Software Eng (wks)],345)</f>
        <v/>
      </c>
      <c r="DH346" s="5">
        <f>INDEX(Projects[Act M&amp;E Installation (wks)],345)</f>
        <v/>
      </c>
      <c r="DI346" s="5">
        <f>INDEX(Projects[Act Commissioning (wks)],345)</f>
        <v/>
      </c>
      <c r="DJ346" s="5">
        <f>INDEX(Projects[Act Total (wks)],345)</f>
        <v/>
      </c>
    </row>
    <row r="347" ht="15" customHeight="1" s="82">
      <c r="A347" s="64">
        <f>INDEX(Projects[Project ID *],346)&amp;""</f>
        <v/>
      </c>
      <c r="B347" s="64">
        <f>INDEX(Projects[Project Name *],346)&amp;""</f>
        <v/>
      </c>
      <c r="C347" s="64">
        <f>INDEX(Projects[MS Shuttles],346)</f>
        <v/>
      </c>
      <c r="D347" s="64">
        <f>INDEX(Projects[MS Tote Locations],346)</f>
        <v/>
      </c>
      <c r="E347" s="64">
        <f>INDEX(Projects[AS Robots],346)</f>
        <v/>
      </c>
      <c r="F347" s="64">
        <f>INDEX(Projects[AS Tote Locations],346)</f>
        <v/>
      </c>
      <c r="G347" s="64">
        <f>INDEX(Projects[PS Shuttles],346)</f>
        <v/>
      </c>
      <c r="H347" s="64">
        <f>INDEX(Projects[PS Pallet Locations],346)</f>
        <v/>
      </c>
      <c r="I347" s="64">
        <f>INDEX(Projects[SRM Cranes],346)</f>
        <v/>
      </c>
      <c r="J347" s="64">
        <f>INDEX(Projects[SRM Pallet Locations],346)</f>
        <v/>
      </c>
      <c r="K347" s="64">
        <f>INDEX(Projects[Case Conv (m)],346)</f>
        <v/>
      </c>
      <c r="L347" s="64">
        <f>INDEX(Projects[Pallet Conv (m)],346)</f>
        <v/>
      </c>
      <c r="M347" s="64">
        <f>IF(N(DJ347)&gt;0,DD347,CW347)</f>
        <v/>
      </c>
      <c r="N347" s="64">
        <f>IF(N(DJ347)&gt;0,DE347,CX347)</f>
        <v/>
      </c>
      <c r="O347" s="64">
        <f>IF(N(DJ347)&gt;0,DF347,CY347)</f>
        <v/>
      </c>
      <c r="P347" s="64">
        <f>IF(N(DJ347)&gt;0,DG347,CZ347)</f>
        <v/>
      </c>
      <c r="Q347" s="64">
        <f>IF(N(DJ347)&gt;0,DH347,DA347)</f>
        <v/>
      </c>
      <c r="R347" s="64">
        <f>IF(N(DJ347)&gt;0,DI347,DB347)</f>
        <v/>
      </c>
      <c r="S347" s="64">
        <f>IF(N(DJ347)&gt;0,DJ347,DC347)</f>
        <v/>
      </c>
      <c r="T347" s="64">
        <f>INDEX(Projects[Currency],346)&amp;""</f>
        <v/>
      </c>
      <c r="U347" s="65">
        <f>INDEX(Projects[Sold Value (M)],346)</f>
        <v/>
      </c>
      <c r="V347" s="64">
        <f>IF('Smart Search'!B13=1,IFERROR(1/'Smart Search'!H13,0),0)</f>
        <v/>
      </c>
      <c r="W347" s="64">
        <f>IF('Smart Search'!B13=1,IFERROR(1/'Smart Search'!H13,0),0)</f>
        <v/>
      </c>
      <c r="X347" s="64">
        <f>IF('Smart Search'!C13=1,IFERROR(1/'Smart Search'!H13,0),0)</f>
        <v/>
      </c>
      <c r="Y347" s="64">
        <f>IF('Smart Search'!C13=1,IFERROR(1/'Smart Search'!H13,0),0)</f>
        <v/>
      </c>
      <c r="Z347" s="64">
        <f>IF('Smart Search'!D13=1,IFERROR(1/'Smart Search'!H13,0),0)</f>
        <v/>
      </c>
      <c r="AA347" s="64">
        <f>IF('Smart Search'!D13=1,IFERROR(1/'Smart Search'!H13,0),0)</f>
        <v/>
      </c>
      <c r="AB347" s="64">
        <f>IF('Smart Search'!E13=1,IFERROR(1/'Smart Search'!H13,0),0)</f>
        <v/>
      </c>
      <c r="AC347" s="64">
        <f>IF('Smart Search'!E13=1,IFERROR(1/'Smart Search'!H13,0),0)</f>
        <v/>
      </c>
      <c r="AD347" s="64">
        <f>IF('Smart Search'!F13=1,IFERROR(1/'Smart Search'!H13,0),0)</f>
        <v/>
      </c>
      <c r="AE347" s="64">
        <f>IF('Smart Search'!F13=1,IFERROR(1/'Smart Search'!H13,0),0)</f>
        <v/>
      </c>
      <c r="AF347" s="64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4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4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4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4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4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4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4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4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4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4">
        <f>AF347*V347</f>
        <v/>
      </c>
      <c r="AQ347" s="64">
        <f>AG347*W347</f>
        <v/>
      </c>
      <c r="AR347" s="64">
        <f>AH347*X347</f>
        <v/>
      </c>
      <c r="AS347" s="64">
        <f>AI347*Y347</f>
        <v/>
      </c>
      <c r="AT347" s="64">
        <f>AJ347*Z347</f>
        <v/>
      </c>
      <c r="AU347" s="64">
        <f>AK347*AA347</f>
        <v/>
      </c>
      <c r="AV347" s="64">
        <f>AL347*AB347</f>
        <v/>
      </c>
      <c r="AW347" s="64">
        <f>AM347*AC347</f>
        <v/>
      </c>
      <c r="AX347" s="64">
        <f>AN347*AD347</f>
        <v/>
      </c>
      <c r="AY347" s="64">
        <f>AO347*AE347</f>
        <v/>
      </c>
      <c r="AZ347" s="64">
        <f>INDEX(Projects[Automation Equipment],346)&amp;""</f>
        <v/>
      </c>
      <c r="BA347" s="64">
        <f>IF(OR(A347="",'Smart Search'!H13=0),"",MAX(0,BE347*BF347*MAX(0,1-BG347)))</f>
        <v/>
      </c>
      <c r="BB347" s="64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4">
        <f>IF('Smart Search'!G13=1,IFERROR(1/'Smart Search'!H13,0),0)</f>
        <v/>
      </c>
      <c r="BD347" s="64">
        <f>BB347*BC347</f>
        <v/>
      </c>
      <c r="BE347" s="64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IF(A347="","",N(INDEX(Projects[Act Mech Inst],346)))</f>
        <v/>
      </c>
      <c r="BK347" s="5">
        <f>IF(A347="","",N(INDEX(Projects[Act Elec Inst],346)))</f>
        <v/>
      </c>
      <c r="BL347" s="5">
        <f>IF(A347="","",N(INDEX(Projects[Act Project Management],346)))</f>
        <v/>
      </c>
      <c r="BM347" s="5">
        <f>IF(A347="","",N(INDEX(Projects[Act Systems Eng],346)))</f>
        <v/>
      </c>
      <c r="BN347" s="5">
        <f>IF(A347="","",N(INDEX(Projects[Act Mechanical Eng],346)))</f>
        <v/>
      </c>
      <c r="BO347" s="5">
        <f>IF(A347="","",N(INDEX(Projects[Act Structural Engineering],346)))</f>
        <v/>
      </c>
      <c r="BP347" s="5">
        <f>IF(A347="","",N(INDEX(Projects[Act Site Sup],346)))</f>
        <v/>
      </c>
      <c r="BQ347" s="5">
        <f>IF(A347="","",N(INDEX(Projects[Act Controls Commissioning],346)))</f>
        <v/>
      </c>
      <c r="BR347" s="5">
        <f>IF(A347="","",N(INDEX(Projects[Act Systems Commissioning],346)))</f>
        <v/>
      </c>
      <c r="BS347" s="5">
        <f>IF(A347="","",N(INDEX(Projects[Act Service Commissioning],346)))</f>
        <v/>
      </c>
      <c r="BT347" s="5">
        <f>IF(A347="","",N(INDEX(Projects[Act Controls Eng],346)))</f>
        <v/>
      </c>
      <c r="BU347" s="5">
        <f>IF(A347="","",N(INDEX(Projects[Act Controls Purchase],346)))</f>
        <v/>
      </c>
      <c r="BV347" s="5">
        <f>IF(A347="","",N(INDEX(Projects[Act Software Eng],346)))</f>
        <v/>
      </c>
      <c r="BW347" s="5">
        <f>IF(A347="","",N(INDEX(Projects[Act 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INDEX(Projects[Sold Value (USD M)],346)</f>
        <v/>
      </c>
      <c r="CE347" s="5" t="n"/>
      <c r="CF347" s="5">
        <f>IF(A347="","",N(INDEX(Projects[Est Mech Inst],346)))</f>
        <v/>
      </c>
      <c r="CG347" s="5">
        <f>IF(A347="","",N(INDEX(Projects[Est Elec Inst],346)))</f>
        <v/>
      </c>
      <c r="CH347" s="5">
        <f>IF(A347="","",N(INDEX(Projects[Est Project Management],346)))</f>
        <v/>
      </c>
      <c r="CI347" s="5">
        <f>IF(A347="","",N(INDEX(Projects[Est Systems Eng],346)))</f>
        <v/>
      </c>
      <c r="CJ347" s="5">
        <f>IF(A347="","",N(INDEX(Projects[Est Mechanical Eng],346)))</f>
        <v/>
      </c>
      <c r="CK347" s="5">
        <f>IF(A347="","",N(INDEX(Projects[Est Structural Engineering],346)))</f>
        <v/>
      </c>
      <c r="CL347" s="5">
        <f>IF(A347="","",N(INDEX(Projects[Est Site Sup],346)))</f>
        <v/>
      </c>
      <c r="CM347" s="5">
        <f>IF(A347="","",N(INDEX(Projects[Est Controls Commissioning],346)))</f>
        <v/>
      </c>
      <c r="CN347" s="5">
        <f>IF(A347="","",N(INDEX(Projects[Est Systems Commissioning],346)))</f>
        <v/>
      </c>
      <c r="CO347" s="5">
        <f>IF(A347="","",N(INDEX(Projects[Est Service Commissioning],346)))</f>
        <v/>
      </c>
      <c r="CP347" s="5">
        <f>IF(A347="","",N(INDEX(Projects[Est Controls Eng],346)))</f>
        <v/>
      </c>
      <c r="CQ347" s="5">
        <f>IF(A347="","",N(INDEX(Projects[Est Controls Purchase],346)))</f>
        <v/>
      </c>
      <c r="CR347" s="5">
        <f>IF(A347="","",N(INDEX(Projects[Est Software Eng],346)))</f>
        <v/>
      </c>
      <c r="CS347" s="5">
        <f>IF(A347="","",N(INDEX(Projects[Est Misc],346)))</f>
        <v/>
      </c>
      <c r="CT347" s="5">
        <f>IF(A347="","",SUM(CF347:CS347))</f>
        <v/>
      </c>
      <c r="CU347" s="5">
        <f>INDEX(Projects[Est Cost (M)],346)</f>
        <v/>
      </c>
      <c r="CV347" s="5">
        <f>INDEX(Projects[Act Cost (M)],346)</f>
        <v/>
      </c>
      <c r="CW347" s="5">
        <f>INDEX(Projects[Plan Mech Eng (wks)],346)</f>
        <v/>
      </c>
      <c r="CX347" s="5">
        <f>INDEX(Projects[Plan Controls Eng (wks)],346)</f>
        <v/>
      </c>
      <c r="CY347" s="5">
        <f>INDEX(Projects[Plan Systems Eng (wks)],346)</f>
        <v/>
      </c>
      <c r="CZ347" s="5">
        <f>INDEX(Projects[Plan Software Eng (wks)],346)</f>
        <v/>
      </c>
      <c r="DA347" s="5">
        <f>INDEX(Projects[Plan M&amp;E Installation (wks)],346)</f>
        <v/>
      </c>
      <c r="DB347" s="5">
        <f>INDEX(Projects[Plan Commissioning (wks)],346)</f>
        <v/>
      </c>
      <c r="DC347" s="5">
        <f>INDEX(Projects[Plan Total (wks)],346)</f>
        <v/>
      </c>
      <c r="DD347" s="5">
        <f>INDEX(Projects[Act Mech Eng (wks)],346)</f>
        <v/>
      </c>
      <c r="DE347" s="5">
        <f>INDEX(Projects[Act Controls Eng (wks)],346)</f>
        <v/>
      </c>
      <c r="DF347" s="5">
        <f>INDEX(Projects[Act Systems Eng (wks)],346)</f>
        <v/>
      </c>
      <c r="DG347" s="5">
        <f>INDEX(Projects[Act Software Eng (wks)],346)</f>
        <v/>
      </c>
      <c r="DH347" s="5">
        <f>INDEX(Projects[Act M&amp;E Installation (wks)],346)</f>
        <v/>
      </c>
      <c r="DI347" s="5">
        <f>INDEX(Projects[Act Commissioning (wks)],346)</f>
        <v/>
      </c>
      <c r="DJ347" s="5">
        <f>INDEX(Projects[Act Total (wks)],346)</f>
        <v/>
      </c>
    </row>
    <row r="348" ht="15" customHeight="1" s="82">
      <c r="A348" s="64">
        <f>INDEX(Projects[Project ID *],347)&amp;""</f>
        <v/>
      </c>
      <c r="B348" s="64">
        <f>INDEX(Projects[Project Name *],347)&amp;""</f>
        <v/>
      </c>
      <c r="C348" s="64">
        <f>INDEX(Projects[MS Shuttles],347)</f>
        <v/>
      </c>
      <c r="D348" s="64">
        <f>INDEX(Projects[MS Tote Locations],347)</f>
        <v/>
      </c>
      <c r="E348" s="64">
        <f>INDEX(Projects[AS Robots],347)</f>
        <v/>
      </c>
      <c r="F348" s="64">
        <f>INDEX(Projects[AS Tote Locations],347)</f>
        <v/>
      </c>
      <c r="G348" s="64">
        <f>INDEX(Projects[PS Shuttles],347)</f>
        <v/>
      </c>
      <c r="H348" s="64">
        <f>INDEX(Projects[PS Pallet Locations],347)</f>
        <v/>
      </c>
      <c r="I348" s="64">
        <f>INDEX(Projects[SRM Cranes],347)</f>
        <v/>
      </c>
      <c r="J348" s="64">
        <f>INDEX(Projects[SRM Pallet Locations],347)</f>
        <v/>
      </c>
      <c r="K348" s="64">
        <f>INDEX(Projects[Case Conv (m)],347)</f>
        <v/>
      </c>
      <c r="L348" s="64">
        <f>INDEX(Projects[Pallet Conv (m)],347)</f>
        <v/>
      </c>
      <c r="M348" s="64">
        <f>IF(N(DJ348)&gt;0,DD348,CW348)</f>
        <v/>
      </c>
      <c r="N348" s="64">
        <f>IF(N(DJ348)&gt;0,DE348,CX348)</f>
        <v/>
      </c>
      <c r="O348" s="64">
        <f>IF(N(DJ348)&gt;0,DF348,CY348)</f>
        <v/>
      </c>
      <c r="P348" s="64">
        <f>IF(N(DJ348)&gt;0,DG348,CZ348)</f>
        <v/>
      </c>
      <c r="Q348" s="64">
        <f>IF(N(DJ348)&gt;0,DH348,DA348)</f>
        <v/>
      </c>
      <c r="R348" s="64">
        <f>IF(N(DJ348)&gt;0,DI348,DB348)</f>
        <v/>
      </c>
      <c r="S348" s="64">
        <f>IF(N(DJ348)&gt;0,DJ348,DC348)</f>
        <v/>
      </c>
      <c r="T348" s="64">
        <f>INDEX(Projects[Currency],347)&amp;""</f>
        <v/>
      </c>
      <c r="U348" s="65">
        <f>INDEX(Projects[Sold Value (M)],347)</f>
        <v/>
      </c>
      <c r="V348" s="64">
        <f>IF('Smart Search'!B13=1,IFERROR(1/'Smart Search'!H13,0),0)</f>
        <v/>
      </c>
      <c r="W348" s="64">
        <f>IF('Smart Search'!B13=1,IFERROR(1/'Smart Search'!H13,0),0)</f>
        <v/>
      </c>
      <c r="X348" s="64">
        <f>IF('Smart Search'!C13=1,IFERROR(1/'Smart Search'!H13,0),0)</f>
        <v/>
      </c>
      <c r="Y348" s="64">
        <f>IF('Smart Search'!C13=1,IFERROR(1/'Smart Search'!H13,0),0)</f>
        <v/>
      </c>
      <c r="Z348" s="64">
        <f>IF('Smart Search'!D13=1,IFERROR(1/'Smart Search'!H13,0),0)</f>
        <v/>
      </c>
      <c r="AA348" s="64">
        <f>IF('Smart Search'!D13=1,IFERROR(1/'Smart Search'!H13,0),0)</f>
        <v/>
      </c>
      <c r="AB348" s="64">
        <f>IF('Smart Search'!E13=1,IFERROR(1/'Smart Search'!H13,0),0)</f>
        <v/>
      </c>
      <c r="AC348" s="64">
        <f>IF('Smart Search'!E13=1,IFERROR(1/'Smart Search'!H13,0),0)</f>
        <v/>
      </c>
      <c r="AD348" s="64">
        <f>IF('Smart Search'!F13=1,IFERROR(1/'Smart Search'!H13,0),0)</f>
        <v/>
      </c>
      <c r="AE348" s="64">
        <f>IF('Smart Search'!F13=1,IFERROR(1/'Smart Search'!H13,0),0)</f>
        <v/>
      </c>
      <c r="AF348" s="64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4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4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4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4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4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4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4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4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4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4">
        <f>AF348*V348</f>
        <v/>
      </c>
      <c r="AQ348" s="64">
        <f>AG348*W348</f>
        <v/>
      </c>
      <c r="AR348" s="64">
        <f>AH348*X348</f>
        <v/>
      </c>
      <c r="AS348" s="64">
        <f>AI348*Y348</f>
        <v/>
      </c>
      <c r="AT348" s="64">
        <f>AJ348*Z348</f>
        <v/>
      </c>
      <c r="AU348" s="64">
        <f>AK348*AA348</f>
        <v/>
      </c>
      <c r="AV348" s="64">
        <f>AL348*AB348</f>
        <v/>
      </c>
      <c r="AW348" s="64">
        <f>AM348*AC348</f>
        <v/>
      </c>
      <c r="AX348" s="64">
        <f>AN348*AD348</f>
        <v/>
      </c>
      <c r="AY348" s="64">
        <f>AO348*AE348</f>
        <v/>
      </c>
      <c r="AZ348" s="64">
        <f>INDEX(Projects[Automation Equipment],347)&amp;""</f>
        <v/>
      </c>
      <c r="BA348" s="64">
        <f>IF(OR(A348="",'Smart Search'!H13=0),"",MAX(0,BE348*BF348*MAX(0,1-BG348)))</f>
        <v/>
      </c>
      <c r="BB348" s="64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4">
        <f>IF('Smart Search'!G13=1,IFERROR(1/'Smart Search'!H13,0),0)</f>
        <v/>
      </c>
      <c r="BD348" s="64">
        <f>BB348*BC348</f>
        <v/>
      </c>
      <c r="BE348" s="64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IF(A348="","",N(INDEX(Projects[Act Mech Inst],347)))</f>
        <v/>
      </c>
      <c r="BK348" s="5">
        <f>IF(A348="","",N(INDEX(Projects[Act Elec Inst],347)))</f>
        <v/>
      </c>
      <c r="BL348" s="5">
        <f>IF(A348="","",N(INDEX(Projects[Act Project Management],347)))</f>
        <v/>
      </c>
      <c r="BM348" s="5">
        <f>IF(A348="","",N(INDEX(Projects[Act Systems Eng],347)))</f>
        <v/>
      </c>
      <c r="BN348" s="5">
        <f>IF(A348="","",N(INDEX(Projects[Act Mechanical Eng],347)))</f>
        <v/>
      </c>
      <c r="BO348" s="5">
        <f>IF(A348="","",N(INDEX(Projects[Act Structural Engineering],347)))</f>
        <v/>
      </c>
      <c r="BP348" s="5">
        <f>IF(A348="","",N(INDEX(Projects[Act Site Sup],347)))</f>
        <v/>
      </c>
      <c r="BQ348" s="5">
        <f>IF(A348="","",N(INDEX(Projects[Act Controls Commissioning],347)))</f>
        <v/>
      </c>
      <c r="BR348" s="5">
        <f>IF(A348="","",N(INDEX(Projects[Act Systems Commissioning],347)))</f>
        <v/>
      </c>
      <c r="BS348" s="5">
        <f>IF(A348="","",N(INDEX(Projects[Act Service Commissioning],347)))</f>
        <v/>
      </c>
      <c r="BT348" s="5">
        <f>IF(A348="","",N(INDEX(Projects[Act Controls Eng],347)))</f>
        <v/>
      </c>
      <c r="BU348" s="5">
        <f>IF(A348="","",N(INDEX(Projects[Act Controls Purchase],347)))</f>
        <v/>
      </c>
      <c r="BV348" s="5">
        <f>IF(A348="","",N(INDEX(Projects[Act Software Eng],347)))</f>
        <v/>
      </c>
      <c r="BW348" s="5">
        <f>IF(A348="","",N(INDEX(Projects[Act 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INDEX(Projects[Sold Value (USD M)],347)</f>
        <v/>
      </c>
      <c r="CE348" s="5" t="n"/>
      <c r="CF348" s="5">
        <f>IF(A348="","",N(INDEX(Projects[Est Mech Inst],347)))</f>
        <v/>
      </c>
      <c r="CG348" s="5">
        <f>IF(A348="","",N(INDEX(Projects[Est Elec Inst],347)))</f>
        <v/>
      </c>
      <c r="CH348" s="5">
        <f>IF(A348="","",N(INDEX(Projects[Est Project Management],347)))</f>
        <v/>
      </c>
      <c r="CI348" s="5">
        <f>IF(A348="","",N(INDEX(Projects[Est Systems Eng],347)))</f>
        <v/>
      </c>
      <c r="CJ348" s="5">
        <f>IF(A348="","",N(INDEX(Projects[Est Mechanical Eng],347)))</f>
        <v/>
      </c>
      <c r="CK348" s="5">
        <f>IF(A348="","",N(INDEX(Projects[Est Structural Engineering],347)))</f>
        <v/>
      </c>
      <c r="CL348" s="5">
        <f>IF(A348="","",N(INDEX(Projects[Est Site Sup],347)))</f>
        <v/>
      </c>
      <c r="CM348" s="5">
        <f>IF(A348="","",N(INDEX(Projects[Est Controls Commissioning],347)))</f>
        <v/>
      </c>
      <c r="CN348" s="5">
        <f>IF(A348="","",N(INDEX(Projects[Est Systems Commissioning],347)))</f>
        <v/>
      </c>
      <c r="CO348" s="5">
        <f>IF(A348="","",N(INDEX(Projects[Est Service Commissioning],347)))</f>
        <v/>
      </c>
      <c r="CP348" s="5">
        <f>IF(A348="","",N(INDEX(Projects[Est Controls Eng],347)))</f>
        <v/>
      </c>
      <c r="CQ348" s="5">
        <f>IF(A348="","",N(INDEX(Projects[Est Controls Purchase],347)))</f>
        <v/>
      </c>
      <c r="CR348" s="5">
        <f>IF(A348="","",N(INDEX(Projects[Est Software Eng],347)))</f>
        <v/>
      </c>
      <c r="CS348" s="5">
        <f>IF(A348="","",N(INDEX(Projects[Est Misc],347)))</f>
        <v/>
      </c>
      <c r="CT348" s="5">
        <f>IF(A348="","",SUM(CF348:CS348))</f>
        <v/>
      </c>
      <c r="CU348" s="5">
        <f>INDEX(Projects[Est Cost (M)],347)</f>
        <v/>
      </c>
      <c r="CV348" s="5">
        <f>INDEX(Projects[Act Cost (M)],347)</f>
        <v/>
      </c>
      <c r="CW348" s="5">
        <f>INDEX(Projects[Plan Mech Eng (wks)],347)</f>
        <v/>
      </c>
      <c r="CX348" s="5">
        <f>INDEX(Projects[Plan Controls Eng (wks)],347)</f>
        <v/>
      </c>
      <c r="CY348" s="5">
        <f>INDEX(Projects[Plan Systems Eng (wks)],347)</f>
        <v/>
      </c>
      <c r="CZ348" s="5">
        <f>INDEX(Projects[Plan Software Eng (wks)],347)</f>
        <v/>
      </c>
      <c r="DA348" s="5">
        <f>INDEX(Projects[Plan M&amp;E Installation (wks)],347)</f>
        <v/>
      </c>
      <c r="DB348" s="5">
        <f>INDEX(Projects[Plan Commissioning (wks)],347)</f>
        <v/>
      </c>
      <c r="DC348" s="5">
        <f>INDEX(Projects[Plan Total (wks)],347)</f>
        <v/>
      </c>
      <c r="DD348" s="5">
        <f>INDEX(Projects[Act Mech Eng (wks)],347)</f>
        <v/>
      </c>
      <c r="DE348" s="5">
        <f>INDEX(Projects[Act Controls Eng (wks)],347)</f>
        <v/>
      </c>
      <c r="DF348" s="5">
        <f>INDEX(Projects[Act Systems Eng (wks)],347)</f>
        <v/>
      </c>
      <c r="DG348" s="5">
        <f>INDEX(Projects[Act Software Eng (wks)],347)</f>
        <v/>
      </c>
      <c r="DH348" s="5">
        <f>INDEX(Projects[Act M&amp;E Installation (wks)],347)</f>
        <v/>
      </c>
      <c r="DI348" s="5">
        <f>INDEX(Projects[Act Commissioning (wks)],347)</f>
        <v/>
      </c>
      <c r="DJ348" s="5">
        <f>INDEX(Projects[Act Total (wks)],347)</f>
        <v/>
      </c>
    </row>
    <row r="349" ht="15" customHeight="1" s="82">
      <c r="A349" s="64">
        <f>INDEX(Projects[Project ID *],348)&amp;""</f>
        <v/>
      </c>
      <c r="B349" s="64">
        <f>INDEX(Projects[Project Name *],348)&amp;""</f>
        <v/>
      </c>
      <c r="C349" s="64">
        <f>INDEX(Projects[MS Shuttles],348)</f>
        <v/>
      </c>
      <c r="D349" s="64">
        <f>INDEX(Projects[MS Tote Locations],348)</f>
        <v/>
      </c>
      <c r="E349" s="64">
        <f>INDEX(Projects[AS Robots],348)</f>
        <v/>
      </c>
      <c r="F349" s="64">
        <f>INDEX(Projects[AS Tote Locations],348)</f>
        <v/>
      </c>
      <c r="G349" s="64">
        <f>INDEX(Projects[PS Shuttles],348)</f>
        <v/>
      </c>
      <c r="H349" s="64">
        <f>INDEX(Projects[PS Pallet Locations],348)</f>
        <v/>
      </c>
      <c r="I349" s="64">
        <f>INDEX(Projects[SRM Cranes],348)</f>
        <v/>
      </c>
      <c r="J349" s="64">
        <f>INDEX(Projects[SRM Pallet Locations],348)</f>
        <v/>
      </c>
      <c r="K349" s="64">
        <f>INDEX(Projects[Case Conv (m)],348)</f>
        <v/>
      </c>
      <c r="L349" s="64">
        <f>INDEX(Projects[Pallet Conv (m)],348)</f>
        <v/>
      </c>
      <c r="M349" s="64">
        <f>IF(N(DJ349)&gt;0,DD349,CW349)</f>
        <v/>
      </c>
      <c r="N349" s="64">
        <f>IF(N(DJ349)&gt;0,DE349,CX349)</f>
        <v/>
      </c>
      <c r="O349" s="64">
        <f>IF(N(DJ349)&gt;0,DF349,CY349)</f>
        <v/>
      </c>
      <c r="P349" s="64">
        <f>IF(N(DJ349)&gt;0,DG349,CZ349)</f>
        <v/>
      </c>
      <c r="Q349" s="64">
        <f>IF(N(DJ349)&gt;0,DH349,DA349)</f>
        <v/>
      </c>
      <c r="R349" s="64">
        <f>IF(N(DJ349)&gt;0,DI349,DB349)</f>
        <v/>
      </c>
      <c r="S349" s="64">
        <f>IF(N(DJ349)&gt;0,DJ349,DC349)</f>
        <v/>
      </c>
      <c r="T349" s="64">
        <f>INDEX(Projects[Currency],348)&amp;""</f>
        <v/>
      </c>
      <c r="U349" s="65">
        <f>INDEX(Projects[Sold Value (M)],348)</f>
        <v/>
      </c>
      <c r="V349" s="64">
        <f>IF('Smart Search'!B13=1,IFERROR(1/'Smart Search'!H13,0),0)</f>
        <v/>
      </c>
      <c r="W349" s="64">
        <f>IF('Smart Search'!B13=1,IFERROR(1/'Smart Search'!H13,0),0)</f>
        <v/>
      </c>
      <c r="X349" s="64">
        <f>IF('Smart Search'!C13=1,IFERROR(1/'Smart Search'!H13,0),0)</f>
        <v/>
      </c>
      <c r="Y349" s="64">
        <f>IF('Smart Search'!C13=1,IFERROR(1/'Smart Search'!H13,0),0)</f>
        <v/>
      </c>
      <c r="Z349" s="64">
        <f>IF('Smart Search'!D13=1,IFERROR(1/'Smart Search'!H13,0),0)</f>
        <v/>
      </c>
      <c r="AA349" s="64">
        <f>IF('Smart Search'!D13=1,IFERROR(1/'Smart Search'!H13,0),0)</f>
        <v/>
      </c>
      <c r="AB349" s="64">
        <f>IF('Smart Search'!E13=1,IFERROR(1/'Smart Search'!H13,0),0)</f>
        <v/>
      </c>
      <c r="AC349" s="64">
        <f>IF('Smart Search'!E13=1,IFERROR(1/'Smart Search'!H13,0),0)</f>
        <v/>
      </c>
      <c r="AD349" s="64">
        <f>IF('Smart Search'!F13=1,IFERROR(1/'Smart Search'!H13,0),0)</f>
        <v/>
      </c>
      <c r="AE349" s="64">
        <f>IF('Smart Search'!F13=1,IFERROR(1/'Smart Search'!H13,0),0)</f>
        <v/>
      </c>
      <c r="AF349" s="64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4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4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4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4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4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4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4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4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4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4">
        <f>AF349*V349</f>
        <v/>
      </c>
      <c r="AQ349" s="64">
        <f>AG349*W349</f>
        <v/>
      </c>
      <c r="AR349" s="64">
        <f>AH349*X349</f>
        <v/>
      </c>
      <c r="AS349" s="64">
        <f>AI349*Y349</f>
        <v/>
      </c>
      <c r="AT349" s="64">
        <f>AJ349*Z349</f>
        <v/>
      </c>
      <c r="AU349" s="64">
        <f>AK349*AA349</f>
        <v/>
      </c>
      <c r="AV349" s="64">
        <f>AL349*AB349</f>
        <v/>
      </c>
      <c r="AW349" s="64">
        <f>AM349*AC349</f>
        <v/>
      </c>
      <c r="AX349" s="64">
        <f>AN349*AD349</f>
        <v/>
      </c>
      <c r="AY349" s="64">
        <f>AO349*AE349</f>
        <v/>
      </c>
      <c r="AZ349" s="64">
        <f>INDEX(Projects[Automation Equipment],348)&amp;""</f>
        <v/>
      </c>
      <c r="BA349" s="64">
        <f>IF(OR(A349="",'Smart Search'!H13=0),"",MAX(0,BE349*BF349*MAX(0,1-BG349)))</f>
        <v/>
      </c>
      <c r="BB349" s="64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4">
        <f>IF('Smart Search'!G13=1,IFERROR(1/'Smart Search'!H13,0),0)</f>
        <v/>
      </c>
      <c r="BD349" s="64">
        <f>BB349*BC349</f>
        <v/>
      </c>
      <c r="BE349" s="64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IF(A349="","",N(INDEX(Projects[Act Mech Inst],348)))</f>
        <v/>
      </c>
      <c r="BK349" s="5">
        <f>IF(A349="","",N(INDEX(Projects[Act Elec Inst],348)))</f>
        <v/>
      </c>
      <c r="BL349" s="5">
        <f>IF(A349="","",N(INDEX(Projects[Act Project Management],348)))</f>
        <v/>
      </c>
      <c r="BM349" s="5">
        <f>IF(A349="","",N(INDEX(Projects[Act Systems Eng],348)))</f>
        <v/>
      </c>
      <c r="BN349" s="5">
        <f>IF(A349="","",N(INDEX(Projects[Act Mechanical Eng],348)))</f>
        <v/>
      </c>
      <c r="BO349" s="5">
        <f>IF(A349="","",N(INDEX(Projects[Act Structural Engineering],348)))</f>
        <v/>
      </c>
      <c r="BP349" s="5">
        <f>IF(A349="","",N(INDEX(Projects[Act Site Sup],348)))</f>
        <v/>
      </c>
      <c r="BQ349" s="5">
        <f>IF(A349="","",N(INDEX(Projects[Act Controls Commissioning],348)))</f>
        <v/>
      </c>
      <c r="BR349" s="5">
        <f>IF(A349="","",N(INDEX(Projects[Act Systems Commissioning],348)))</f>
        <v/>
      </c>
      <c r="BS349" s="5">
        <f>IF(A349="","",N(INDEX(Projects[Act Service Commissioning],348)))</f>
        <v/>
      </c>
      <c r="BT349" s="5">
        <f>IF(A349="","",N(INDEX(Projects[Act Controls Eng],348)))</f>
        <v/>
      </c>
      <c r="BU349" s="5">
        <f>IF(A349="","",N(INDEX(Projects[Act Controls Purchase],348)))</f>
        <v/>
      </c>
      <c r="BV349" s="5">
        <f>IF(A349="","",N(INDEX(Projects[Act Software Eng],348)))</f>
        <v/>
      </c>
      <c r="BW349" s="5">
        <f>IF(A349="","",N(INDEX(Projects[Act 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INDEX(Projects[Sold Value (USD M)],348)</f>
        <v/>
      </c>
      <c r="CE349" s="5" t="n"/>
      <c r="CF349" s="5">
        <f>IF(A349="","",N(INDEX(Projects[Est Mech Inst],348)))</f>
        <v/>
      </c>
      <c r="CG349" s="5">
        <f>IF(A349="","",N(INDEX(Projects[Est Elec Inst],348)))</f>
        <v/>
      </c>
      <c r="CH349" s="5">
        <f>IF(A349="","",N(INDEX(Projects[Est Project Management],348)))</f>
        <v/>
      </c>
      <c r="CI349" s="5">
        <f>IF(A349="","",N(INDEX(Projects[Est Systems Eng],348)))</f>
        <v/>
      </c>
      <c r="CJ349" s="5">
        <f>IF(A349="","",N(INDEX(Projects[Est Mechanical Eng],348)))</f>
        <v/>
      </c>
      <c r="CK349" s="5">
        <f>IF(A349="","",N(INDEX(Projects[Est Structural Engineering],348)))</f>
        <v/>
      </c>
      <c r="CL349" s="5">
        <f>IF(A349="","",N(INDEX(Projects[Est Site Sup],348)))</f>
        <v/>
      </c>
      <c r="CM349" s="5">
        <f>IF(A349="","",N(INDEX(Projects[Est Controls Commissioning],348)))</f>
        <v/>
      </c>
      <c r="CN349" s="5">
        <f>IF(A349="","",N(INDEX(Projects[Est Systems Commissioning],348)))</f>
        <v/>
      </c>
      <c r="CO349" s="5">
        <f>IF(A349="","",N(INDEX(Projects[Est Service Commissioning],348)))</f>
        <v/>
      </c>
      <c r="CP349" s="5">
        <f>IF(A349="","",N(INDEX(Projects[Est Controls Eng],348)))</f>
        <v/>
      </c>
      <c r="CQ349" s="5">
        <f>IF(A349="","",N(INDEX(Projects[Est Controls Purchase],348)))</f>
        <v/>
      </c>
      <c r="CR349" s="5">
        <f>IF(A349="","",N(INDEX(Projects[Est Software Eng],348)))</f>
        <v/>
      </c>
      <c r="CS349" s="5">
        <f>IF(A349="","",N(INDEX(Projects[Est Misc],348)))</f>
        <v/>
      </c>
      <c r="CT349" s="5">
        <f>IF(A349="","",SUM(CF349:CS349))</f>
        <v/>
      </c>
      <c r="CU349" s="5">
        <f>INDEX(Projects[Est Cost (M)],348)</f>
        <v/>
      </c>
      <c r="CV349" s="5">
        <f>INDEX(Projects[Act Cost (M)],348)</f>
        <v/>
      </c>
      <c r="CW349" s="5">
        <f>INDEX(Projects[Plan Mech Eng (wks)],348)</f>
        <v/>
      </c>
      <c r="CX349" s="5">
        <f>INDEX(Projects[Plan Controls Eng (wks)],348)</f>
        <v/>
      </c>
      <c r="CY349" s="5">
        <f>INDEX(Projects[Plan Systems Eng (wks)],348)</f>
        <v/>
      </c>
      <c r="CZ349" s="5">
        <f>INDEX(Projects[Plan Software Eng (wks)],348)</f>
        <v/>
      </c>
      <c r="DA349" s="5">
        <f>INDEX(Projects[Plan M&amp;E Installation (wks)],348)</f>
        <v/>
      </c>
      <c r="DB349" s="5">
        <f>INDEX(Projects[Plan Commissioning (wks)],348)</f>
        <v/>
      </c>
      <c r="DC349" s="5">
        <f>INDEX(Projects[Plan Total (wks)],348)</f>
        <v/>
      </c>
      <c r="DD349" s="5">
        <f>INDEX(Projects[Act Mech Eng (wks)],348)</f>
        <v/>
      </c>
      <c r="DE349" s="5">
        <f>INDEX(Projects[Act Controls Eng (wks)],348)</f>
        <v/>
      </c>
      <c r="DF349" s="5">
        <f>INDEX(Projects[Act Systems Eng (wks)],348)</f>
        <v/>
      </c>
      <c r="DG349" s="5">
        <f>INDEX(Projects[Act Software Eng (wks)],348)</f>
        <v/>
      </c>
      <c r="DH349" s="5">
        <f>INDEX(Projects[Act M&amp;E Installation (wks)],348)</f>
        <v/>
      </c>
      <c r="DI349" s="5">
        <f>INDEX(Projects[Act Commissioning (wks)],348)</f>
        <v/>
      </c>
      <c r="DJ349" s="5">
        <f>INDEX(Projects[Act Total (wks)],348)</f>
        <v/>
      </c>
    </row>
    <row r="350" ht="15" customHeight="1" s="82">
      <c r="A350" s="64">
        <f>INDEX(Projects[Project ID *],349)&amp;""</f>
        <v/>
      </c>
      <c r="B350" s="64">
        <f>INDEX(Projects[Project Name *],349)&amp;""</f>
        <v/>
      </c>
      <c r="C350" s="64">
        <f>INDEX(Projects[MS Shuttles],349)</f>
        <v/>
      </c>
      <c r="D350" s="64">
        <f>INDEX(Projects[MS Tote Locations],349)</f>
        <v/>
      </c>
      <c r="E350" s="64">
        <f>INDEX(Projects[AS Robots],349)</f>
        <v/>
      </c>
      <c r="F350" s="64">
        <f>INDEX(Projects[AS Tote Locations],349)</f>
        <v/>
      </c>
      <c r="G350" s="64">
        <f>INDEX(Projects[PS Shuttles],349)</f>
        <v/>
      </c>
      <c r="H350" s="64">
        <f>INDEX(Projects[PS Pallet Locations],349)</f>
        <v/>
      </c>
      <c r="I350" s="64">
        <f>INDEX(Projects[SRM Cranes],349)</f>
        <v/>
      </c>
      <c r="J350" s="64">
        <f>INDEX(Projects[SRM Pallet Locations],349)</f>
        <v/>
      </c>
      <c r="K350" s="64">
        <f>INDEX(Projects[Case Conv (m)],349)</f>
        <v/>
      </c>
      <c r="L350" s="64">
        <f>INDEX(Projects[Pallet Conv (m)],349)</f>
        <v/>
      </c>
      <c r="M350" s="64">
        <f>IF(N(DJ350)&gt;0,DD350,CW350)</f>
        <v/>
      </c>
      <c r="N350" s="64">
        <f>IF(N(DJ350)&gt;0,DE350,CX350)</f>
        <v/>
      </c>
      <c r="O350" s="64">
        <f>IF(N(DJ350)&gt;0,DF350,CY350)</f>
        <v/>
      </c>
      <c r="P350" s="64">
        <f>IF(N(DJ350)&gt;0,DG350,CZ350)</f>
        <v/>
      </c>
      <c r="Q350" s="64">
        <f>IF(N(DJ350)&gt;0,DH350,DA350)</f>
        <v/>
      </c>
      <c r="R350" s="64">
        <f>IF(N(DJ350)&gt;0,DI350,DB350)</f>
        <v/>
      </c>
      <c r="S350" s="64">
        <f>IF(N(DJ350)&gt;0,DJ350,DC350)</f>
        <v/>
      </c>
      <c r="T350" s="64">
        <f>INDEX(Projects[Currency],349)&amp;""</f>
        <v/>
      </c>
      <c r="U350" s="65">
        <f>INDEX(Projects[Sold Value (M)],349)</f>
        <v/>
      </c>
      <c r="V350" s="64">
        <f>IF('Smart Search'!B13=1,IFERROR(1/'Smart Search'!H13,0),0)</f>
        <v/>
      </c>
      <c r="W350" s="64">
        <f>IF('Smart Search'!B13=1,IFERROR(1/'Smart Search'!H13,0),0)</f>
        <v/>
      </c>
      <c r="X350" s="64">
        <f>IF('Smart Search'!C13=1,IFERROR(1/'Smart Search'!H13,0),0)</f>
        <v/>
      </c>
      <c r="Y350" s="64">
        <f>IF('Smart Search'!C13=1,IFERROR(1/'Smart Search'!H13,0),0)</f>
        <v/>
      </c>
      <c r="Z350" s="64">
        <f>IF('Smart Search'!D13=1,IFERROR(1/'Smart Search'!H13,0),0)</f>
        <v/>
      </c>
      <c r="AA350" s="64">
        <f>IF('Smart Search'!D13=1,IFERROR(1/'Smart Search'!H13,0),0)</f>
        <v/>
      </c>
      <c r="AB350" s="64">
        <f>IF('Smart Search'!E13=1,IFERROR(1/'Smart Search'!H13,0),0)</f>
        <v/>
      </c>
      <c r="AC350" s="64">
        <f>IF('Smart Search'!E13=1,IFERROR(1/'Smart Search'!H13,0),0)</f>
        <v/>
      </c>
      <c r="AD350" s="64">
        <f>IF('Smart Search'!F13=1,IFERROR(1/'Smart Search'!H13,0),0)</f>
        <v/>
      </c>
      <c r="AE350" s="64">
        <f>IF('Smart Search'!F13=1,IFERROR(1/'Smart Search'!H13,0),0)</f>
        <v/>
      </c>
      <c r="AF350" s="64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4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4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4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4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4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4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4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4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4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4">
        <f>AF350*V350</f>
        <v/>
      </c>
      <c r="AQ350" s="64">
        <f>AG350*W350</f>
        <v/>
      </c>
      <c r="AR350" s="64">
        <f>AH350*X350</f>
        <v/>
      </c>
      <c r="AS350" s="64">
        <f>AI350*Y350</f>
        <v/>
      </c>
      <c r="AT350" s="64">
        <f>AJ350*Z350</f>
        <v/>
      </c>
      <c r="AU350" s="64">
        <f>AK350*AA350</f>
        <v/>
      </c>
      <c r="AV350" s="64">
        <f>AL350*AB350</f>
        <v/>
      </c>
      <c r="AW350" s="64">
        <f>AM350*AC350</f>
        <v/>
      </c>
      <c r="AX350" s="64">
        <f>AN350*AD350</f>
        <v/>
      </c>
      <c r="AY350" s="64">
        <f>AO350*AE350</f>
        <v/>
      </c>
      <c r="AZ350" s="64">
        <f>INDEX(Projects[Automation Equipment],349)&amp;""</f>
        <v/>
      </c>
      <c r="BA350" s="64">
        <f>IF(OR(A350="",'Smart Search'!H13=0),"",MAX(0,BE350*BF350*MAX(0,1-BG350)))</f>
        <v/>
      </c>
      <c r="BB350" s="64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4">
        <f>IF('Smart Search'!G13=1,IFERROR(1/'Smart Search'!H13,0),0)</f>
        <v/>
      </c>
      <c r="BD350" s="64">
        <f>BB350*BC350</f>
        <v/>
      </c>
      <c r="BE350" s="64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IF(A350="","",N(INDEX(Projects[Act Mech Inst],349)))</f>
        <v/>
      </c>
      <c r="BK350" s="5">
        <f>IF(A350="","",N(INDEX(Projects[Act Elec Inst],349)))</f>
        <v/>
      </c>
      <c r="BL350" s="5">
        <f>IF(A350="","",N(INDEX(Projects[Act Project Management],349)))</f>
        <v/>
      </c>
      <c r="BM350" s="5">
        <f>IF(A350="","",N(INDEX(Projects[Act Systems Eng],349)))</f>
        <v/>
      </c>
      <c r="BN350" s="5">
        <f>IF(A350="","",N(INDEX(Projects[Act Mechanical Eng],349)))</f>
        <v/>
      </c>
      <c r="BO350" s="5">
        <f>IF(A350="","",N(INDEX(Projects[Act Structural Engineering],349)))</f>
        <v/>
      </c>
      <c r="BP350" s="5">
        <f>IF(A350="","",N(INDEX(Projects[Act Site Sup],349)))</f>
        <v/>
      </c>
      <c r="BQ350" s="5">
        <f>IF(A350="","",N(INDEX(Projects[Act Controls Commissioning],349)))</f>
        <v/>
      </c>
      <c r="BR350" s="5">
        <f>IF(A350="","",N(INDEX(Projects[Act Systems Commissioning],349)))</f>
        <v/>
      </c>
      <c r="BS350" s="5">
        <f>IF(A350="","",N(INDEX(Projects[Act Service Commissioning],349)))</f>
        <v/>
      </c>
      <c r="BT350" s="5">
        <f>IF(A350="","",N(INDEX(Projects[Act Controls Eng],349)))</f>
        <v/>
      </c>
      <c r="BU350" s="5">
        <f>IF(A350="","",N(INDEX(Projects[Act Controls Purchase],349)))</f>
        <v/>
      </c>
      <c r="BV350" s="5">
        <f>IF(A350="","",N(INDEX(Projects[Act Software Eng],349)))</f>
        <v/>
      </c>
      <c r="BW350" s="5">
        <f>IF(A350="","",N(INDEX(Projects[Act 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INDEX(Projects[Sold Value (USD M)],349)</f>
        <v/>
      </c>
      <c r="CE350" s="5" t="n"/>
      <c r="CF350" s="5">
        <f>IF(A350="","",N(INDEX(Projects[Est Mech Inst],349)))</f>
        <v/>
      </c>
      <c r="CG350" s="5">
        <f>IF(A350="","",N(INDEX(Projects[Est Elec Inst],349)))</f>
        <v/>
      </c>
      <c r="CH350" s="5">
        <f>IF(A350="","",N(INDEX(Projects[Est Project Management],349)))</f>
        <v/>
      </c>
      <c r="CI350" s="5">
        <f>IF(A350="","",N(INDEX(Projects[Est Systems Eng],349)))</f>
        <v/>
      </c>
      <c r="CJ350" s="5">
        <f>IF(A350="","",N(INDEX(Projects[Est Mechanical Eng],349)))</f>
        <v/>
      </c>
      <c r="CK350" s="5">
        <f>IF(A350="","",N(INDEX(Projects[Est Structural Engineering],349)))</f>
        <v/>
      </c>
      <c r="CL350" s="5">
        <f>IF(A350="","",N(INDEX(Projects[Est Site Sup],349)))</f>
        <v/>
      </c>
      <c r="CM350" s="5">
        <f>IF(A350="","",N(INDEX(Projects[Est Controls Commissioning],349)))</f>
        <v/>
      </c>
      <c r="CN350" s="5">
        <f>IF(A350="","",N(INDEX(Projects[Est Systems Commissioning],349)))</f>
        <v/>
      </c>
      <c r="CO350" s="5">
        <f>IF(A350="","",N(INDEX(Projects[Est Service Commissioning],349)))</f>
        <v/>
      </c>
      <c r="CP350" s="5">
        <f>IF(A350="","",N(INDEX(Projects[Est Controls Eng],349)))</f>
        <v/>
      </c>
      <c r="CQ350" s="5">
        <f>IF(A350="","",N(INDEX(Projects[Est Controls Purchase],349)))</f>
        <v/>
      </c>
      <c r="CR350" s="5">
        <f>IF(A350="","",N(INDEX(Projects[Est Software Eng],349)))</f>
        <v/>
      </c>
      <c r="CS350" s="5">
        <f>IF(A350="","",N(INDEX(Projects[Est Misc],349)))</f>
        <v/>
      </c>
      <c r="CT350" s="5">
        <f>IF(A350="","",SUM(CF350:CS350))</f>
        <v/>
      </c>
      <c r="CU350" s="5">
        <f>INDEX(Projects[Est Cost (M)],349)</f>
        <v/>
      </c>
      <c r="CV350" s="5">
        <f>INDEX(Projects[Act Cost (M)],349)</f>
        <v/>
      </c>
      <c r="CW350" s="5">
        <f>INDEX(Projects[Plan Mech Eng (wks)],349)</f>
        <v/>
      </c>
      <c r="CX350" s="5">
        <f>INDEX(Projects[Plan Controls Eng (wks)],349)</f>
        <v/>
      </c>
      <c r="CY350" s="5">
        <f>INDEX(Projects[Plan Systems Eng (wks)],349)</f>
        <v/>
      </c>
      <c r="CZ350" s="5">
        <f>INDEX(Projects[Plan Software Eng (wks)],349)</f>
        <v/>
      </c>
      <c r="DA350" s="5">
        <f>INDEX(Projects[Plan M&amp;E Installation (wks)],349)</f>
        <v/>
      </c>
      <c r="DB350" s="5">
        <f>INDEX(Projects[Plan Commissioning (wks)],349)</f>
        <v/>
      </c>
      <c r="DC350" s="5">
        <f>INDEX(Projects[Plan Total (wks)],349)</f>
        <v/>
      </c>
      <c r="DD350" s="5">
        <f>INDEX(Projects[Act Mech Eng (wks)],349)</f>
        <v/>
      </c>
      <c r="DE350" s="5">
        <f>INDEX(Projects[Act Controls Eng (wks)],349)</f>
        <v/>
      </c>
      <c r="DF350" s="5">
        <f>INDEX(Projects[Act Systems Eng (wks)],349)</f>
        <v/>
      </c>
      <c r="DG350" s="5">
        <f>INDEX(Projects[Act Software Eng (wks)],349)</f>
        <v/>
      </c>
      <c r="DH350" s="5">
        <f>INDEX(Projects[Act M&amp;E Installation (wks)],349)</f>
        <v/>
      </c>
      <c r="DI350" s="5">
        <f>INDEX(Projects[Act Commissioning (wks)],349)</f>
        <v/>
      </c>
      <c r="DJ350" s="5">
        <f>INDEX(Projects[Act Total (wks)],349)</f>
        <v/>
      </c>
    </row>
    <row r="351" ht="15" customHeight="1" s="82">
      <c r="A351" s="64">
        <f>INDEX(Projects[Project ID *],350)&amp;""</f>
        <v/>
      </c>
      <c r="B351" s="64">
        <f>INDEX(Projects[Project Name *],350)&amp;""</f>
        <v/>
      </c>
      <c r="C351" s="64">
        <f>INDEX(Projects[MS Shuttles],350)</f>
        <v/>
      </c>
      <c r="D351" s="64">
        <f>INDEX(Projects[MS Tote Locations],350)</f>
        <v/>
      </c>
      <c r="E351" s="64">
        <f>INDEX(Projects[AS Robots],350)</f>
        <v/>
      </c>
      <c r="F351" s="64">
        <f>INDEX(Projects[AS Tote Locations],350)</f>
        <v/>
      </c>
      <c r="G351" s="64">
        <f>INDEX(Projects[PS Shuttles],350)</f>
        <v/>
      </c>
      <c r="H351" s="64">
        <f>INDEX(Projects[PS Pallet Locations],350)</f>
        <v/>
      </c>
      <c r="I351" s="64">
        <f>INDEX(Projects[SRM Cranes],350)</f>
        <v/>
      </c>
      <c r="J351" s="64">
        <f>INDEX(Projects[SRM Pallet Locations],350)</f>
        <v/>
      </c>
      <c r="K351" s="64">
        <f>INDEX(Projects[Case Conv (m)],350)</f>
        <v/>
      </c>
      <c r="L351" s="64">
        <f>INDEX(Projects[Pallet Conv (m)],350)</f>
        <v/>
      </c>
      <c r="M351" s="64">
        <f>IF(N(DJ351)&gt;0,DD351,CW351)</f>
        <v/>
      </c>
      <c r="N351" s="64">
        <f>IF(N(DJ351)&gt;0,DE351,CX351)</f>
        <v/>
      </c>
      <c r="O351" s="64">
        <f>IF(N(DJ351)&gt;0,DF351,CY351)</f>
        <v/>
      </c>
      <c r="P351" s="64">
        <f>IF(N(DJ351)&gt;0,DG351,CZ351)</f>
        <v/>
      </c>
      <c r="Q351" s="64">
        <f>IF(N(DJ351)&gt;0,DH351,DA351)</f>
        <v/>
      </c>
      <c r="R351" s="64">
        <f>IF(N(DJ351)&gt;0,DI351,DB351)</f>
        <v/>
      </c>
      <c r="S351" s="64">
        <f>IF(N(DJ351)&gt;0,DJ351,DC351)</f>
        <v/>
      </c>
      <c r="T351" s="64">
        <f>INDEX(Projects[Currency],350)&amp;""</f>
        <v/>
      </c>
      <c r="U351" s="65">
        <f>INDEX(Projects[Sold Value (M)],350)</f>
        <v/>
      </c>
      <c r="V351" s="64">
        <f>IF('Smart Search'!B13=1,IFERROR(1/'Smart Search'!H13,0),0)</f>
        <v/>
      </c>
      <c r="W351" s="64">
        <f>IF('Smart Search'!B13=1,IFERROR(1/'Smart Search'!H13,0),0)</f>
        <v/>
      </c>
      <c r="X351" s="64">
        <f>IF('Smart Search'!C13=1,IFERROR(1/'Smart Search'!H13,0),0)</f>
        <v/>
      </c>
      <c r="Y351" s="64">
        <f>IF('Smart Search'!C13=1,IFERROR(1/'Smart Search'!H13,0),0)</f>
        <v/>
      </c>
      <c r="Z351" s="64">
        <f>IF('Smart Search'!D13=1,IFERROR(1/'Smart Search'!H13,0),0)</f>
        <v/>
      </c>
      <c r="AA351" s="64">
        <f>IF('Smart Search'!D13=1,IFERROR(1/'Smart Search'!H13,0),0)</f>
        <v/>
      </c>
      <c r="AB351" s="64">
        <f>IF('Smart Search'!E13=1,IFERROR(1/'Smart Search'!H13,0),0)</f>
        <v/>
      </c>
      <c r="AC351" s="64">
        <f>IF('Smart Search'!E13=1,IFERROR(1/'Smart Search'!H13,0),0)</f>
        <v/>
      </c>
      <c r="AD351" s="64">
        <f>IF('Smart Search'!F13=1,IFERROR(1/'Smart Search'!H13,0),0)</f>
        <v/>
      </c>
      <c r="AE351" s="64">
        <f>IF('Smart Search'!F13=1,IFERROR(1/'Smart Search'!H13,0),0)</f>
        <v/>
      </c>
      <c r="AF351" s="64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4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4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4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4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4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4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4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4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4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4">
        <f>AF351*V351</f>
        <v/>
      </c>
      <c r="AQ351" s="64">
        <f>AG351*W351</f>
        <v/>
      </c>
      <c r="AR351" s="64">
        <f>AH351*X351</f>
        <v/>
      </c>
      <c r="AS351" s="64">
        <f>AI351*Y351</f>
        <v/>
      </c>
      <c r="AT351" s="64">
        <f>AJ351*Z351</f>
        <v/>
      </c>
      <c r="AU351" s="64">
        <f>AK351*AA351</f>
        <v/>
      </c>
      <c r="AV351" s="64">
        <f>AL351*AB351</f>
        <v/>
      </c>
      <c r="AW351" s="64">
        <f>AM351*AC351</f>
        <v/>
      </c>
      <c r="AX351" s="64">
        <f>AN351*AD351</f>
        <v/>
      </c>
      <c r="AY351" s="64">
        <f>AO351*AE351</f>
        <v/>
      </c>
      <c r="AZ351" s="64">
        <f>INDEX(Projects[Automation Equipment],350)&amp;""</f>
        <v/>
      </c>
      <c r="BA351" s="64">
        <f>IF(OR(A351="",'Smart Search'!H13=0),"",MAX(0,BE351*BF351*MAX(0,1-BG351)))</f>
        <v/>
      </c>
      <c r="BB351" s="64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4">
        <f>IF('Smart Search'!G13=1,IFERROR(1/'Smart Search'!H13,0),0)</f>
        <v/>
      </c>
      <c r="BD351" s="64">
        <f>BB351*BC351</f>
        <v/>
      </c>
      <c r="BE351" s="64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IF(A351="","",N(INDEX(Projects[Act Mech Inst],350)))</f>
        <v/>
      </c>
      <c r="BK351" s="5">
        <f>IF(A351="","",N(INDEX(Projects[Act Elec Inst],350)))</f>
        <v/>
      </c>
      <c r="BL351" s="5">
        <f>IF(A351="","",N(INDEX(Projects[Act Project Management],350)))</f>
        <v/>
      </c>
      <c r="BM351" s="5">
        <f>IF(A351="","",N(INDEX(Projects[Act Systems Eng],350)))</f>
        <v/>
      </c>
      <c r="BN351" s="5">
        <f>IF(A351="","",N(INDEX(Projects[Act Mechanical Eng],350)))</f>
        <v/>
      </c>
      <c r="BO351" s="5">
        <f>IF(A351="","",N(INDEX(Projects[Act Structural Engineering],350)))</f>
        <v/>
      </c>
      <c r="BP351" s="5">
        <f>IF(A351="","",N(INDEX(Projects[Act Site Sup],350)))</f>
        <v/>
      </c>
      <c r="BQ351" s="5">
        <f>IF(A351="","",N(INDEX(Projects[Act Controls Commissioning],350)))</f>
        <v/>
      </c>
      <c r="BR351" s="5">
        <f>IF(A351="","",N(INDEX(Projects[Act Systems Commissioning],350)))</f>
        <v/>
      </c>
      <c r="BS351" s="5">
        <f>IF(A351="","",N(INDEX(Projects[Act Service Commissioning],350)))</f>
        <v/>
      </c>
      <c r="BT351" s="5">
        <f>IF(A351="","",N(INDEX(Projects[Act Controls Eng],350)))</f>
        <v/>
      </c>
      <c r="BU351" s="5">
        <f>IF(A351="","",N(INDEX(Projects[Act Controls Purchase],350)))</f>
        <v/>
      </c>
      <c r="BV351" s="5">
        <f>IF(A351="","",N(INDEX(Projects[Act Software Eng],350)))</f>
        <v/>
      </c>
      <c r="BW351" s="5">
        <f>IF(A351="","",N(INDEX(Projects[Act 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INDEX(Projects[Sold Value (USD M)],350)</f>
        <v/>
      </c>
      <c r="CE351" s="5" t="n"/>
      <c r="CF351" s="5">
        <f>IF(A351="","",N(INDEX(Projects[Est Mech Inst],350)))</f>
        <v/>
      </c>
      <c r="CG351" s="5">
        <f>IF(A351="","",N(INDEX(Projects[Est Elec Inst],350)))</f>
        <v/>
      </c>
      <c r="CH351" s="5">
        <f>IF(A351="","",N(INDEX(Projects[Est Project Management],350)))</f>
        <v/>
      </c>
      <c r="CI351" s="5">
        <f>IF(A351="","",N(INDEX(Projects[Est Systems Eng],350)))</f>
        <v/>
      </c>
      <c r="CJ351" s="5">
        <f>IF(A351="","",N(INDEX(Projects[Est Mechanical Eng],350)))</f>
        <v/>
      </c>
      <c r="CK351" s="5">
        <f>IF(A351="","",N(INDEX(Projects[Est Structural Engineering],350)))</f>
        <v/>
      </c>
      <c r="CL351" s="5">
        <f>IF(A351="","",N(INDEX(Projects[Est Site Sup],350)))</f>
        <v/>
      </c>
      <c r="CM351" s="5">
        <f>IF(A351="","",N(INDEX(Projects[Est Controls Commissioning],350)))</f>
        <v/>
      </c>
      <c r="CN351" s="5">
        <f>IF(A351="","",N(INDEX(Projects[Est Systems Commissioning],350)))</f>
        <v/>
      </c>
      <c r="CO351" s="5">
        <f>IF(A351="","",N(INDEX(Projects[Est Service Commissioning],350)))</f>
        <v/>
      </c>
      <c r="CP351" s="5">
        <f>IF(A351="","",N(INDEX(Projects[Est Controls Eng],350)))</f>
        <v/>
      </c>
      <c r="CQ351" s="5">
        <f>IF(A351="","",N(INDEX(Projects[Est Controls Purchase],350)))</f>
        <v/>
      </c>
      <c r="CR351" s="5">
        <f>IF(A351="","",N(INDEX(Projects[Est Software Eng],350)))</f>
        <v/>
      </c>
      <c r="CS351" s="5">
        <f>IF(A351="","",N(INDEX(Projects[Est Misc],350)))</f>
        <v/>
      </c>
      <c r="CT351" s="5">
        <f>IF(A351="","",SUM(CF351:CS351))</f>
        <v/>
      </c>
      <c r="CU351" s="5">
        <f>INDEX(Projects[Est Cost (M)],350)</f>
        <v/>
      </c>
      <c r="CV351" s="5">
        <f>INDEX(Projects[Act Cost (M)],350)</f>
        <v/>
      </c>
      <c r="CW351" s="5">
        <f>INDEX(Projects[Plan Mech Eng (wks)],350)</f>
        <v/>
      </c>
      <c r="CX351" s="5">
        <f>INDEX(Projects[Plan Controls Eng (wks)],350)</f>
        <v/>
      </c>
      <c r="CY351" s="5">
        <f>INDEX(Projects[Plan Systems Eng (wks)],350)</f>
        <v/>
      </c>
      <c r="CZ351" s="5">
        <f>INDEX(Projects[Plan Software Eng (wks)],350)</f>
        <v/>
      </c>
      <c r="DA351" s="5">
        <f>INDEX(Projects[Plan M&amp;E Installation (wks)],350)</f>
        <v/>
      </c>
      <c r="DB351" s="5">
        <f>INDEX(Projects[Plan Commissioning (wks)],350)</f>
        <v/>
      </c>
      <c r="DC351" s="5">
        <f>INDEX(Projects[Plan Total (wks)],350)</f>
        <v/>
      </c>
      <c r="DD351" s="5">
        <f>INDEX(Projects[Act Mech Eng (wks)],350)</f>
        <v/>
      </c>
      <c r="DE351" s="5">
        <f>INDEX(Projects[Act Controls Eng (wks)],350)</f>
        <v/>
      </c>
      <c r="DF351" s="5">
        <f>INDEX(Projects[Act Systems Eng (wks)],350)</f>
        <v/>
      </c>
      <c r="DG351" s="5">
        <f>INDEX(Projects[Act Software Eng (wks)],350)</f>
        <v/>
      </c>
      <c r="DH351" s="5">
        <f>INDEX(Projects[Act M&amp;E Installation (wks)],350)</f>
        <v/>
      </c>
      <c r="DI351" s="5">
        <f>INDEX(Projects[Act Commissioning (wks)],350)</f>
        <v/>
      </c>
      <c r="DJ351" s="5">
        <f>INDEX(Projects[Act Total (wks)],350)</f>
        <v/>
      </c>
    </row>
    <row r="352" ht="15" customHeight="1" s="82">
      <c r="A352" s="64">
        <f>INDEX(Projects[Project ID *],351)&amp;""</f>
        <v/>
      </c>
      <c r="B352" s="64">
        <f>INDEX(Projects[Project Name *],351)&amp;""</f>
        <v/>
      </c>
      <c r="C352" s="64">
        <f>INDEX(Projects[MS Shuttles],351)</f>
        <v/>
      </c>
      <c r="D352" s="64">
        <f>INDEX(Projects[MS Tote Locations],351)</f>
        <v/>
      </c>
      <c r="E352" s="64">
        <f>INDEX(Projects[AS Robots],351)</f>
        <v/>
      </c>
      <c r="F352" s="64">
        <f>INDEX(Projects[AS Tote Locations],351)</f>
        <v/>
      </c>
      <c r="G352" s="64">
        <f>INDEX(Projects[PS Shuttles],351)</f>
        <v/>
      </c>
      <c r="H352" s="64">
        <f>INDEX(Projects[PS Pallet Locations],351)</f>
        <v/>
      </c>
      <c r="I352" s="64">
        <f>INDEX(Projects[SRM Cranes],351)</f>
        <v/>
      </c>
      <c r="J352" s="64">
        <f>INDEX(Projects[SRM Pallet Locations],351)</f>
        <v/>
      </c>
      <c r="K352" s="64">
        <f>INDEX(Projects[Case Conv (m)],351)</f>
        <v/>
      </c>
      <c r="L352" s="64">
        <f>INDEX(Projects[Pallet Conv (m)],351)</f>
        <v/>
      </c>
      <c r="M352" s="64">
        <f>IF(N(DJ352)&gt;0,DD352,CW352)</f>
        <v/>
      </c>
      <c r="N352" s="64">
        <f>IF(N(DJ352)&gt;0,DE352,CX352)</f>
        <v/>
      </c>
      <c r="O352" s="64">
        <f>IF(N(DJ352)&gt;0,DF352,CY352)</f>
        <v/>
      </c>
      <c r="P352" s="64">
        <f>IF(N(DJ352)&gt;0,DG352,CZ352)</f>
        <v/>
      </c>
      <c r="Q352" s="64">
        <f>IF(N(DJ352)&gt;0,DH352,DA352)</f>
        <v/>
      </c>
      <c r="R352" s="64">
        <f>IF(N(DJ352)&gt;0,DI352,DB352)</f>
        <v/>
      </c>
      <c r="S352" s="64">
        <f>IF(N(DJ352)&gt;0,DJ352,DC352)</f>
        <v/>
      </c>
      <c r="T352" s="64">
        <f>INDEX(Projects[Currency],351)&amp;""</f>
        <v/>
      </c>
      <c r="U352" s="65">
        <f>INDEX(Projects[Sold Value (M)],351)</f>
        <v/>
      </c>
      <c r="V352" s="64">
        <f>IF('Smart Search'!B13=1,IFERROR(1/'Smart Search'!H13,0),0)</f>
        <v/>
      </c>
      <c r="W352" s="64">
        <f>IF('Smart Search'!B13=1,IFERROR(1/'Smart Search'!H13,0),0)</f>
        <v/>
      </c>
      <c r="X352" s="64">
        <f>IF('Smart Search'!C13=1,IFERROR(1/'Smart Search'!H13,0),0)</f>
        <v/>
      </c>
      <c r="Y352" s="64">
        <f>IF('Smart Search'!C13=1,IFERROR(1/'Smart Search'!H13,0),0)</f>
        <v/>
      </c>
      <c r="Z352" s="64">
        <f>IF('Smart Search'!D13=1,IFERROR(1/'Smart Search'!H13,0),0)</f>
        <v/>
      </c>
      <c r="AA352" s="64">
        <f>IF('Smart Search'!D13=1,IFERROR(1/'Smart Search'!H13,0),0)</f>
        <v/>
      </c>
      <c r="AB352" s="64">
        <f>IF('Smart Search'!E13=1,IFERROR(1/'Smart Search'!H13,0),0)</f>
        <v/>
      </c>
      <c r="AC352" s="64">
        <f>IF('Smart Search'!E13=1,IFERROR(1/'Smart Search'!H13,0),0)</f>
        <v/>
      </c>
      <c r="AD352" s="64">
        <f>IF('Smart Search'!F13=1,IFERROR(1/'Smart Search'!H13,0),0)</f>
        <v/>
      </c>
      <c r="AE352" s="64">
        <f>IF('Smart Search'!F13=1,IFERROR(1/'Smart Search'!H13,0),0)</f>
        <v/>
      </c>
      <c r="AF352" s="64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4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4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4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4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4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4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4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4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4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4">
        <f>AF352*V352</f>
        <v/>
      </c>
      <c r="AQ352" s="64">
        <f>AG352*W352</f>
        <v/>
      </c>
      <c r="AR352" s="64">
        <f>AH352*X352</f>
        <v/>
      </c>
      <c r="AS352" s="64">
        <f>AI352*Y352</f>
        <v/>
      </c>
      <c r="AT352" s="64">
        <f>AJ352*Z352</f>
        <v/>
      </c>
      <c r="AU352" s="64">
        <f>AK352*AA352</f>
        <v/>
      </c>
      <c r="AV352" s="64">
        <f>AL352*AB352</f>
        <v/>
      </c>
      <c r="AW352" s="64">
        <f>AM352*AC352</f>
        <v/>
      </c>
      <c r="AX352" s="64">
        <f>AN352*AD352</f>
        <v/>
      </c>
      <c r="AY352" s="64">
        <f>AO352*AE352</f>
        <v/>
      </c>
      <c r="AZ352" s="64">
        <f>INDEX(Projects[Automation Equipment],351)&amp;""</f>
        <v/>
      </c>
      <c r="BA352" s="64">
        <f>IF(OR(A352="",'Smart Search'!H13=0),"",MAX(0,BE352*BF352*MAX(0,1-BG352)))</f>
        <v/>
      </c>
      <c r="BB352" s="64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4">
        <f>IF('Smart Search'!G13=1,IFERROR(1/'Smart Search'!H13,0),0)</f>
        <v/>
      </c>
      <c r="BD352" s="64">
        <f>BB352*BC352</f>
        <v/>
      </c>
      <c r="BE352" s="64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IF(A352="","",N(INDEX(Projects[Act Mech Inst],351)))</f>
        <v/>
      </c>
      <c r="BK352" s="5">
        <f>IF(A352="","",N(INDEX(Projects[Act Elec Inst],351)))</f>
        <v/>
      </c>
      <c r="BL352" s="5">
        <f>IF(A352="","",N(INDEX(Projects[Act Project Management],351)))</f>
        <v/>
      </c>
      <c r="BM352" s="5">
        <f>IF(A352="","",N(INDEX(Projects[Act Systems Eng],351)))</f>
        <v/>
      </c>
      <c r="BN352" s="5">
        <f>IF(A352="","",N(INDEX(Projects[Act Mechanical Eng],351)))</f>
        <v/>
      </c>
      <c r="BO352" s="5">
        <f>IF(A352="","",N(INDEX(Projects[Act Structural Engineering],351)))</f>
        <v/>
      </c>
      <c r="BP352" s="5">
        <f>IF(A352="","",N(INDEX(Projects[Act Site Sup],351)))</f>
        <v/>
      </c>
      <c r="BQ352" s="5">
        <f>IF(A352="","",N(INDEX(Projects[Act Controls Commissioning],351)))</f>
        <v/>
      </c>
      <c r="BR352" s="5">
        <f>IF(A352="","",N(INDEX(Projects[Act Systems Commissioning],351)))</f>
        <v/>
      </c>
      <c r="BS352" s="5">
        <f>IF(A352="","",N(INDEX(Projects[Act Service Commissioning],351)))</f>
        <v/>
      </c>
      <c r="BT352" s="5">
        <f>IF(A352="","",N(INDEX(Projects[Act Controls Eng],351)))</f>
        <v/>
      </c>
      <c r="BU352" s="5">
        <f>IF(A352="","",N(INDEX(Projects[Act Controls Purchase],351)))</f>
        <v/>
      </c>
      <c r="BV352" s="5">
        <f>IF(A352="","",N(INDEX(Projects[Act Software Eng],351)))</f>
        <v/>
      </c>
      <c r="BW352" s="5">
        <f>IF(A352="","",N(INDEX(Projects[Act 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INDEX(Projects[Sold Value (USD M)],351)</f>
        <v/>
      </c>
      <c r="CE352" s="5" t="n"/>
      <c r="CF352" s="5">
        <f>IF(A352="","",N(INDEX(Projects[Est Mech Inst],351)))</f>
        <v/>
      </c>
      <c r="CG352" s="5">
        <f>IF(A352="","",N(INDEX(Projects[Est Elec Inst],351)))</f>
        <v/>
      </c>
      <c r="CH352" s="5">
        <f>IF(A352="","",N(INDEX(Projects[Est Project Management],351)))</f>
        <v/>
      </c>
      <c r="CI352" s="5">
        <f>IF(A352="","",N(INDEX(Projects[Est Systems Eng],351)))</f>
        <v/>
      </c>
      <c r="CJ352" s="5">
        <f>IF(A352="","",N(INDEX(Projects[Est Mechanical Eng],351)))</f>
        <v/>
      </c>
      <c r="CK352" s="5">
        <f>IF(A352="","",N(INDEX(Projects[Est Structural Engineering],351)))</f>
        <v/>
      </c>
      <c r="CL352" s="5">
        <f>IF(A352="","",N(INDEX(Projects[Est Site Sup],351)))</f>
        <v/>
      </c>
      <c r="CM352" s="5">
        <f>IF(A352="","",N(INDEX(Projects[Est Controls Commissioning],351)))</f>
        <v/>
      </c>
      <c r="CN352" s="5">
        <f>IF(A352="","",N(INDEX(Projects[Est Systems Commissioning],351)))</f>
        <v/>
      </c>
      <c r="CO352" s="5">
        <f>IF(A352="","",N(INDEX(Projects[Est Service Commissioning],351)))</f>
        <v/>
      </c>
      <c r="CP352" s="5">
        <f>IF(A352="","",N(INDEX(Projects[Est Controls Eng],351)))</f>
        <v/>
      </c>
      <c r="CQ352" s="5">
        <f>IF(A352="","",N(INDEX(Projects[Est Controls Purchase],351)))</f>
        <v/>
      </c>
      <c r="CR352" s="5">
        <f>IF(A352="","",N(INDEX(Projects[Est Software Eng],351)))</f>
        <v/>
      </c>
      <c r="CS352" s="5">
        <f>IF(A352="","",N(INDEX(Projects[Est Misc],351)))</f>
        <v/>
      </c>
      <c r="CT352" s="5">
        <f>IF(A352="","",SUM(CF352:CS352))</f>
        <v/>
      </c>
      <c r="CU352" s="5">
        <f>INDEX(Projects[Est Cost (M)],351)</f>
        <v/>
      </c>
      <c r="CV352" s="5">
        <f>INDEX(Projects[Act Cost (M)],351)</f>
        <v/>
      </c>
      <c r="CW352" s="5">
        <f>INDEX(Projects[Plan Mech Eng (wks)],351)</f>
        <v/>
      </c>
      <c r="CX352" s="5">
        <f>INDEX(Projects[Plan Controls Eng (wks)],351)</f>
        <v/>
      </c>
      <c r="CY352" s="5">
        <f>INDEX(Projects[Plan Systems Eng (wks)],351)</f>
        <v/>
      </c>
      <c r="CZ352" s="5">
        <f>INDEX(Projects[Plan Software Eng (wks)],351)</f>
        <v/>
      </c>
      <c r="DA352" s="5">
        <f>INDEX(Projects[Plan M&amp;E Installation (wks)],351)</f>
        <v/>
      </c>
      <c r="DB352" s="5">
        <f>INDEX(Projects[Plan Commissioning (wks)],351)</f>
        <v/>
      </c>
      <c r="DC352" s="5">
        <f>INDEX(Projects[Plan Total (wks)],351)</f>
        <v/>
      </c>
      <c r="DD352" s="5">
        <f>INDEX(Projects[Act Mech Eng (wks)],351)</f>
        <v/>
      </c>
      <c r="DE352" s="5">
        <f>INDEX(Projects[Act Controls Eng (wks)],351)</f>
        <v/>
      </c>
      <c r="DF352" s="5">
        <f>INDEX(Projects[Act Systems Eng (wks)],351)</f>
        <v/>
      </c>
      <c r="DG352" s="5">
        <f>INDEX(Projects[Act Software Eng (wks)],351)</f>
        <v/>
      </c>
      <c r="DH352" s="5">
        <f>INDEX(Projects[Act M&amp;E Installation (wks)],351)</f>
        <v/>
      </c>
      <c r="DI352" s="5">
        <f>INDEX(Projects[Act Commissioning (wks)],351)</f>
        <v/>
      </c>
      <c r="DJ352" s="5">
        <f>INDEX(Projects[Act Total (wks)],351)</f>
        <v/>
      </c>
    </row>
    <row r="353" ht="15" customHeight="1" s="82">
      <c r="A353" s="64">
        <f>INDEX(Projects[Project ID *],352)&amp;""</f>
        <v/>
      </c>
      <c r="B353" s="64">
        <f>INDEX(Projects[Project Name *],352)&amp;""</f>
        <v/>
      </c>
      <c r="C353" s="64">
        <f>INDEX(Projects[MS Shuttles],352)</f>
        <v/>
      </c>
      <c r="D353" s="64">
        <f>INDEX(Projects[MS Tote Locations],352)</f>
        <v/>
      </c>
      <c r="E353" s="64">
        <f>INDEX(Projects[AS Robots],352)</f>
        <v/>
      </c>
      <c r="F353" s="64">
        <f>INDEX(Projects[AS Tote Locations],352)</f>
        <v/>
      </c>
      <c r="G353" s="64">
        <f>INDEX(Projects[PS Shuttles],352)</f>
        <v/>
      </c>
      <c r="H353" s="64">
        <f>INDEX(Projects[PS Pallet Locations],352)</f>
        <v/>
      </c>
      <c r="I353" s="64">
        <f>INDEX(Projects[SRM Cranes],352)</f>
        <v/>
      </c>
      <c r="J353" s="64">
        <f>INDEX(Projects[SRM Pallet Locations],352)</f>
        <v/>
      </c>
      <c r="K353" s="64">
        <f>INDEX(Projects[Case Conv (m)],352)</f>
        <v/>
      </c>
      <c r="L353" s="64">
        <f>INDEX(Projects[Pallet Conv (m)],352)</f>
        <v/>
      </c>
      <c r="M353" s="64">
        <f>IF(N(DJ353)&gt;0,DD353,CW353)</f>
        <v/>
      </c>
      <c r="N353" s="64">
        <f>IF(N(DJ353)&gt;0,DE353,CX353)</f>
        <v/>
      </c>
      <c r="O353" s="64">
        <f>IF(N(DJ353)&gt;0,DF353,CY353)</f>
        <v/>
      </c>
      <c r="P353" s="64">
        <f>IF(N(DJ353)&gt;0,DG353,CZ353)</f>
        <v/>
      </c>
      <c r="Q353" s="64">
        <f>IF(N(DJ353)&gt;0,DH353,DA353)</f>
        <v/>
      </c>
      <c r="R353" s="64">
        <f>IF(N(DJ353)&gt;0,DI353,DB353)</f>
        <v/>
      </c>
      <c r="S353" s="64">
        <f>IF(N(DJ353)&gt;0,DJ353,DC353)</f>
        <v/>
      </c>
      <c r="T353" s="64">
        <f>INDEX(Projects[Currency],352)&amp;""</f>
        <v/>
      </c>
      <c r="U353" s="65">
        <f>INDEX(Projects[Sold Value (M)],352)</f>
        <v/>
      </c>
      <c r="V353" s="64">
        <f>IF('Smart Search'!B13=1,IFERROR(1/'Smart Search'!H13,0),0)</f>
        <v/>
      </c>
      <c r="W353" s="64">
        <f>IF('Smart Search'!B13=1,IFERROR(1/'Smart Search'!H13,0),0)</f>
        <v/>
      </c>
      <c r="X353" s="64">
        <f>IF('Smart Search'!C13=1,IFERROR(1/'Smart Search'!H13,0),0)</f>
        <v/>
      </c>
      <c r="Y353" s="64">
        <f>IF('Smart Search'!C13=1,IFERROR(1/'Smart Search'!H13,0),0)</f>
        <v/>
      </c>
      <c r="Z353" s="64">
        <f>IF('Smart Search'!D13=1,IFERROR(1/'Smart Search'!H13,0),0)</f>
        <v/>
      </c>
      <c r="AA353" s="64">
        <f>IF('Smart Search'!D13=1,IFERROR(1/'Smart Search'!H13,0),0)</f>
        <v/>
      </c>
      <c r="AB353" s="64">
        <f>IF('Smart Search'!E13=1,IFERROR(1/'Smart Search'!H13,0),0)</f>
        <v/>
      </c>
      <c r="AC353" s="64">
        <f>IF('Smart Search'!E13=1,IFERROR(1/'Smart Search'!H13,0),0)</f>
        <v/>
      </c>
      <c r="AD353" s="64">
        <f>IF('Smart Search'!F13=1,IFERROR(1/'Smart Search'!H13,0),0)</f>
        <v/>
      </c>
      <c r="AE353" s="64">
        <f>IF('Smart Search'!F13=1,IFERROR(1/'Smart Search'!H13,0),0)</f>
        <v/>
      </c>
      <c r="AF353" s="64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4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4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4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4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4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4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4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4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4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4">
        <f>AF353*V353</f>
        <v/>
      </c>
      <c r="AQ353" s="64">
        <f>AG353*W353</f>
        <v/>
      </c>
      <c r="AR353" s="64">
        <f>AH353*X353</f>
        <v/>
      </c>
      <c r="AS353" s="64">
        <f>AI353*Y353</f>
        <v/>
      </c>
      <c r="AT353" s="64">
        <f>AJ353*Z353</f>
        <v/>
      </c>
      <c r="AU353" s="64">
        <f>AK353*AA353</f>
        <v/>
      </c>
      <c r="AV353" s="64">
        <f>AL353*AB353</f>
        <v/>
      </c>
      <c r="AW353" s="64">
        <f>AM353*AC353</f>
        <v/>
      </c>
      <c r="AX353" s="64">
        <f>AN353*AD353</f>
        <v/>
      </c>
      <c r="AY353" s="64">
        <f>AO353*AE353</f>
        <v/>
      </c>
      <c r="AZ353" s="64">
        <f>INDEX(Projects[Automation Equipment],352)&amp;""</f>
        <v/>
      </c>
      <c r="BA353" s="64">
        <f>IF(OR(A353="",'Smart Search'!H13=0),"",MAX(0,BE353*BF353*MAX(0,1-BG353)))</f>
        <v/>
      </c>
      <c r="BB353" s="64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4">
        <f>IF('Smart Search'!G13=1,IFERROR(1/'Smart Search'!H13,0),0)</f>
        <v/>
      </c>
      <c r="BD353" s="64">
        <f>BB353*BC353</f>
        <v/>
      </c>
      <c r="BE353" s="64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IF(A353="","",N(INDEX(Projects[Act Mech Inst],352)))</f>
        <v/>
      </c>
      <c r="BK353" s="5">
        <f>IF(A353="","",N(INDEX(Projects[Act Elec Inst],352)))</f>
        <v/>
      </c>
      <c r="BL353" s="5">
        <f>IF(A353="","",N(INDEX(Projects[Act Project Management],352)))</f>
        <v/>
      </c>
      <c r="BM353" s="5">
        <f>IF(A353="","",N(INDEX(Projects[Act Systems Eng],352)))</f>
        <v/>
      </c>
      <c r="BN353" s="5">
        <f>IF(A353="","",N(INDEX(Projects[Act Mechanical Eng],352)))</f>
        <v/>
      </c>
      <c r="BO353" s="5">
        <f>IF(A353="","",N(INDEX(Projects[Act Structural Engineering],352)))</f>
        <v/>
      </c>
      <c r="BP353" s="5">
        <f>IF(A353="","",N(INDEX(Projects[Act Site Sup],352)))</f>
        <v/>
      </c>
      <c r="BQ353" s="5">
        <f>IF(A353="","",N(INDEX(Projects[Act Controls Commissioning],352)))</f>
        <v/>
      </c>
      <c r="BR353" s="5">
        <f>IF(A353="","",N(INDEX(Projects[Act Systems Commissioning],352)))</f>
        <v/>
      </c>
      <c r="BS353" s="5">
        <f>IF(A353="","",N(INDEX(Projects[Act Service Commissioning],352)))</f>
        <v/>
      </c>
      <c r="BT353" s="5">
        <f>IF(A353="","",N(INDEX(Projects[Act Controls Eng],352)))</f>
        <v/>
      </c>
      <c r="BU353" s="5">
        <f>IF(A353="","",N(INDEX(Projects[Act Controls Purchase],352)))</f>
        <v/>
      </c>
      <c r="BV353" s="5">
        <f>IF(A353="","",N(INDEX(Projects[Act Software Eng],352)))</f>
        <v/>
      </c>
      <c r="BW353" s="5">
        <f>IF(A353="","",N(INDEX(Projects[Act 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INDEX(Projects[Sold Value (USD M)],352)</f>
        <v/>
      </c>
      <c r="CE353" s="5" t="n"/>
      <c r="CF353" s="5">
        <f>IF(A353="","",N(INDEX(Projects[Est Mech Inst],352)))</f>
        <v/>
      </c>
      <c r="CG353" s="5">
        <f>IF(A353="","",N(INDEX(Projects[Est Elec Inst],352)))</f>
        <v/>
      </c>
      <c r="CH353" s="5">
        <f>IF(A353="","",N(INDEX(Projects[Est Project Management],352)))</f>
        <v/>
      </c>
      <c r="CI353" s="5">
        <f>IF(A353="","",N(INDEX(Projects[Est Systems Eng],352)))</f>
        <v/>
      </c>
      <c r="CJ353" s="5">
        <f>IF(A353="","",N(INDEX(Projects[Est Mechanical Eng],352)))</f>
        <v/>
      </c>
      <c r="CK353" s="5">
        <f>IF(A353="","",N(INDEX(Projects[Est Structural Engineering],352)))</f>
        <v/>
      </c>
      <c r="CL353" s="5">
        <f>IF(A353="","",N(INDEX(Projects[Est Site Sup],352)))</f>
        <v/>
      </c>
      <c r="CM353" s="5">
        <f>IF(A353="","",N(INDEX(Projects[Est Controls Commissioning],352)))</f>
        <v/>
      </c>
      <c r="CN353" s="5">
        <f>IF(A353="","",N(INDEX(Projects[Est Systems Commissioning],352)))</f>
        <v/>
      </c>
      <c r="CO353" s="5">
        <f>IF(A353="","",N(INDEX(Projects[Est Service Commissioning],352)))</f>
        <v/>
      </c>
      <c r="CP353" s="5">
        <f>IF(A353="","",N(INDEX(Projects[Est Controls Eng],352)))</f>
        <v/>
      </c>
      <c r="CQ353" s="5">
        <f>IF(A353="","",N(INDEX(Projects[Est Controls Purchase],352)))</f>
        <v/>
      </c>
      <c r="CR353" s="5">
        <f>IF(A353="","",N(INDEX(Projects[Est Software Eng],352)))</f>
        <v/>
      </c>
      <c r="CS353" s="5">
        <f>IF(A353="","",N(INDEX(Projects[Est Misc],352)))</f>
        <v/>
      </c>
      <c r="CT353" s="5">
        <f>IF(A353="","",SUM(CF353:CS353))</f>
        <v/>
      </c>
      <c r="CU353" s="5">
        <f>INDEX(Projects[Est Cost (M)],352)</f>
        <v/>
      </c>
      <c r="CV353" s="5">
        <f>INDEX(Projects[Act Cost (M)],352)</f>
        <v/>
      </c>
      <c r="CW353" s="5">
        <f>INDEX(Projects[Plan Mech Eng (wks)],352)</f>
        <v/>
      </c>
      <c r="CX353" s="5">
        <f>INDEX(Projects[Plan Controls Eng (wks)],352)</f>
        <v/>
      </c>
      <c r="CY353" s="5">
        <f>INDEX(Projects[Plan Systems Eng (wks)],352)</f>
        <v/>
      </c>
      <c r="CZ353" s="5">
        <f>INDEX(Projects[Plan Software Eng (wks)],352)</f>
        <v/>
      </c>
      <c r="DA353" s="5">
        <f>INDEX(Projects[Plan M&amp;E Installation (wks)],352)</f>
        <v/>
      </c>
      <c r="DB353" s="5">
        <f>INDEX(Projects[Plan Commissioning (wks)],352)</f>
        <v/>
      </c>
      <c r="DC353" s="5">
        <f>INDEX(Projects[Plan Total (wks)],352)</f>
        <v/>
      </c>
      <c r="DD353" s="5">
        <f>INDEX(Projects[Act Mech Eng (wks)],352)</f>
        <v/>
      </c>
      <c r="DE353" s="5">
        <f>INDEX(Projects[Act Controls Eng (wks)],352)</f>
        <v/>
      </c>
      <c r="DF353" s="5">
        <f>INDEX(Projects[Act Systems Eng (wks)],352)</f>
        <v/>
      </c>
      <c r="DG353" s="5">
        <f>INDEX(Projects[Act Software Eng (wks)],352)</f>
        <v/>
      </c>
      <c r="DH353" s="5">
        <f>INDEX(Projects[Act M&amp;E Installation (wks)],352)</f>
        <v/>
      </c>
      <c r="DI353" s="5">
        <f>INDEX(Projects[Act Commissioning (wks)],352)</f>
        <v/>
      </c>
      <c r="DJ353" s="5">
        <f>INDEX(Projects[Act Total (wks)],352)</f>
        <v/>
      </c>
    </row>
    <row r="354" ht="15" customHeight="1" s="82">
      <c r="A354" s="64">
        <f>INDEX(Projects[Project ID *],353)&amp;""</f>
        <v/>
      </c>
      <c r="B354" s="64">
        <f>INDEX(Projects[Project Name *],353)&amp;""</f>
        <v/>
      </c>
      <c r="C354" s="64">
        <f>INDEX(Projects[MS Shuttles],353)</f>
        <v/>
      </c>
      <c r="D354" s="64">
        <f>INDEX(Projects[MS Tote Locations],353)</f>
        <v/>
      </c>
      <c r="E354" s="64">
        <f>INDEX(Projects[AS Robots],353)</f>
        <v/>
      </c>
      <c r="F354" s="64">
        <f>INDEX(Projects[AS Tote Locations],353)</f>
        <v/>
      </c>
      <c r="G354" s="64">
        <f>INDEX(Projects[PS Shuttles],353)</f>
        <v/>
      </c>
      <c r="H354" s="64">
        <f>INDEX(Projects[PS Pallet Locations],353)</f>
        <v/>
      </c>
      <c r="I354" s="64">
        <f>INDEX(Projects[SRM Cranes],353)</f>
        <v/>
      </c>
      <c r="J354" s="64">
        <f>INDEX(Projects[SRM Pallet Locations],353)</f>
        <v/>
      </c>
      <c r="K354" s="64">
        <f>INDEX(Projects[Case Conv (m)],353)</f>
        <v/>
      </c>
      <c r="L354" s="64">
        <f>INDEX(Projects[Pallet Conv (m)],353)</f>
        <v/>
      </c>
      <c r="M354" s="64">
        <f>IF(N(DJ354)&gt;0,DD354,CW354)</f>
        <v/>
      </c>
      <c r="N354" s="64">
        <f>IF(N(DJ354)&gt;0,DE354,CX354)</f>
        <v/>
      </c>
      <c r="O354" s="64">
        <f>IF(N(DJ354)&gt;0,DF354,CY354)</f>
        <v/>
      </c>
      <c r="P354" s="64">
        <f>IF(N(DJ354)&gt;0,DG354,CZ354)</f>
        <v/>
      </c>
      <c r="Q354" s="64">
        <f>IF(N(DJ354)&gt;0,DH354,DA354)</f>
        <v/>
      </c>
      <c r="R354" s="64">
        <f>IF(N(DJ354)&gt;0,DI354,DB354)</f>
        <v/>
      </c>
      <c r="S354" s="64">
        <f>IF(N(DJ354)&gt;0,DJ354,DC354)</f>
        <v/>
      </c>
      <c r="T354" s="64">
        <f>INDEX(Projects[Currency],353)&amp;""</f>
        <v/>
      </c>
      <c r="U354" s="65">
        <f>INDEX(Projects[Sold Value (M)],353)</f>
        <v/>
      </c>
      <c r="V354" s="64">
        <f>IF('Smart Search'!B13=1,IFERROR(1/'Smart Search'!H13,0),0)</f>
        <v/>
      </c>
      <c r="W354" s="64">
        <f>IF('Smart Search'!B13=1,IFERROR(1/'Smart Search'!H13,0),0)</f>
        <v/>
      </c>
      <c r="X354" s="64">
        <f>IF('Smart Search'!C13=1,IFERROR(1/'Smart Search'!H13,0),0)</f>
        <v/>
      </c>
      <c r="Y354" s="64">
        <f>IF('Smart Search'!C13=1,IFERROR(1/'Smart Search'!H13,0),0)</f>
        <v/>
      </c>
      <c r="Z354" s="64">
        <f>IF('Smart Search'!D13=1,IFERROR(1/'Smart Search'!H13,0),0)</f>
        <v/>
      </c>
      <c r="AA354" s="64">
        <f>IF('Smart Search'!D13=1,IFERROR(1/'Smart Search'!H13,0),0)</f>
        <v/>
      </c>
      <c r="AB354" s="64">
        <f>IF('Smart Search'!E13=1,IFERROR(1/'Smart Search'!H13,0),0)</f>
        <v/>
      </c>
      <c r="AC354" s="64">
        <f>IF('Smart Search'!E13=1,IFERROR(1/'Smart Search'!H13,0),0)</f>
        <v/>
      </c>
      <c r="AD354" s="64">
        <f>IF('Smart Search'!F13=1,IFERROR(1/'Smart Search'!H13,0),0)</f>
        <v/>
      </c>
      <c r="AE354" s="64">
        <f>IF('Smart Search'!F13=1,IFERROR(1/'Smart Search'!H13,0),0)</f>
        <v/>
      </c>
      <c r="AF354" s="64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4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4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4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4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4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4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4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4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4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4">
        <f>AF354*V354</f>
        <v/>
      </c>
      <c r="AQ354" s="64">
        <f>AG354*W354</f>
        <v/>
      </c>
      <c r="AR354" s="64">
        <f>AH354*X354</f>
        <v/>
      </c>
      <c r="AS354" s="64">
        <f>AI354*Y354</f>
        <v/>
      </c>
      <c r="AT354" s="64">
        <f>AJ354*Z354</f>
        <v/>
      </c>
      <c r="AU354" s="64">
        <f>AK354*AA354</f>
        <v/>
      </c>
      <c r="AV354" s="64">
        <f>AL354*AB354</f>
        <v/>
      </c>
      <c r="AW354" s="64">
        <f>AM354*AC354</f>
        <v/>
      </c>
      <c r="AX354" s="64">
        <f>AN354*AD354</f>
        <v/>
      </c>
      <c r="AY354" s="64">
        <f>AO354*AE354</f>
        <v/>
      </c>
      <c r="AZ354" s="64">
        <f>INDEX(Projects[Automation Equipment],353)&amp;""</f>
        <v/>
      </c>
      <c r="BA354" s="64">
        <f>IF(OR(A354="",'Smart Search'!H13=0),"",MAX(0,BE354*BF354*MAX(0,1-BG354)))</f>
        <v/>
      </c>
      <c r="BB354" s="64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4">
        <f>IF('Smart Search'!G13=1,IFERROR(1/'Smart Search'!H13,0),0)</f>
        <v/>
      </c>
      <c r="BD354" s="64">
        <f>BB354*BC354</f>
        <v/>
      </c>
      <c r="BE354" s="64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IF(A354="","",N(INDEX(Projects[Act Mech Inst],353)))</f>
        <v/>
      </c>
      <c r="BK354" s="5">
        <f>IF(A354="","",N(INDEX(Projects[Act Elec Inst],353)))</f>
        <v/>
      </c>
      <c r="BL354" s="5">
        <f>IF(A354="","",N(INDEX(Projects[Act Project Management],353)))</f>
        <v/>
      </c>
      <c r="BM354" s="5">
        <f>IF(A354="","",N(INDEX(Projects[Act Systems Eng],353)))</f>
        <v/>
      </c>
      <c r="BN354" s="5">
        <f>IF(A354="","",N(INDEX(Projects[Act Mechanical Eng],353)))</f>
        <v/>
      </c>
      <c r="BO354" s="5">
        <f>IF(A354="","",N(INDEX(Projects[Act Structural Engineering],353)))</f>
        <v/>
      </c>
      <c r="BP354" s="5">
        <f>IF(A354="","",N(INDEX(Projects[Act Site Sup],353)))</f>
        <v/>
      </c>
      <c r="BQ354" s="5">
        <f>IF(A354="","",N(INDEX(Projects[Act Controls Commissioning],353)))</f>
        <v/>
      </c>
      <c r="BR354" s="5">
        <f>IF(A354="","",N(INDEX(Projects[Act Systems Commissioning],353)))</f>
        <v/>
      </c>
      <c r="BS354" s="5">
        <f>IF(A354="","",N(INDEX(Projects[Act Service Commissioning],353)))</f>
        <v/>
      </c>
      <c r="BT354" s="5">
        <f>IF(A354="","",N(INDEX(Projects[Act Controls Eng],353)))</f>
        <v/>
      </c>
      <c r="BU354" s="5">
        <f>IF(A354="","",N(INDEX(Projects[Act Controls Purchase],353)))</f>
        <v/>
      </c>
      <c r="BV354" s="5">
        <f>IF(A354="","",N(INDEX(Projects[Act Software Eng],353)))</f>
        <v/>
      </c>
      <c r="BW354" s="5">
        <f>IF(A354="","",N(INDEX(Projects[Act 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INDEX(Projects[Sold Value (USD M)],353)</f>
        <v/>
      </c>
      <c r="CE354" s="5" t="n"/>
      <c r="CF354" s="5">
        <f>IF(A354="","",N(INDEX(Projects[Est Mech Inst],353)))</f>
        <v/>
      </c>
      <c r="CG354" s="5">
        <f>IF(A354="","",N(INDEX(Projects[Est Elec Inst],353)))</f>
        <v/>
      </c>
      <c r="CH354" s="5">
        <f>IF(A354="","",N(INDEX(Projects[Est Project Management],353)))</f>
        <v/>
      </c>
      <c r="CI354" s="5">
        <f>IF(A354="","",N(INDEX(Projects[Est Systems Eng],353)))</f>
        <v/>
      </c>
      <c r="CJ354" s="5">
        <f>IF(A354="","",N(INDEX(Projects[Est Mechanical Eng],353)))</f>
        <v/>
      </c>
      <c r="CK354" s="5">
        <f>IF(A354="","",N(INDEX(Projects[Est Structural Engineering],353)))</f>
        <v/>
      </c>
      <c r="CL354" s="5">
        <f>IF(A354="","",N(INDEX(Projects[Est Site Sup],353)))</f>
        <v/>
      </c>
      <c r="CM354" s="5">
        <f>IF(A354="","",N(INDEX(Projects[Est Controls Commissioning],353)))</f>
        <v/>
      </c>
      <c r="CN354" s="5">
        <f>IF(A354="","",N(INDEX(Projects[Est Systems Commissioning],353)))</f>
        <v/>
      </c>
      <c r="CO354" s="5">
        <f>IF(A354="","",N(INDEX(Projects[Est Service Commissioning],353)))</f>
        <v/>
      </c>
      <c r="CP354" s="5">
        <f>IF(A354="","",N(INDEX(Projects[Est Controls Eng],353)))</f>
        <v/>
      </c>
      <c r="CQ354" s="5">
        <f>IF(A354="","",N(INDEX(Projects[Est Controls Purchase],353)))</f>
        <v/>
      </c>
      <c r="CR354" s="5">
        <f>IF(A354="","",N(INDEX(Projects[Est Software Eng],353)))</f>
        <v/>
      </c>
      <c r="CS354" s="5">
        <f>IF(A354="","",N(INDEX(Projects[Est Misc],353)))</f>
        <v/>
      </c>
      <c r="CT354" s="5">
        <f>IF(A354="","",SUM(CF354:CS354))</f>
        <v/>
      </c>
      <c r="CU354" s="5">
        <f>INDEX(Projects[Est Cost (M)],353)</f>
        <v/>
      </c>
      <c r="CV354" s="5">
        <f>INDEX(Projects[Act Cost (M)],353)</f>
        <v/>
      </c>
      <c r="CW354" s="5">
        <f>INDEX(Projects[Plan Mech Eng (wks)],353)</f>
        <v/>
      </c>
      <c r="CX354" s="5">
        <f>INDEX(Projects[Plan Controls Eng (wks)],353)</f>
        <v/>
      </c>
      <c r="CY354" s="5">
        <f>INDEX(Projects[Plan Systems Eng (wks)],353)</f>
        <v/>
      </c>
      <c r="CZ354" s="5">
        <f>INDEX(Projects[Plan Software Eng (wks)],353)</f>
        <v/>
      </c>
      <c r="DA354" s="5">
        <f>INDEX(Projects[Plan M&amp;E Installation (wks)],353)</f>
        <v/>
      </c>
      <c r="DB354" s="5">
        <f>INDEX(Projects[Plan Commissioning (wks)],353)</f>
        <v/>
      </c>
      <c r="DC354" s="5">
        <f>INDEX(Projects[Plan Total (wks)],353)</f>
        <v/>
      </c>
      <c r="DD354" s="5">
        <f>INDEX(Projects[Act Mech Eng (wks)],353)</f>
        <v/>
      </c>
      <c r="DE354" s="5">
        <f>INDEX(Projects[Act Controls Eng (wks)],353)</f>
        <v/>
      </c>
      <c r="DF354" s="5">
        <f>INDEX(Projects[Act Systems Eng (wks)],353)</f>
        <v/>
      </c>
      <c r="DG354" s="5">
        <f>INDEX(Projects[Act Software Eng (wks)],353)</f>
        <v/>
      </c>
      <c r="DH354" s="5">
        <f>INDEX(Projects[Act M&amp;E Installation (wks)],353)</f>
        <v/>
      </c>
      <c r="DI354" s="5">
        <f>INDEX(Projects[Act Commissioning (wks)],353)</f>
        <v/>
      </c>
      <c r="DJ354" s="5">
        <f>INDEX(Projects[Act Total (wks)],353)</f>
        <v/>
      </c>
    </row>
    <row r="355" ht="15" customHeight="1" s="82">
      <c r="A355" s="64">
        <f>INDEX(Projects[Project ID *],354)&amp;""</f>
        <v/>
      </c>
      <c r="B355" s="64">
        <f>INDEX(Projects[Project Name *],354)&amp;""</f>
        <v/>
      </c>
      <c r="C355" s="64">
        <f>INDEX(Projects[MS Shuttles],354)</f>
        <v/>
      </c>
      <c r="D355" s="64">
        <f>INDEX(Projects[MS Tote Locations],354)</f>
        <v/>
      </c>
      <c r="E355" s="64">
        <f>INDEX(Projects[AS Robots],354)</f>
        <v/>
      </c>
      <c r="F355" s="64">
        <f>INDEX(Projects[AS Tote Locations],354)</f>
        <v/>
      </c>
      <c r="G355" s="64">
        <f>INDEX(Projects[PS Shuttles],354)</f>
        <v/>
      </c>
      <c r="H355" s="64">
        <f>INDEX(Projects[PS Pallet Locations],354)</f>
        <v/>
      </c>
      <c r="I355" s="64">
        <f>INDEX(Projects[SRM Cranes],354)</f>
        <v/>
      </c>
      <c r="J355" s="64">
        <f>INDEX(Projects[SRM Pallet Locations],354)</f>
        <v/>
      </c>
      <c r="K355" s="64">
        <f>INDEX(Projects[Case Conv (m)],354)</f>
        <v/>
      </c>
      <c r="L355" s="64">
        <f>INDEX(Projects[Pallet Conv (m)],354)</f>
        <v/>
      </c>
      <c r="M355" s="64">
        <f>IF(N(DJ355)&gt;0,DD355,CW355)</f>
        <v/>
      </c>
      <c r="N355" s="64">
        <f>IF(N(DJ355)&gt;0,DE355,CX355)</f>
        <v/>
      </c>
      <c r="O355" s="64">
        <f>IF(N(DJ355)&gt;0,DF355,CY355)</f>
        <v/>
      </c>
      <c r="P355" s="64">
        <f>IF(N(DJ355)&gt;0,DG355,CZ355)</f>
        <v/>
      </c>
      <c r="Q355" s="64">
        <f>IF(N(DJ355)&gt;0,DH355,DA355)</f>
        <v/>
      </c>
      <c r="R355" s="64">
        <f>IF(N(DJ355)&gt;0,DI355,DB355)</f>
        <v/>
      </c>
      <c r="S355" s="64">
        <f>IF(N(DJ355)&gt;0,DJ355,DC355)</f>
        <v/>
      </c>
      <c r="T355" s="64">
        <f>INDEX(Projects[Currency],354)&amp;""</f>
        <v/>
      </c>
      <c r="U355" s="65">
        <f>INDEX(Projects[Sold Value (M)],354)</f>
        <v/>
      </c>
      <c r="V355" s="64">
        <f>IF('Smart Search'!B13=1,IFERROR(1/'Smart Search'!H13,0),0)</f>
        <v/>
      </c>
      <c r="W355" s="64">
        <f>IF('Smart Search'!B13=1,IFERROR(1/'Smart Search'!H13,0),0)</f>
        <v/>
      </c>
      <c r="X355" s="64">
        <f>IF('Smart Search'!C13=1,IFERROR(1/'Smart Search'!H13,0),0)</f>
        <v/>
      </c>
      <c r="Y355" s="64">
        <f>IF('Smart Search'!C13=1,IFERROR(1/'Smart Search'!H13,0),0)</f>
        <v/>
      </c>
      <c r="Z355" s="64">
        <f>IF('Smart Search'!D13=1,IFERROR(1/'Smart Search'!H13,0),0)</f>
        <v/>
      </c>
      <c r="AA355" s="64">
        <f>IF('Smart Search'!D13=1,IFERROR(1/'Smart Search'!H13,0),0)</f>
        <v/>
      </c>
      <c r="AB355" s="64">
        <f>IF('Smart Search'!E13=1,IFERROR(1/'Smart Search'!H13,0),0)</f>
        <v/>
      </c>
      <c r="AC355" s="64">
        <f>IF('Smart Search'!E13=1,IFERROR(1/'Smart Search'!H13,0),0)</f>
        <v/>
      </c>
      <c r="AD355" s="64">
        <f>IF('Smart Search'!F13=1,IFERROR(1/'Smart Search'!H13,0),0)</f>
        <v/>
      </c>
      <c r="AE355" s="64">
        <f>IF('Smart Search'!F13=1,IFERROR(1/'Smart Search'!H13,0),0)</f>
        <v/>
      </c>
      <c r="AF355" s="64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4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4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4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4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4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4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4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4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4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4">
        <f>AF355*V355</f>
        <v/>
      </c>
      <c r="AQ355" s="64">
        <f>AG355*W355</f>
        <v/>
      </c>
      <c r="AR355" s="64">
        <f>AH355*X355</f>
        <v/>
      </c>
      <c r="AS355" s="64">
        <f>AI355*Y355</f>
        <v/>
      </c>
      <c r="AT355" s="64">
        <f>AJ355*Z355</f>
        <v/>
      </c>
      <c r="AU355" s="64">
        <f>AK355*AA355</f>
        <v/>
      </c>
      <c r="AV355" s="64">
        <f>AL355*AB355</f>
        <v/>
      </c>
      <c r="AW355" s="64">
        <f>AM355*AC355</f>
        <v/>
      </c>
      <c r="AX355" s="64">
        <f>AN355*AD355</f>
        <v/>
      </c>
      <c r="AY355" s="64">
        <f>AO355*AE355</f>
        <v/>
      </c>
      <c r="AZ355" s="64">
        <f>INDEX(Projects[Automation Equipment],354)&amp;""</f>
        <v/>
      </c>
      <c r="BA355" s="64">
        <f>IF(OR(A355="",'Smart Search'!H13=0),"",MAX(0,BE355*BF355*MAX(0,1-BG355)))</f>
        <v/>
      </c>
      <c r="BB355" s="64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4">
        <f>IF('Smart Search'!G13=1,IFERROR(1/'Smart Search'!H13,0),0)</f>
        <v/>
      </c>
      <c r="BD355" s="64">
        <f>BB355*BC355</f>
        <v/>
      </c>
      <c r="BE355" s="64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IF(A355="","",N(INDEX(Projects[Act Mech Inst],354)))</f>
        <v/>
      </c>
      <c r="BK355" s="5">
        <f>IF(A355="","",N(INDEX(Projects[Act Elec Inst],354)))</f>
        <v/>
      </c>
      <c r="BL355" s="5">
        <f>IF(A355="","",N(INDEX(Projects[Act Project Management],354)))</f>
        <v/>
      </c>
      <c r="BM355" s="5">
        <f>IF(A355="","",N(INDEX(Projects[Act Systems Eng],354)))</f>
        <v/>
      </c>
      <c r="BN355" s="5">
        <f>IF(A355="","",N(INDEX(Projects[Act Mechanical Eng],354)))</f>
        <v/>
      </c>
      <c r="BO355" s="5">
        <f>IF(A355="","",N(INDEX(Projects[Act Structural Engineering],354)))</f>
        <v/>
      </c>
      <c r="BP355" s="5">
        <f>IF(A355="","",N(INDEX(Projects[Act Site Sup],354)))</f>
        <v/>
      </c>
      <c r="BQ355" s="5">
        <f>IF(A355="","",N(INDEX(Projects[Act Controls Commissioning],354)))</f>
        <v/>
      </c>
      <c r="BR355" s="5">
        <f>IF(A355="","",N(INDEX(Projects[Act Systems Commissioning],354)))</f>
        <v/>
      </c>
      <c r="BS355" s="5">
        <f>IF(A355="","",N(INDEX(Projects[Act Service Commissioning],354)))</f>
        <v/>
      </c>
      <c r="BT355" s="5">
        <f>IF(A355="","",N(INDEX(Projects[Act Controls Eng],354)))</f>
        <v/>
      </c>
      <c r="BU355" s="5">
        <f>IF(A355="","",N(INDEX(Projects[Act Controls Purchase],354)))</f>
        <v/>
      </c>
      <c r="BV355" s="5">
        <f>IF(A355="","",N(INDEX(Projects[Act Software Eng],354)))</f>
        <v/>
      </c>
      <c r="BW355" s="5">
        <f>IF(A355="","",N(INDEX(Projects[Act 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INDEX(Projects[Sold Value (USD M)],354)</f>
        <v/>
      </c>
      <c r="CE355" s="5" t="n"/>
      <c r="CF355" s="5">
        <f>IF(A355="","",N(INDEX(Projects[Est Mech Inst],354)))</f>
        <v/>
      </c>
      <c r="CG355" s="5">
        <f>IF(A355="","",N(INDEX(Projects[Est Elec Inst],354)))</f>
        <v/>
      </c>
      <c r="CH355" s="5">
        <f>IF(A355="","",N(INDEX(Projects[Est Project Management],354)))</f>
        <v/>
      </c>
      <c r="CI355" s="5">
        <f>IF(A355="","",N(INDEX(Projects[Est Systems Eng],354)))</f>
        <v/>
      </c>
      <c r="CJ355" s="5">
        <f>IF(A355="","",N(INDEX(Projects[Est Mechanical Eng],354)))</f>
        <v/>
      </c>
      <c r="CK355" s="5">
        <f>IF(A355="","",N(INDEX(Projects[Est Structural Engineering],354)))</f>
        <v/>
      </c>
      <c r="CL355" s="5">
        <f>IF(A355="","",N(INDEX(Projects[Est Site Sup],354)))</f>
        <v/>
      </c>
      <c r="CM355" s="5">
        <f>IF(A355="","",N(INDEX(Projects[Est Controls Commissioning],354)))</f>
        <v/>
      </c>
      <c r="CN355" s="5">
        <f>IF(A355="","",N(INDEX(Projects[Est Systems Commissioning],354)))</f>
        <v/>
      </c>
      <c r="CO355" s="5">
        <f>IF(A355="","",N(INDEX(Projects[Est Service Commissioning],354)))</f>
        <v/>
      </c>
      <c r="CP355" s="5">
        <f>IF(A355="","",N(INDEX(Projects[Est Controls Eng],354)))</f>
        <v/>
      </c>
      <c r="CQ355" s="5">
        <f>IF(A355="","",N(INDEX(Projects[Est Controls Purchase],354)))</f>
        <v/>
      </c>
      <c r="CR355" s="5">
        <f>IF(A355="","",N(INDEX(Projects[Est Software Eng],354)))</f>
        <v/>
      </c>
      <c r="CS355" s="5">
        <f>IF(A355="","",N(INDEX(Projects[Est Misc],354)))</f>
        <v/>
      </c>
      <c r="CT355" s="5">
        <f>IF(A355="","",SUM(CF355:CS355))</f>
        <v/>
      </c>
      <c r="CU355" s="5">
        <f>INDEX(Projects[Est Cost (M)],354)</f>
        <v/>
      </c>
      <c r="CV355" s="5">
        <f>INDEX(Projects[Act Cost (M)],354)</f>
        <v/>
      </c>
      <c r="CW355" s="5">
        <f>INDEX(Projects[Plan Mech Eng (wks)],354)</f>
        <v/>
      </c>
      <c r="CX355" s="5">
        <f>INDEX(Projects[Plan Controls Eng (wks)],354)</f>
        <v/>
      </c>
      <c r="CY355" s="5">
        <f>INDEX(Projects[Plan Systems Eng (wks)],354)</f>
        <v/>
      </c>
      <c r="CZ355" s="5">
        <f>INDEX(Projects[Plan Software Eng (wks)],354)</f>
        <v/>
      </c>
      <c r="DA355" s="5">
        <f>INDEX(Projects[Plan M&amp;E Installation (wks)],354)</f>
        <v/>
      </c>
      <c r="DB355" s="5">
        <f>INDEX(Projects[Plan Commissioning (wks)],354)</f>
        <v/>
      </c>
      <c r="DC355" s="5">
        <f>INDEX(Projects[Plan Total (wks)],354)</f>
        <v/>
      </c>
      <c r="DD355" s="5">
        <f>INDEX(Projects[Act Mech Eng (wks)],354)</f>
        <v/>
      </c>
      <c r="DE355" s="5">
        <f>INDEX(Projects[Act Controls Eng (wks)],354)</f>
        <v/>
      </c>
      <c r="DF355" s="5">
        <f>INDEX(Projects[Act Systems Eng (wks)],354)</f>
        <v/>
      </c>
      <c r="DG355" s="5">
        <f>INDEX(Projects[Act Software Eng (wks)],354)</f>
        <v/>
      </c>
      <c r="DH355" s="5">
        <f>INDEX(Projects[Act M&amp;E Installation (wks)],354)</f>
        <v/>
      </c>
      <c r="DI355" s="5">
        <f>INDEX(Projects[Act Commissioning (wks)],354)</f>
        <v/>
      </c>
      <c r="DJ355" s="5">
        <f>INDEX(Projects[Act Total (wks)],354)</f>
        <v/>
      </c>
    </row>
    <row r="356" ht="15" customHeight="1" s="82">
      <c r="A356" s="64">
        <f>INDEX(Projects[Project ID *],355)&amp;""</f>
        <v/>
      </c>
      <c r="B356" s="64">
        <f>INDEX(Projects[Project Name *],355)&amp;""</f>
        <v/>
      </c>
      <c r="C356" s="64">
        <f>INDEX(Projects[MS Shuttles],355)</f>
        <v/>
      </c>
      <c r="D356" s="64">
        <f>INDEX(Projects[MS Tote Locations],355)</f>
        <v/>
      </c>
      <c r="E356" s="64">
        <f>INDEX(Projects[AS Robots],355)</f>
        <v/>
      </c>
      <c r="F356" s="64">
        <f>INDEX(Projects[AS Tote Locations],355)</f>
        <v/>
      </c>
      <c r="G356" s="64">
        <f>INDEX(Projects[PS Shuttles],355)</f>
        <v/>
      </c>
      <c r="H356" s="64">
        <f>INDEX(Projects[PS Pallet Locations],355)</f>
        <v/>
      </c>
      <c r="I356" s="64">
        <f>INDEX(Projects[SRM Cranes],355)</f>
        <v/>
      </c>
      <c r="J356" s="64">
        <f>INDEX(Projects[SRM Pallet Locations],355)</f>
        <v/>
      </c>
      <c r="K356" s="64">
        <f>INDEX(Projects[Case Conv (m)],355)</f>
        <v/>
      </c>
      <c r="L356" s="64">
        <f>INDEX(Projects[Pallet Conv (m)],355)</f>
        <v/>
      </c>
      <c r="M356" s="64">
        <f>IF(N(DJ356)&gt;0,DD356,CW356)</f>
        <v/>
      </c>
      <c r="N356" s="64">
        <f>IF(N(DJ356)&gt;0,DE356,CX356)</f>
        <v/>
      </c>
      <c r="O356" s="64">
        <f>IF(N(DJ356)&gt;0,DF356,CY356)</f>
        <v/>
      </c>
      <c r="P356" s="64">
        <f>IF(N(DJ356)&gt;0,DG356,CZ356)</f>
        <v/>
      </c>
      <c r="Q356" s="64">
        <f>IF(N(DJ356)&gt;0,DH356,DA356)</f>
        <v/>
      </c>
      <c r="R356" s="64">
        <f>IF(N(DJ356)&gt;0,DI356,DB356)</f>
        <v/>
      </c>
      <c r="S356" s="64">
        <f>IF(N(DJ356)&gt;0,DJ356,DC356)</f>
        <v/>
      </c>
      <c r="T356" s="64">
        <f>INDEX(Projects[Currency],355)&amp;""</f>
        <v/>
      </c>
      <c r="U356" s="65">
        <f>INDEX(Projects[Sold Value (M)],355)</f>
        <v/>
      </c>
      <c r="V356" s="64">
        <f>IF('Smart Search'!B13=1,IFERROR(1/'Smart Search'!H13,0),0)</f>
        <v/>
      </c>
      <c r="W356" s="64">
        <f>IF('Smart Search'!B13=1,IFERROR(1/'Smart Search'!H13,0),0)</f>
        <v/>
      </c>
      <c r="X356" s="64">
        <f>IF('Smart Search'!C13=1,IFERROR(1/'Smart Search'!H13,0),0)</f>
        <v/>
      </c>
      <c r="Y356" s="64">
        <f>IF('Smart Search'!C13=1,IFERROR(1/'Smart Search'!H13,0),0)</f>
        <v/>
      </c>
      <c r="Z356" s="64">
        <f>IF('Smart Search'!D13=1,IFERROR(1/'Smart Search'!H13,0),0)</f>
        <v/>
      </c>
      <c r="AA356" s="64">
        <f>IF('Smart Search'!D13=1,IFERROR(1/'Smart Search'!H13,0),0)</f>
        <v/>
      </c>
      <c r="AB356" s="64">
        <f>IF('Smart Search'!E13=1,IFERROR(1/'Smart Search'!H13,0),0)</f>
        <v/>
      </c>
      <c r="AC356" s="64">
        <f>IF('Smart Search'!E13=1,IFERROR(1/'Smart Search'!H13,0),0)</f>
        <v/>
      </c>
      <c r="AD356" s="64">
        <f>IF('Smart Search'!F13=1,IFERROR(1/'Smart Search'!H13,0),0)</f>
        <v/>
      </c>
      <c r="AE356" s="64">
        <f>IF('Smart Search'!F13=1,IFERROR(1/'Smart Search'!H13,0),0)</f>
        <v/>
      </c>
      <c r="AF356" s="64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4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4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4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4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4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4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4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4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4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4">
        <f>AF356*V356</f>
        <v/>
      </c>
      <c r="AQ356" s="64">
        <f>AG356*W356</f>
        <v/>
      </c>
      <c r="AR356" s="64">
        <f>AH356*X356</f>
        <v/>
      </c>
      <c r="AS356" s="64">
        <f>AI356*Y356</f>
        <v/>
      </c>
      <c r="AT356" s="64">
        <f>AJ356*Z356</f>
        <v/>
      </c>
      <c r="AU356" s="64">
        <f>AK356*AA356</f>
        <v/>
      </c>
      <c r="AV356" s="64">
        <f>AL356*AB356</f>
        <v/>
      </c>
      <c r="AW356" s="64">
        <f>AM356*AC356</f>
        <v/>
      </c>
      <c r="AX356" s="64">
        <f>AN356*AD356</f>
        <v/>
      </c>
      <c r="AY356" s="64">
        <f>AO356*AE356</f>
        <v/>
      </c>
      <c r="AZ356" s="64">
        <f>INDEX(Projects[Automation Equipment],355)&amp;""</f>
        <v/>
      </c>
      <c r="BA356" s="64">
        <f>IF(OR(A356="",'Smart Search'!H13=0),"",MAX(0,BE356*BF356*MAX(0,1-BG356)))</f>
        <v/>
      </c>
      <c r="BB356" s="64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4">
        <f>IF('Smart Search'!G13=1,IFERROR(1/'Smart Search'!H13,0),0)</f>
        <v/>
      </c>
      <c r="BD356" s="64">
        <f>BB356*BC356</f>
        <v/>
      </c>
      <c r="BE356" s="64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IF(A356="","",N(INDEX(Projects[Act Mech Inst],355)))</f>
        <v/>
      </c>
      <c r="BK356" s="5">
        <f>IF(A356="","",N(INDEX(Projects[Act Elec Inst],355)))</f>
        <v/>
      </c>
      <c r="BL356" s="5">
        <f>IF(A356="","",N(INDEX(Projects[Act Project Management],355)))</f>
        <v/>
      </c>
      <c r="BM356" s="5">
        <f>IF(A356="","",N(INDEX(Projects[Act Systems Eng],355)))</f>
        <v/>
      </c>
      <c r="BN356" s="5">
        <f>IF(A356="","",N(INDEX(Projects[Act Mechanical Eng],355)))</f>
        <v/>
      </c>
      <c r="BO356" s="5">
        <f>IF(A356="","",N(INDEX(Projects[Act Structural Engineering],355)))</f>
        <v/>
      </c>
      <c r="BP356" s="5">
        <f>IF(A356="","",N(INDEX(Projects[Act Site Sup],355)))</f>
        <v/>
      </c>
      <c r="BQ356" s="5">
        <f>IF(A356="","",N(INDEX(Projects[Act Controls Commissioning],355)))</f>
        <v/>
      </c>
      <c r="BR356" s="5">
        <f>IF(A356="","",N(INDEX(Projects[Act Systems Commissioning],355)))</f>
        <v/>
      </c>
      <c r="BS356" s="5">
        <f>IF(A356="","",N(INDEX(Projects[Act Service Commissioning],355)))</f>
        <v/>
      </c>
      <c r="BT356" s="5">
        <f>IF(A356="","",N(INDEX(Projects[Act Controls Eng],355)))</f>
        <v/>
      </c>
      <c r="BU356" s="5">
        <f>IF(A356="","",N(INDEX(Projects[Act Controls Purchase],355)))</f>
        <v/>
      </c>
      <c r="BV356" s="5">
        <f>IF(A356="","",N(INDEX(Projects[Act Software Eng],355)))</f>
        <v/>
      </c>
      <c r="BW356" s="5">
        <f>IF(A356="","",N(INDEX(Projects[Act 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INDEX(Projects[Sold Value (USD M)],355)</f>
        <v/>
      </c>
      <c r="CE356" s="5" t="n"/>
      <c r="CF356" s="5">
        <f>IF(A356="","",N(INDEX(Projects[Est Mech Inst],355)))</f>
        <v/>
      </c>
      <c r="CG356" s="5">
        <f>IF(A356="","",N(INDEX(Projects[Est Elec Inst],355)))</f>
        <v/>
      </c>
      <c r="CH356" s="5">
        <f>IF(A356="","",N(INDEX(Projects[Est Project Management],355)))</f>
        <v/>
      </c>
      <c r="CI356" s="5">
        <f>IF(A356="","",N(INDEX(Projects[Est Systems Eng],355)))</f>
        <v/>
      </c>
      <c r="CJ356" s="5">
        <f>IF(A356="","",N(INDEX(Projects[Est Mechanical Eng],355)))</f>
        <v/>
      </c>
      <c r="CK356" s="5">
        <f>IF(A356="","",N(INDEX(Projects[Est Structural Engineering],355)))</f>
        <v/>
      </c>
      <c r="CL356" s="5">
        <f>IF(A356="","",N(INDEX(Projects[Est Site Sup],355)))</f>
        <v/>
      </c>
      <c r="CM356" s="5">
        <f>IF(A356="","",N(INDEX(Projects[Est Controls Commissioning],355)))</f>
        <v/>
      </c>
      <c r="CN356" s="5">
        <f>IF(A356="","",N(INDEX(Projects[Est Systems Commissioning],355)))</f>
        <v/>
      </c>
      <c r="CO356" s="5">
        <f>IF(A356="","",N(INDEX(Projects[Est Service Commissioning],355)))</f>
        <v/>
      </c>
      <c r="CP356" s="5">
        <f>IF(A356="","",N(INDEX(Projects[Est Controls Eng],355)))</f>
        <v/>
      </c>
      <c r="CQ356" s="5">
        <f>IF(A356="","",N(INDEX(Projects[Est Controls Purchase],355)))</f>
        <v/>
      </c>
      <c r="CR356" s="5">
        <f>IF(A356="","",N(INDEX(Projects[Est Software Eng],355)))</f>
        <v/>
      </c>
      <c r="CS356" s="5">
        <f>IF(A356="","",N(INDEX(Projects[Est Misc],355)))</f>
        <v/>
      </c>
      <c r="CT356" s="5">
        <f>IF(A356="","",SUM(CF356:CS356))</f>
        <v/>
      </c>
      <c r="CU356" s="5">
        <f>INDEX(Projects[Est Cost (M)],355)</f>
        <v/>
      </c>
      <c r="CV356" s="5">
        <f>INDEX(Projects[Act Cost (M)],355)</f>
        <v/>
      </c>
      <c r="CW356" s="5">
        <f>INDEX(Projects[Plan Mech Eng (wks)],355)</f>
        <v/>
      </c>
      <c r="CX356" s="5">
        <f>INDEX(Projects[Plan Controls Eng (wks)],355)</f>
        <v/>
      </c>
      <c r="CY356" s="5">
        <f>INDEX(Projects[Plan Systems Eng (wks)],355)</f>
        <v/>
      </c>
      <c r="CZ356" s="5">
        <f>INDEX(Projects[Plan Software Eng (wks)],355)</f>
        <v/>
      </c>
      <c r="DA356" s="5">
        <f>INDEX(Projects[Plan M&amp;E Installation (wks)],355)</f>
        <v/>
      </c>
      <c r="DB356" s="5">
        <f>INDEX(Projects[Plan Commissioning (wks)],355)</f>
        <v/>
      </c>
      <c r="DC356" s="5">
        <f>INDEX(Projects[Plan Total (wks)],355)</f>
        <v/>
      </c>
      <c r="DD356" s="5">
        <f>INDEX(Projects[Act Mech Eng (wks)],355)</f>
        <v/>
      </c>
      <c r="DE356" s="5">
        <f>INDEX(Projects[Act Controls Eng (wks)],355)</f>
        <v/>
      </c>
      <c r="DF356" s="5">
        <f>INDEX(Projects[Act Systems Eng (wks)],355)</f>
        <v/>
      </c>
      <c r="DG356" s="5">
        <f>INDEX(Projects[Act Software Eng (wks)],355)</f>
        <v/>
      </c>
      <c r="DH356" s="5">
        <f>INDEX(Projects[Act M&amp;E Installation (wks)],355)</f>
        <v/>
      </c>
      <c r="DI356" s="5">
        <f>INDEX(Projects[Act Commissioning (wks)],355)</f>
        <v/>
      </c>
      <c r="DJ356" s="5">
        <f>INDEX(Projects[Act Total (wks)],355)</f>
        <v/>
      </c>
    </row>
    <row r="357" ht="15" customHeight="1" s="82">
      <c r="A357" s="64">
        <f>INDEX(Projects[Project ID *],356)&amp;""</f>
        <v/>
      </c>
      <c r="B357" s="64">
        <f>INDEX(Projects[Project Name *],356)&amp;""</f>
        <v/>
      </c>
      <c r="C357" s="64">
        <f>INDEX(Projects[MS Shuttles],356)</f>
        <v/>
      </c>
      <c r="D357" s="64">
        <f>INDEX(Projects[MS Tote Locations],356)</f>
        <v/>
      </c>
      <c r="E357" s="64">
        <f>INDEX(Projects[AS Robots],356)</f>
        <v/>
      </c>
      <c r="F357" s="64">
        <f>INDEX(Projects[AS Tote Locations],356)</f>
        <v/>
      </c>
      <c r="G357" s="64">
        <f>INDEX(Projects[PS Shuttles],356)</f>
        <v/>
      </c>
      <c r="H357" s="64">
        <f>INDEX(Projects[PS Pallet Locations],356)</f>
        <v/>
      </c>
      <c r="I357" s="64">
        <f>INDEX(Projects[SRM Cranes],356)</f>
        <v/>
      </c>
      <c r="J357" s="64">
        <f>INDEX(Projects[SRM Pallet Locations],356)</f>
        <v/>
      </c>
      <c r="K357" s="64">
        <f>INDEX(Projects[Case Conv (m)],356)</f>
        <v/>
      </c>
      <c r="L357" s="64">
        <f>INDEX(Projects[Pallet Conv (m)],356)</f>
        <v/>
      </c>
      <c r="M357" s="64">
        <f>IF(N(DJ357)&gt;0,DD357,CW357)</f>
        <v/>
      </c>
      <c r="N357" s="64">
        <f>IF(N(DJ357)&gt;0,DE357,CX357)</f>
        <v/>
      </c>
      <c r="O357" s="64">
        <f>IF(N(DJ357)&gt;0,DF357,CY357)</f>
        <v/>
      </c>
      <c r="P357" s="64">
        <f>IF(N(DJ357)&gt;0,DG357,CZ357)</f>
        <v/>
      </c>
      <c r="Q357" s="64">
        <f>IF(N(DJ357)&gt;0,DH357,DA357)</f>
        <v/>
      </c>
      <c r="R357" s="64">
        <f>IF(N(DJ357)&gt;0,DI357,DB357)</f>
        <v/>
      </c>
      <c r="S357" s="64">
        <f>IF(N(DJ357)&gt;0,DJ357,DC357)</f>
        <v/>
      </c>
      <c r="T357" s="64">
        <f>INDEX(Projects[Currency],356)&amp;""</f>
        <v/>
      </c>
      <c r="U357" s="65">
        <f>INDEX(Projects[Sold Value (M)],356)</f>
        <v/>
      </c>
      <c r="V357" s="64">
        <f>IF('Smart Search'!B13=1,IFERROR(1/'Smart Search'!H13,0),0)</f>
        <v/>
      </c>
      <c r="W357" s="64">
        <f>IF('Smart Search'!B13=1,IFERROR(1/'Smart Search'!H13,0),0)</f>
        <v/>
      </c>
      <c r="X357" s="64">
        <f>IF('Smart Search'!C13=1,IFERROR(1/'Smart Search'!H13,0),0)</f>
        <v/>
      </c>
      <c r="Y357" s="64">
        <f>IF('Smart Search'!C13=1,IFERROR(1/'Smart Search'!H13,0),0)</f>
        <v/>
      </c>
      <c r="Z357" s="64">
        <f>IF('Smart Search'!D13=1,IFERROR(1/'Smart Search'!H13,0),0)</f>
        <v/>
      </c>
      <c r="AA357" s="64">
        <f>IF('Smart Search'!D13=1,IFERROR(1/'Smart Search'!H13,0),0)</f>
        <v/>
      </c>
      <c r="AB357" s="64">
        <f>IF('Smart Search'!E13=1,IFERROR(1/'Smart Search'!H13,0),0)</f>
        <v/>
      </c>
      <c r="AC357" s="64">
        <f>IF('Smart Search'!E13=1,IFERROR(1/'Smart Search'!H13,0),0)</f>
        <v/>
      </c>
      <c r="AD357" s="64">
        <f>IF('Smart Search'!F13=1,IFERROR(1/'Smart Search'!H13,0),0)</f>
        <v/>
      </c>
      <c r="AE357" s="64">
        <f>IF('Smart Search'!F13=1,IFERROR(1/'Smart Search'!H13,0),0)</f>
        <v/>
      </c>
      <c r="AF357" s="64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4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4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4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4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4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4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4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4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4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4">
        <f>AF357*V357</f>
        <v/>
      </c>
      <c r="AQ357" s="64">
        <f>AG357*W357</f>
        <v/>
      </c>
      <c r="AR357" s="64">
        <f>AH357*X357</f>
        <v/>
      </c>
      <c r="AS357" s="64">
        <f>AI357*Y357</f>
        <v/>
      </c>
      <c r="AT357" s="64">
        <f>AJ357*Z357</f>
        <v/>
      </c>
      <c r="AU357" s="64">
        <f>AK357*AA357</f>
        <v/>
      </c>
      <c r="AV357" s="64">
        <f>AL357*AB357</f>
        <v/>
      </c>
      <c r="AW357" s="64">
        <f>AM357*AC357</f>
        <v/>
      </c>
      <c r="AX357" s="64">
        <f>AN357*AD357</f>
        <v/>
      </c>
      <c r="AY357" s="64">
        <f>AO357*AE357</f>
        <v/>
      </c>
      <c r="AZ357" s="64">
        <f>INDEX(Projects[Automation Equipment],356)&amp;""</f>
        <v/>
      </c>
      <c r="BA357" s="64">
        <f>IF(OR(A357="",'Smart Search'!H13=0),"",MAX(0,BE357*BF357*MAX(0,1-BG357)))</f>
        <v/>
      </c>
      <c r="BB357" s="64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4">
        <f>IF('Smart Search'!G13=1,IFERROR(1/'Smart Search'!H13,0),0)</f>
        <v/>
      </c>
      <c r="BD357" s="64">
        <f>BB357*BC357</f>
        <v/>
      </c>
      <c r="BE357" s="64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IF(A357="","",N(INDEX(Projects[Act Mech Inst],356)))</f>
        <v/>
      </c>
      <c r="BK357" s="5">
        <f>IF(A357="","",N(INDEX(Projects[Act Elec Inst],356)))</f>
        <v/>
      </c>
      <c r="BL357" s="5">
        <f>IF(A357="","",N(INDEX(Projects[Act Project Management],356)))</f>
        <v/>
      </c>
      <c r="BM357" s="5">
        <f>IF(A357="","",N(INDEX(Projects[Act Systems Eng],356)))</f>
        <v/>
      </c>
      <c r="BN357" s="5">
        <f>IF(A357="","",N(INDEX(Projects[Act Mechanical Eng],356)))</f>
        <v/>
      </c>
      <c r="BO357" s="5">
        <f>IF(A357="","",N(INDEX(Projects[Act Structural Engineering],356)))</f>
        <v/>
      </c>
      <c r="BP357" s="5">
        <f>IF(A357="","",N(INDEX(Projects[Act Site Sup],356)))</f>
        <v/>
      </c>
      <c r="BQ357" s="5">
        <f>IF(A357="","",N(INDEX(Projects[Act Controls Commissioning],356)))</f>
        <v/>
      </c>
      <c r="BR357" s="5">
        <f>IF(A357="","",N(INDEX(Projects[Act Systems Commissioning],356)))</f>
        <v/>
      </c>
      <c r="BS357" s="5">
        <f>IF(A357="","",N(INDEX(Projects[Act Service Commissioning],356)))</f>
        <v/>
      </c>
      <c r="BT357" s="5">
        <f>IF(A357="","",N(INDEX(Projects[Act Controls Eng],356)))</f>
        <v/>
      </c>
      <c r="BU357" s="5">
        <f>IF(A357="","",N(INDEX(Projects[Act Controls Purchase],356)))</f>
        <v/>
      </c>
      <c r="BV357" s="5">
        <f>IF(A357="","",N(INDEX(Projects[Act Software Eng],356)))</f>
        <v/>
      </c>
      <c r="BW357" s="5">
        <f>IF(A357="","",N(INDEX(Projects[Act 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INDEX(Projects[Sold Value (USD M)],356)</f>
        <v/>
      </c>
      <c r="CE357" s="5" t="n"/>
      <c r="CF357" s="5">
        <f>IF(A357="","",N(INDEX(Projects[Est Mech Inst],356)))</f>
        <v/>
      </c>
      <c r="CG357" s="5">
        <f>IF(A357="","",N(INDEX(Projects[Est Elec Inst],356)))</f>
        <v/>
      </c>
      <c r="CH357" s="5">
        <f>IF(A357="","",N(INDEX(Projects[Est Project Management],356)))</f>
        <v/>
      </c>
      <c r="CI357" s="5">
        <f>IF(A357="","",N(INDEX(Projects[Est Systems Eng],356)))</f>
        <v/>
      </c>
      <c r="CJ357" s="5">
        <f>IF(A357="","",N(INDEX(Projects[Est Mechanical Eng],356)))</f>
        <v/>
      </c>
      <c r="CK357" s="5">
        <f>IF(A357="","",N(INDEX(Projects[Est Structural Engineering],356)))</f>
        <v/>
      </c>
      <c r="CL357" s="5">
        <f>IF(A357="","",N(INDEX(Projects[Est Site Sup],356)))</f>
        <v/>
      </c>
      <c r="CM357" s="5">
        <f>IF(A357="","",N(INDEX(Projects[Est Controls Commissioning],356)))</f>
        <v/>
      </c>
      <c r="CN357" s="5">
        <f>IF(A357="","",N(INDEX(Projects[Est Systems Commissioning],356)))</f>
        <v/>
      </c>
      <c r="CO357" s="5">
        <f>IF(A357="","",N(INDEX(Projects[Est Service Commissioning],356)))</f>
        <v/>
      </c>
      <c r="CP357" s="5">
        <f>IF(A357="","",N(INDEX(Projects[Est Controls Eng],356)))</f>
        <v/>
      </c>
      <c r="CQ357" s="5">
        <f>IF(A357="","",N(INDEX(Projects[Est Controls Purchase],356)))</f>
        <v/>
      </c>
      <c r="CR357" s="5">
        <f>IF(A357="","",N(INDEX(Projects[Est Software Eng],356)))</f>
        <v/>
      </c>
      <c r="CS357" s="5">
        <f>IF(A357="","",N(INDEX(Projects[Est Misc],356)))</f>
        <v/>
      </c>
      <c r="CT357" s="5">
        <f>IF(A357="","",SUM(CF357:CS357))</f>
        <v/>
      </c>
      <c r="CU357" s="5">
        <f>INDEX(Projects[Est Cost (M)],356)</f>
        <v/>
      </c>
      <c r="CV357" s="5">
        <f>INDEX(Projects[Act Cost (M)],356)</f>
        <v/>
      </c>
      <c r="CW357" s="5">
        <f>INDEX(Projects[Plan Mech Eng (wks)],356)</f>
        <v/>
      </c>
      <c r="CX357" s="5">
        <f>INDEX(Projects[Plan Controls Eng (wks)],356)</f>
        <v/>
      </c>
      <c r="CY357" s="5">
        <f>INDEX(Projects[Plan Systems Eng (wks)],356)</f>
        <v/>
      </c>
      <c r="CZ357" s="5">
        <f>INDEX(Projects[Plan Software Eng (wks)],356)</f>
        <v/>
      </c>
      <c r="DA357" s="5">
        <f>INDEX(Projects[Plan M&amp;E Installation (wks)],356)</f>
        <v/>
      </c>
      <c r="DB357" s="5">
        <f>INDEX(Projects[Plan Commissioning (wks)],356)</f>
        <v/>
      </c>
      <c r="DC357" s="5">
        <f>INDEX(Projects[Plan Total (wks)],356)</f>
        <v/>
      </c>
      <c r="DD357" s="5">
        <f>INDEX(Projects[Act Mech Eng (wks)],356)</f>
        <v/>
      </c>
      <c r="DE357" s="5">
        <f>INDEX(Projects[Act Controls Eng (wks)],356)</f>
        <v/>
      </c>
      <c r="DF357" s="5">
        <f>INDEX(Projects[Act Systems Eng (wks)],356)</f>
        <v/>
      </c>
      <c r="DG357" s="5">
        <f>INDEX(Projects[Act Software Eng (wks)],356)</f>
        <v/>
      </c>
      <c r="DH357" s="5">
        <f>INDEX(Projects[Act M&amp;E Installation (wks)],356)</f>
        <v/>
      </c>
      <c r="DI357" s="5">
        <f>INDEX(Projects[Act Commissioning (wks)],356)</f>
        <v/>
      </c>
      <c r="DJ357" s="5">
        <f>INDEX(Projects[Act Total (wks)],356)</f>
        <v/>
      </c>
    </row>
    <row r="358" ht="15" customHeight="1" s="82">
      <c r="A358" s="64">
        <f>INDEX(Projects[Project ID *],357)&amp;""</f>
        <v/>
      </c>
      <c r="B358" s="64">
        <f>INDEX(Projects[Project Name *],357)&amp;""</f>
        <v/>
      </c>
      <c r="C358" s="64">
        <f>INDEX(Projects[MS Shuttles],357)</f>
        <v/>
      </c>
      <c r="D358" s="64">
        <f>INDEX(Projects[MS Tote Locations],357)</f>
        <v/>
      </c>
      <c r="E358" s="64">
        <f>INDEX(Projects[AS Robots],357)</f>
        <v/>
      </c>
      <c r="F358" s="64">
        <f>INDEX(Projects[AS Tote Locations],357)</f>
        <v/>
      </c>
      <c r="G358" s="64">
        <f>INDEX(Projects[PS Shuttles],357)</f>
        <v/>
      </c>
      <c r="H358" s="64">
        <f>INDEX(Projects[PS Pallet Locations],357)</f>
        <v/>
      </c>
      <c r="I358" s="64">
        <f>INDEX(Projects[SRM Cranes],357)</f>
        <v/>
      </c>
      <c r="J358" s="64">
        <f>INDEX(Projects[SRM Pallet Locations],357)</f>
        <v/>
      </c>
      <c r="K358" s="64">
        <f>INDEX(Projects[Case Conv (m)],357)</f>
        <v/>
      </c>
      <c r="L358" s="64">
        <f>INDEX(Projects[Pallet Conv (m)],357)</f>
        <v/>
      </c>
      <c r="M358" s="64">
        <f>IF(N(DJ358)&gt;0,DD358,CW358)</f>
        <v/>
      </c>
      <c r="N358" s="64">
        <f>IF(N(DJ358)&gt;0,DE358,CX358)</f>
        <v/>
      </c>
      <c r="O358" s="64">
        <f>IF(N(DJ358)&gt;0,DF358,CY358)</f>
        <v/>
      </c>
      <c r="P358" s="64">
        <f>IF(N(DJ358)&gt;0,DG358,CZ358)</f>
        <v/>
      </c>
      <c r="Q358" s="64">
        <f>IF(N(DJ358)&gt;0,DH358,DA358)</f>
        <v/>
      </c>
      <c r="R358" s="64">
        <f>IF(N(DJ358)&gt;0,DI358,DB358)</f>
        <v/>
      </c>
      <c r="S358" s="64">
        <f>IF(N(DJ358)&gt;0,DJ358,DC358)</f>
        <v/>
      </c>
      <c r="T358" s="64">
        <f>INDEX(Projects[Currency],357)&amp;""</f>
        <v/>
      </c>
      <c r="U358" s="65">
        <f>INDEX(Projects[Sold Value (M)],357)</f>
        <v/>
      </c>
      <c r="V358" s="64">
        <f>IF('Smart Search'!B13=1,IFERROR(1/'Smart Search'!H13,0),0)</f>
        <v/>
      </c>
      <c r="W358" s="64">
        <f>IF('Smart Search'!B13=1,IFERROR(1/'Smart Search'!H13,0),0)</f>
        <v/>
      </c>
      <c r="X358" s="64">
        <f>IF('Smart Search'!C13=1,IFERROR(1/'Smart Search'!H13,0),0)</f>
        <v/>
      </c>
      <c r="Y358" s="64">
        <f>IF('Smart Search'!C13=1,IFERROR(1/'Smart Search'!H13,0),0)</f>
        <v/>
      </c>
      <c r="Z358" s="64">
        <f>IF('Smart Search'!D13=1,IFERROR(1/'Smart Search'!H13,0),0)</f>
        <v/>
      </c>
      <c r="AA358" s="64">
        <f>IF('Smart Search'!D13=1,IFERROR(1/'Smart Search'!H13,0),0)</f>
        <v/>
      </c>
      <c r="AB358" s="64">
        <f>IF('Smart Search'!E13=1,IFERROR(1/'Smart Search'!H13,0),0)</f>
        <v/>
      </c>
      <c r="AC358" s="64">
        <f>IF('Smart Search'!E13=1,IFERROR(1/'Smart Search'!H13,0),0)</f>
        <v/>
      </c>
      <c r="AD358" s="64">
        <f>IF('Smart Search'!F13=1,IFERROR(1/'Smart Search'!H13,0),0)</f>
        <v/>
      </c>
      <c r="AE358" s="64">
        <f>IF('Smart Search'!F13=1,IFERROR(1/'Smart Search'!H13,0),0)</f>
        <v/>
      </c>
      <c r="AF358" s="64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4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4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4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4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4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4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4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4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4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4">
        <f>AF358*V358</f>
        <v/>
      </c>
      <c r="AQ358" s="64">
        <f>AG358*W358</f>
        <v/>
      </c>
      <c r="AR358" s="64">
        <f>AH358*X358</f>
        <v/>
      </c>
      <c r="AS358" s="64">
        <f>AI358*Y358</f>
        <v/>
      </c>
      <c r="AT358" s="64">
        <f>AJ358*Z358</f>
        <v/>
      </c>
      <c r="AU358" s="64">
        <f>AK358*AA358</f>
        <v/>
      </c>
      <c r="AV358" s="64">
        <f>AL358*AB358</f>
        <v/>
      </c>
      <c r="AW358" s="64">
        <f>AM358*AC358</f>
        <v/>
      </c>
      <c r="AX358" s="64">
        <f>AN358*AD358</f>
        <v/>
      </c>
      <c r="AY358" s="64">
        <f>AO358*AE358</f>
        <v/>
      </c>
      <c r="AZ358" s="64">
        <f>INDEX(Projects[Automation Equipment],357)&amp;""</f>
        <v/>
      </c>
      <c r="BA358" s="64">
        <f>IF(OR(A358="",'Smart Search'!H13=0),"",MAX(0,BE358*BF358*MAX(0,1-BG358)))</f>
        <v/>
      </c>
      <c r="BB358" s="64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4">
        <f>IF('Smart Search'!G13=1,IFERROR(1/'Smart Search'!H13,0),0)</f>
        <v/>
      </c>
      <c r="BD358" s="64">
        <f>BB358*BC358</f>
        <v/>
      </c>
      <c r="BE358" s="64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IF(A358="","",N(INDEX(Projects[Act Mech Inst],357)))</f>
        <v/>
      </c>
      <c r="BK358" s="5">
        <f>IF(A358="","",N(INDEX(Projects[Act Elec Inst],357)))</f>
        <v/>
      </c>
      <c r="BL358" s="5">
        <f>IF(A358="","",N(INDEX(Projects[Act Project Management],357)))</f>
        <v/>
      </c>
      <c r="BM358" s="5">
        <f>IF(A358="","",N(INDEX(Projects[Act Systems Eng],357)))</f>
        <v/>
      </c>
      <c r="BN358" s="5">
        <f>IF(A358="","",N(INDEX(Projects[Act Mechanical Eng],357)))</f>
        <v/>
      </c>
      <c r="BO358" s="5">
        <f>IF(A358="","",N(INDEX(Projects[Act Structural Engineering],357)))</f>
        <v/>
      </c>
      <c r="BP358" s="5">
        <f>IF(A358="","",N(INDEX(Projects[Act Site Sup],357)))</f>
        <v/>
      </c>
      <c r="BQ358" s="5">
        <f>IF(A358="","",N(INDEX(Projects[Act Controls Commissioning],357)))</f>
        <v/>
      </c>
      <c r="BR358" s="5">
        <f>IF(A358="","",N(INDEX(Projects[Act Systems Commissioning],357)))</f>
        <v/>
      </c>
      <c r="BS358" s="5">
        <f>IF(A358="","",N(INDEX(Projects[Act Service Commissioning],357)))</f>
        <v/>
      </c>
      <c r="BT358" s="5">
        <f>IF(A358="","",N(INDEX(Projects[Act Controls Eng],357)))</f>
        <v/>
      </c>
      <c r="BU358" s="5">
        <f>IF(A358="","",N(INDEX(Projects[Act Controls Purchase],357)))</f>
        <v/>
      </c>
      <c r="BV358" s="5">
        <f>IF(A358="","",N(INDEX(Projects[Act Software Eng],357)))</f>
        <v/>
      </c>
      <c r="BW358" s="5">
        <f>IF(A358="","",N(INDEX(Projects[Act 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INDEX(Projects[Sold Value (USD M)],357)</f>
        <v/>
      </c>
      <c r="CE358" s="5" t="n"/>
      <c r="CF358" s="5">
        <f>IF(A358="","",N(INDEX(Projects[Est Mech Inst],357)))</f>
        <v/>
      </c>
      <c r="CG358" s="5">
        <f>IF(A358="","",N(INDEX(Projects[Est Elec Inst],357)))</f>
        <v/>
      </c>
      <c r="CH358" s="5">
        <f>IF(A358="","",N(INDEX(Projects[Est Project Management],357)))</f>
        <v/>
      </c>
      <c r="CI358" s="5">
        <f>IF(A358="","",N(INDEX(Projects[Est Systems Eng],357)))</f>
        <v/>
      </c>
      <c r="CJ358" s="5">
        <f>IF(A358="","",N(INDEX(Projects[Est Mechanical Eng],357)))</f>
        <v/>
      </c>
      <c r="CK358" s="5">
        <f>IF(A358="","",N(INDEX(Projects[Est Structural Engineering],357)))</f>
        <v/>
      </c>
      <c r="CL358" s="5">
        <f>IF(A358="","",N(INDEX(Projects[Est Site Sup],357)))</f>
        <v/>
      </c>
      <c r="CM358" s="5">
        <f>IF(A358="","",N(INDEX(Projects[Est Controls Commissioning],357)))</f>
        <v/>
      </c>
      <c r="CN358" s="5">
        <f>IF(A358="","",N(INDEX(Projects[Est Systems Commissioning],357)))</f>
        <v/>
      </c>
      <c r="CO358" s="5">
        <f>IF(A358="","",N(INDEX(Projects[Est Service Commissioning],357)))</f>
        <v/>
      </c>
      <c r="CP358" s="5">
        <f>IF(A358="","",N(INDEX(Projects[Est Controls Eng],357)))</f>
        <v/>
      </c>
      <c r="CQ358" s="5">
        <f>IF(A358="","",N(INDEX(Projects[Est Controls Purchase],357)))</f>
        <v/>
      </c>
      <c r="CR358" s="5">
        <f>IF(A358="","",N(INDEX(Projects[Est Software Eng],357)))</f>
        <v/>
      </c>
      <c r="CS358" s="5">
        <f>IF(A358="","",N(INDEX(Projects[Est Misc],357)))</f>
        <v/>
      </c>
      <c r="CT358" s="5">
        <f>IF(A358="","",SUM(CF358:CS358))</f>
        <v/>
      </c>
      <c r="CU358" s="5">
        <f>INDEX(Projects[Est Cost (M)],357)</f>
        <v/>
      </c>
      <c r="CV358" s="5">
        <f>INDEX(Projects[Act Cost (M)],357)</f>
        <v/>
      </c>
      <c r="CW358" s="5">
        <f>INDEX(Projects[Plan Mech Eng (wks)],357)</f>
        <v/>
      </c>
      <c r="CX358" s="5">
        <f>INDEX(Projects[Plan Controls Eng (wks)],357)</f>
        <v/>
      </c>
      <c r="CY358" s="5">
        <f>INDEX(Projects[Plan Systems Eng (wks)],357)</f>
        <v/>
      </c>
      <c r="CZ358" s="5">
        <f>INDEX(Projects[Plan Software Eng (wks)],357)</f>
        <v/>
      </c>
      <c r="DA358" s="5">
        <f>INDEX(Projects[Plan M&amp;E Installation (wks)],357)</f>
        <v/>
      </c>
      <c r="DB358" s="5">
        <f>INDEX(Projects[Plan Commissioning (wks)],357)</f>
        <v/>
      </c>
      <c r="DC358" s="5">
        <f>INDEX(Projects[Plan Total (wks)],357)</f>
        <v/>
      </c>
      <c r="DD358" s="5">
        <f>INDEX(Projects[Act Mech Eng (wks)],357)</f>
        <v/>
      </c>
      <c r="DE358" s="5">
        <f>INDEX(Projects[Act Controls Eng (wks)],357)</f>
        <v/>
      </c>
      <c r="DF358" s="5">
        <f>INDEX(Projects[Act Systems Eng (wks)],357)</f>
        <v/>
      </c>
      <c r="DG358" s="5">
        <f>INDEX(Projects[Act Software Eng (wks)],357)</f>
        <v/>
      </c>
      <c r="DH358" s="5">
        <f>INDEX(Projects[Act M&amp;E Installation (wks)],357)</f>
        <v/>
      </c>
      <c r="DI358" s="5">
        <f>INDEX(Projects[Act Commissioning (wks)],357)</f>
        <v/>
      </c>
      <c r="DJ358" s="5">
        <f>INDEX(Projects[Act Total (wks)],357)</f>
        <v/>
      </c>
    </row>
    <row r="359" ht="15" customHeight="1" s="82">
      <c r="A359" s="64">
        <f>INDEX(Projects[Project ID *],358)&amp;""</f>
        <v/>
      </c>
      <c r="B359" s="64">
        <f>INDEX(Projects[Project Name *],358)&amp;""</f>
        <v/>
      </c>
      <c r="C359" s="64">
        <f>INDEX(Projects[MS Shuttles],358)</f>
        <v/>
      </c>
      <c r="D359" s="64">
        <f>INDEX(Projects[MS Tote Locations],358)</f>
        <v/>
      </c>
      <c r="E359" s="64">
        <f>INDEX(Projects[AS Robots],358)</f>
        <v/>
      </c>
      <c r="F359" s="64">
        <f>INDEX(Projects[AS Tote Locations],358)</f>
        <v/>
      </c>
      <c r="G359" s="64">
        <f>INDEX(Projects[PS Shuttles],358)</f>
        <v/>
      </c>
      <c r="H359" s="64">
        <f>INDEX(Projects[PS Pallet Locations],358)</f>
        <v/>
      </c>
      <c r="I359" s="64">
        <f>INDEX(Projects[SRM Cranes],358)</f>
        <v/>
      </c>
      <c r="J359" s="64">
        <f>INDEX(Projects[SRM Pallet Locations],358)</f>
        <v/>
      </c>
      <c r="K359" s="64">
        <f>INDEX(Projects[Case Conv (m)],358)</f>
        <v/>
      </c>
      <c r="L359" s="64">
        <f>INDEX(Projects[Pallet Conv (m)],358)</f>
        <v/>
      </c>
      <c r="M359" s="64">
        <f>IF(N(DJ359)&gt;0,DD359,CW359)</f>
        <v/>
      </c>
      <c r="N359" s="64">
        <f>IF(N(DJ359)&gt;0,DE359,CX359)</f>
        <v/>
      </c>
      <c r="O359" s="64">
        <f>IF(N(DJ359)&gt;0,DF359,CY359)</f>
        <v/>
      </c>
      <c r="P359" s="64">
        <f>IF(N(DJ359)&gt;0,DG359,CZ359)</f>
        <v/>
      </c>
      <c r="Q359" s="64">
        <f>IF(N(DJ359)&gt;0,DH359,DA359)</f>
        <v/>
      </c>
      <c r="R359" s="64">
        <f>IF(N(DJ359)&gt;0,DI359,DB359)</f>
        <v/>
      </c>
      <c r="S359" s="64">
        <f>IF(N(DJ359)&gt;0,DJ359,DC359)</f>
        <v/>
      </c>
      <c r="T359" s="64">
        <f>INDEX(Projects[Currency],358)&amp;""</f>
        <v/>
      </c>
      <c r="U359" s="65">
        <f>INDEX(Projects[Sold Value (M)],358)</f>
        <v/>
      </c>
      <c r="V359" s="64">
        <f>IF('Smart Search'!B13=1,IFERROR(1/'Smart Search'!H13,0),0)</f>
        <v/>
      </c>
      <c r="W359" s="64">
        <f>IF('Smart Search'!B13=1,IFERROR(1/'Smart Search'!H13,0),0)</f>
        <v/>
      </c>
      <c r="X359" s="64">
        <f>IF('Smart Search'!C13=1,IFERROR(1/'Smart Search'!H13,0),0)</f>
        <v/>
      </c>
      <c r="Y359" s="64">
        <f>IF('Smart Search'!C13=1,IFERROR(1/'Smart Search'!H13,0),0)</f>
        <v/>
      </c>
      <c r="Z359" s="64">
        <f>IF('Smart Search'!D13=1,IFERROR(1/'Smart Search'!H13,0),0)</f>
        <v/>
      </c>
      <c r="AA359" s="64">
        <f>IF('Smart Search'!D13=1,IFERROR(1/'Smart Search'!H13,0),0)</f>
        <v/>
      </c>
      <c r="AB359" s="64">
        <f>IF('Smart Search'!E13=1,IFERROR(1/'Smart Search'!H13,0),0)</f>
        <v/>
      </c>
      <c r="AC359" s="64">
        <f>IF('Smart Search'!E13=1,IFERROR(1/'Smart Search'!H13,0),0)</f>
        <v/>
      </c>
      <c r="AD359" s="64">
        <f>IF('Smart Search'!F13=1,IFERROR(1/'Smart Search'!H13,0),0)</f>
        <v/>
      </c>
      <c r="AE359" s="64">
        <f>IF('Smart Search'!F13=1,IFERROR(1/'Smart Search'!H13,0),0)</f>
        <v/>
      </c>
      <c r="AF359" s="64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4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4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4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4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4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4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4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4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4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4">
        <f>AF359*V359</f>
        <v/>
      </c>
      <c r="AQ359" s="64">
        <f>AG359*W359</f>
        <v/>
      </c>
      <c r="AR359" s="64">
        <f>AH359*X359</f>
        <v/>
      </c>
      <c r="AS359" s="64">
        <f>AI359*Y359</f>
        <v/>
      </c>
      <c r="AT359" s="64">
        <f>AJ359*Z359</f>
        <v/>
      </c>
      <c r="AU359" s="64">
        <f>AK359*AA359</f>
        <v/>
      </c>
      <c r="AV359" s="64">
        <f>AL359*AB359</f>
        <v/>
      </c>
      <c r="AW359" s="64">
        <f>AM359*AC359</f>
        <v/>
      </c>
      <c r="AX359" s="64">
        <f>AN359*AD359</f>
        <v/>
      </c>
      <c r="AY359" s="64">
        <f>AO359*AE359</f>
        <v/>
      </c>
      <c r="AZ359" s="64">
        <f>INDEX(Projects[Automation Equipment],358)&amp;""</f>
        <v/>
      </c>
      <c r="BA359" s="64">
        <f>IF(OR(A359="",'Smart Search'!H13=0),"",MAX(0,BE359*BF359*MAX(0,1-BG359)))</f>
        <v/>
      </c>
      <c r="BB359" s="64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4">
        <f>IF('Smart Search'!G13=1,IFERROR(1/'Smart Search'!H13,0),0)</f>
        <v/>
      </c>
      <c r="BD359" s="64">
        <f>BB359*BC359</f>
        <v/>
      </c>
      <c r="BE359" s="64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IF(A359="","",N(INDEX(Projects[Act Mech Inst],358)))</f>
        <v/>
      </c>
      <c r="BK359" s="5">
        <f>IF(A359="","",N(INDEX(Projects[Act Elec Inst],358)))</f>
        <v/>
      </c>
      <c r="BL359" s="5">
        <f>IF(A359="","",N(INDEX(Projects[Act Project Management],358)))</f>
        <v/>
      </c>
      <c r="BM359" s="5">
        <f>IF(A359="","",N(INDEX(Projects[Act Systems Eng],358)))</f>
        <v/>
      </c>
      <c r="BN359" s="5">
        <f>IF(A359="","",N(INDEX(Projects[Act Mechanical Eng],358)))</f>
        <v/>
      </c>
      <c r="BO359" s="5">
        <f>IF(A359="","",N(INDEX(Projects[Act Structural Engineering],358)))</f>
        <v/>
      </c>
      <c r="BP359" s="5">
        <f>IF(A359="","",N(INDEX(Projects[Act Site Sup],358)))</f>
        <v/>
      </c>
      <c r="BQ359" s="5">
        <f>IF(A359="","",N(INDEX(Projects[Act Controls Commissioning],358)))</f>
        <v/>
      </c>
      <c r="BR359" s="5">
        <f>IF(A359="","",N(INDEX(Projects[Act Systems Commissioning],358)))</f>
        <v/>
      </c>
      <c r="BS359" s="5">
        <f>IF(A359="","",N(INDEX(Projects[Act Service Commissioning],358)))</f>
        <v/>
      </c>
      <c r="BT359" s="5">
        <f>IF(A359="","",N(INDEX(Projects[Act Controls Eng],358)))</f>
        <v/>
      </c>
      <c r="BU359" s="5">
        <f>IF(A359="","",N(INDEX(Projects[Act Controls Purchase],358)))</f>
        <v/>
      </c>
      <c r="BV359" s="5">
        <f>IF(A359="","",N(INDEX(Projects[Act Software Eng],358)))</f>
        <v/>
      </c>
      <c r="BW359" s="5">
        <f>IF(A359="","",N(INDEX(Projects[Act 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INDEX(Projects[Sold Value (USD M)],358)</f>
        <v/>
      </c>
      <c r="CE359" s="5" t="n"/>
      <c r="CF359" s="5">
        <f>IF(A359="","",N(INDEX(Projects[Est Mech Inst],358)))</f>
        <v/>
      </c>
      <c r="CG359" s="5">
        <f>IF(A359="","",N(INDEX(Projects[Est Elec Inst],358)))</f>
        <v/>
      </c>
      <c r="CH359" s="5">
        <f>IF(A359="","",N(INDEX(Projects[Est Project Management],358)))</f>
        <v/>
      </c>
      <c r="CI359" s="5">
        <f>IF(A359="","",N(INDEX(Projects[Est Systems Eng],358)))</f>
        <v/>
      </c>
      <c r="CJ359" s="5">
        <f>IF(A359="","",N(INDEX(Projects[Est Mechanical Eng],358)))</f>
        <v/>
      </c>
      <c r="CK359" s="5">
        <f>IF(A359="","",N(INDEX(Projects[Est Structural Engineering],358)))</f>
        <v/>
      </c>
      <c r="CL359" s="5">
        <f>IF(A359="","",N(INDEX(Projects[Est Site Sup],358)))</f>
        <v/>
      </c>
      <c r="CM359" s="5">
        <f>IF(A359="","",N(INDEX(Projects[Est Controls Commissioning],358)))</f>
        <v/>
      </c>
      <c r="CN359" s="5">
        <f>IF(A359="","",N(INDEX(Projects[Est Systems Commissioning],358)))</f>
        <v/>
      </c>
      <c r="CO359" s="5">
        <f>IF(A359="","",N(INDEX(Projects[Est Service Commissioning],358)))</f>
        <v/>
      </c>
      <c r="CP359" s="5">
        <f>IF(A359="","",N(INDEX(Projects[Est Controls Eng],358)))</f>
        <v/>
      </c>
      <c r="CQ359" s="5">
        <f>IF(A359="","",N(INDEX(Projects[Est Controls Purchase],358)))</f>
        <v/>
      </c>
      <c r="CR359" s="5">
        <f>IF(A359="","",N(INDEX(Projects[Est Software Eng],358)))</f>
        <v/>
      </c>
      <c r="CS359" s="5">
        <f>IF(A359="","",N(INDEX(Projects[Est Misc],358)))</f>
        <v/>
      </c>
      <c r="CT359" s="5">
        <f>IF(A359="","",SUM(CF359:CS359))</f>
        <v/>
      </c>
      <c r="CU359" s="5">
        <f>INDEX(Projects[Est Cost (M)],358)</f>
        <v/>
      </c>
      <c r="CV359" s="5">
        <f>INDEX(Projects[Act Cost (M)],358)</f>
        <v/>
      </c>
      <c r="CW359" s="5">
        <f>INDEX(Projects[Plan Mech Eng (wks)],358)</f>
        <v/>
      </c>
      <c r="CX359" s="5">
        <f>INDEX(Projects[Plan Controls Eng (wks)],358)</f>
        <v/>
      </c>
      <c r="CY359" s="5">
        <f>INDEX(Projects[Plan Systems Eng (wks)],358)</f>
        <v/>
      </c>
      <c r="CZ359" s="5">
        <f>INDEX(Projects[Plan Software Eng (wks)],358)</f>
        <v/>
      </c>
      <c r="DA359" s="5">
        <f>INDEX(Projects[Plan M&amp;E Installation (wks)],358)</f>
        <v/>
      </c>
      <c r="DB359" s="5">
        <f>INDEX(Projects[Plan Commissioning (wks)],358)</f>
        <v/>
      </c>
      <c r="DC359" s="5">
        <f>INDEX(Projects[Plan Total (wks)],358)</f>
        <v/>
      </c>
      <c r="DD359" s="5">
        <f>INDEX(Projects[Act Mech Eng (wks)],358)</f>
        <v/>
      </c>
      <c r="DE359" s="5">
        <f>INDEX(Projects[Act Controls Eng (wks)],358)</f>
        <v/>
      </c>
      <c r="DF359" s="5">
        <f>INDEX(Projects[Act Systems Eng (wks)],358)</f>
        <v/>
      </c>
      <c r="DG359" s="5">
        <f>INDEX(Projects[Act Software Eng (wks)],358)</f>
        <v/>
      </c>
      <c r="DH359" s="5">
        <f>INDEX(Projects[Act M&amp;E Installation (wks)],358)</f>
        <v/>
      </c>
      <c r="DI359" s="5">
        <f>INDEX(Projects[Act Commissioning (wks)],358)</f>
        <v/>
      </c>
      <c r="DJ359" s="5">
        <f>INDEX(Projects[Act Total (wks)],358)</f>
        <v/>
      </c>
    </row>
    <row r="360" ht="15" customHeight="1" s="82">
      <c r="A360" s="64">
        <f>INDEX(Projects[Project ID *],359)&amp;""</f>
        <v/>
      </c>
      <c r="B360" s="64">
        <f>INDEX(Projects[Project Name *],359)&amp;""</f>
        <v/>
      </c>
      <c r="C360" s="64">
        <f>INDEX(Projects[MS Shuttles],359)</f>
        <v/>
      </c>
      <c r="D360" s="64">
        <f>INDEX(Projects[MS Tote Locations],359)</f>
        <v/>
      </c>
      <c r="E360" s="64">
        <f>INDEX(Projects[AS Robots],359)</f>
        <v/>
      </c>
      <c r="F360" s="64">
        <f>INDEX(Projects[AS Tote Locations],359)</f>
        <v/>
      </c>
      <c r="G360" s="64">
        <f>INDEX(Projects[PS Shuttles],359)</f>
        <v/>
      </c>
      <c r="H360" s="64">
        <f>INDEX(Projects[PS Pallet Locations],359)</f>
        <v/>
      </c>
      <c r="I360" s="64">
        <f>INDEX(Projects[SRM Cranes],359)</f>
        <v/>
      </c>
      <c r="J360" s="64">
        <f>INDEX(Projects[SRM Pallet Locations],359)</f>
        <v/>
      </c>
      <c r="K360" s="64">
        <f>INDEX(Projects[Case Conv (m)],359)</f>
        <v/>
      </c>
      <c r="L360" s="64">
        <f>INDEX(Projects[Pallet Conv (m)],359)</f>
        <v/>
      </c>
      <c r="M360" s="64">
        <f>IF(N(DJ360)&gt;0,DD360,CW360)</f>
        <v/>
      </c>
      <c r="N360" s="64">
        <f>IF(N(DJ360)&gt;0,DE360,CX360)</f>
        <v/>
      </c>
      <c r="O360" s="64">
        <f>IF(N(DJ360)&gt;0,DF360,CY360)</f>
        <v/>
      </c>
      <c r="P360" s="64">
        <f>IF(N(DJ360)&gt;0,DG360,CZ360)</f>
        <v/>
      </c>
      <c r="Q360" s="64">
        <f>IF(N(DJ360)&gt;0,DH360,DA360)</f>
        <v/>
      </c>
      <c r="R360" s="64">
        <f>IF(N(DJ360)&gt;0,DI360,DB360)</f>
        <v/>
      </c>
      <c r="S360" s="64">
        <f>IF(N(DJ360)&gt;0,DJ360,DC360)</f>
        <v/>
      </c>
      <c r="T360" s="64">
        <f>INDEX(Projects[Currency],359)&amp;""</f>
        <v/>
      </c>
      <c r="U360" s="65">
        <f>INDEX(Projects[Sold Value (M)],359)</f>
        <v/>
      </c>
      <c r="V360" s="64">
        <f>IF('Smart Search'!B13=1,IFERROR(1/'Smart Search'!H13,0),0)</f>
        <v/>
      </c>
      <c r="W360" s="64">
        <f>IF('Smart Search'!B13=1,IFERROR(1/'Smart Search'!H13,0),0)</f>
        <v/>
      </c>
      <c r="X360" s="64">
        <f>IF('Smart Search'!C13=1,IFERROR(1/'Smart Search'!H13,0),0)</f>
        <v/>
      </c>
      <c r="Y360" s="64">
        <f>IF('Smart Search'!C13=1,IFERROR(1/'Smart Search'!H13,0),0)</f>
        <v/>
      </c>
      <c r="Z360" s="64">
        <f>IF('Smart Search'!D13=1,IFERROR(1/'Smart Search'!H13,0),0)</f>
        <v/>
      </c>
      <c r="AA360" s="64">
        <f>IF('Smart Search'!D13=1,IFERROR(1/'Smart Search'!H13,0),0)</f>
        <v/>
      </c>
      <c r="AB360" s="64">
        <f>IF('Smart Search'!E13=1,IFERROR(1/'Smart Search'!H13,0),0)</f>
        <v/>
      </c>
      <c r="AC360" s="64">
        <f>IF('Smart Search'!E13=1,IFERROR(1/'Smart Search'!H13,0),0)</f>
        <v/>
      </c>
      <c r="AD360" s="64">
        <f>IF('Smart Search'!F13=1,IFERROR(1/'Smart Search'!H13,0),0)</f>
        <v/>
      </c>
      <c r="AE360" s="64">
        <f>IF('Smart Search'!F13=1,IFERROR(1/'Smart Search'!H13,0),0)</f>
        <v/>
      </c>
      <c r="AF360" s="64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4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4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4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4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4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4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4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4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4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4">
        <f>AF360*V360</f>
        <v/>
      </c>
      <c r="AQ360" s="64">
        <f>AG360*W360</f>
        <v/>
      </c>
      <c r="AR360" s="64">
        <f>AH360*X360</f>
        <v/>
      </c>
      <c r="AS360" s="64">
        <f>AI360*Y360</f>
        <v/>
      </c>
      <c r="AT360" s="64">
        <f>AJ360*Z360</f>
        <v/>
      </c>
      <c r="AU360" s="64">
        <f>AK360*AA360</f>
        <v/>
      </c>
      <c r="AV360" s="64">
        <f>AL360*AB360</f>
        <v/>
      </c>
      <c r="AW360" s="64">
        <f>AM360*AC360</f>
        <v/>
      </c>
      <c r="AX360" s="64">
        <f>AN360*AD360</f>
        <v/>
      </c>
      <c r="AY360" s="64">
        <f>AO360*AE360</f>
        <v/>
      </c>
      <c r="AZ360" s="64">
        <f>INDEX(Projects[Automation Equipment],359)&amp;""</f>
        <v/>
      </c>
      <c r="BA360" s="64">
        <f>IF(OR(A360="",'Smart Search'!H13=0),"",MAX(0,BE360*BF360*MAX(0,1-BG360)))</f>
        <v/>
      </c>
      <c r="BB360" s="64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4">
        <f>IF('Smart Search'!G13=1,IFERROR(1/'Smart Search'!H13,0),0)</f>
        <v/>
      </c>
      <c r="BD360" s="64">
        <f>BB360*BC360</f>
        <v/>
      </c>
      <c r="BE360" s="64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IF(A360="","",N(INDEX(Projects[Act Mech Inst],359)))</f>
        <v/>
      </c>
      <c r="BK360" s="5">
        <f>IF(A360="","",N(INDEX(Projects[Act Elec Inst],359)))</f>
        <v/>
      </c>
      <c r="BL360" s="5">
        <f>IF(A360="","",N(INDEX(Projects[Act Project Management],359)))</f>
        <v/>
      </c>
      <c r="BM360" s="5">
        <f>IF(A360="","",N(INDEX(Projects[Act Systems Eng],359)))</f>
        <v/>
      </c>
      <c r="BN360" s="5">
        <f>IF(A360="","",N(INDEX(Projects[Act Mechanical Eng],359)))</f>
        <v/>
      </c>
      <c r="BO360" s="5">
        <f>IF(A360="","",N(INDEX(Projects[Act Structural Engineering],359)))</f>
        <v/>
      </c>
      <c r="BP360" s="5">
        <f>IF(A360="","",N(INDEX(Projects[Act Site Sup],359)))</f>
        <v/>
      </c>
      <c r="BQ360" s="5">
        <f>IF(A360="","",N(INDEX(Projects[Act Controls Commissioning],359)))</f>
        <v/>
      </c>
      <c r="BR360" s="5">
        <f>IF(A360="","",N(INDEX(Projects[Act Systems Commissioning],359)))</f>
        <v/>
      </c>
      <c r="BS360" s="5">
        <f>IF(A360="","",N(INDEX(Projects[Act Service Commissioning],359)))</f>
        <v/>
      </c>
      <c r="BT360" s="5">
        <f>IF(A360="","",N(INDEX(Projects[Act Controls Eng],359)))</f>
        <v/>
      </c>
      <c r="BU360" s="5">
        <f>IF(A360="","",N(INDEX(Projects[Act Controls Purchase],359)))</f>
        <v/>
      </c>
      <c r="BV360" s="5">
        <f>IF(A360="","",N(INDEX(Projects[Act Software Eng],359)))</f>
        <v/>
      </c>
      <c r="BW360" s="5">
        <f>IF(A360="","",N(INDEX(Projects[Act 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INDEX(Projects[Sold Value (USD M)],359)</f>
        <v/>
      </c>
      <c r="CE360" s="5" t="n"/>
      <c r="CF360" s="5">
        <f>IF(A360="","",N(INDEX(Projects[Est Mech Inst],359)))</f>
        <v/>
      </c>
      <c r="CG360" s="5">
        <f>IF(A360="","",N(INDEX(Projects[Est Elec Inst],359)))</f>
        <v/>
      </c>
      <c r="CH360" s="5">
        <f>IF(A360="","",N(INDEX(Projects[Est Project Management],359)))</f>
        <v/>
      </c>
      <c r="CI360" s="5">
        <f>IF(A360="","",N(INDEX(Projects[Est Systems Eng],359)))</f>
        <v/>
      </c>
      <c r="CJ360" s="5">
        <f>IF(A360="","",N(INDEX(Projects[Est Mechanical Eng],359)))</f>
        <v/>
      </c>
      <c r="CK360" s="5">
        <f>IF(A360="","",N(INDEX(Projects[Est Structural Engineering],359)))</f>
        <v/>
      </c>
      <c r="CL360" s="5">
        <f>IF(A360="","",N(INDEX(Projects[Est Site Sup],359)))</f>
        <v/>
      </c>
      <c r="CM360" s="5">
        <f>IF(A360="","",N(INDEX(Projects[Est Controls Commissioning],359)))</f>
        <v/>
      </c>
      <c r="CN360" s="5">
        <f>IF(A360="","",N(INDEX(Projects[Est Systems Commissioning],359)))</f>
        <v/>
      </c>
      <c r="CO360" s="5">
        <f>IF(A360="","",N(INDEX(Projects[Est Service Commissioning],359)))</f>
        <v/>
      </c>
      <c r="CP360" s="5">
        <f>IF(A360="","",N(INDEX(Projects[Est Controls Eng],359)))</f>
        <v/>
      </c>
      <c r="CQ360" s="5">
        <f>IF(A360="","",N(INDEX(Projects[Est Controls Purchase],359)))</f>
        <v/>
      </c>
      <c r="CR360" s="5">
        <f>IF(A360="","",N(INDEX(Projects[Est Software Eng],359)))</f>
        <v/>
      </c>
      <c r="CS360" s="5">
        <f>IF(A360="","",N(INDEX(Projects[Est Misc],359)))</f>
        <v/>
      </c>
      <c r="CT360" s="5">
        <f>IF(A360="","",SUM(CF360:CS360))</f>
        <v/>
      </c>
      <c r="CU360" s="5">
        <f>INDEX(Projects[Est Cost (M)],359)</f>
        <v/>
      </c>
      <c r="CV360" s="5">
        <f>INDEX(Projects[Act Cost (M)],359)</f>
        <v/>
      </c>
      <c r="CW360" s="5">
        <f>INDEX(Projects[Plan Mech Eng (wks)],359)</f>
        <v/>
      </c>
      <c r="CX360" s="5">
        <f>INDEX(Projects[Plan Controls Eng (wks)],359)</f>
        <v/>
      </c>
      <c r="CY360" s="5">
        <f>INDEX(Projects[Plan Systems Eng (wks)],359)</f>
        <v/>
      </c>
      <c r="CZ360" s="5">
        <f>INDEX(Projects[Plan Software Eng (wks)],359)</f>
        <v/>
      </c>
      <c r="DA360" s="5">
        <f>INDEX(Projects[Plan M&amp;E Installation (wks)],359)</f>
        <v/>
      </c>
      <c r="DB360" s="5">
        <f>INDEX(Projects[Plan Commissioning (wks)],359)</f>
        <v/>
      </c>
      <c r="DC360" s="5">
        <f>INDEX(Projects[Plan Total (wks)],359)</f>
        <v/>
      </c>
      <c r="DD360" s="5">
        <f>INDEX(Projects[Act Mech Eng (wks)],359)</f>
        <v/>
      </c>
      <c r="DE360" s="5">
        <f>INDEX(Projects[Act Controls Eng (wks)],359)</f>
        <v/>
      </c>
      <c r="DF360" s="5">
        <f>INDEX(Projects[Act Systems Eng (wks)],359)</f>
        <v/>
      </c>
      <c r="DG360" s="5">
        <f>INDEX(Projects[Act Software Eng (wks)],359)</f>
        <v/>
      </c>
      <c r="DH360" s="5">
        <f>INDEX(Projects[Act M&amp;E Installation (wks)],359)</f>
        <v/>
      </c>
      <c r="DI360" s="5">
        <f>INDEX(Projects[Act Commissioning (wks)],359)</f>
        <v/>
      </c>
      <c r="DJ360" s="5">
        <f>INDEX(Projects[Act Total (wks)],359)</f>
        <v/>
      </c>
    </row>
    <row r="361" ht="15" customHeight="1" s="82">
      <c r="A361" s="64">
        <f>INDEX(Projects[Project ID *],360)&amp;""</f>
        <v/>
      </c>
      <c r="B361" s="64">
        <f>INDEX(Projects[Project Name *],360)&amp;""</f>
        <v/>
      </c>
      <c r="C361" s="64">
        <f>INDEX(Projects[MS Shuttles],360)</f>
        <v/>
      </c>
      <c r="D361" s="64">
        <f>INDEX(Projects[MS Tote Locations],360)</f>
        <v/>
      </c>
      <c r="E361" s="64">
        <f>INDEX(Projects[AS Robots],360)</f>
        <v/>
      </c>
      <c r="F361" s="64">
        <f>INDEX(Projects[AS Tote Locations],360)</f>
        <v/>
      </c>
      <c r="G361" s="64">
        <f>INDEX(Projects[PS Shuttles],360)</f>
        <v/>
      </c>
      <c r="H361" s="64">
        <f>INDEX(Projects[PS Pallet Locations],360)</f>
        <v/>
      </c>
      <c r="I361" s="64">
        <f>INDEX(Projects[SRM Cranes],360)</f>
        <v/>
      </c>
      <c r="J361" s="64">
        <f>INDEX(Projects[SRM Pallet Locations],360)</f>
        <v/>
      </c>
      <c r="K361" s="64">
        <f>INDEX(Projects[Case Conv (m)],360)</f>
        <v/>
      </c>
      <c r="L361" s="64">
        <f>INDEX(Projects[Pallet Conv (m)],360)</f>
        <v/>
      </c>
      <c r="M361" s="64">
        <f>IF(N(DJ361)&gt;0,DD361,CW361)</f>
        <v/>
      </c>
      <c r="N361" s="64">
        <f>IF(N(DJ361)&gt;0,DE361,CX361)</f>
        <v/>
      </c>
      <c r="O361" s="64">
        <f>IF(N(DJ361)&gt;0,DF361,CY361)</f>
        <v/>
      </c>
      <c r="P361" s="64">
        <f>IF(N(DJ361)&gt;0,DG361,CZ361)</f>
        <v/>
      </c>
      <c r="Q361" s="64">
        <f>IF(N(DJ361)&gt;0,DH361,DA361)</f>
        <v/>
      </c>
      <c r="R361" s="64">
        <f>IF(N(DJ361)&gt;0,DI361,DB361)</f>
        <v/>
      </c>
      <c r="S361" s="64">
        <f>IF(N(DJ361)&gt;0,DJ361,DC361)</f>
        <v/>
      </c>
      <c r="T361" s="64">
        <f>INDEX(Projects[Currency],360)&amp;""</f>
        <v/>
      </c>
      <c r="U361" s="65">
        <f>INDEX(Projects[Sold Value (M)],360)</f>
        <v/>
      </c>
      <c r="V361" s="64">
        <f>IF('Smart Search'!B13=1,IFERROR(1/'Smart Search'!H13,0),0)</f>
        <v/>
      </c>
      <c r="W361" s="64">
        <f>IF('Smart Search'!B13=1,IFERROR(1/'Smart Search'!H13,0),0)</f>
        <v/>
      </c>
      <c r="X361" s="64">
        <f>IF('Smart Search'!C13=1,IFERROR(1/'Smart Search'!H13,0),0)</f>
        <v/>
      </c>
      <c r="Y361" s="64">
        <f>IF('Smart Search'!C13=1,IFERROR(1/'Smart Search'!H13,0),0)</f>
        <v/>
      </c>
      <c r="Z361" s="64">
        <f>IF('Smart Search'!D13=1,IFERROR(1/'Smart Search'!H13,0),0)</f>
        <v/>
      </c>
      <c r="AA361" s="64">
        <f>IF('Smart Search'!D13=1,IFERROR(1/'Smart Search'!H13,0),0)</f>
        <v/>
      </c>
      <c r="AB361" s="64">
        <f>IF('Smart Search'!E13=1,IFERROR(1/'Smart Search'!H13,0),0)</f>
        <v/>
      </c>
      <c r="AC361" s="64">
        <f>IF('Smart Search'!E13=1,IFERROR(1/'Smart Search'!H13,0),0)</f>
        <v/>
      </c>
      <c r="AD361" s="64">
        <f>IF('Smart Search'!F13=1,IFERROR(1/'Smart Search'!H13,0),0)</f>
        <v/>
      </c>
      <c r="AE361" s="64">
        <f>IF('Smart Search'!F13=1,IFERROR(1/'Smart Search'!H13,0),0)</f>
        <v/>
      </c>
      <c r="AF361" s="64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4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4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4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4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4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4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4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4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4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4">
        <f>AF361*V361</f>
        <v/>
      </c>
      <c r="AQ361" s="64">
        <f>AG361*W361</f>
        <v/>
      </c>
      <c r="AR361" s="64">
        <f>AH361*X361</f>
        <v/>
      </c>
      <c r="AS361" s="64">
        <f>AI361*Y361</f>
        <v/>
      </c>
      <c r="AT361" s="64">
        <f>AJ361*Z361</f>
        <v/>
      </c>
      <c r="AU361" s="64">
        <f>AK361*AA361</f>
        <v/>
      </c>
      <c r="AV361" s="64">
        <f>AL361*AB361</f>
        <v/>
      </c>
      <c r="AW361" s="64">
        <f>AM361*AC361</f>
        <v/>
      </c>
      <c r="AX361" s="64">
        <f>AN361*AD361</f>
        <v/>
      </c>
      <c r="AY361" s="64">
        <f>AO361*AE361</f>
        <v/>
      </c>
      <c r="AZ361" s="64">
        <f>INDEX(Projects[Automation Equipment],360)&amp;""</f>
        <v/>
      </c>
      <c r="BA361" s="64">
        <f>IF(OR(A361="",'Smart Search'!H13=0),"",MAX(0,BE361*BF361*MAX(0,1-BG361)))</f>
        <v/>
      </c>
      <c r="BB361" s="64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4">
        <f>IF('Smart Search'!G13=1,IFERROR(1/'Smart Search'!H13,0),0)</f>
        <v/>
      </c>
      <c r="BD361" s="64">
        <f>BB361*BC361</f>
        <v/>
      </c>
      <c r="BE361" s="64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IF(A361="","",N(INDEX(Projects[Act Mech Inst],360)))</f>
        <v/>
      </c>
      <c r="BK361" s="5">
        <f>IF(A361="","",N(INDEX(Projects[Act Elec Inst],360)))</f>
        <v/>
      </c>
      <c r="BL361" s="5">
        <f>IF(A361="","",N(INDEX(Projects[Act Project Management],360)))</f>
        <v/>
      </c>
      <c r="BM361" s="5">
        <f>IF(A361="","",N(INDEX(Projects[Act Systems Eng],360)))</f>
        <v/>
      </c>
      <c r="BN361" s="5">
        <f>IF(A361="","",N(INDEX(Projects[Act Mechanical Eng],360)))</f>
        <v/>
      </c>
      <c r="BO361" s="5">
        <f>IF(A361="","",N(INDEX(Projects[Act Structural Engineering],360)))</f>
        <v/>
      </c>
      <c r="BP361" s="5">
        <f>IF(A361="","",N(INDEX(Projects[Act Site Sup],360)))</f>
        <v/>
      </c>
      <c r="BQ361" s="5">
        <f>IF(A361="","",N(INDEX(Projects[Act Controls Commissioning],360)))</f>
        <v/>
      </c>
      <c r="BR361" s="5">
        <f>IF(A361="","",N(INDEX(Projects[Act Systems Commissioning],360)))</f>
        <v/>
      </c>
      <c r="BS361" s="5">
        <f>IF(A361="","",N(INDEX(Projects[Act Service Commissioning],360)))</f>
        <v/>
      </c>
      <c r="BT361" s="5">
        <f>IF(A361="","",N(INDEX(Projects[Act Controls Eng],360)))</f>
        <v/>
      </c>
      <c r="BU361" s="5">
        <f>IF(A361="","",N(INDEX(Projects[Act Controls Purchase],360)))</f>
        <v/>
      </c>
      <c r="BV361" s="5">
        <f>IF(A361="","",N(INDEX(Projects[Act Software Eng],360)))</f>
        <v/>
      </c>
      <c r="BW361" s="5">
        <f>IF(A361="","",N(INDEX(Projects[Act 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INDEX(Projects[Sold Value (USD M)],360)</f>
        <v/>
      </c>
      <c r="CE361" s="5" t="n"/>
      <c r="CF361" s="5">
        <f>IF(A361="","",N(INDEX(Projects[Est Mech Inst],360)))</f>
        <v/>
      </c>
      <c r="CG361" s="5">
        <f>IF(A361="","",N(INDEX(Projects[Est Elec Inst],360)))</f>
        <v/>
      </c>
      <c r="CH361" s="5">
        <f>IF(A361="","",N(INDEX(Projects[Est Project Management],360)))</f>
        <v/>
      </c>
      <c r="CI361" s="5">
        <f>IF(A361="","",N(INDEX(Projects[Est Systems Eng],360)))</f>
        <v/>
      </c>
      <c r="CJ361" s="5">
        <f>IF(A361="","",N(INDEX(Projects[Est Mechanical Eng],360)))</f>
        <v/>
      </c>
      <c r="CK361" s="5">
        <f>IF(A361="","",N(INDEX(Projects[Est Structural Engineering],360)))</f>
        <v/>
      </c>
      <c r="CL361" s="5">
        <f>IF(A361="","",N(INDEX(Projects[Est Site Sup],360)))</f>
        <v/>
      </c>
      <c r="CM361" s="5">
        <f>IF(A361="","",N(INDEX(Projects[Est Controls Commissioning],360)))</f>
        <v/>
      </c>
      <c r="CN361" s="5">
        <f>IF(A361="","",N(INDEX(Projects[Est Systems Commissioning],360)))</f>
        <v/>
      </c>
      <c r="CO361" s="5">
        <f>IF(A361="","",N(INDEX(Projects[Est Service Commissioning],360)))</f>
        <v/>
      </c>
      <c r="CP361" s="5">
        <f>IF(A361="","",N(INDEX(Projects[Est Controls Eng],360)))</f>
        <v/>
      </c>
      <c r="CQ361" s="5">
        <f>IF(A361="","",N(INDEX(Projects[Est Controls Purchase],360)))</f>
        <v/>
      </c>
      <c r="CR361" s="5">
        <f>IF(A361="","",N(INDEX(Projects[Est Software Eng],360)))</f>
        <v/>
      </c>
      <c r="CS361" s="5">
        <f>IF(A361="","",N(INDEX(Projects[Est Misc],360)))</f>
        <v/>
      </c>
      <c r="CT361" s="5">
        <f>IF(A361="","",SUM(CF361:CS361))</f>
        <v/>
      </c>
      <c r="CU361" s="5">
        <f>INDEX(Projects[Est Cost (M)],360)</f>
        <v/>
      </c>
      <c r="CV361" s="5">
        <f>INDEX(Projects[Act Cost (M)],360)</f>
        <v/>
      </c>
      <c r="CW361" s="5">
        <f>INDEX(Projects[Plan Mech Eng (wks)],360)</f>
        <v/>
      </c>
      <c r="CX361" s="5">
        <f>INDEX(Projects[Plan Controls Eng (wks)],360)</f>
        <v/>
      </c>
      <c r="CY361" s="5">
        <f>INDEX(Projects[Plan Systems Eng (wks)],360)</f>
        <v/>
      </c>
      <c r="CZ361" s="5">
        <f>INDEX(Projects[Plan Software Eng (wks)],360)</f>
        <v/>
      </c>
      <c r="DA361" s="5">
        <f>INDEX(Projects[Plan M&amp;E Installation (wks)],360)</f>
        <v/>
      </c>
      <c r="DB361" s="5">
        <f>INDEX(Projects[Plan Commissioning (wks)],360)</f>
        <v/>
      </c>
      <c r="DC361" s="5">
        <f>INDEX(Projects[Plan Total (wks)],360)</f>
        <v/>
      </c>
      <c r="DD361" s="5">
        <f>INDEX(Projects[Act Mech Eng (wks)],360)</f>
        <v/>
      </c>
      <c r="DE361" s="5">
        <f>INDEX(Projects[Act Controls Eng (wks)],360)</f>
        <v/>
      </c>
      <c r="DF361" s="5">
        <f>INDEX(Projects[Act Systems Eng (wks)],360)</f>
        <v/>
      </c>
      <c r="DG361" s="5">
        <f>INDEX(Projects[Act Software Eng (wks)],360)</f>
        <v/>
      </c>
      <c r="DH361" s="5">
        <f>INDEX(Projects[Act M&amp;E Installation (wks)],360)</f>
        <v/>
      </c>
      <c r="DI361" s="5">
        <f>INDEX(Projects[Act Commissioning (wks)],360)</f>
        <v/>
      </c>
      <c r="DJ361" s="5">
        <f>INDEX(Projects[Act Total (wks)],360)</f>
        <v/>
      </c>
    </row>
    <row r="362" ht="15" customHeight="1" s="82">
      <c r="A362" s="64">
        <f>INDEX(Projects[Project ID *],361)&amp;""</f>
        <v/>
      </c>
      <c r="B362" s="64">
        <f>INDEX(Projects[Project Name *],361)&amp;""</f>
        <v/>
      </c>
      <c r="C362" s="64">
        <f>INDEX(Projects[MS Shuttles],361)</f>
        <v/>
      </c>
      <c r="D362" s="64">
        <f>INDEX(Projects[MS Tote Locations],361)</f>
        <v/>
      </c>
      <c r="E362" s="64">
        <f>INDEX(Projects[AS Robots],361)</f>
        <v/>
      </c>
      <c r="F362" s="64">
        <f>INDEX(Projects[AS Tote Locations],361)</f>
        <v/>
      </c>
      <c r="G362" s="64">
        <f>INDEX(Projects[PS Shuttles],361)</f>
        <v/>
      </c>
      <c r="H362" s="64">
        <f>INDEX(Projects[PS Pallet Locations],361)</f>
        <v/>
      </c>
      <c r="I362" s="64">
        <f>INDEX(Projects[SRM Cranes],361)</f>
        <v/>
      </c>
      <c r="J362" s="64">
        <f>INDEX(Projects[SRM Pallet Locations],361)</f>
        <v/>
      </c>
      <c r="K362" s="64">
        <f>INDEX(Projects[Case Conv (m)],361)</f>
        <v/>
      </c>
      <c r="L362" s="64">
        <f>INDEX(Projects[Pallet Conv (m)],361)</f>
        <v/>
      </c>
      <c r="M362" s="64">
        <f>IF(N(DJ362)&gt;0,DD362,CW362)</f>
        <v/>
      </c>
      <c r="N362" s="64">
        <f>IF(N(DJ362)&gt;0,DE362,CX362)</f>
        <v/>
      </c>
      <c r="O362" s="64">
        <f>IF(N(DJ362)&gt;0,DF362,CY362)</f>
        <v/>
      </c>
      <c r="P362" s="64">
        <f>IF(N(DJ362)&gt;0,DG362,CZ362)</f>
        <v/>
      </c>
      <c r="Q362" s="64">
        <f>IF(N(DJ362)&gt;0,DH362,DA362)</f>
        <v/>
      </c>
      <c r="R362" s="64">
        <f>IF(N(DJ362)&gt;0,DI362,DB362)</f>
        <v/>
      </c>
      <c r="S362" s="64">
        <f>IF(N(DJ362)&gt;0,DJ362,DC362)</f>
        <v/>
      </c>
      <c r="T362" s="64">
        <f>INDEX(Projects[Currency],361)&amp;""</f>
        <v/>
      </c>
      <c r="U362" s="65">
        <f>INDEX(Projects[Sold Value (M)],361)</f>
        <v/>
      </c>
      <c r="V362" s="64">
        <f>IF('Smart Search'!B13=1,IFERROR(1/'Smart Search'!H13,0),0)</f>
        <v/>
      </c>
      <c r="W362" s="64">
        <f>IF('Smart Search'!B13=1,IFERROR(1/'Smart Search'!H13,0),0)</f>
        <v/>
      </c>
      <c r="X362" s="64">
        <f>IF('Smart Search'!C13=1,IFERROR(1/'Smart Search'!H13,0),0)</f>
        <v/>
      </c>
      <c r="Y362" s="64">
        <f>IF('Smart Search'!C13=1,IFERROR(1/'Smart Search'!H13,0),0)</f>
        <v/>
      </c>
      <c r="Z362" s="64">
        <f>IF('Smart Search'!D13=1,IFERROR(1/'Smart Search'!H13,0),0)</f>
        <v/>
      </c>
      <c r="AA362" s="64">
        <f>IF('Smart Search'!D13=1,IFERROR(1/'Smart Search'!H13,0),0)</f>
        <v/>
      </c>
      <c r="AB362" s="64">
        <f>IF('Smart Search'!E13=1,IFERROR(1/'Smart Search'!H13,0),0)</f>
        <v/>
      </c>
      <c r="AC362" s="64">
        <f>IF('Smart Search'!E13=1,IFERROR(1/'Smart Search'!H13,0),0)</f>
        <v/>
      </c>
      <c r="AD362" s="64">
        <f>IF('Smart Search'!F13=1,IFERROR(1/'Smart Search'!H13,0),0)</f>
        <v/>
      </c>
      <c r="AE362" s="64">
        <f>IF('Smart Search'!F13=1,IFERROR(1/'Smart Search'!H13,0),0)</f>
        <v/>
      </c>
      <c r="AF362" s="64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4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4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4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4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4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4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4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4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4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4">
        <f>AF362*V362</f>
        <v/>
      </c>
      <c r="AQ362" s="64">
        <f>AG362*W362</f>
        <v/>
      </c>
      <c r="AR362" s="64">
        <f>AH362*X362</f>
        <v/>
      </c>
      <c r="AS362" s="64">
        <f>AI362*Y362</f>
        <v/>
      </c>
      <c r="AT362" s="64">
        <f>AJ362*Z362</f>
        <v/>
      </c>
      <c r="AU362" s="64">
        <f>AK362*AA362</f>
        <v/>
      </c>
      <c r="AV362" s="64">
        <f>AL362*AB362</f>
        <v/>
      </c>
      <c r="AW362" s="64">
        <f>AM362*AC362</f>
        <v/>
      </c>
      <c r="AX362" s="64">
        <f>AN362*AD362</f>
        <v/>
      </c>
      <c r="AY362" s="64">
        <f>AO362*AE362</f>
        <v/>
      </c>
      <c r="AZ362" s="64">
        <f>INDEX(Projects[Automation Equipment],361)&amp;""</f>
        <v/>
      </c>
      <c r="BA362" s="64">
        <f>IF(OR(A362="",'Smart Search'!H13=0),"",MAX(0,BE362*BF362*MAX(0,1-BG362)))</f>
        <v/>
      </c>
      <c r="BB362" s="64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4">
        <f>IF('Smart Search'!G13=1,IFERROR(1/'Smart Search'!H13,0),0)</f>
        <v/>
      </c>
      <c r="BD362" s="64">
        <f>BB362*BC362</f>
        <v/>
      </c>
      <c r="BE362" s="64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IF(A362="","",N(INDEX(Projects[Act Mech Inst],361)))</f>
        <v/>
      </c>
      <c r="BK362" s="5">
        <f>IF(A362="","",N(INDEX(Projects[Act Elec Inst],361)))</f>
        <v/>
      </c>
      <c r="BL362" s="5">
        <f>IF(A362="","",N(INDEX(Projects[Act Project Management],361)))</f>
        <v/>
      </c>
      <c r="BM362" s="5">
        <f>IF(A362="","",N(INDEX(Projects[Act Systems Eng],361)))</f>
        <v/>
      </c>
      <c r="BN362" s="5">
        <f>IF(A362="","",N(INDEX(Projects[Act Mechanical Eng],361)))</f>
        <v/>
      </c>
      <c r="BO362" s="5">
        <f>IF(A362="","",N(INDEX(Projects[Act Structural Engineering],361)))</f>
        <v/>
      </c>
      <c r="BP362" s="5">
        <f>IF(A362="","",N(INDEX(Projects[Act Site Sup],361)))</f>
        <v/>
      </c>
      <c r="BQ362" s="5">
        <f>IF(A362="","",N(INDEX(Projects[Act Controls Commissioning],361)))</f>
        <v/>
      </c>
      <c r="BR362" s="5">
        <f>IF(A362="","",N(INDEX(Projects[Act Systems Commissioning],361)))</f>
        <v/>
      </c>
      <c r="BS362" s="5">
        <f>IF(A362="","",N(INDEX(Projects[Act Service Commissioning],361)))</f>
        <v/>
      </c>
      <c r="BT362" s="5">
        <f>IF(A362="","",N(INDEX(Projects[Act Controls Eng],361)))</f>
        <v/>
      </c>
      <c r="BU362" s="5">
        <f>IF(A362="","",N(INDEX(Projects[Act Controls Purchase],361)))</f>
        <v/>
      </c>
      <c r="BV362" s="5">
        <f>IF(A362="","",N(INDEX(Projects[Act Software Eng],361)))</f>
        <v/>
      </c>
      <c r="BW362" s="5">
        <f>IF(A362="","",N(INDEX(Projects[Act 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INDEX(Projects[Sold Value (USD M)],361)</f>
        <v/>
      </c>
      <c r="CE362" s="5" t="n"/>
      <c r="CF362" s="5">
        <f>IF(A362="","",N(INDEX(Projects[Est Mech Inst],361)))</f>
        <v/>
      </c>
      <c r="CG362" s="5">
        <f>IF(A362="","",N(INDEX(Projects[Est Elec Inst],361)))</f>
        <v/>
      </c>
      <c r="CH362" s="5">
        <f>IF(A362="","",N(INDEX(Projects[Est Project Management],361)))</f>
        <v/>
      </c>
      <c r="CI362" s="5">
        <f>IF(A362="","",N(INDEX(Projects[Est Systems Eng],361)))</f>
        <v/>
      </c>
      <c r="CJ362" s="5">
        <f>IF(A362="","",N(INDEX(Projects[Est Mechanical Eng],361)))</f>
        <v/>
      </c>
      <c r="CK362" s="5">
        <f>IF(A362="","",N(INDEX(Projects[Est Structural Engineering],361)))</f>
        <v/>
      </c>
      <c r="CL362" s="5">
        <f>IF(A362="","",N(INDEX(Projects[Est Site Sup],361)))</f>
        <v/>
      </c>
      <c r="CM362" s="5">
        <f>IF(A362="","",N(INDEX(Projects[Est Controls Commissioning],361)))</f>
        <v/>
      </c>
      <c r="CN362" s="5">
        <f>IF(A362="","",N(INDEX(Projects[Est Systems Commissioning],361)))</f>
        <v/>
      </c>
      <c r="CO362" s="5">
        <f>IF(A362="","",N(INDEX(Projects[Est Service Commissioning],361)))</f>
        <v/>
      </c>
      <c r="CP362" s="5">
        <f>IF(A362="","",N(INDEX(Projects[Est Controls Eng],361)))</f>
        <v/>
      </c>
      <c r="CQ362" s="5">
        <f>IF(A362="","",N(INDEX(Projects[Est Controls Purchase],361)))</f>
        <v/>
      </c>
      <c r="CR362" s="5">
        <f>IF(A362="","",N(INDEX(Projects[Est Software Eng],361)))</f>
        <v/>
      </c>
      <c r="CS362" s="5">
        <f>IF(A362="","",N(INDEX(Projects[Est Misc],361)))</f>
        <v/>
      </c>
      <c r="CT362" s="5">
        <f>IF(A362="","",SUM(CF362:CS362))</f>
        <v/>
      </c>
      <c r="CU362" s="5">
        <f>INDEX(Projects[Est Cost (M)],361)</f>
        <v/>
      </c>
      <c r="CV362" s="5">
        <f>INDEX(Projects[Act Cost (M)],361)</f>
        <v/>
      </c>
      <c r="CW362" s="5">
        <f>INDEX(Projects[Plan Mech Eng (wks)],361)</f>
        <v/>
      </c>
      <c r="CX362" s="5">
        <f>INDEX(Projects[Plan Controls Eng (wks)],361)</f>
        <v/>
      </c>
      <c r="CY362" s="5">
        <f>INDEX(Projects[Plan Systems Eng (wks)],361)</f>
        <v/>
      </c>
      <c r="CZ362" s="5">
        <f>INDEX(Projects[Plan Software Eng (wks)],361)</f>
        <v/>
      </c>
      <c r="DA362" s="5">
        <f>INDEX(Projects[Plan M&amp;E Installation (wks)],361)</f>
        <v/>
      </c>
      <c r="DB362" s="5">
        <f>INDEX(Projects[Plan Commissioning (wks)],361)</f>
        <v/>
      </c>
      <c r="DC362" s="5">
        <f>INDEX(Projects[Plan Total (wks)],361)</f>
        <v/>
      </c>
      <c r="DD362" s="5">
        <f>INDEX(Projects[Act Mech Eng (wks)],361)</f>
        <v/>
      </c>
      <c r="DE362" s="5">
        <f>INDEX(Projects[Act Controls Eng (wks)],361)</f>
        <v/>
      </c>
      <c r="DF362" s="5">
        <f>INDEX(Projects[Act Systems Eng (wks)],361)</f>
        <v/>
      </c>
      <c r="DG362" s="5">
        <f>INDEX(Projects[Act Software Eng (wks)],361)</f>
        <v/>
      </c>
      <c r="DH362" s="5">
        <f>INDEX(Projects[Act M&amp;E Installation (wks)],361)</f>
        <v/>
      </c>
      <c r="DI362" s="5">
        <f>INDEX(Projects[Act Commissioning (wks)],361)</f>
        <v/>
      </c>
      <c r="DJ362" s="5">
        <f>INDEX(Projects[Act Total (wks)],361)</f>
        <v/>
      </c>
    </row>
    <row r="363" ht="15" customHeight="1" s="82">
      <c r="A363" s="64">
        <f>INDEX(Projects[Project ID *],362)&amp;""</f>
        <v/>
      </c>
      <c r="B363" s="64">
        <f>INDEX(Projects[Project Name *],362)&amp;""</f>
        <v/>
      </c>
      <c r="C363" s="64">
        <f>INDEX(Projects[MS Shuttles],362)</f>
        <v/>
      </c>
      <c r="D363" s="64">
        <f>INDEX(Projects[MS Tote Locations],362)</f>
        <v/>
      </c>
      <c r="E363" s="64">
        <f>INDEX(Projects[AS Robots],362)</f>
        <v/>
      </c>
      <c r="F363" s="64">
        <f>INDEX(Projects[AS Tote Locations],362)</f>
        <v/>
      </c>
      <c r="G363" s="64">
        <f>INDEX(Projects[PS Shuttles],362)</f>
        <v/>
      </c>
      <c r="H363" s="64">
        <f>INDEX(Projects[PS Pallet Locations],362)</f>
        <v/>
      </c>
      <c r="I363" s="64">
        <f>INDEX(Projects[SRM Cranes],362)</f>
        <v/>
      </c>
      <c r="J363" s="64">
        <f>INDEX(Projects[SRM Pallet Locations],362)</f>
        <v/>
      </c>
      <c r="K363" s="64">
        <f>INDEX(Projects[Case Conv (m)],362)</f>
        <v/>
      </c>
      <c r="L363" s="64">
        <f>INDEX(Projects[Pallet Conv (m)],362)</f>
        <v/>
      </c>
      <c r="M363" s="64">
        <f>IF(N(DJ363)&gt;0,DD363,CW363)</f>
        <v/>
      </c>
      <c r="N363" s="64">
        <f>IF(N(DJ363)&gt;0,DE363,CX363)</f>
        <v/>
      </c>
      <c r="O363" s="64">
        <f>IF(N(DJ363)&gt;0,DF363,CY363)</f>
        <v/>
      </c>
      <c r="P363" s="64">
        <f>IF(N(DJ363)&gt;0,DG363,CZ363)</f>
        <v/>
      </c>
      <c r="Q363" s="64">
        <f>IF(N(DJ363)&gt;0,DH363,DA363)</f>
        <v/>
      </c>
      <c r="R363" s="64">
        <f>IF(N(DJ363)&gt;0,DI363,DB363)</f>
        <v/>
      </c>
      <c r="S363" s="64">
        <f>IF(N(DJ363)&gt;0,DJ363,DC363)</f>
        <v/>
      </c>
      <c r="T363" s="64">
        <f>INDEX(Projects[Currency],362)&amp;""</f>
        <v/>
      </c>
      <c r="U363" s="65">
        <f>INDEX(Projects[Sold Value (M)],362)</f>
        <v/>
      </c>
      <c r="V363" s="64">
        <f>IF('Smart Search'!B13=1,IFERROR(1/'Smart Search'!H13,0),0)</f>
        <v/>
      </c>
      <c r="W363" s="64">
        <f>IF('Smart Search'!B13=1,IFERROR(1/'Smart Search'!H13,0),0)</f>
        <v/>
      </c>
      <c r="X363" s="64">
        <f>IF('Smart Search'!C13=1,IFERROR(1/'Smart Search'!H13,0),0)</f>
        <v/>
      </c>
      <c r="Y363" s="64">
        <f>IF('Smart Search'!C13=1,IFERROR(1/'Smart Search'!H13,0),0)</f>
        <v/>
      </c>
      <c r="Z363" s="64">
        <f>IF('Smart Search'!D13=1,IFERROR(1/'Smart Search'!H13,0),0)</f>
        <v/>
      </c>
      <c r="AA363" s="64">
        <f>IF('Smart Search'!D13=1,IFERROR(1/'Smart Search'!H13,0),0)</f>
        <v/>
      </c>
      <c r="AB363" s="64">
        <f>IF('Smart Search'!E13=1,IFERROR(1/'Smart Search'!H13,0),0)</f>
        <v/>
      </c>
      <c r="AC363" s="64">
        <f>IF('Smart Search'!E13=1,IFERROR(1/'Smart Search'!H13,0),0)</f>
        <v/>
      </c>
      <c r="AD363" s="64">
        <f>IF('Smart Search'!F13=1,IFERROR(1/'Smart Search'!H13,0),0)</f>
        <v/>
      </c>
      <c r="AE363" s="64">
        <f>IF('Smart Search'!F13=1,IFERROR(1/'Smart Search'!H13,0),0)</f>
        <v/>
      </c>
      <c r="AF363" s="64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4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4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4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4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4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4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4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4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4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4">
        <f>AF363*V363</f>
        <v/>
      </c>
      <c r="AQ363" s="64">
        <f>AG363*W363</f>
        <v/>
      </c>
      <c r="AR363" s="64">
        <f>AH363*X363</f>
        <v/>
      </c>
      <c r="AS363" s="64">
        <f>AI363*Y363</f>
        <v/>
      </c>
      <c r="AT363" s="64">
        <f>AJ363*Z363</f>
        <v/>
      </c>
      <c r="AU363" s="64">
        <f>AK363*AA363</f>
        <v/>
      </c>
      <c r="AV363" s="64">
        <f>AL363*AB363</f>
        <v/>
      </c>
      <c r="AW363" s="64">
        <f>AM363*AC363</f>
        <v/>
      </c>
      <c r="AX363" s="64">
        <f>AN363*AD363</f>
        <v/>
      </c>
      <c r="AY363" s="64">
        <f>AO363*AE363</f>
        <v/>
      </c>
      <c r="AZ363" s="64">
        <f>INDEX(Projects[Automation Equipment],362)&amp;""</f>
        <v/>
      </c>
      <c r="BA363" s="64">
        <f>IF(OR(A363="",'Smart Search'!H13=0),"",MAX(0,BE363*BF363*MAX(0,1-BG363)))</f>
        <v/>
      </c>
      <c r="BB363" s="64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4">
        <f>IF('Smart Search'!G13=1,IFERROR(1/'Smart Search'!H13,0),0)</f>
        <v/>
      </c>
      <c r="BD363" s="64">
        <f>BB363*BC363</f>
        <v/>
      </c>
      <c r="BE363" s="64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IF(A363="","",N(INDEX(Projects[Act Mech Inst],362)))</f>
        <v/>
      </c>
      <c r="BK363" s="5">
        <f>IF(A363="","",N(INDEX(Projects[Act Elec Inst],362)))</f>
        <v/>
      </c>
      <c r="BL363" s="5">
        <f>IF(A363="","",N(INDEX(Projects[Act Project Management],362)))</f>
        <v/>
      </c>
      <c r="BM363" s="5">
        <f>IF(A363="","",N(INDEX(Projects[Act Systems Eng],362)))</f>
        <v/>
      </c>
      <c r="BN363" s="5">
        <f>IF(A363="","",N(INDEX(Projects[Act Mechanical Eng],362)))</f>
        <v/>
      </c>
      <c r="BO363" s="5">
        <f>IF(A363="","",N(INDEX(Projects[Act Structural Engineering],362)))</f>
        <v/>
      </c>
      <c r="BP363" s="5">
        <f>IF(A363="","",N(INDEX(Projects[Act Site Sup],362)))</f>
        <v/>
      </c>
      <c r="BQ363" s="5">
        <f>IF(A363="","",N(INDEX(Projects[Act Controls Commissioning],362)))</f>
        <v/>
      </c>
      <c r="BR363" s="5">
        <f>IF(A363="","",N(INDEX(Projects[Act Systems Commissioning],362)))</f>
        <v/>
      </c>
      <c r="BS363" s="5">
        <f>IF(A363="","",N(INDEX(Projects[Act Service Commissioning],362)))</f>
        <v/>
      </c>
      <c r="BT363" s="5">
        <f>IF(A363="","",N(INDEX(Projects[Act Controls Eng],362)))</f>
        <v/>
      </c>
      <c r="BU363" s="5">
        <f>IF(A363="","",N(INDEX(Projects[Act Controls Purchase],362)))</f>
        <v/>
      </c>
      <c r="BV363" s="5">
        <f>IF(A363="","",N(INDEX(Projects[Act Software Eng],362)))</f>
        <v/>
      </c>
      <c r="BW363" s="5">
        <f>IF(A363="","",N(INDEX(Projects[Act 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INDEX(Projects[Sold Value (USD M)],362)</f>
        <v/>
      </c>
      <c r="CE363" s="5" t="n"/>
      <c r="CF363" s="5">
        <f>IF(A363="","",N(INDEX(Projects[Est Mech Inst],362)))</f>
        <v/>
      </c>
      <c r="CG363" s="5">
        <f>IF(A363="","",N(INDEX(Projects[Est Elec Inst],362)))</f>
        <v/>
      </c>
      <c r="CH363" s="5">
        <f>IF(A363="","",N(INDEX(Projects[Est Project Management],362)))</f>
        <v/>
      </c>
      <c r="CI363" s="5">
        <f>IF(A363="","",N(INDEX(Projects[Est Systems Eng],362)))</f>
        <v/>
      </c>
      <c r="CJ363" s="5">
        <f>IF(A363="","",N(INDEX(Projects[Est Mechanical Eng],362)))</f>
        <v/>
      </c>
      <c r="CK363" s="5">
        <f>IF(A363="","",N(INDEX(Projects[Est Structural Engineering],362)))</f>
        <v/>
      </c>
      <c r="CL363" s="5">
        <f>IF(A363="","",N(INDEX(Projects[Est Site Sup],362)))</f>
        <v/>
      </c>
      <c r="CM363" s="5">
        <f>IF(A363="","",N(INDEX(Projects[Est Controls Commissioning],362)))</f>
        <v/>
      </c>
      <c r="CN363" s="5">
        <f>IF(A363="","",N(INDEX(Projects[Est Systems Commissioning],362)))</f>
        <v/>
      </c>
      <c r="CO363" s="5">
        <f>IF(A363="","",N(INDEX(Projects[Est Service Commissioning],362)))</f>
        <v/>
      </c>
      <c r="CP363" s="5">
        <f>IF(A363="","",N(INDEX(Projects[Est Controls Eng],362)))</f>
        <v/>
      </c>
      <c r="CQ363" s="5">
        <f>IF(A363="","",N(INDEX(Projects[Est Controls Purchase],362)))</f>
        <v/>
      </c>
      <c r="CR363" s="5">
        <f>IF(A363="","",N(INDEX(Projects[Est Software Eng],362)))</f>
        <v/>
      </c>
      <c r="CS363" s="5">
        <f>IF(A363="","",N(INDEX(Projects[Est Misc],362)))</f>
        <v/>
      </c>
      <c r="CT363" s="5">
        <f>IF(A363="","",SUM(CF363:CS363))</f>
        <v/>
      </c>
      <c r="CU363" s="5">
        <f>INDEX(Projects[Est Cost (M)],362)</f>
        <v/>
      </c>
      <c r="CV363" s="5">
        <f>INDEX(Projects[Act Cost (M)],362)</f>
        <v/>
      </c>
      <c r="CW363" s="5">
        <f>INDEX(Projects[Plan Mech Eng (wks)],362)</f>
        <v/>
      </c>
      <c r="CX363" s="5">
        <f>INDEX(Projects[Plan Controls Eng (wks)],362)</f>
        <v/>
      </c>
      <c r="CY363" s="5">
        <f>INDEX(Projects[Plan Systems Eng (wks)],362)</f>
        <v/>
      </c>
      <c r="CZ363" s="5">
        <f>INDEX(Projects[Plan Software Eng (wks)],362)</f>
        <v/>
      </c>
      <c r="DA363" s="5">
        <f>INDEX(Projects[Plan M&amp;E Installation (wks)],362)</f>
        <v/>
      </c>
      <c r="DB363" s="5">
        <f>INDEX(Projects[Plan Commissioning (wks)],362)</f>
        <v/>
      </c>
      <c r="DC363" s="5">
        <f>INDEX(Projects[Plan Total (wks)],362)</f>
        <v/>
      </c>
      <c r="DD363" s="5">
        <f>INDEX(Projects[Act Mech Eng (wks)],362)</f>
        <v/>
      </c>
      <c r="DE363" s="5">
        <f>INDEX(Projects[Act Controls Eng (wks)],362)</f>
        <v/>
      </c>
      <c r="DF363" s="5">
        <f>INDEX(Projects[Act Systems Eng (wks)],362)</f>
        <v/>
      </c>
      <c r="DG363" s="5">
        <f>INDEX(Projects[Act Software Eng (wks)],362)</f>
        <v/>
      </c>
      <c r="DH363" s="5">
        <f>INDEX(Projects[Act M&amp;E Installation (wks)],362)</f>
        <v/>
      </c>
      <c r="DI363" s="5">
        <f>INDEX(Projects[Act Commissioning (wks)],362)</f>
        <v/>
      </c>
      <c r="DJ363" s="5">
        <f>INDEX(Projects[Act Total (wks)],362)</f>
        <v/>
      </c>
    </row>
    <row r="364" ht="15" customHeight="1" s="82">
      <c r="A364" s="64">
        <f>INDEX(Projects[Project ID *],363)&amp;""</f>
        <v/>
      </c>
      <c r="B364" s="64">
        <f>INDEX(Projects[Project Name *],363)&amp;""</f>
        <v/>
      </c>
      <c r="C364" s="64">
        <f>INDEX(Projects[MS Shuttles],363)</f>
        <v/>
      </c>
      <c r="D364" s="64">
        <f>INDEX(Projects[MS Tote Locations],363)</f>
        <v/>
      </c>
      <c r="E364" s="64">
        <f>INDEX(Projects[AS Robots],363)</f>
        <v/>
      </c>
      <c r="F364" s="64">
        <f>INDEX(Projects[AS Tote Locations],363)</f>
        <v/>
      </c>
      <c r="G364" s="64">
        <f>INDEX(Projects[PS Shuttles],363)</f>
        <v/>
      </c>
      <c r="H364" s="64">
        <f>INDEX(Projects[PS Pallet Locations],363)</f>
        <v/>
      </c>
      <c r="I364" s="64">
        <f>INDEX(Projects[SRM Cranes],363)</f>
        <v/>
      </c>
      <c r="J364" s="64">
        <f>INDEX(Projects[SRM Pallet Locations],363)</f>
        <v/>
      </c>
      <c r="K364" s="64">
        <f>INDEX(Projects[Case Conv (m)],363)</f>
        <v/>
      </c>
      <c r="L364" s="64">
        <f>INDEX(Projects[Pallet Conv (m)],363)</f>
        <v/>
      </c>
      <c r="M364" s="64">
        <f>IF(N(DJ364)&gt;0,DD364,CW364)</f>
        <v/>
      </c>
      <c r="N364" s="64">
        <f>IF(N(DJ364)&gt;0,DE364,CX364)</f>
        <v/>
      </c>
      <c r="O364" s="64">
        <f>IF(N(DJ364)&gt;0,DF364,CY364)</f>
        <v/>
      </c>
      <c r="P364" s="64">
        <f>IF(N(DJ364)&gt;0,DG364,CZ364)</f>
        <v/>
      </c>
      <c r="Q364" s="64">
        <f>IF(N(DJ364)&gt;0,DH364,DA364)</f>
        <v/>
      </c>
      <c r="R364" s="64">
        <f>IF(N(DJ364)&gt;0,DI364,DB364)</f>
        <v/>
      </c>
      <c r="S364" s="64">
        <f>IF(N(DJ364)&gt;0,DJ364,DC364)</f>
        <v/>
      </c>
      <c r="T364" s="64">
        <f>INDEX(Projects[Currency],363)&amp;""</f>
        <v/>
      </c>
      <c r="U364" s="65">
        <f>INDEX(Projects[Sold Value (M)],363)</f>
        <v/>
      </c>
      <c r="V364" s="64">
        <f>IF('Smart Search'!B13=1,IFERROR(1/'Smart Search'!H13,0),0)</f>
        <v/>
      </c>
      <c r="W364" s="64">
        <f>IF('Smart Search'!B13=1,IFERROR(1/'Smart Search'!H13,0),0)</f>
        <v/>
      </c>
      <c r="X364" s="64">
        <f>IF('Smart Search'!C13=1,IFERROR(1/'Smart Search'!H13,0),0)</f>
        <v/>
      </c>
      <c r="Y364" s="64">
        <f>IF('Smart Search'!C13=1,IFERROR(1/'Smart Search'!H13,0),0)</f>
        <v/>
      </c>
      <c r="Z364" s="64">
        <f>IF('Smart Search'!D13=1,IFERROR(1/'Smart Search'!H13,0),0)</f>
        <v/>
      </c>
      <c r="AA364" s="64">
        <f>IF('Smart Search'!D13=1,IFERROR(1/'Smart Search'!H13,0),0)</f>
        <v/>
      </c>
      <c r="AB364" s="64">
        <f>IF('Smart Search'!E13=1,IFERROR(1/'Smart Search'!H13,0),0)</f>
        <v/>
      </c>
      <c r="AC364" s="64">
        <f>IF('Smart Search'!E13=1,IFERROR(1/'Smart Search'!H13,0),0)</f>
        <v/>
      </c>
      <c r="AD364" s="64">
        <f>IF('Smart Search'!F13=1,IFERROR(1/'Smart Search'!H13,0),0)</f>
        <v/>
      </c>
      <c r="AE364" s="64">
        <f>IF('Smart Search'!F13=1,IFERROR(1/'Smart Search'!H13,0),0)</f>
        <v/>
      </c>
      <c r="AF364" s="64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4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4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4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4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4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4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4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4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4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4">
        <f>AF364*V364</f>
        <v/>
      </c>
      <c r="AQ364" s="64">
        <f>AG364*W364</f>
        <v/>
      </c>
      <c r="AR364" s="64">
        <f>AH364*X364</f>
        <v/>
      </c>
      <c r="AS364" s="64">
        <f>AI364*Y364</f>
        <v/>
      </c>
      <c r="AT364" s="64">
        <f>AJ364*Z364</f>
        <v/>
      </c>
      <c r="AU364" s="64">
        <f>AK364*AA364</f>
        <v/>
      </c>
      <c r="AV364" s="64">
        <f>AL364*AB364</f>
        <v/>
      </c>
      <c r="AW364" s="64">
        <f>AM364*AC364</f>
        <v/>
      </c>
      <c r="AX364" s="64">
        <f>AN364*AD364</f>
        <v/>
      </c>
      <c r="AY364" s="64">
        <f>AO364*AE364</f>
        <v/>
      </c>
      <c r="AZ364" s="64">
        <f>INDEX(Projects[Automation Equipment],363)&amp;""</f>
        <v/>
      </c>
      <c r="BA364" s="64">
        <f>IF(OR(A364="",'Smart Search'!H13=0),"",MAX(0,BE364*BF364*MAX(0,1-BG364)))</f>
        <v/>
      </c>
      <c r="BB364" s="64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4">
        <f>IF('Smart Search'!G13=1,IFERROR(1/'Smart Search'!H13,0),0)</f>
        <v/>
      </c>
      <c r="BD364" s="64">
        <f>BB364*BC364</f>
        <v/>
      </c>
      <c r="BE364" s="64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IF(A364="","",N(INDEX(Projects[Act Mech Inst],363)))</f>
        <v/>
      </c>
      <c r="BK364" s="5">
        <f>IF(A364="","",N(INDEX(Projects[Act Elec Inst],363)))</f>
        <v/>
      </c>
      <c r="BL364" s="5">
        <f>IF(A364="","",N(INDEX(Projects[Act Project Management],363)))</f>
        <v/>
      </c>
      <c r="BM364" s="5">
        <f>IF(A364="","",N(INDEX(Projects[Act Systems Eng],363)))</f>
        <v/>
      </c>
      <c r="BN364" s="5">
        <f>IF(A364="","",N(INDEX(Projects[Act Mechanical Eng],363)))</f>
        <v/>
      </c>
      <c r="BO364" s="5">
        <f>IF(A364="","",N(INDEX(Projects[Act Structural Engineering],363)))</f>
        <v/>
      </c>
      <c r="BP364" s="5">
        <f>IF(A364="","",N(INDEX(Projects[Act Site Sup],363)))</f>
        <v/>
      </c>
      <c r="BQ364" s="5">
        <f>IF(A364="","",N(INDEX(Projects[Act Controls Commissioning],363)))</f>
        <v/>
      </c>
      <c r="BR364" s="5">
        <f>IF(A364="","",N(INDEX(Projects[Act Systems Commissioning],363)))</f>
        <v/>
      </c>
      <c r="BS364" s="5">
        <f>IF(A364="","",N(INDEX(Projects[Act Service Commissioning],363)))</f>
        <v/>
      </c>
      <c r="BT364" s="5">
        <f>IF(A364="","",N(INDEX(Projects[Act Controls Eng],363)))</f>
        <v/>
      </c>
      <c r="BU364" s="5">
        <f>IF(A364="","",N(INDEX(Projects[Act Controls Purchase],363)))</f>
        <v/>
      </c>
      <c r="BV364" s="5">
        <f>IF(A364="","",N(INDEX(Projects[Act Software Eng],363)))</f>
        <v/>
      </c>
      <c r="BW364" s="5">
        <f>IF(A364="","",N(INDEX(Projects[Act 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INDEX(Projects[Sold Value (USD M)],363)</f>
        <v/>
      </c>
      <c r="CE364" s="5" t="n"/>
      <c r="CF364" s="5">
        <f>IF(A364="","",N(INDEX(Projects[Est Mech Inst],363)))</f>
        <v/>
      </c>
      <c r="CG364" s="5">
        <f>IF(A364="","",N(INDEX(Projects[Est Elec Inst],363)))</f>
        <v/>
      </c>
      <c r="CH364" s="5">
        <f>IF(A364="","",N(INDEX(Projects[Est Project Management],363)))</f>
        <v/>
      </c>
      <c r="CI364" s="5">
        <f>IF(A364="","",N(INDEX(Projects[Est Systems Eng],363)))</f>
        <v/>
      </c>
      <c r="CJ364" s="5">
        <f>IF(A364="","",N(INDEX(Projects[Est Mechanical Eng],363)))</f>
        <v/>
      </c>
      <c r="CK364" s="5">
        <f>IF(A364="","",N(INDEX(Projects[Est Structural Engineering],363)))</f>
        <v/>
      </c>
      <c r="CL364" s="5">
        <f>IF(A364="","",N(INDEX(Projects[Est Site Sup],363)))</f>
        <v/>
      </c>
      <c r="CM364" s="5">
        <f>IF(A364="","",N(INDEX(Projects[Est Controls Commissioning],363)))</f>
        <v/>
      </c>
      <c r="CN364" s="5">
        <f>IF(A364="","",N(INDEX(Projects[Est Systems Commissioning],363)))</f>
        <v/>
      </c>
      <c r="CO364" s="5">
        <f>IF(A364="","",N(INDEX(Projects[Est Service Commissioning],363)))</f>
        <v/>
      </c>
      <c r="CP364" s="5">
        <f>IF(A364="","",N(INDEX(Projects[Est Controls Eng],363)))</f>
        <v/>
      </c>
      <c r="CQ364" s="5">
        <f>IF(A364="","",N(INDEX(Projects[Est Controls Purchase],363)))</f>
        <v/>
      </c>
      <c r="CR364" s="5">
        <f>IF(A364="","",N(INDEX(Projects[Est Software Eng],363)))</f>
        <v/>
      </c>
      <c r="CS364" s="5">
        <f>IF(A364="","",N(INDEX(Projects[Est Misc],363)))</f>
        <v/>
      </c>
      <c r="CT364" s="5">
        <f>IF(A364="","",SUM(CF364:CS364))</f>
        <v/>
      </c>
      <c r="CU364" s="5">
        <f>INDEX(Projects[Est Cost (M)],363)</f>
        <v/>
      </c>
      <c r="CV364" s="5">
        <f>INDEX(Projects[Act Cost (M)],363)</f>
        <v/>
      </c>
      <c r="CW364" s="5">
        <f>INDEX(Projects[Plan Mech Eng (wks)],363)</f>
        <v/>
      </c>
      <c r="CX364" s="5">
        <f>INDEX(Projects[Plan Controls Eng (wks)],363)</f>
        <v/>
      </c>
      <c r="CY364" s="5">
        <f>INDEX(Projects[Plan Systems Eng (wks)],363)</f>
        <v/>
      </c>
      <c r="CZ364" s="5">
        <f>INDEX(Projects[Plan Software Eng (wks)],363)</f>
        <v/>
      </c>
      <c r="DA364" s="5">
        <f>INDEX(Projects[Plan M&amp;E Installation (wks)],363)</f>
        <v/>
      </c>
      <c r="DB364" s="5">
        <f>INDEX(Projects[Plan Commissioning (wks)],363)</f>
        <v/>
      </c>
      <c r="DC364" s="5">
        <f>INDEX(Projects[Plan Total (wks)],363)</f>
        <v/>
      </c>
      <c r="DD364" s="5">
        <f>INDEX(Projects[Act Mech Eng (wks)],363)</f>
        <v/>
      </c>
      <c r="DE364" s="5">
        <f>INDEX(Projects[Act Controls Eng (wks)],363)</f>
        <v/>
      </c>
      <c r="DF364" s="5">
        <f>INDEX(Projects[Act Systems Eng (wks)],363)</f>
        <v/>
      </c>
      <c r="DG364" s="5">
        <f>INDEX(Projects[Act Software Eng (wks)],363)</f>
        <v/>
      </c>
      <c r="DH364" s="5">
        <f>INDEX(Projects[Act M&amp;E Installation (wks)],363)</f>
        <v/>
      </c>
      <c r="DI364" s="5">
        <f>INDEX(Projects[Act Commissioning (wks)],363)</f>
        <v/>
      </c>
      <c r="DJ364" s="5">
        <f>INDEX(Projects[Act Total (wks)],363)</f>
        <v/>
      </c>
    </row>
    <row r="365" ht="15" customHeight="1" s="82">
      <c r="A365" s="64">
        <f>INDEX(Projects[Project ID *],364)&amp;""</f>
        <v/>
      </c>
      <c r="B365" s="64">
        <f>INDEX(Projects[Project Name *],364)&amp;""</f>
        <v/>
      </c>
      <c r="C365" s="64">
        <f>INDEX(Projects[MS Shuttles],364)</f>
        <v/>
      </c>
      <c r="D365" s="64">
        <f>INDEX(Projects[MS Tote Locations],364)</f>
        <v/>
      </c>
      <c r="E365" s="64">
        <f>INDEX(Projects[AS Robots],364)</f>
        <v/>
      </c>
      <c r="F365" s="64">
        <f>INDEX(Projects[AS Tote Locations],364)</f>
        <v/>
      </c>
      <c r="G365" s="64">
        <f>INDEX(Projects[PS Shuttles],364)</f>
        <v/>
      </c>
      <c r="H365" s="64">
        <f>INDEX(Projects[PS Pallet Locations],364)</f>
        <v/>
      </c>
      <c r="I365" s="64">
        <f>INDEX(Projects[SRM Cranes],364)</f>
        <v/>
      </c>
      <c r="J365" s="64">
        <f>INDEX(Projects[SRM Pallet Locations],364)</f>
        <v/>
      </c>
      <c r="K365" s="64">
        <f>INDEX(Projects[Case Conv (m)],364)</f>
        <v/>
      </c>
      <c r="L365" s="64">
        <f>INDEX(Projects[Pallet Conv (m)],364)</f>
        <v/>
      </c>
      <c r="M365" s="64">
        <f>IF(N(DJ365)&gt;0,DD365,CW365)</f>
        <v/>
      </c>
      <c r="N365" s="64">
        <f>IF(N(DJ365)&gt;0,DE365,CX365)</f>
        <v/>
      </c>
      <c r="O365" s="64">
        <f>IF(N(DJ365)&gt;0,DF365,CY365)</f>
        <v/>
      </c>
      <c r="P365" s="64">
        <f>IF(N(DJ365)&gt;0,DG365,CZ365)</f>
        <v/>
      </c>
      <c r="Q365" s="64">
        <f>IF(N(DJ365)&gt;0,DH365,DA365)</f>
        <v/>
      </c>
      <c r="R365" s="64">
        <f>IF(N(DJ365)&gt;0,DI365,DB365)</f>
        <v/>
      </c>
      <c r="S365" s="64">
        <f>IF(N(DJ365)&gt;0,DJ365,DC365)</f>
        <v/>
      </c>
      <c r="T365" s="64">
        <f>INDEX(Projects[Currency],364)&amp;""</f>
        <v/>
      </c>
      <c r="U365" s="65">
        <f>INDEX(Projects[Sold Value (M)],364)</f>
        <v/>
      </c>
      <c r="V365" s="64">
        <f>IF('Smart Search'!B13=1,IFERROR(1/'Smart Search'!H13,0),0)</f>
        <v/>
      </c>
      <c r="W365" s="64">
        <f>IF('Smart Search'!B13=1,IFERROR(1/'Smart Search'!H13,0),0)</f>
        <v/>
      </c>
      <c r="X365" s="64">
        <f>IF('Smart Search'!C13=1,IFERROR(1/'Smart Search'!H13,0),0)</f>
        <v/>
      </c>
      <c r="Y365" s="64">
        <f>IF('Smart Search'!C13=1,IFERROR(1/'Smart Search'!H13,0),0)</f>
        <v/>
      </c>
      <c r="Z365" s="64">
        <f>IF('Smart Search'!D13=1,IFERROR(1/'Smart Search'!H13,0),0)</f>
        <v/>
      </c>
      <c r="AA365" s="64">
        <f>IF('Smart Search'!D13=1,IFERROR(1/'Smart Search'!H13,0),0)</f>
        <v/>
      </c>
      <c r="AB365" s="64">
        <f>IF('Smart Search'!E13=1,IFERROR(1/'Smart Search'!H13,0),0)</f>
        <v/>
      </c>
      <c r="AC365" s="64">
        <f>IF('Smart Search'!E13=1,IFERROR(1/'Smart Search'!H13,0),0)</f>
        <v/>
      </c>
      <c r="AD365" s="64">
        <f>IF('Smart Search'!F13=1,IFERROR(1/'Smart Search'!H13,0),0)</f>
        <v/>
      </c>
      <c r="AE365" s="64">
        <f>IF('Smart Search'!F13=1,IFERROR(1/'Smart Search'!H13,0),0)</f>
        <v/>
      </c>
      <c r="AF365" s="64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4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4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4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4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4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4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4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4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4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4">
        <f>AF365*V365</f>
        <v/>
      </c>
      <c r="AQ365" s="64">
        <f>AG365*W365</f>
        <v/>
      </c>
      <c r="AR365" s="64">
        <f>AH365*X365</f>
        <v/>
      </c>
      <c r="AS365" s="64">
        <f>AI365*Y365</f>
        <v/>
      </c>
      <c r="AT365" s="64">
        <f>AJ365*Z365</f>
        <v/>
      </c>
      <c r="AU365" s="64">
        <f>AK365*AA365</f>
        <v/>
      </c>
      <c r="AV365" s="64">
        <f>AL365*AB365</f>
        <v/>
      </c>
      <c r="AW365" s="64">
        <f>AM365*AC365</f>
        <v/>
      </c>
      <c r="AX365" s="64">
        <f>AN365*AD365</f>
        <v/>
      </c>
      <c r="AY365" s="64">
        <f>AO365*AE365</f>
        <v/>
      </c>
      <c r="AZ365" s="64">
        <f>INDEX(Projects[Automation Equipment],364)&amp;""</f>
        <v/>
      </c>
      <c r="BA365" s="64">
        <f>IF(OR(A365="",'Smart Search'!H13=0),"",MAX(0,BE365*BF365*MAX(0,1-BG365)))</f>
        <v/>
      </c>
      <c r="BB365" s="64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4">
        <f>IF('Smart Search'!G13=1,IFERROR(1/'Smart Search'!H13,0),0)</f>
        <v/>
      </c>
      <c r="BD365" s="64">
        <f>BB365*BC365</f>
        <v/>
      </c>
      <c r="BE365" s="64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IF(A365="","",N(INDEX(Projects[Act Mech Inst],364)))</f>
        <v/>
      </c>
      <c r="BK365" s="5">
        <f>IF(A365="","",N(INDEX(Projects[Act Elec Inst],364)))</f>
        <v/>
      </c>
      <c r="BL365" s="5">
        <f>IF(A365="","",N(INDEX(Projects[Act Project Management],364)))</f>
        <v/>
      </c>
      <c r="BM365" s="5">
        <f>IF(A365="","",N(INDEX(Projects[Act Systems Eng],364)))</f>
        <v/>
      </c>
      <c r="BN365" s="5">
        <f>IF(A365="","",N(INDEX(Projects[Act Mechanical Eng],364)))</f>
        <v/>
      </c>
      <c r="BO365" s="5">
        <f>IF(A365="","",N(INDEX(Projects[Act Structural Engineering],364)))</f>
        <v/>
      </c>
      <c r="BP365" s="5">
        <f>IF(A365="","",N(INDEX(Projects[Act Site Sup],364)))</f>
        <v/>
      </c>
      <c r="BQ365" s="5">
        <f>IF(A365="","",N(INDEX(Projects[Act Controls Commissioning],364)))</f>
        <v/>
      </c>
      <c r="BR365" s="5">
        <f>IF(A365="","",N(INDEX(Projects[Act Systems Commissioning],364)))</f>
        <v/>
      </c>
      <c r="BS365" s="5">
        <f>IF(A365="","",N(INDEX(Projects[Act Service Commissioning],364)))</f>
        <v/>
      </c>
      <c r="BT365" s="5">
        <f>IF(A365="","",N(INDEX(Projects[Act Controls Eng],364)))</f>
        <v/>
      </c>
      <c r="BU365" s="5">
        <f>IF(A365="","",N(INDEX(Projects[Act Controls Purchase],364)))</f>
        <v/>
      </c>
      <c r="BV365" s="5">
        <f>IF(A365="","",N(INDEX(Projects[Act Software Eng],364)))</f>
        <v/>
      </c>
      <c r="BW365" s="5">
        <f>IF(A365="","",N(INDEX(Projects[Act 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INDEX(Projects[Sold Value (USD M)],364)</f>
        <v/>
      </c>
      <c r="CE365" s="5" t="n"/>
      <c r="CF365" s="5">
        <f>IF(A365="","",N(INDEX(Projects[Est Mech Inst],364)))</f>
        <v/>
      </c>
      <c r="CG365" s="5">
        <f>IF(A365="","",N(INDEX(Projects[Est Elec Inst],364)))</f>
        <v/>
      </c>
      <c r="CH365" s="5">
        <f>IF(A365="","",N(INDEX(Projects[Est Project Management],364)))</f>
        <v/>
      </c>
      <c r="CI365" s="5">
        <f>IF(A365="","",N(INDEX(Projects[Est Systems Eng],364)))</f>
        <v/>
      </c>
      <c r="CJ365" s="5">
        <f>IF(A365="","",N(INDEX(Projects[Est Mechanical Eng],364)))</f>
        <v/>
      </c>
      <c r="CK365" s="5">
        <f>IF(A365="","",N(INDEX(Projects[Est Structural Engineering],364)))</f>
        <v/>
      </c>
      <c r="CL365" s="5">
        <f>IF(A365="","",N(INDEX(Projects[Est Site Sup],364)))</f>
        <v/>
      </c>
      <c r="CM365" s="5">
        <f>IF(A365="","",N(INDEX(Projects[Est Controls Commissioning],364)))</f>
        <v/>
      </c>
      <c r="CN365" s="5">
        <f>IF(A365="","",N(INDEX(Projects[Est Systems Commissioning],364)))</f>
        <v/>
      </c>
      <c r="CO365" s="5">
        <f>IF(A365="","",N(INDEX(Projects[Est Service Commissioning],364)))</f>
        <v/>
      </c>
      <c r="CP365" s="5">
        <f>IF(A365="","",N(INDEX(Projects[Est Controls Eng],364)))</f>
        <v/>
      </c>
      <c r="CQ365" s="5">
        <f>IF(A365="","",N(INDEX(Projects[Est Controls Purchase],364)))</f>
        <v/>
      </c>
      <c r="CR365" s="5">
        <f>IF(A365="","",N(INDEX(Projects[Est Software Eng],364)))</f>
        <v/>
      </c>
      <c r="CS365" s="5">
        <f>IF(A365="","",N(INDEX(Projects[Est Misc],364)))</f>
        <v/>
      </c>
      <c r="CT365" s="5">
        <f>IF(A365="","",SUM(CF365:CS365))</f>
        <v/>
      </c>
      <c r="CU365" s="5">
        <f>INDEX(Projects[Est Cost (M)],364)</f>
        <v/>
      </c>
      <c r="CV365" s="5">
        <f>INDEX(Projects[Act Cost (M)],364)</f>
        <v/>
      </c>
      <c r="CW365" s="5">
        <f>INDEX(Projects[Plan Mech Eng (wks)],364)</f>
        <v/>
      </c>
      <c r="CX365" s="5">
        <f>INDEX(Projects[Plan Controls Eng (wks)],364)</f>
        <v/>
      </c>
      <c r="CY365" s="5">
        <f>INDEX(Projects[Plan Systems Eng (wks)],364)</f>
        <v/>
      </c>
      <c r="CZ365" s="5">
        <f>INDEX(Projects[Plan Software Eng (wks)],364)</f>
        <v/>
      </c>
      <c r="DA365" s="5">
        <f>INDEX(Projects[Plan M&amp;E Installation (wks)],364)</f>
        <v/>
      </c>
      <c r="DB365" s="5">
        <f>INDEX(Projects[Plan Commissioning (wks)],364)</f>
        <v/>
      </c>
      <c r="DC365" s="5">
        <f>INDEX(Projects[Plan Total (wks)],364)</f>
        <v/>
      </c>
      <c r="DD365" s="5">
        <f>INDEX(Projects[Act Mech Eng (wks)],364)</f>
        <v/>
      </c>
      <c r="DE365" s="5">
        <f>INDEX(Projects[Act Controls Eng (wks)],364)</f>
        <v/>
      </c>
      <c r="DF365" s="5">
        <f>INDEX(Projects[Act Systems Eng (wks)],364)</f>
        <v/>
      </c>
      <c r="DG365" s="5">
        <f>INDEX(Projects[Act Software Eng (wks)],364)</f>
        <v/>
      </c>
      <c r="DH365" s="5">
        <f>INDEX(Projects[Act M&amp;E Installation (wks)],364)</f>
        <v/>
      </c>
      <c r="DI365" s="5">
        <f>INDEX(Projects[Act Commissioning (wks)],364)</f>
        <v/>
      </c>
      <c r="DJ365" s="5">
        <f>INDEX(Projects[Act Total (wks)],364)</f>
        <v/>
      </c>
    </row>
    <row r="366" ht="15" customHeight="1" s="82">
      <c r="A366" s="64">
        <f>INDEX(Projects[Project ID *],365)&amp;""</f>
        <v/>
      </c>
      <c r="B366" s="64">
        <f>INDEX(Projects[Project Name *],365)&amp;""</f>
        <v/>
      </c>
      <c r="C366" s="64">
        <f>INDEX(Projects[MS Shuttles],365)</f>
        <v/>
      </c>
      <c r="D366" s="64">
        <f>INDEX(Projects[MS Tote Locations],365)</f>
        <v/>
      </c>
      <c r="E366" s="64">
        <f>INDEX(Projects[AS Robots],365)</f>
        <v/>
      </c>
      <c r="F366" s="64">
        <f>INDEX(Projects[AS Tote Locations],365)</f>
        <v/>
      </c>
      <c r="G366" s="64">
        <f>INDEX(Projects[PS Shuttles],365)</f>
        <v/>
      </c>
      <c r="H366" s="64">
        <f>INDEX(Projects[PS Pallet Locations],365)</f>
        <v/>
      </c>
      <c r="I366" s="64">
        <f>INDEX(Projects[SRM Cranes],365)</f>
        <v/>
      </c>
      <c r="J366" s="64">
        <f>INDEX(Projects[SRM Pallet Locations],365)</f>
        <v/>
      </c>
      <c r="K366" s="64">
        <f>INDEX(Projects[Case Conv (m)],365)</f>
        <v/>
      </c>
      <c r="L366" s="64">
        <f>INDEX(Projects[Pallet Conv (m)],365)</f>
        <v/>
      </c>
      <c r="M366" s="64">
        <f>IF(N(DJ366)&gt;0,DD366,CW366)</f>
        <v/>
      </c>
      <c r="N366" s="64">
        <f>IF(N(DJ366)&gt;0,DE366,CX366)</f>
        <v/>
      </c>
      <c r="O366" s="64">
        <f>IF(N(DJ366)&gt;0,DF366,CY366)</f>
        <v/>
      </c>
      <c r="P366" s="64">
        <f>IF(N(DJ366)&gt;0,DG366,CZ366)</f>
        <v/>
      </c>
      <c r="Q366" s="64">
        <f>IF(N(DJ366)&gt;0,DH366,DA366)</f>
        <v/>
      </c>
      <c r="R366" s="64">
        <f>IF(N(DJ366)&gt;0,DI366,DB366)</f>
        <v/>
      </c>
      <c r="S366" s="64">
        <f>IF(N(DJ366)&gt;0,DJ366,DC366)</f>
        <v/>
      </c>
      <c r="T366" s="64">
        <f>INDEX(Projects[Currency],365)&amp;""</f>
        <v/>
      </c>
      <c r="U366" s="65">
        <f>INDEX(Projects[Sold Value (M)],365)</f>
        <v/>
      </c>
      <c r="V366" s="64">
        <f>IF('Smart Search'!B13=1,IFERROR(1/'Smart Search'!H13,0),0)</f>
        <v/>
      </c>
      <c r="W366" s="64">
        <f>IF('Smart Search'!B13=1,IFERROR(1/'Smart Search'!H13,0),0)</f>
        <v/>
      </c>
      <c r="X366" s="64">
        <f>IF('Smart Search'!C13=1,IFERROR(1/'Smart Search'!H13,0),0)</f>
        <v/>
      </c>
      <c r="Y366" s="64">
        <f>IF('Smart Search'!C13=1,IFERROR(1/'Smart Search'!H13,0),0)</f>
        <v/>
      </c>
      <c r="Z366" s="64">
        <f>IF('Smart Search'!D13=1,IFERROR(1/'Smart Search'!H13,0),0)</f>
        <v/>
      </c>
      <c r="AA366" s="64">
        <f>IF('Smart Search'!D13=1,IFERROR(1/'Smart Search'!H13,0),0)</f>
        <v/>
      </c>
      <c r="AB366" s="64">
        <f>IF('Smart Search'!E13=1,IFERROR(1/'Smart Search'!H13,0),0)</f>
        <v/>
      </c>
      <c r="AC366" s="64">
        <f>IF('Smart Search'!E13=1,IFERROR(1/'Smart Search'!H13,0),0)</f>
        <v/>
      </c>
      <c r="AD366" s="64">
        <f>IF('Smart Search'!F13=1,IFERROR(1/'Smart Search'!H13,0),0)</f>
        <v/>
      </c>
      <c r="AE366" s="64">
        <f>IF('Smart Search'!F13=1,IFERROR(1/'Smart Search'!H13,0),0)</f>
        <v/>
      </c>
      <c r="AF366" s="64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4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4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4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4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4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4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4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4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4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4">
        <f>AF366*V366</f>
        <v/>
      </c>
      <c r="AQ366" s="64">
        <f>AG366*W366</f>
        <v/>
      </c>
      <c r="AR366" s="64">
        <f>AH366*X366</f>
        <v/>
      </c>
      <c r="AS366" s="64">
        <f>AI366*Y366</f>
        <v/>
      </c>
      <c r="AT366" s="64">
        <f>AJ366*Z366</f>
        <v/>
      </c>
      <c r="AU366" s="64">
        <f>AK366*AA366</f>
        <v/>
      </c>
      <c r="AV366" s="64">
        <f>AL366*AB366</f>
        <v/>
      </c>
      <c r="AW366" s="64">
        <f>AM366*AC366</f>
        <v/>
      </c>
      <c r="AX366" s="64">
        <f>AN366*AD366</f>
        <v/>
      </c>
      <c r="AY366" s="64">
        <f>AO366*AE366</f>
        <v/>
      </c>
      <c r="AZ366" s="64">
        <f>INDEX(Projects[Automation Equipment],365)&amp;""</f>
        <v/>
      </c>
      <c r="BA366" s="64">
        <f>IF(OR(A366="",'Smart Search'!H13=0),"",MAX(0,BE366*BF366*MAX(0,1-BG366)))</f>
        <v/>
      </c>
      <c r="BB366" s="64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4">
        <f>IF('Smart Search'!G13=1,IFERROR(1/'Smart Search'!H13,0),0)</f>
        <v/>
      </c>
      <c r="BD366" s="64">
        <f>BB366*BC366</f>
        <v/>
      </c>
      <c r="BE366" s="64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IF(A366="","",N(INDEX(Projects[Act Mech Inst],365)))</f>
        <v/>
      </c>
      <c r="BK366" s="5">
        <f>IF(A366="","",N(INDEX(Projects[Act Elec Inst],365)))</f>
        <v/>
      </c>
      <c r="BL366" s="5">
        <f>IF(A366="","",N(INDEX(Projects[Act Project Management],365)))</f>
        <v/>
      </c>
      <c r="BM366" s="5">
        <f>IF(A366="","",N(INDEX(Projects[Act Systems Eng],365)))</f>
        <v/>
      </c>
      <c r="BN366" s="5">
        <f>IF(A366="","",N(INDEX(Projects[Act Mechanical Eng],365)))</f>
        <v/>
      </c>
      <c r="BO366" s="5">
        <f>IF(A366="","",N(INDEX(Projects[Act Structural Engineering],365)))</f>
        <v/>
      </c>
      <c r="BP366" s="5">
        <f>IF(A366="","",N(INDEX(Projects[Act Site Sup],365)))</f>
        <v/>
      </c>
      <c r="BQ366" s="5">
        <f>IF(A366="","",N(INDEX(Projects[Act Controls Commissioning],365)))</f>
        <v/>
      </c>
      <c r="BR366" s="5">
        <f>IF(A366="","",N(INDEX(Projects[Act Systems Commissioning],365)))</f>
        <v/>
      </c>
      <c r="BS366" s="5">
        <f>IF(A366="","",N(INDEX(Projects[Act Service Commissioning],365)))</f>
        <v/>
      </c>
      <c r="BT366" s="5">
        <f>IF(A366="","",N(INDEX(Projects[Act Controls Eng],365)))</f>
        <v/>
      </c>
      <c r="BU366" s="5">
        <f>IF(A366="","",N(INDEX(Projects[Act Controls Purchase],365)))</f>
        <v/>
      </c>
      <c r="BV366" s="5">
        <f>IF(A366="","",N(INDEX(Projects[Act Software Eng],365)))</f>
        <v/>
      </c>
      <c r="BW366" s="5">
        <f>IF(A366="","",N(INDEX(Projects[Act 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INDEX(Projects[Sold Value (USD M)],365)</f>
        <v/>
      </c>
      <c r="CE366" s="5" t="n"/>
      <c r="CF366" s="5">
        <f>IF(A366="","",N(INDEX(Projects[Est Mech Inst],365)))</f>
        <v/>
      </c>
      <c r="CG366" s="5">
        <f>IF(A366="","",N(INDEX(Projects[Est Elec Inst],365)))</f>
        <v/>
      </c>
      <c r="CH366" s="5">
        <f>IF(A366="","",N(INDEX(Projects[Est Project Management],365)))</f>
        <v/>
      </c>
      <c r="CI366" s="5">
        <f>IF(A366="","",N(INDEX(Projects[Est Systems Eng],365)))</f>
        <v/>
      </c>
      <c r="CJ366" s="5">
        <f>IF(A366="","",N(INDEX(Projects[Est Mechanical Eng],365)))</f>
        <v/>
      </c>
      <c r="CK366" s="5">
        <f>IF(A366="","",N(INDEX(Projects[Est Structural Engineering],365)))</f>
        <v/>
      </c>
      <c r="CL366" s="5">
        <f>IF(A366="","",N(INDEX(Projects[Est Site Sup],365)))</f>
        <v/>
      </c>
      <c r="CM366" s="5">
        <f>IF(A366="","",N(INDEX(Projects[Est Controls Commissioning],365)))</f>
        <v/>
      </c>
      <c r="CN366" s="5">
        <f>IF(A366="","",N(INDEX(Projects[Est Systems Commissioning],365)))</f>
        <v/>
      </c>
      <c r="CO366" s="5">
        <f>IF(A366="","",N(INDEX(Projects[Est Service Commissioning],365)))</f>
        <v/>
      </c>
      <c r="CP366" s="5">
        <f>IF(A366="","",N(INDEX(Projects[Est Controls Eng],365)))</f>
        <v/>
      </c>
      <c r="CQ366" s="5">
        <f>IF(A366="","",N(INDEX(Projects[Est Controls Purchase],365)))</f>
        <v/>
      </c>
      <c r="CR366" s="5">
        <f>IF(A366="","",N(INDEX(Projects[Est Software Eng],365)))</f>
        <v/>
      </c>
      <c r="CS366" s="5">
        <f>IF(A366="","",N(INDEX(Projects[Est Misc],365)))</f>
        <v/>
      </c>
      <c r="CT366" s="5">
        <f>IF(A366="","",SUM(CF366:CS366))</f>
        <v/>
      </c>
      <c r="CU366" s="5">
        <f>INDEX(Projects[Est Cost (M)],365)</f>
        <v/>
      </c>
      <c r="CV366" s="5">
        <f>INDEX(Projects[Act Cost (M)],365)</f>
        <v/>
      </c>
      <c r="CW366" s="5">
        <f>INDEX(Projects[Plan Mech Eng (wks)],365)</f>
        <v/>
      </c>
      <c r="CX366" s="5">
        <f>INDEX(Projects[Plan Controls Eng (wks)],365)</f>
        <v/>
      </c>
      <c r="CY366" s="5">
        <f>INDEX(Projects[Plan Systems Eng (wks)],365)</f>
        <v/>
      </c>
      <c r="CZ366" s="5">
        <f>INDEX(Projects[Plan Software Eng (wks)],365)</f>
        <v/>
      </c>
      <c r="DA366" s="5">
        <f>INDEX(Projects[Plan M&amp;E Installation (wks)],365)</f>
        <v/>
      </c>
      <c r="DB366" s="5">
        <f>INDEX(Projects[Plan Commissioning (wks)],365)</f>
        <v/>
      </c>
      <c r="DC366" s="5">
        <f>INDEX(Projects[Plan Total (wks)],365)</f>
        <v/>
      </c>
      <c r="DD366" s="5">
        <f>INDEX(Projects[Act Mech Eng (wks)],365)</f>
        <v/>
      </c>
      <c r="DE366" s="5">
        <f>INDEX(Projects[Act Controls Eng (wks)],365)</f>
        <v/>
      </c>
      <c r="DF366" s="5">
        <f>INDEX(Projects[Act Systems Eng (wks)],365)</f>
        <v/>
      </c>
      <c r="DG366" s="5">
        <f>INDEX(Projects[Act Software Eng (wks)],365)</f>
        <v/>
      </c>
      <c r="DH366" s="5">
        <f>INDEX(Projects[Act M&amp;E Installation (wks)],365)</f>
        <v/>
      </c>
      <c r="DI366" s="5">
        <f>INDEX(Projects[Act Commissioning (wks)],365)</f>
        <v/>
      </c>
      <c r="DJ366" s="5">
        <f>INDEX(Projects[Act Total (wks)],365)</f>
        <v/>
      </c>
    </row>
    <row r="367" ht="15" customHeight="1" s="82">
      <c r="A367" s="64">
        <f>INDEX(Projects[Project ID *],366)&amp;""</f>
        <v/>
      </c>
      <c r="B367" s="64">
        <f>INDEX(Projects[Project Name *],366)&amp;""</f>
        <v/>
      </c>
      <c r="C367" s="64">
        <f>INDEX(Projects[MS Shuttles],366)</f>
        <v/>
      </c>
      <c r="D367" s="64">
        <f>INDEX(Projects[MS Tote Locations],366)</f>
        <v/>
      </c>
      <c r="E367" s="64">
        <f>INDEX(Projects[AS Robots],366)</f>
        <v/>
      </c>
      <c r="F367" s="64">
        <f>INDEX(Projects[AS Tote Locations],366)</f>
        <v/>
      </c>
      <c r="G367" s="64">
        <f>INDEX(Projects[PS Shuttles],366)</f>
        <v/>
      </c>
      <c r="H367" s="64">
        <f>INDEX(Projects[PS Pallet Locations],366)</f>
        <v/>
      </c>
      <c r="I367" s="64">
        <f>INDEX(Projects[SRM Cranes],366)</f>
        <v/>
      </c>
      <c r="J367" s="64">
        <f>INDEX(Projects[SRM Pallet Locations],366)</f>
        <v/>
      </c>
      <c r="K367" s="64">
        <f>INDEX(Projects[Case Conv (m)],366)</f>
        <v/>
      </c>
      <c r="L367" s="64">
        <f>INDEX(Projects[Pallet Conv (m)],366)</f>
        <v/>
      </c>
      <c r="M367" s="64">
        <f>IF(N(DJ367)&gt;0,DD367,CW367)</f>
        <v/>
      </c>
      <c r="N367" s="64">
        <f>IF(N(DJ367)&gt;0,DE367,CX367)</f>
        <v/>
      </c>
      <c r="O367" s="64">
        <f>IF(N(DJ367)&gt;0,DF367,CY367)</f>
        <v/>
      </c>
      <c r="P367" s="64">
        <f>IF(N(DJ367)&gt;0,DG367,CZ367)</f>
        <v/>
      </c>
      <c r="Q367" s="64">
        <f>IF(N(DJ367)&gt;0,DH367,DA367)</f>
        <v/>
      </c>
      <c r="R367" s="64">
        <f>IF(N(DJ367)&gt;0,DI367,DB367)</f>
        <v/>
      </c>
      <c r="S367" s="64">
        <f>IF(N(DJ367)&gt;0,DJ367,DC367)</f>
        <v/>
      </c>
      <c r="T367" s="64">
        <f>INDEX(Projects[Currency],366)&amp;""</f>
        <v/>
      </c>
      <c r="U367" s="65">
        <f>INDEX(Projects[Sold Value (M)],366)</f>
        <v/>
      </c>
      <c r="V367" s="64">
        <f>IF('Smart Search'!B13=1,IFERROR(1/'Smart Search'!H13,0),0)</f>
        <v/>
      </c>
      <c r="W367" s="64">
        <f>IF('Smart Search'!B13=1,IFERROR(1/'Smart Search'!H13,0),0)</f>
        <v/>
      </c>
      <c r="X367" s="64">
        <f>IF('Smart Search'!C13=1,IFERROR(1/'Smart Search'!H13,0),0)</f>
        <v/>
      </c>
      <c r="Y367" s="64">
        <f>IF('Smart Search'!C13=1,IFERROR(1/'Smart Search'!H13,0),0)</f>
        <v/>
      </c>
      <c r="Z367" s="64">
        <f>IF('Smart Search'!D13=1,IFERROR(1/'Smart Search'!H13,0),0)</f>
        <v/>
      </c>
      <c r="AA367" s="64">
        <f>IF('Smart Search'!D13=1,IFERROR(1/'Smart Search'!H13,0),0)</f>
        <v/>
      </c>
      <c r="AB367" s="64">
        <f>IF('Smart Search'!E13=1,IFERROR(1/'Smart Search'!H13,0),0)</f>
        <v/>
      </c>
      <c r="AC367" s="64">
        <f>IF('Smart Search'!E13=1,IFERROR(1/'Smart Search'!H13,0),0)</f>
        <v/>
      </c>
      <c r="AD367" s="64">
        <f>IF('Smart Search'!F13=1,IFERROR(1/'Smart Search'!H13,0),0)</f>
        <v/>
      </c>
      <c r="AE367" s="64">
        <f>IF('Smart Search'!F13=1,IFERROR(1/'Smart Search'!H13,0),0)</f>
        <v/>
      </c>
      <c r="AF367" s="64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4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4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4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4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4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4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4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4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4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4">
        <f>AF367*V367</f>
        <v/>
      </c>
      <c r="AQ367" s="64">
        <f>AG367*W367</f>
        <v/>
      </c>
      <c r="AR367" s="64">
        <f>AH367*X367</f>
        <v/>
      </c>
      <c r="AS367" s="64">
        <f>AI367*Y367</f>
        <v/>
      </c>
      <c r="AT367" s="64">
        <f>AJ367*Z367</f>
        <v/>
      </c>
      <c r="AU367" s="64">
        <f>AK367*AA367</f>
        <v/>
      </c>
      <c r="AV367" s="64">
        <f>AL367*AB367</f>
        <v/>
      </c>
      <c r="AW367" s="64">
        <f>AM367*AC367</f>
        <v/>
      </c>
      <c r="AX367" s="64">
        <f>AN367*AD367</f>
        <v/>
      </c>
      <c r="AY367" s="64">
        <f>AO367*AE367</f>
        <v/>
      </c>
      <c r="AZ367" s="64">
        <f>INDEX(Projects[Automation Equipment],366)&amp;""</f>
        <v/>
      </c>
      <c r="BA367" s="64">
        <f>IF(OR(A367="",'Smart Search'!H13=0),"",MAX(0,BE367*BF367*MAX(0,1-BG367)))</f>
        <v/>
      </c>
      <c r="BB367" s="64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4">
        <f>IF('Smart Search'!G13=1,IFERROR(1/'Smart Search'!H13,0),0)</f>
        <v/>
      </c>
      <c r="BD367" s="64">
        <f>BB367*BC367</f>
        <v/>
      </c>
      <c r="BE367" s="64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IF(A367="","",N(INDEX(Projects[Act Mech Inst],366)))</f>
        <v/>
      </c>
      <c r="BK367" s="5">
        <f>IF(A367="","",N(INDEX(Projects[Act Elec Inst],366)))</f>
        <v/>
      </c>
      <c r="BL367" s="5">
        <f>IF(A367="","",N(INDEX(Projects[Act Project Management],366)))</f>
        <v/>
      </c>
      <c r="BM367" s="5">
        <f>IF(A367="","",N(INDEX(Projects[Act Systems Eng],366)))</f>
        <v/>
      </c>
      <c r="BN367" s="5">
        <f>IF(A367="","",N(INDEX(Projects[Act Mechanical Eng],366)))</f>
        <v/>
      </c>
      <c r="BO367" s="5">
        <f>IF(A367="","",N(INDEX(Projects[Act Structural Engineering],366)))</f>
        <v/>
      </c>
      <c r="BP367" s="5">
        <f>IF(A367="","",N(INDEX(Projects[Act Site Sup],366)))</f>
        <v/>
      </c>
      <c r="BQ367" s="5">
        <f>IF(A367="","",N(INDEX(Projects[Act Controls Commissioning],366)))</f>
        <v/>
      </c>
      <c r="BR367" s="5">
        <f>IF(A367="","",N(INDEX(Projects[Act Systems Commissioning],366)))</f>
        <v/>
      </c>
      <c r="BS367" s="5">
        <f>IF(A367="","",N(INDEX(Projects[Act Service Commissioning],366)))</f>
        <v/>
      </c>
      <c r="BT367" s="5">
        <f>IF(A367="","",N(INDEX(Projects[Act Controls Eng],366)))</f>
        <v/>
      </c>
      <c r="BU367" s="5">
        <f>IF(A367="","",N(INDEX(Projects[Act Controls Purchase],366)))</f>
        <v/>
      </c>
      <c r="BV367" s="5">
        <f>IF(A367="","",N(INDEX(Projects[Act Software Eng],366)))</f>
        <v/>
      </c>
      <c r="BW367" s="5">
        <f>IF(A367="","",N(INDEX(Projects[Act 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INDEX(Projects[Sold Value (USD M)],366)</f>
        <v/>
      </c>
      <c r="CE367" s="5" t="n"/>
      <c r="CF367" s="5">
        <f>IF(A367="","",N(INDEX(Projects[Est Mech Inst],366)))</f>
        <v/>
      </c>
      <c r="CG367" s="5">
        <f>IF(A367="","",N(INDEX(Projects[Est Elec Inst],366)))</f>
        <v/>
      </c>
      <c r="CH367" s="5">
        <f>IF(A367="","",N(INDEX(Projects[Est Project Management],366)))</f>
        <v/>
      </c>
      <c r="CI367" s="5">
        <f>IF(A367="","",N(INDEX(Projects[Est Systems Eng],366)))</f>
        <v/>
      </c>
      <c r="CJ367" s="5">
        <f>IF(A367="","",N(INDEX(Projects[Est Mechanical Eng],366)))</f>
        <v/>
      </c>
      <c r="CK367" s="5">
        <f>IF(A367="","",N(INDEX(Projects[Est Structural Engineering],366)))</f>
        <v/>
      </c>
      <c r="CL367" s="5">
        <f>IF(A367="","",N(INDEX(Projects[Est Site Sup],366)))</f>
        <v/>
      </c>
      <c r="CM367" s="5">
        <f>IF(A367="","",N(INDEX(Projects[Est Controls Commissioning],366)))</f>
        <v/>
      </c>
      <c r="CN367" s="5">
        <f>IF(A367="","",N(INDEX(Projects[Est Systems Commissioning],366)))</f>
        <v/>
      </c>
      <c r="CO367" s="5">
        <f>IF(A367="","",N(INDEX(Projects[Est Service Commissioning],366)))</f>
        <v/>
      </c>
      <c r="CP367" s="5">
        <f>IF(A367="","",N(INDEX(Projects[Est Controls Eng],366)))</f>
        <v/>
      </c>
      <c r="CQ367" s="5">
        <f>IF(A367="","",N(INDEX(Projects[Est Controls Purchase],366)))</f>
        <v/>
      </c>
      <c r="CR367" s="5">
        <f>IF(A367="","",N(INDEX(Projects[Est Software Eng],366)))</f>
        <v/>
      </c>
      <c r="CS367" s="5">
        <f>IF(A367="","",N(INDEX(Projects[Est Misc],366)))</f>
        <v/>
      </c>
      <c r="CT367" s="5">
        <f>IF(A367="","",SUM(CF367:CS367))</f>
        <v/>
      </c>
      <c r="CU367" s="5">
        <f>INDEX(Projects[Est Cost (M)],366)</f>
        <v/>
      </c>
      <c r="CV367" s="5">
        <f>INDEX(Projects[Act Cost (M)],366)</f>
        <v/>
      </c>
      <c r="CW367" s="5">
        <f>INDEX(Projects[Plan Mech Eng (wks)],366)</f>
        <v/>
      </c>
      <c r="CX367" s="5">
        <f>INDEX(Projects[Plan Controls Eng (wks)],366)</f>
        <v/>
      </c>
      <c r="CY367" s="5">
        <f>INDEX(Projects[Plan Systems Eng (wks)],366)</f>
        <v/>
      </c>
      <c r="CZ367" s="5">
        <f>INDEX(Projects[Plan Software Eng (wks)],366)</f>
        <v/>
      </c>
      <c r="DA367" s="5">
        <f>INDEX(Projects[Plan M&amp;E Installation (wks)],366)</f>
        <v/>
      </c>
      <c r="DB367" s="5">
        <f>INDEX(Projects[Plan Commissioning (wks)],366)</f>
        <v/>
      </c>
      <c r="DC367" s="5">
        <f>INDEX(Projects[Plan Total (wks)],366)</f>
        <v/>
      </c>
      <c r="DD367" s="5">
        <f>INDEX(Projects[Act Mech Eng (wks)],366)</f>
        <v/>
      </c>
      <c r="DE367" s="5">
        <f>INDEX(Projects[Act Controls Eng (wks)],366)</f>
        <v/>
      </c>
      <c r="DF367" s="5">
        <f>INDEX(Projects[Act Systems Eng (wks)],366)</f>
        <v/>
      </c>
      <c r="DG367" s="5">
        <f>INDEX(Projects[Act Software Eng (wks)],366)</f>
        <v/>
      </c>
      <c r="DH367" s="5">
        <f>INDEX(Projects[Act M&amp;E Installation (wks)],366)</f>
        <v/>
      </c>
      <c r="DI367" s="5">
        <f>INDEX(Projects[Act Commissioning (wks)],366)</f>
        <v/>
      </c>
      <c r="DJ367" s="5">
        <f>INDEX(Projects[Act Total (wks)],366)</f>
        <v/>
      </c>
    </row>
    <row r="368" ht="15" customHeight="1" s="82">
      <c r="A368" s="64">
        <f>INDEX(Projects[Project ID *],367)&amp;""</f>
        <v/>
      </c>
      <c r="B368" s="64">
        <f>INDEX(Projects[Project Name *],367)&amp;""</f>
        <v/>
      </c>
      <c r="C368" s="64">
        <f>INDEX(Projects[MS Shuttles],367)</f>
        <v/>
      </c>
      <c r="D368" s="64">
        <f>INDEX(Projects[MS Tote Locations],367)</f>
        <v/>
      </c>
      <c r="E368" s="64">
        <f>INDEX(Projects[AS Robots],367)</f>
        <v/>
      </c>
      <c r="F368" s="64">
        <f>INDEX(Projects[AS Tote Locations],367)</f>
        <v/>
      </c>
      <c r="G368" s="64">
        <f>INDEX(Projects[PS Shuttles],367)</f>
        <v/>
      </c>
      <c r="H368" s="64">
        <f>INDEX(Projects[PS Pallet Locations],367)</f>
        <v/>
      </c>
      <c r="I368" s="64">
        <f>INDEX(Projects[SRM Cranes],367)</f>
        <v/>
      </c>
      <c r="J368" s="64">
        <f>INDEX(Projects[SRM Pallet Locations],367)</f>
        <v/>
      </c>
      <c r="K368" s="64">
        <f>INDEX(Projects[Case Conv (m)],367)</f>
        <v/>
      </c>
      <c r="L368" s="64">
        <f>INDEX(Projects[Pallet Conv (m)],367)</f>
        <v/>
      </c>
      <c r="M368" s="64">
        <f>IF(N(DJ368)&gt;0,DD368,CW368)</f>
        <v/>
      </c>
      <c r="N368" s="64">
        <f>IF(N(DJ368)&gt;0,DE368,CX368)</f>
        <v/>
      </c>
      <c r="O368" s="64">
        <f>IF(N(DJ368)&gt;0,DF368,CY368)</f>
        <v/>
      </c>
      <c r="P368" s="64">
        <f>IF(N(DJ368)&gt;0,DG368,CZ368)</f>
        <v/>
      </c>
      <c r="Q368" s="64">
        <f>IF(N(DJ368)&gt;0,DH368,DA368)</f>
        <v/>
      </c>
      <c r="R368" s="64">
        <f>IF(N(DJ368)&gt;0,DI368,DB368)</f>
        <v/>
      </c>
      <c r="S368" s="64">
        <f>IF(N(DJ368)&gt;0,DJ368,DC368)</f>
        <v/>
      </c>
      <c r="T368" s="64">
        <f>INDEX(Projects[Currency],367)&amp;""</f>
        <v/>
      </c>
      <c r="U368" s="65">
        <f>INDEX(Projects[Sold Value (M)],367)</f>
        <v/>
      </c>
      <c r="V368" s="64">
        <f>IF('Smart Search'!B13=1,IFERROR(1/'Smart Search'!H13,0),0)</f>
        <v/>
      </c>
      <c r="W368" s="64">
        <f>IF('Smart Search'!B13=1,IFERROR(1/'Smart Search'!H13,0),0)</f>
        <v/>
      </c>
      <c r="X368" s="64">
        <f>IF('Smart Search'!C13=1,IFERROR(1/'Smart Search'!H13,0),0)</f>
        <v/>
      </c>
      <c r="Y368" s="64">
        <f>IF('Smart Search'!C13=1,IFERROR(1/'Smart Search'!H13,0),0)</f>
        <v/>
      </c>
      <c r="Z368" s="64">
        <f>IF('Smart Search'!D13=1,IFERROR(1/'Smart Search'!H13,0),0)</f>
        <v/>
      </c>
      <c r="AA368" s="64">
        <f>IF('Smart Search'!D13=1,IFERROR(1/'Smart Search'!H13,0),0)</f>
        <v/>
      </c>
      <c r="AB368" s="64">
        <f>IF('Smart Search'!E13=1,IFERROR(1/'Smart Search'!H13,0),0)</f>
        <v/>
      </c>
      <c r="AC368" s="64">
        <f>IF('Smart Search'!E13=1,IFERROR(1/'Smart Search'!H13,0),0)</f>
        <v/>
      </c>
      <c r="AD368" s="64">
        <f>IF('Smart Search'!F13=1,IFERROR(1/'Smart Search'!H13,0),0)</f>
        <v/>
      </c>
      <c r="AE368" s="64">
        <f>IF('Smart Search'!F13=1,IFERROR(1/'Smart Search'!H13,0),0)</f>
        <v/>
      </c>
      <c r="AF368" s="64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4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4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4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4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4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4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4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4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4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4">
        <f>AF368*V368</f>
        <v/>
      </c>
      <c r="AQ368" s="64">
        <f>AG368*W368</f>
        <v/>
      </c>
      <c r="AR368" s="64">
        <f>AH368*X368</f>
        <v/>
      </c>
      <c r="AS368" s="64">
        <f>AI368*Y368</f>
        <v/>
      </c>
      <c r="AT368" s="64">
        <f>AJ368*Z368</f>
        <v/>
      </c>
      <c r="AU368" s="64">
        <f>AK368*AA368</f>
        <v/>
      </c>
      <c r="AV368" s="64">
        <f>AL368*AB368</f>
        <v/>
      </c>
      <c r="AW368" s="64">
        <f>AM368*AC368</f>
        <v/>
      </c>
      <c r="AX368" s="64">
        <f>AN368*AD368</f>
        <v/>
      </c>
      <c r="AY368" s="64">
        <f>AO368*AE368</f>
        <v/>
      </c>
      <c r="AZ368" s="64">
        <f>INDEX(Projects[Automation Equipment],367)&amp;""</f>
        <v/>
      </c>
      <c r="BA368" s="64">
        <f>IF(OR(A368="",'Smart Search'!H13=0),"",MAX(0,BE368*BF368*MAX(0,1-BG368)))</f>
        <v/>
      </c>
      <c r="BB368" s="64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4">
        <f>IF('Smart Search'!G13=1,IFERROR(1/'Smart Search'!H13,0),0)</f>
        <v/>
      </c>
      <c r="BD368" s="64">
        <f>BB368*BC368</f>
        <v/>
      </c>
      <c r="BE368" s="64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IF(A368="","",N(INDEX(Projects[Act Mech Inst],367)))</f>
        <v/>
      </c>
      <c r="BK368" s="5">
        <f>IF(A368="","",N(INDEX(Projects[Act Elec Inst],367)))</f>
        <v/>
      </c>
      <c r="BL368" s="5">
        <f>IF(A368="","",N(INDEX(Projects[Act Project Management],367)))</f>
        <v/>
      </c>
      <c r="BM368" s="5">
        <f>IF(A368="","",N(INDEX(Projects[Act Systems Eng],367)))</f>
        <v/>
      </c>
      <c r="BN368" s="5">
        <f>IF(A368="","",N(INDEX(Projects[Act Mechanical Eng],367)))</f>
        <v/>
      </c>
      <c r="BO368" s="5">
        <f>IF(A368="","",N(INDEX(Projects[Act Structural Engineering],367)))</f>
        <v/>
      </c>
      <c r="BP368" s="5">
        <f>IF(A368="","",N(INDEX(Projects[Act Site Sup],367)))</f>
        <v/>
      </c>
      <c r="BQ368" s="5">
        <f>IF(A368="","",N(INDEX(Projects[Act Controls Commissioning],367)))</f>
        <v/>
      </c>
      <c r="BR368" s="5">
        <f>IF(A368="","",N(INDEX(Projects[Act Systems Commissioning],367)))</f>
        <v/>
      </c>
      <c r="BS368" s="5">
        <f>IF(A368="","",N(INDEX(Projects[Act Service Commissioning],367)))</f>
        <v/>
      </c>
      <c r="BT368" s="5">
        <f>IF(A368="","",N(INDEX(Projects[Act Controls Eng],367)))</f>
        <v/>
      </c>
      <c r="BU368" s="5">
        <f>IF(A368="","",N(INDEX(Projects[Act Controls Purchase],367)))</f>
        <v/>
      </c>
      <c r="BV368" s="5">
        <f>IF(A368="","",N(INDEX(Projects[Act Software Eng],367)))</f>
        <v/>
      </c>
      <c r="BW368" s="5">
        <f>IF(A368="","",N(INDEX(Projects[Act 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INDEX(Projects[Sold Value (USD M)],367)</f>
        <v/>
      </c>
      <c r="CE368" s="5" t="n"/>
      <c r="CF368" s="5">
        <f>IF(A368="","",N(INDEX(Projects[Est Mech Inst],367)))</f>
        <v/>
      </c>
      <c r="CG368" s="5">
        <f>IF(A368="","",N(INDEX(Projects[Est Elec Inst],367)))</f>
        <v/>
      </c>
      <c r="CH368" s="5">
        <f>IF(A368="","",N(INDEX(Projects[Est Project Management],367)))</f>
        <v/>
      </c>
      <c r="CI368" s="5">
        <f>IF(A368="","",N(INDEX(Projects[Est Systems Eng],367)))</f>
        <v/>
      </c>
      <c r="CJ368" s="5">
        <f>IF(A368="","",N(INDEX(Projects[Est Mechanical Eng],367)))</f>
        <v/>
      </c>
      <c r="CK368" s="5">
        <f>IF(A368="","",N(INDEX(Projects[Est Structural Engineering],367)))</f>
        <v/>
      </c>
      <c r="CL368" s="5">
        <f>IF(A368="","",N(INDEX(Projects[Est Site Sup],367)))</f>
        <v/>
      </c>
      <c r="CM368" s="5">
        <f>IF(A368="","",N(INDEX(Projects[Est Controls Commissioning],367)))</f>
        <v/>
      </c>
      <c r="CN368" s="5">
        <f>IF(A368="","",N(INDEX(Projects[Est Systems Commissioning],367)))</f>
        <v/>
      </c>
      <c r="CO368" s="5">
        <f>IF(A368="","",N(INDEX(Projects[Est Service Commissioning],367)))</f>
        <v/>
      </c>
      <c r="CP368" s="5">
        <f>IF(A368="","",N(INDEX(Projects[Est Controls Eng],367)))</f>
        <v/>
      </c>
      <c r="CQ368" s="5">
        <f>IF(A368="","",N(INDEX(Projects[Est Controls Purchase],367)))</f>
        <v/>
      </c>
      <c r="CR368" s="5">
        <f>IF(A368="","",N(INDEX(Projects[Est Software Eng],367)))</f>
        <v/>
      </c>
      <c r="CS368" s="5">
        <f>IF(A368="","",N(INDEX(Projects[Est Misc],367)))</f>
        <v/>
      </c>
      <c r="CT368" s="5">
        <f>IF(A368="","",SUM(CF368:CS368))</f>
        <v/>
      </c>
      <c r="CU368" s="5">
        <f>INDEX(Projects[Est Cost (M)],367)</f>
        <v/>
      </c>
      <c r="CV368" s="5">
        <f>INDEX(Projects[Act Cost (M)],367)</f>
        <v/>
      </c>
      <c r="CW368" s="5">
        <f>INDEX(Projects[Plan Mech Eng (wks)],367)</f>
        <v/>
      </c>
      <c r="CX368" s="5">
        <f>INDEX(Projects[Plan Controls Eng (wks)],367)</f>
        <v/>
      </c>
      <c r="CY368" s="5">
        <f>INDEX(Projects[Plan Systems Eng (wks)],367)</f>
        <v/>
      </c>
      <c r="CZ368" s="5">
        <f>INDEX(Projects[Plan Software Eng (wks)],367)</f>
        <v/>
      </c>
      <c r="DA368" s="5">
        <f>INDEX(Projects[Plan M&amp;E Installation (wks)],367)</f>
        <v/>
      </c>
      <c r="DB368" s="5">
        <f>INDEX(Projects[Plan Commissioning (wks)],367)</f>
        <v/>
      </c>
      <c r="DC368" s="5">
        <f>INDEX(Projects[Plan Total (wks)],367)</f>
        <v/>
      </c>
      <c r="DD368" s="5">
        <f>INDEX(Projects[Act Mech Eng (wks)],367)</f>
        <v/>
      </c>
      <c r="DE368" s="5">
        <f>INDEX(Projects[Act Controls Eng (wks)],367)</f>
        <v/>
      </c>
      <c r="DF368" s="5">
        <f>INDEX(Projects[Act Systems Eng (wks)],367)</f>
        <v/>
      </c>
      <c r="DG368" s="5">
        <f>INDEX(Projects[Act Software Eng (wks)],367)</f>
        <v/>
      </c>
      <c r="DH368" s="5">
        <f>INDEX(Projects[Act M&amp;E Installation (wks)],367)</f>
        <v/>
      </c>
      <c r="DI368" s="5">
        <f>INDEX(Projects[Act Commissioning (wks)],367)</f>
        <v/>
      </c>
      <c r="DJ368" s="5">
        <f>INDEX(Projects[Act Total (wks)],367)</f>
        <v/>
      </c>
    </row>
    <row r="369" ht="15" customHeight="1" s="82">
      <c r="A369" s="64">
        <f>INDEX(Projects[Project ID *],368)&amp;""</f>
        <v/>
      </c>
      <c r="B369" s="64">
        <f>INDEX(Projects[Project Name *],368)&amp;""</f>
        <v/>
      </c>
      <c r="C369" s="64">
        <f>INDEX(Projects[MS Shuttles],368)</f>
        <v/>
      </c>
      <c r="D369" s="64">
        <f>INDEX(Projects[MS Tote Locations],368)</f>
        <v/>
      </c>
      <c r="E369" s="64">
        <f>INDEX(Projects[AS Robots],368)</f>
        <v/>
      </c>
      <c r="F369" s="64">
        <f>INDEX(Projects[AS Tote Locations],368)</f>
        <v/>
      </c>
      <c r="G369" s="64">
        <f>INDEX(Projects[PS Shuttles],368)</f>
        <v/>
      </c>
      <c r="H369" s="64">
        <f>INDEX(Projects[PS Pallet Locations],368)</f>
        <v/>
      </c>
      <c r="I369" s="64">
        <f>INDEX(Projects[SRM Cranes],368)</f>
        <v/>
      </c>
      <c r="J369" s="64">
        <f>INDEX(Projects[SRM Pallet Locations],368)</f>
        <v/>
      </c>
      <c r="K369" s="64">
        <f>INDEX(Projects[Case Conv (m)],368)</f>
        <v/>
      </c>
      <c r="L369" s="64">
        <f>INDEX(Projects[Pallet Conv (m)],368)</f>
        <v/>
      </c>
      <c r="M369" s="64">
        <f>IF(N(DJ369)&gt;0,DD369,CW369)</f>
        <v/>
      </c>
      <c r="N369" s="64">
        <f>IF(N(DJ369)&gt;0,DE369,CX369)</f>
        <v/>
      </c>
      <c r="O369" s="64">
        <f>IF(N(DJ369)&gt;0,DF369,CY369)</f>
        <v/>
      </c>
      <c r="P369" s="64">
        <f>IF(N(DJ369)&gt;0,DG369,CZ369)</f>
        <v/>
      </c>
      <c r="Q369" s="64">
        <f>IF(N(DJ369)&gt;0,DH369,DA369)</f>
        <v/>
      </c>
      <c r="R369" s="64">
        <f>IF(N(DJ369)&gt;0,DI369,DB369)</f>
        <v/>
      </c>
      <c r="S369" s="64">
        <f>IF(N(DJ369)&gt;0,DJ369,DC369)</f>
        <v/>
      </c>
      <c r="T369" s="64">
        <f>INDEX(Projects[Currency],368)&amp;""</f>
        <v/>
      </c>
      <c r="U369" s="65">
        <f>INDEX(Projects[Sold Value (M)],368)</f>
        <v/>
      </c>
      <c r="V369" s="64">
        <f>IF('Smart Search'!B13=1,IFERROR(1/'Smart Search'!H13,0),0)</f>
        <v/>
      </c>
      <c r="W369" s="64">
        <f>IF('Smart Search'!B13=1,IFERROR(1/'Smart Search'!H13,0),0)</f>
        <v/>
      </c>
      <c r="X369" s="64">
        <f>IF('Smart Search'!C13=1,IFERROR(1/'Smart Search'!H13,0),0)</f>
        <v/>
      </c>
      <c r="Y369" s="64">
        <f>IF('Smart Search'!C13=1,IFERROR(1/'Smart Search'!H13,0),0)</f>
        <v/>
      </c>
      <c r="Z369" s="64">
        <f>IF('Smart Search'!D13=1,IFERROR(1/'Smart Search'!H13,0),0)</f>
        <v/>
      </c>
      <c r="AA369" s="64">
        <f>IF('Smart Search'!D13=1,IFERROR(1/'Smart Search'!H13,0),0)</f>
        <v/>
      </c>
      <c r="AB369" s="64">
        <f>IF('Smart Search'!E13=1,IFERROR(1/'Smart Search'!H13,0),0)</f>
        <v/>
      </c>
      <c r="AC369" s="64">
        <f>IF('Smart Search'!E13=1,IFERROR(1/'Smart Search'!H13,0),0)</f>
        <v/>
      </c>
      <c r="AD369" s="64">
        <f>IF('Smart Search'!F13=1,IFERROR(1/'Smart Search'!H13,0),0)</f>
        <v/>
      </c>
      <c r="AE369" s="64">
        <f>IF('Smart Search'!F13=1,IFERROR(1/'Smart Search'!H13,0),0)</f>
        <v/>
      </c>
      <c r="AF369" s="64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4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4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4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4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4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4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4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4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4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4">
        <f>AF369*V369</f>
        <v/>
      </c>
      <c r="AQ369" s="64">
        <f>AG369*W369</f>
        <v/>
      </c>
      <c r="AR369" s="64">
        <f>AH369*X369</f>
        <v/>
      </c>
      <c r="AS369" s="64">
        <f>AI369*Y369</f>
        <v/>
      </c>
      <c r="AT369" s="64">
        <f>AJ369*Z369</f>
        <v/>
      </c>
      <c r="AU369" s="64">
        <f>AK369*AA369</f>
        <v/>
      </c>
      <c r="AV369" s="64">
        <f>AL369*AB369</f>
        <v/>
      </c>
      <c r="AW369" s="64">
        <f>AM369*AC369</f>
        <v/>
      </c>
      <c r="AX369" s="64">
        <f>AN369*AD369</f>
        <v/>
      </c>
      <c r="AY369" s="64">
        <f>AO369*AE369</f>
        <v/>
      </c>
      <c r="AZ369" s="64">
        <f>INDEX(Projects[Automation Equipment],368)&amp;""</f>
        <v/>
      </c>
      <c r="BA369" s="64">
        <f>IF(OR(A369="",'Smart Search'!H13=0),"",MAX(0,BE369*BF369*MAX(0,1-BG369)))</f>
        <v/>
      </c>
      <c r="BB369" s="64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4">
        <f>IF('Smart Search'!G13=1,IFERROR(1/'Smart Search'!H13,0),0)</f>
        <v/>
      </c>
      <c r="BD369" s="64">
        <f>BB369*BC369</f>
        <v/>
      </c>
      <c r="BE369" s="64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IF(A369="","",N(INDEX(Projects[Act Mech Inst],368)))</f>
        <v/>
      </c>
      <c r="BK369" s="5">
        <f>IF(A369="","",N(INDEX(Projects[Act Elec Inst],368)))</f>
        <v/>
      </c>
      <c r="BL369" s="5">
        <f>IF(A369="","",N(INDEX(Projects[Act Project Management],368)))</f>
        <v/>
      </c>
      <c r="BM369" s="5">
        <f>IF(A369="","",N(INDEX(Projects[Act Systems Eng],368)))</f>
        <v/>
      </c>
      <c r="BN369" s="5">
        <f>IF(A369="","",N(INDEX(Projects[Act Mechanical Eng],368)))</f>
        <v/>
      </c>
      <c r="BO369" s="5">
        <f>IF(A369="","",N(INDEX(Projects[Act Structural Engineering],368)))</f>
        <v/>
      </c>
      <c r="BP369" s="5">
        <f>IF(A369="","",N(INDEX(Projects[Act Site Sup],368)))</f>
        <v/>
      </c>
      <c r="BQ369" s="5">
        <f>IF(A369="","",N(INDEX(Projects[Act Controls Commissioning],368)))</f>
        <v/>
      </c>
      <c r="BR369" s="5">
        <f>IF(A369="","",N(INDEX(Projects[Act Systems Commissioning],368)))</f>
        <v/>
      </c>
      <c r="BS369" s="5">
        <f>IF(A369="","",N(INDEX(Projects[Act Service Commissioning],368)))</f>
        <v/>
      </c>
      <c r="BT369" s="5">
        <f>IF(A369="","",N(INDEX(Projects[Act Controls Eng],368)))</f>
        <v/>
      </c>
      <c r="BU369" s="5">
        <f>IF(A369="","",N(INDEX(Projects[Act Controls Purchase],368)))</f>
        <v/>
      </c>
      <c r="BV369" s="5">
        <f>IF(A369="","",N(INDEX(Projects[Act Software Eng],368)))</f>
        <v/>
      </c>
      <c r="BW369" s="5">
        <f>IF(A369="","",N(INDEX(Projects[Act 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INDEX(Projects[Sold Value (USD M)],368)</f>
        <v/>
      </c>
      <c r="CE369" s="5" t="n"/>
      <c r="CF369" s="5">
        <f>IF(A369="","",N(INDEX(Projects[Est Mech Inst],368)))</f>
        <v/>
      </c>
      <c r="CG369" s="5">
        <f>IF(A369="","",N(INDEX(Projects[Est Elec Inst],368)))</f>
        <v/>
      </c>
      <c r="CH369" s="5">
        <f>IF(A369="","",N(INDEX(Projects[Est Project Management],368)))</f>
        <v/>
      </c>
      <c r="CI369" s="5">
        <f>IF(A369="","",N(INDEX(Projects[Est Systems Eng],368)))</f>
        <v/>
      </c>
      <c r="CJ369" s="5">
        <f>IF(A369="","",N(INDEX(Projects[Est Mechanical Eng],368)))</f>
        <v/>
      </c>
      <c r="CK369" s="5">
        <f>IF(A369="","",N(INDEX(Projects[Est Structural Engineering],368)))</f>
        <v/>
      </c>
      <c r="CL369" s="5">
        <f>IF(A369="","",N(INDEX(Projects[Est Site Sup],368)))</f>
        <v/>
      </c>
      <c r="CM369" s="5">
        <f>IF(A369="","",N(INDEX(Projects[Est Controls Commissioning],368)))</f>
        <v/>
      </c>
      <c r="CN369" s="5">
        <f>IF(A369="","",N(INDEX(Projects[Est Systems Commissioning],368)))</f>
        <v/>
      </c>
      <c r="CO369" s="5">
        <f>IF(A369="","",N(INDEX(Projects[Est Service Commissioning],368)))</f>
        <v/>
      </c>
      <c r="CP369" s="5">
        <f>IF(A369="","",N(INDEX(Projects[Est Controls Eng],368)))</f>
        <v/>
      </c>
      <c r="CQ369" s="5">
        <f>IF(A369="","",N(INDEX(Projects[Est Controls Purchase],368)))</f>
        <v/>
      </c>
      <c r="CR369" s="5">
        <f>IF(A369="","",N(INDEX(Projects[Est Software Eng],368)))</f>
        <v/>
      </c>
      <c r="CS369" s="5">
        <f>IF(A369="","",N(INDEX(Projects[Est Misc],368)))</f>
        <v/>
      </c>
      <c r="CT369" s="5">
        <f>IF(A369="","",SUM(CF369:CS369))</f>
        <v/>
      </c>
      <c r="CU369" s="5">
        <f>INDEX(Projects[Est Cost (M)],368)</f>
        <v/>
      </c>
      <c r="CV369" s="5">
        <f>INDEX(Projects[Act Cost (M)],368)</f>
        <v/>
      </c>
      <c r="CW369" s="5">
        <f>INDEX(Projects[Plan Mech Eng (wks)],368)</f>
        <v/>
      </c>
      <c r="CX369" s="5">
        <f>INDEX(Projects[Plan Controls Eng (wks)],368)</f>
        <v/>
      </c>
      <c r="CY369" s="5">
        <f>INDEX(Projects[Plan Systems Eng (wks)],368)</f>
        <v/>
      </c>
      <c r="CZ369" s="5">
        <f>INDEX(Projects[Plan Software Eng (wks)],368)</f>
        <v/>
      </c>
      <c r="DA369" s="5">
        <f>INDEX(Projects[Plan M&amp;E Installation (wks)],368)</f>
        <v/>
      </c>
      <c r="DB369" s="5">
        <f>INDEX(Projects[Plan Commissioning (wks)],368)</f>
        <v/>
      </c>
      <c r="DC369" s="5">
        <f>INDEX(Projects[Plan Total (wks)],368)</f>
        <v/>
      </c>
      <c r="DD369" s="5">
        <f>INDEX(Projects[Act Mech Eng (wks)],368)</f>
        <v/>
      </c>
      <c r="DE369" s="5">
        <f>INDEX(Projects[Act Controls Eng (wks)],368)</f>
        <v/>
      </c>
      <c r="DF369" s="5">
        <f>INDEX(Projects[Act Systems Eng (wks)],368)</f>
        <v/>
      </c>
      <c r="DG369" s="5">
        <f>INDEX(Projects[Act Software Eng (wks)],368)</f>
        <v/>
      </c>
      <c r="DH369" s="5">
        <f>INDEX(Projects[Act M&amp;E Installation (wks)],368)</f>
        <v/>
      </c>
      <c r="DI369" s="5">
        <f>INDEX(Projects[Act Commissioning (wks)],368)</f>
        <v/>
      </c>
      <c r="DJ369" s="5">
        <f>INDEX(Projects[Act Total (wks)],368)</f>
        <v/>
      </c>
    </row>
    <row r="370" ht="15" customHeight="1" s="82">
      <c r="A370" s="64">
        <f>INDEX(Projects[Project ID *],369)&amp;""</f>
        <v/>
      </c>
      <c r="B370" s="64">
        <f>INDEX(Projects[Project Name *],369)&amp;""</f>
        <v/>
      </c>
      <c r="C370" s="64">
        <f>INDEX(Projects[MS Shuttles],369)</f>
        <v/>
      </c>
      <c r="D370" s="64">
        <f>INDEX(Projects[MS Tote Locations],369)</f>
        <v/>
      </c>
      <c r="E370" s="64">
        <f>INDEX(Projects[AS Robots],369)</f>
        <v/>
      </c>
      <c r="F370" s="64">
        <f>INDEX(Projects[AS Tote Locations],369)</f>
        <v/>
      </c>
      <c r="G370" s="64">
        <f>INDEX(Projects[PS Shuttles],369)</f>
        <v/>
      </c>
      <c r="H370" s="64">
        <f>INDEX(Projects[PS Pallet Locations],369)</f>
        <v/>
      </c>
      <c r="I370" s="64">
        <f>INDEX(Projects[SRM Cranes],369)</f>
        <v/>
      </c>
      <c r="J370" s="64">
        <f>INDEX(Projects[SRM Pallet Locations],369)</f>
        <v/>
      </c>
      <c r="K370" s="64">
        <f>INDEX(Projects[Case Conv (m)],369)</f>
        <v/>
      </c>
      <c r="L370" s="64">
        <f>INDEX(Projects[Pallet Conv (m)],369)</f>
        <v/>
      </c>
      <c r="M370" s="64">
        <f>IF(N(DJ370)&gt;0,DD370,CW370)</f>
        <v/>
      </c>
      <c r="N370" s="64">
        <f>IF(N(DJ370)&gt;0,DE370,CX370)</f>
        <v/>
      </c>
      <c r="O370" s="64">
        <f>IF(N(DJ370)&gt;0,DF370,CY370)</f>
        <v/>
      </c>
      <c r="P370" s="64">
        <f>IF(N(DJ370)&gt;0,DG370,CZ370)</f>
        <v/>
      </c>
      <c r="Q370" s="64">
        <f>IF(N(DJ370)&gt;0,DH370,DA370)</f>
        <v/>
      </c>
      <c r="R370" s="64">
        <f>IF(N(DJ370)&gt;0,DI370,DB370)</f>
        <v/>
      </c>
      <c r="S370" s="64">
        <f>IF(N(DJ370)&gt;0,DJ370,DC370)</f>
        <v/>
      </c>
      <c r="T370" s="64">
        <f>INDEX(Projects[Currency],369)&amp;""</f>
        <v/>
      </c>
      <c r="U370" s="65">
        <f>INDEX(Projects[Sold Value (M)],369)</f>
        <v/>
      </c>
      <c r="V370" s="64">
        <f>IF('Smart Search'!B13=1,IFERROR(1/'Smart Search'!H13,0),0)</f>
        <v/>
      </c>
      <c r="W370" s="64">
        <f>IF('Smart Search'!B13=1,IFERROR(1/'Smart Search'!H13,0),0)</f>
        <v/>
      </c>
      <c r="X370" s="64">
        <f>IF('Smart Search'!C13=1,IFERROR(1/'Smart Search'!H13,0),0)</f>
        <v/>
      </c>
      <c r="Y370" s="64">
        <f>IF('Smart Search'!C13=1,IFERROR(1/'Smart Search'!H13,0),0)</f>
        <v/>
      </c>
      <c r="Z370" s="64">
        <f>IF('Smart Search'!D13=1,IFERROR(1/'Smart Search'!H13,0),0)</f>
        <v/>
      </c>
      <c r="AA370" s="64">
        <f>IF('Smart Search'!D13=1,IFERROR(1/'Smart Search'!H13,0),0)</f>
        <v/>
      </c>
      <c r="AB370" s="64">
        <f>IF('Smart Search'!E13=1,IFERROR(1/'Smart Search'!H13,0),0)</f>
        <v/>
      </c>
      <c r="AC370" s="64">
        <f>IF('Smart Search'!E13=1,IFERROR(1/'Smart Search'!H13,0),0)</f>
        <v/>
      </c>
      <c r="AD370" s="64">
        <f>IF('Smart Search'!F13=1,IFERROR(1/'Smart Search'!H13,0),0)</f>
        <v/>
      </c>
      <c r="AE370" s="64">
        <f>IF('Smart Search'!F13=1,IFERROR(1/'Smart Search'!H13,0),0)</f>
        <v/>
      </c>
      <c r="AF370" s="64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4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4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4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4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4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4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4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4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4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4">
        <f>AF370*V370</f>
        <v/>
      </c>
      <c r="AQ370" s="64">
        <f>AG370*W370</f>
        <v/>
      </c>
      <c r="AR370" s="64">
        <f>AH370*X370</f>
        <v/>
      </c>
      <c r="AS370" s="64">
        <f>AI370*Y370</f>
        <v/>
      </c>
      <c r="AT370" s="64">
        <f>AJ370*Z370</f>
        <v/>
      </c>
      <c r="AU370" s="64">
        <f>AK370*AA370</f>
        <v/>
      </c>
      <c r="AV370" s="64">
        <f>AL370*AB370</f>
        <v/>
      </c>
      <c r="AW370" s="64">
        <f>AM370*AC370</f>
        <v/>
      </c>
      <c r="AX370" s="64">
        <f>AN370*AD370</f>
        <v/>
      </c>
      <c r="AY370" s="64">
        <f>AO370*AE370</f>
        <v/>
      </c>
      <c r="AZ370" s="64">
        <f>INDEX(Projects[Automation Equipment],369)&amp;""</f>
        <v/>
      </c>
      <c r="BA370" s="64">
        <f>IF(OR(A370="",'Smart Search'!H13=0),"",MAX(0,BE370*BF370*MAX(0,1-BG370)))</f>
        <v/>
      </c>
      <c r="BB370" s="64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4">
        <f>IF('Smart Search'!G13=1,IFERROR(1/'Smart Search'!H13,0),0)</f>
        <v/>
      </c>
      <c r="BD370" s="64">
        <f>BB370*BC370</f>
        <v/>
      </c>
      <c r="BE370" s="64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IF(A370="","",N(INDEX(Projects[Act Mech Inst],369)))</f>
        <v/>
      </c>
      <c r="BK370" s="5">
        <f>IF(A370="","",N(INDEX(Projects[Act Elec Inst],369)))</f>
        <v/>
      </c>
      <c r="BL370" s="5">
        <f>IF(A370="","",N(INDEX(Projects[Act Project Management],369)))</f>
        <v/>
      </c>
      <c r="BM370" s="5">
        <f>IF(A370="","",N(INDEX(Projects[Act Systems Eng],369)))</f>
        <v/>
      </c>
      <c r="BN370" s="5">
        <f>IF(A370="","",N(INDEX(Projects[Act Mechanical Eng],369)))</f>
        <v/>
      </c>
      <c r="BO370" s="5">
        <f>IF(A370="","",N(INDEX(Projects[Act Structural Engineering],369)))</f>
        <v/>
      </c>
      <c r="BP370" s="5">
        <f>IF(A370="","",N(INDEX(Projects[Act Site Sup],369)))</f>
        <v/>
      </c>
      <c r="BQ370" s="5">
        <f>IF(A370="","",N(INDEX(Projects[Act Controls Commissioning],369)))</f>
        <v/>
      </c>
      <c r="BR370" s="5">
        <f>IF(A370="","",N(INDEX(Projects[Act Systems Commissioning],369)))</f>
        <v/>
      </c>
      <c r="BS370" s="5">
        <f>IF(A370="","",N(INDEX(Projects[Act Service Commissioning],369)))</f>
        <v/>
      </c>
      <c r="BT370" s="5">
        <f>IF(A370="","",N(INDEX(Projects[Act Controls Eng],369)))</f>
        <v/>
      </c>
      <c r="BU370" s="5">
        <f>IF(A370="","",N(INDEX(Projects[Act Controls Purchase],369)))</f>
        <v/>
      </c>
      <c r="BV370" s="5">
        <f>IF(A370="","",N(INDEX(Projects[Act Software Eng],369)))</f>
        <v/>
      </c>
      <c r="BW370" s="5">
        <f>IF(A370="","",N(INDEX(Projects[Act 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INDEX(Projects[Sold Value (USD M)],369)</f>
        <v/>
      </c>
      <c r="CE370" s="5" t="n"/>
      <c r="CF370" s="5">
        <f>IF(A370="","",N(INDEX(Projects[Est Mech Inst],369)))</f>
        <v/>
      </c>
      <c r="CG370" s="5">
        <f>IF(A370="","",N(INDEX(Projects[Est Elec Inst],369)))</f>
        <v/>
      </c>
      <c r="CH370" s="5">
        <f>IF(A370="","",N(INDEX(Projects[Est Project Management],369)))</f>
        <v/>
      </c>
      <c r="CI370" s="5">
        <f>IF(A370="","",N(INDEX(Projects[Est Systems Eng],369)))</f>
        <v/>
      </c>
      <c r="CJ370" s="5">
        <f>IF(A370="","",N(INDEX(Projects[Est Mechanical Eng],369)))</f>
        <v/>
      </c>
      <c r="CK370" s="5">
        <f>IF(A370="","",N(INDEX(Projects[Est Structural Engineering],369)))</f>
        <v/>
      </c>
      <c r="CL370" s="5">
        <f>IF(A370="","",N(INDEX(Projects[Est Site Sup],369)))</f>
        <v/>
      </c>
      <c r="CM370" s="5">
        <f>IF(A370="","",N(INDEX(Projects[Est Controls Commissioning],369)))</f>
        <v/>
      </c>
      <c r="CN370" s="5">
        <f>IF(A370="","",N(INDEX(Projects[Est Systems Commissioning],369)))</f>
        <v/>
      </c>
      <c r="CO370" s="5">
        <f>IF(A370="","",N(INDEX(Projects[Est Service Commissioning],369)))</f>
        <v/>
      </c>
      <c r="CP370" s="5">
        <f>IF(A370="","",N(INDEX(Projects[Est Controls Eng],369)))</f>
        <v/>
      </c>
      <c r="CQ370" s="5">
        <f>IF(A370="","",N(INDEX(Projects[Est Controls Purchase],369)))</f>
        <v/>
      </c>
      <c r="CR370" s="5">
        <f>IF(A370="","",N(INDEX(Projects[Est Software Eng],369)))</f>
        <v/>
      </c>
      <c r="CS370" s="5">
        <f>IF(A370="","",N(INDEX(Projects[Est Misc],369)))</f>
        <v/>
      </c>
      <c r="CT370" s="5">
        <f>IF(A370="","",SUM(CF370:CS370))</f>
        <v/>
      </c>
      <c r="CU370" s="5">
        <f>INDEX(Projects[Est Cost (M)],369)</f>
        <v/>
      </c>
      <c r="CV370" s="5">
        <f>INDEX(Projects[Act Cost (M)],369)</f>
        <v/>
      </c>
      <c r="CW370" s="5">
        <f>INDEX(Projects[Plan Mech Eng (wks)],369)</f>
        <v/>
      </c>
      <c r="CX370" s="5">
        <f>INDEX(Projects[Plan Controls Eng (wks)],369)</f>
        <v/>
      </c>
      <c r="CY370" s="5">
        <f>INDEX(Projects[Plan Systems Eng (wks)],369)</f>
        <v/>
      </c>
      <c r="CZ370" s="5">
        <f>INDEX(Projects[Plan Software Eng (wks)],369)</f>
        <v/>
      </c>
      <c r="DA370" s="5">
        <f>INDEX(Projects[Plan M&amp;E Installation (wks)],369)</f>
        <v/>
      </c>
      <c r="DB370" s="5">
        <f>INDEX(Projects[Plan Commissioning (wks)],369)</f>
        <v/>
      </c>
      <c r="DC370" s="5">
        <f>INDEX(Projects[Plan Total (wks)],369)</f>
        <v/>
      </c>
      <c r="DD370" s="5">
        <f>INDEX(Projects[Act Mech Eng (wks)],369)</f>
        <v/>
      </c>
      <c r="DE370" s="5">
        <f>INDEX(Projects[Act Controls Eng (wks)],369)</f>
        <v/>
      </c>
      <c r="DF370" s="5">
        <f>INDEX(Projects[Act Systems Eng (wks)],369)</f>
        <v/>
      </c>
      <c r="DG370" s="5">
        <f>INDEX(Projects[Act Software Eng (wks)],369)</f>
        <v/>
      </c>
      <c r="DH370" s="5">
        <f>INDEX(Projects[Act M&amp;E Installation (wks)],369)</f>
        <v/>
      </c>
      <c r="DI370" s="5">
        <f>INDEX(Projects[Act Commissioning (wks)],369)</f>
        <v/>
      </c>
      <c r="DJ370" s="5">
        <f>INDEX(Projects[Act Total (wks)],369)</f>
        <v/>
      </c>
    </row>
    <row r="371" ht="15" customHeight="1" s="82">
      <c r="A371" s="64">
        <f>INDEX(Projects[Project ID *],370)&amp;""</f>
        <v/>
      </c>
      <c r="B371" s="64">
        <f>INDEX(Projects[Project Name *],370)&amp;""</f>
        <v/>
      </c>
      <c r="C371" s="64">
        <f>INDEX(Projects[MS Shuttles],370)</f>
        <v/>
      </c>
      <c r="D371" s="64">
        <f>INDEX(Projects[MS Tote Locations],370)</f>
        <v/>
      </c>
      <c r="E371" s="64">
        <f>INDEX(Projects[AS Robots],370)</f>
        <v/>
      </c>
      <c r="F371" s="64">
        <f>INDEX(Projects[AS Tote Locations],370)</f>
        <v/>
      </c>
      <c r="G371" s="64">
        <f>INDEX(Projects[PS Shuttles],370)</f>
        <v/>
      </c>
      <c r="H371" s="64">
        <f>INDEX(Projects[PS Pallet Locations],370)</f>
        <v/>
      </c>
      <c r="I371" s="64">
        <f>INDEX(Projects[SRM Cranes],370)</f>
        <v/>
      </c>
      <c r="J371" s="64">
        <f>INDEX(Projects[SRM Pallet Locations],370)</f>
        <v/>
      </c>
      <c r="K371" s="64">
        <f>INDEX(Projects[Case Conv (m)],370)</f>
        <v/>
      </c>
      <c r="L371" s="64">
        <f>INDEX(Projects[Pallet Conv (m)],370)</f>
        <v/>
      </c>
      <c r="M371" s="64">
        <f>IF(N(DJ371)&gt;0,DD371,CW371)</f>
        <v/>
      </c>
      <c r="N371" s="64">
        <f>IF(N(DJ371)&gt;0,DE371,CX371)</f>
        <v/>
      </c>
      <c r="O371" s="64">
        <f>IF(N(DJ371)&gt;0,DF371,CY371)</f>
        <v/>
      </c>
      <c r="P371" s="64">
        <f>IF(N(DJ371)&gt;0,DG371,CZ371)</f>
        <v/>
      </c>
      <c r="Q371" s="64">
        <f>IF(N(DJ371)&gt;0,DH371,DA371)</f>
        <v/>
      </c>
      <c r="R371" s="64">
        <f>IF(N(DJ371)&gt;0,DI371,DB371)</f>
        <v/>
      </c>
      <c r="S371" s="64">
        <f>IF(N(DJ371)&gt;0,DJ371,DC371)</f>
        <v/>
      </c>
      <c r="T371" s="64">
        <f>INDEX(Projects[Currency],370)&amp;""</f>
        <v/>
      </c>
      <c r="U371" s="65">
        <f>INDEX(Projects[Sold Value (M)],370)</f>
        <v/>
      </c>
      <c r="V371" s="64">
        <f>IF('Smart Search'!B13=1,IFERROR(1/'Smart Search'!H13,0),0)</f>
        <v/>
      </c>
      <c r="W371" s="64">
        <f>IF('Smart Search'!B13=1,IFERROR(1/'Smart Search'!H13,0),0)</f>
        <v/>
      </c>
      <c r="X371" s="64">
        <f>IF('Smart Search'!C13=1,IFERROR(1/'Smart Search'!H13,0),0)</f>
        <v/>
      </c>
      <c r="Y371" s="64">
        <f>IF('Smart Search'!C13=1,IFERROR(1/'Smart Search'!H13,0),0)</f>
        <v/>
      </c>
      <c r="Z371" s="64">
        <f>IF('Smart Search'!D13=1,IFERROR(1/'Smart Search'!H13,0),0)</f>
        <v/>
      </c>
      <c r="AA371" s="64">
        <f>IF('Smart Search'!D13=1,IFERROR(1/'Smart Search'!H13,0),0)</f>
        <v/>
      </c>
      <c r="AB371" s="64">
        <f>IF('Smart Search'!E13=1,IFERROR(1/'Smart Search'!H13,0),0)</f>
        <v/>
      </c>
      <c r="AC371" s="64">
        <f>IF('Smart Search'!E13=1,IFERROR(1/'Smart Search'!H13,0),0)</f>
        <v/>
      </c>
      <c r="AD371" s="64">
        <f>IF('Smart Search'!F13=1,IFERROR(1/'Smart Search'!H13,0),0)</f>
        <v/>
      </c>
      <c r="AE371" s="64">
        <f>IF('Smart Search'!F13=1,IFERROR(1/'Smart Search'!H13,0),0)</f>
        <v/>
      </c>
      <c r="AF371" s="64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4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4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4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4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4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4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4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4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4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4">
        <f>AF371*V371</f>
        <v/>
      </c>
      <c r="AQ371" s="64">
        <f>AG371*W371</f>
        <v/>
      </c>
      <c r="AR371" s="64">
        <f>AH371*X371</f>
        <v/>
      </c>
      <c r="AS371" s="64">
        <f>AI371*Y371</f>
        <v/>
      </c>
      <c r="AT371" s="64">
        <f>AJ371*Z371</f>
        <v/>
      </c>
      <c r="AU371" s="64">
        <f>AK371*AA371</f>
        <v/>
      </c>
      <c r="AV371" s="64">
        <f>AL371*AB371</f>
        <v/>
      </c>
      <c r="AW371" s="64">
        <f>AM371*AC371</f>
        <v/>
      </c>
      <c r="AX371" s="64">
        <f>AN371*AD371</f>
        <v/>
      </c>
      <c r="AY371" s="64">
        <f>AO371*AE371</f>
        <v/>
      </c>
      <c r="AZ371" s="64">
        <f>INDEX(Projects[Automation Equipment],370)&amp;""</f>
        <v/>
      </c>
      <c r="BA371" s="64">
        <f>IF(OR(A371="",'Smart Search'!H13=0),"",MAX(0,BE371*BF371*MAX(0,1-BG371)))</f>
        <v/>
      </c>
      <c r="BB371" s="64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4">
        <f>IF('Smart Search'!G13=1,IFERROR(1/'Smart Search'!H13,0),0)</f>
        <v/>
      </c>
      <c r="BD371" s="64">
        <f>BB371*BC371</f>
        <v/>
      </c>
      <c r="BE371" s="64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IF(A371="","",N(INDEX(Projects[Act Mech Inst],370)))</f>
        <v/>
      </c>
      <c r="BK371" s="5">
        <f>IF(A371="","",N(INDEX(Projects[Act Elec Inst],370)))</f>
        <v/>
      </c>
      <c r="BL371" s="5">
        <f>IF(A371="","",N(INDEX(Projects[Act Project Management],370)))</f>
        <v/>
      </c>
      <c r="BM371" s="5">
        <f>IF(A371="","",N(INDEX(Projects[Act Systems Eng],370)))</f>
        <v/>
      </c>
      <c r="BN371" s="5">
        <f>IF(A371="","",N(INDEX(Projects[Act Mechanical Eng],370)))</f>
        <v/>
      </c>
      <c r="BO371" s="5">
        <f>IF(A371="","",N(INDEX(Projects[Act Structural Engineering],370)))</f>
        <v/>
      </c>
      <c r="BP371" s="5">
        <f>IF(A371="","",N(INDEX(Projects[Act Site Sup],370)))</f>
        <v/>
      </c>
      <c r="BQ371" s="5">
        <f>IF(A371="","",N(INDEX(Projects[Act Controls Commissioning],370)))</f>
        <v/>
      </c>
      <c r="BR371" s="5">
        <f>IF(A371="","",N(INDEX(Projects[Act Systems Commissioning],370)))</f>
        <v/>
      </c>
      <c r="BS371" s="5">
        <f>IF(A371="","",N(INDEX(Projects[Act Service Commissioning],370)))</f>
        <v/>
      </c>
      <c r="BT371" s="5">
        <f>IF(A371="","",N(INDEX(Projects[Act Controls Eng],370)))</f>
        <v/>
      </c>
      <c r="BU371" s="5">
        <f>IF(A371="","",N(INDEX(Projects[Act Controls Purchase],370)))</f>
        <v/>
      </c>
      <c r="BV371" s="5">
        <f>IF(A371="","",N(INDEX(Projects[Act Software Eng],370)))</f>
        <v/>
      </c>
      <c r="BW371" s="5">
        <f>IF(A371="","",N(INDEX(Projects[Act 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INDEX(Projects[Sold Value (USD M)],370)</f>
        <v/>
      </c>
      <c r="CE371" s="5" t="n"/>
      <c r="CF371" s="5">
        <f>IF(A371="","",N(INDEX(Projects[Est Mech Inst],370)))</f>
        <v/>
      </c>
      <c r="CG371" s="5">
        <f>IF(A371="","",N(INDEX(Projects[Est Elec Inst],370)))</f>
        <v/>
      </c>
      <c r="CH371" s="5">
        <f>IF(A371="","",N(INDEX(Projects[Est Project Management],370)))</f>
        <v/>
      </c>
      <c r="CI371" s="5">
        <f>IF(A371="","",N(INDEX(Projects[Est Systems Eng],370)))</f>
        <v/>
      </c>
      <c r="CJ371" s="5">
        <f>IF(A371="","",N(INDEX(Projects[Est Mechanical Eng],370)))</f>
        <v/>
      </c>
      <c r="CK371" s="5">
        <f>IF(A371="","",N(INDEX(Projects[Est Structural Engineering],370)))</f>
        <v/>
      </c>
      <c r="CL371" s="5">
        <f>IF(A371="","",N(INDEX(Projects[Est Site Sup],370)))</f>
        <v/>
      </c>
      <c r="CM371" s="5">
        <f>IF(A371="","",N(INDEX(Projects[Est Controls Commissioning],370)))</f>
        <v/>
      </c>
      <c r="CN371" s="5">
        <f>IF(A371="","",N(INDEX(Projects[Est Systems Commissioning],370)))</f>
        <v/>
      </c>
      <c r="CO371" s="5">
        <f>IF(A371="","",N(INDEX(Projects[Est Service Commissioning],370)))</f>
        <v/>
      </c>
      <c r="CP371" s="5">
        <f>IF(A371="","",N(INDEX(Projects[Est Controls Eng],370)))</f>
        <v/>
      </c>
      <c r="CQ371" s="5">
        <f>IF(A371="","",N(INDEX(Projects[Est Controls Purchase],370)))</f>
        <v/>
      </c>
      <c r="CR371" s="5">
        <f>IF(A371="","",N(INDEX(Projects[Est Software Eng],370)))</f>
        <v/>
      </c>
      <c r="CS371" s="5">
        <f>IF(A371="","",N(INDEX(Projects[Est Misc],370)))</f>
        <v/>
      </c>
      <c r="CT371" s="5">
        <f>IF(A371="","",SUM(CF371:CS371))</f>
        <v/>
      </c>
      <c r="CU371" s="5">
        <f>INDEX(Projects[Est Cost (M)],370)</f>
        <v/>
      </c>
      <c r="CV371" s="5">
        <f>INDEX(Projects[Act Cost (M)],370)</f>
        <v/>
      </c>
      <c r="CW371" s="5">
        <f>INDEX(Projects[Plan Mech Eng (wks)],370)</f>
        <v/>
      </c>
      <c r="CX371" s="5">
        <f>INDEX(Projects[Plan Controls Eng (wks)],370)</f>
        <v/>
      </c>
      <c r="CY371" s="5">
        <f>INDEX(Projects[Plan Systems Eng (wks)],370)</f>
        <v/>
      </c>
      <c r="CZ371" s="5">
        <f>INDEX(Projects[Plan Software Eng (wks)],370)</f>
        <v/>
      </c>
      <c r="DA371" s="5">
        <f>INDEX(Projects[Plan M&amp;E Installation (wks)],370)</f>
        <v/>
      </c>
      <c r="DB371" s="5">
        <f>INDEX(Projects[Plan Commissioning (wks)],370)</f>
        <v/>
      </c>
      <c r="DC371" s="5">
        <f>INDEX(Projects[Plan Total (wks)],370)</f>
        <v/>
      </c>
      <c r="DD371" s="5">
        <f>INDEX(Projects[Act Mech Eng (wks)],370)</f>
        <v/>
      </c>
      <c r="DE371" s="5">
        <f>INDEX(Projects[Act Controls Eng (wks)],370)</f>
        <v/>
      </c>
      <c r="DF371" s="5">
        <f>INDEX(Projects[Act Systems Eng (wks)],370)</f>
        <v/>
      </c>
      <c r="DG371" s="5">
        <f>INDEX(Projects[Act Software Eng (wks)],370)</f>
        <v/>
      </c>
      <c r="DH371" s="5">
        <f>INDEX(Projects[Act M&amp;E Installation (wks)],370)</f>
        <v/>
      </c>
      <c r="DI371" s="5">
        <f>INDEX(Projects[Act Commissioning (wks)],370)</f>
        <v/>
      </c>
      <c r="DJ371" s="5">
        <f>INDEX(Projects[Act Total (wks)],370)</f>
        <v/>
      </c>
    </row>
    <row r="372" ht="15" customHeight="1" s="82">
      <c r="A372" s="64">
        <f>INDEX(Projects[Project ID *],371)&amp;""</f>
        <v/>
      </c>
      <c r="B372" s="64">
        <f>INDEX(Projects[Project Name *],371)&amp;""</f>
        <v/>
      </c>
      <c r="C372" s="64">
        <f>INDEX(Projects[MS Shuttles],371)</f>
        <v/>
      </c>
      <c r="D372" s="64">
        <f>INDEX(Projects[MS Tote Locations],371)</f>
        <v/>
      </c>
      <c r="E372" s="64">
        <f>INDEX(Projects[AS Robots],371)</f>
        <v/>
      </c>
      <c r="F372" s="64">
        <f>INDEX(Projects[AS Tote Locations],371)</f>
        <v/>
      </c>
      <c r="G372" s="64">
        <f>INDEX(Projects[PS Shuttles],371)</f>
        <v/>
      </c>
      <c r="H372" s="64">
        <f>INDEX(Projects[PS Pallet Locations],371)</f>
        <v/>
      </c>
      <c r="I372" s="64">
        <f>INDEX(Projects[SRM Cranes],371)</f>
        <v/>
      </c>
      <c r="J372" s="64">
        <f>INDEX(Projects[SRM Pallet Locations],371)</f>
        <v/>
      </c>
      <c r="K372" s="64">
        <f>INDEX(Projects[Case Conv (m)],371)</f>
        <v/>
      </c>
      <c r="L372" s="64">
        <f>INDEX(Projects[Pallet Conv (m)],371)</f>
        <v/>
      </c>
      <c r="M372" s="64">
        <f>IF(N(DJ372)&gt;0,DD372,CW372)</f>
        <v/>
      </c>
      <c r="N372" s="64">
        <f>IF(N(DJ372)&gt;0,DE372,CX372)</f>
        <v/>
      </c>
      <c r="O372" s="64">
        <f>IF(N(DJ372)&gt;0,DF372,CY372)</f>
        <v/>
      </c>
      <c r="P372" s="64">
        <f>IF(N(DJ372)&gt;0,DG372,CZ372)</f>
        <v/>
      </c>
      <c r="Q372" s="64">
        <f>IF(N(DJ372)&gt;0,DH372,DA372)</f>
        <v/>
      </c>
      <c r="R372" s="64">
        <f>IF(N(DJ372)&gt;0,DI372,DB372)</f>
        <v/>
      </c>
      <c r="S372" s="64">
        <f>IF(N(DJ372)&gt;0,DJ372,DC372)</f>
        <v/>
      </c>
      <c r="T372" s="64">
        <f>INDEX(Projects[Currency],371)&amp;""</f>
        <v/>
      </c>
      <c r="U372" s="65">
        <f>INDEX(Projects[Sold Value (M)],371)</f>
        <v/>
      </c>
      <c r="V372" s="64">
        <f>IF('Smart Search'!B13=1,IFERROR(1/'Smart Search'!H13,0),0)</f>
        <v/>
      </c>
      <c r="W372" s="64">
        <f>IF('Smart Search'!B13=1,IFERROR(1/'Smart Search'!H13,0),0)</f>
        <v/>
      </c>
      <c r="X372" s="64">
        <f>IF('Smart Search'!C13=1,IFERROR(1/'Smart Search'!H13,0),0)</f>
        <v/>
      </c>
      <c r="Y372" s="64">
        <f>IF('Smart Search'!C13=1,IFERROR(1/'Smart Search'!H13,0),0)</f>
        <v/>
      </c>
      <c r="Z372" s="64">
        <f>IF('Smart Search'!D13=1,IFERROR(1/'Smart Search'!H13,0),0)</f>
        <v/>
      </c>
      <c r="AA372" s="64">
        <f>IF('Smart Search'!D13=1,IFERROR(1/'Smart Search'!H13,0),0)</f>
        <v/>
      </c>
      <c r="AB372" s="64">
        <f>IF('Smart Search'!E13=1,IFERROR(1/'Smart Search'!H13,0),0)</f>
        <v/>
      </c>
      <c r="AC372" s="64">
        <f>IF('Smart Search'!E13=1,IFERROR(1/'Smart Search'!H13,0),0)</f>
        <v/>
      </c>
      <c r="AD372" s="64">
        <f>IF('Smart Search'!F13=1,IFERROR(1/'Smart Search'!H13,0),0)</f>
        <v/>
      </c>
      <c r="AE372" s="64">
        <f>IF('Smart Search'!F13=1,IFERROR(1/'Smart Search'!H13,0),0)</f>
        <v/>
      </c>
      <c r="AF372" s="64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4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4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4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4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4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4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4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4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4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4">
        <f>AF372*V372</f>
        <v/>
      </c>
      <c r="AQ372" s="64">
        <f>AG372*W372</f>
        <v/>
      </c>
      <c r="AR372" s="64">
        <f>AH372*X372</f>
        <v/>
      </c>
      <c r="AS372" s="64">
        <f>AI372*Y372</f>
        <v/>
      </c>
      <c r="AT372" s="64">
        <f>AJ372*Z372</f>
        <v/>
      </c>
      <c r="AU372" s="64">
        <f>AK372*AA372</f>
        <v/>
      </c>
      <c r="AV372" s="64">
        <f>AL372*AB372</f>
        <v/>
      </c>
      <c r="AW372" s="64">
        <f>AM372*AC372</f>
        <v/>
      </c>
      <c r="AX372" s="64">
        <f>AN372*AD372</f>
        <v/>
      </c>
      <c r="AY372" s="64">
        <f>AO372*AE372</f>
        <v/>
      </c>
      <c r="AZ372" s="64">
        <f>INDEX(Projects[Automation Equipment],371)&amp;""</f>
        <v/>
      </c>
      <c r="BA372" s="64">
        <f>IF(OR(A372="",'Smart Search'!H13=0),"",MAX(0,BE372*BF372*MAX(0,1-BG372)))</f>
        <v/>
      </c>
      <c r="BB372" s="64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4">
        <f>IF('Smart Search'!G13=1,IFERROR(1/'Smart Search'!H13,0),0)</f>
        <v/>
      </c>
      <c r="BD372" s="64">
        <f>BB372*BC372</f>
        <v/>
      </c>
      <c r="BE372" s="64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IF(A372="","",N(INDEX(Projects[Act Mech Inst],371)))</f>
        <v/>
      </c>
      <c r="BK372" s="5">
        <f>IF(A372="","",N(INDEX(Projects[Act Elec Inst],371)))</f>
        <v/>
      </c>
      <c r="BL372" s="5">
        <f>IF(A372="","",N(INDEX(Projects[Act Project Management],371)))</f>
        <v/>
      </c>
      <c r="BM372" s="5">
        <f>IF(A372="","",N(INDEX(Projects[Act Systems Eng],371)))</f>
        <v/>
      </c>
      <c r="BN372" s="5">
        <f>IF(A372="","",N(INDEX(Projects[Act Mechanical Eng],371)))</f>
        <v/>
      </c>
      <c r="BO372" s="5">
        <f>IF(A372="","",N(INDEX(Projects[Act Structural Engineering],371)))</f>
        <v/>
      </c>
      <c r="BP372" s="5">
        <f>IF(A372="","",N(INDEX(Projects[Act Site Sup],371)))</f>
        <v/>
      </c>
      <c r="BQ372" s="5">
        <f>IF(A372="","",N(INDEX(Projects[Act Controls Commissioning],371)))</f>
        <v/>
      </c>
      <c r="BR372" s="5">
        <f>IF(A372="","",N(INDEX(Projects[Act Systems Commissioning],371)))</f>
        <v/>
      </c>
      <c r="BS372" s="5">
        <f>IF(A372="","",N(INDEX(Projects[Act Service Commissioning],371)))</f>
        <v/>
      </c>
      <c r="BT372" s="5">
        <f>IF(A372="","",N(INDEX(Projects[Act Controls Eng],371)))</f>
        <v/>
      </c>
      <c r="BU372" s="5">
        <f>IF(A372="","",N(INDEX(Projects[Act Controls Purchase],371)))</f>
        <v/>
      </c>
      <c r="BV372" s="5">
        <f>IF(A372="","",N(INDEX(Projects[Act Software Eng],371)))</f>
        <v/>
      </c>
      <c r="BW372" s="5">
        <f>IF(A372="","",N(INDEX(Projects[Act 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INDEX(Projects[Sold Value (USD M)],371)</f>
        <v/>
      </c>
      <c r="CE372" s="5" t="n"/>
      <c r="CF372" s="5">
        <f>IF(A372="","",N(INDEX(Projects[Est Mech Inst],371)))</f>
        <v/>
      </c>
      <c r="CG372" s="5">
        <f>IF(A372="","",N(INDEX(Projects[Est Elec Inst],371)))</f>
        <v/>
      </c>
      <c r="CH372" s="5">
        <f>IF(A372="","",N(INDEX(Projects[Est Project Management],371)))</f>
        <v/>
      </c>
      <c r="CI372" s="5">
        <f>IF(A372="","",N(INDEX(Projects[Est Systems Eng],371)))</f>
        <v/>
      </c>
      <c r="CJ372" s="5">
        <f>IF(A372="","",N(INDEX(Projects[Est Mechanical Eng],371)))</f>
        <v/>
      </c>
      <c r="CK372" s="5">
        <f>IF(A372="","",N(INDEX(Projects[Est Structural Engineering],371)))</f>
        <v/>
      </c>
      <c r="CL372" s="5">
        <f>IF(A372="","",N(INDEX(Projects[Est Site Sup],371)))</f>
        <v/>
      </c>
      <c r="CM372" s="5">
        <f>IF(A372="","",N(INDEX(Projects[Est Controls Commissioning],371)))</f>
        <v/>
      </c>
      <c r="CN372" s="5">
        <f>IF(A372="","",N(INDEX(Projects[Est Systems Commissioning],371)))</f>
        <v/>
      </c>
      <c r="CO372" s="5">
        <f>IF(A372="","",N(INDEX(Projects[Est Service Commissioning],371)))</f>
        <v/>
      </c>
      <c r="CP372" s="5">
        <f>IF(A372="","",N(INDEX(Projects[Est Controls Eng],371)))</f>
        <v/>
      </c>
      <c r="CQ372" s="5">
        <f>IF(A372="","",N(INDEX(Projects[Est Controls Purchase],371)))</f>
        <v/>
      </c>
      <c r="CR372" s="5">
        <f>IF(A372="","",N(INDEX(Projects[Est Software Eng],371)))</f>
        <v/>
      </c>
      <c r="CS372" s="5">
        <f>IF(A372="","",N(INDEX(Projects[Est Misc],371)))</f>
        <v/>
      </c>
      <c r="CT372" s="5">
        <f>IF(A372="","",SUM(CF372:CS372))</f>
        <v/>
      </c>
      <c r="CU372" s="5">
        <f>INDEX(Projects[Est Cost (M)],371)</f>
        <v/>
      </c>
      <c r="CV372" s="5">
        <f>INDEX(Projects[Act Cost (M)],371)</f>
        <v/>
      </c>
      <c r="CW372" s="5">
        <f>INDEX(Projects[Plan Mech Eng (wks)],371)</f>
        <v/>
      </c>
      <c r="CX372" s="5">
        <f>INDEX(Projects[Plan Controls Eng (wks)],371)</f>
        <v/>
      </c>
      <c r="CY372" s="5">
        <f>INDEX(Projects[Plan Systems Eng (wks)],371)</f>
        <v/>
      </c>
      <c r="CZ372" s="5">
        <f>INDEX(Projects[Plan Software Eng (wks)],371)</f>
        <v/>
      </c>
      <c r="DA372" s="5">
        <f>INDEX(Projects[Plan M&amp;E Installation (wks)],371)</f>
        <v/>
      </c>
      <c r="DB372" s="5">
        <f>INDEX(Projects[Plan Commissioning (wks)],371)</f>
        <v/>
      </c>
      <c r="DC372" s="5">
        <f>INDEX(Projects[Plan Total (wks)],371)</f>
        <v/>
      </c>
      <c r="DD372" s="5">
        <f>INDEX(Projects[Act Mech Eng (wks)],371)</f>
        <v/>
      </c>
      <c r="DE372" s="5">
        <f>INDEX(Projects[Act Controls Eng (wks)],371)</f>
        <v/>
      </c>
      <c r="DF372" s="5">
        <f>INDEX(Projects[Act Systems Eng (wks)],371)</f>
        <v/>
      </c>
      <c r="DG372" s="5">
        <f>INDEX(Projects[Act Software Eng (wks)],371)</f>
        <v/>
      </c>
      <c r="DH372" s="5">
        <f>INDEX(Projects[Act M&amp;E Installation (wks)],371)</f>
        <v/>
      </c>
      <c r="DI372" s="5">
        <f>INDEX(Projects[Act Commissioning (wks)],371)</f>
        <v/>
      </c>
      <c r="DJ372" s="5">
        <f>INDEX(Projects[Act Total (wks)],371)</f>
        <v/>
      </c>
    </row>
    <row r="373" ht="15" customHeight="1" s="82">
      <c r="A373" s="64">
        <f>INDEX(Projects[Project ID *],372)&amp;""</f>
        <v/>
      </c>
      <c r="B373" s="64">
        <f>INDEX(Projects[Project Name *],372)&amp;""</f>
        <v/>
      </c>
      <c r="C373" s="64">
        <f>INDEX(Projects[MS Shuttles],372)</f>
        <v/>
      </c>
      <c r="D373" s="64">
        <f>INDEX(Projects[MS Tote Locations],372)</f>
        <v/>
      </c>
      <c r="E373" s="64">
        <f>INDEX(Projects[AS Robots],372)</f>
        <v/>
      </c>
      <c r="F373" s="64">
        <f>INDEX(Projects[AS Tote Locations],372)</f>
        <v/>
      </c>
      <c r="G373" s="64">
        <f>INDEX(Projects[PS Shuttles],372)</f>
        <v/>
      </c>
      <c r="H373" s="64">
        <f>INDEX(Projects[PS Pallet Locations],372)</f>
        <v/>
      </c>
      <c r="I373" s="64">
        <f>INDEX(Projects[SRM Cranes],372)</f>
        <v/>
      </c>
      <c r="J373" s="64">
        <f>INDEX(Projects[SRM Pallet Locations],372)</f>
        <v/>
      </c>
      <c r="K373" s="64">
        <f>INDEX(Projects[Case Conv (m)],372)</f>
        <v/>
      </c>
      <c r="L373" s="64">
        <f>INDEX(Projects[Pallet Conv (m)],372)</f>
        <v/>
      </c>
      <c r="M373" s="64">
        <f>IF(N(DJ373)&gt;0,DD373,CW373)</f>
        <v/>
      </c>
      <c r="N373" s="64">
        <f>IF(N(DJ373)&gt;0,DE373,CX373)</f>
        <v/>
      </c>
      <c r="O373" s="64">
        <f>IF(N(DJ373)&gt;0,DF373,CY373)</f>
        <v/>
      </c>
      <c r="P373" s="64">
        <f>IF(N(DJ373)&gt;0,DG373,CZ373)</f>
        <v/>
      </c>
      <c r="Q373" s="64">
        <f>IF(N(DJ373)&gt;0,DH373,DA373)</f>
        <v/>
      </c>
      <c r="R373" s="64">
        <f>IF(N(DJ373)&gt;0,DI373,DB373)</f>
        <v/>
      </c>
      <c r="S373" s="64">
        <f>IF(N(DJ373)&gt;0,DJ373,DC373)</f>
        <v/>
      </c>
      <c r="T373" s="64">
        <f>INDEX(Projects[Currency],372)&amp;""</f>
        <v/>
      </c>
      <c r="U373" s="65">
        <f>INDEX(Projects[Sold Value (M)],372)</f>
        <v/>
      </c>
      <c r="V373" s="64">
        <f>IF('Smart Search'!B13=1,IFERROR(1/'Smart Search'!H13,0),0)</f>
        <v/>
      </c>
      <c r="W373" s="64">
        <f>IF('Smart Search'!B13=1,IFERROR(1/'Smart Search'!H13,0),0)</f>
        <v/>
      </c>
      <c r="X373" s="64">
        <f>IF('Smart Search'!C13=1,IFERROR(1/'Smart Search'!H13,0),0)</f>
        <v/>
      </c>
      <c r="Y373" s="64">
        <f>IF('Smart Search'!C13=1,IFERROR(1/'Smart Search'!H13,0),0)</f>
        <v/>
      </c>
      <c r="Z373" s="64">
        <f>IF('Smart Search'!D13=1,IFERROR(1/'Smart Search'!H13,0),0)</f>
        <v/>
      </c>
      <c r="AA373" s="64">
        <f>IF('Smart Search'!D13=1,IFERROR(1/'Smart Search'!H13,0),0)</f>
        <v/>
      </c>
      <c r="AB373" s="64">
        <f>IF('Smart Search'!E13=1,IFERROR(1/'Smart Search'!H13,0),0)</f>
        <v/>
      </c>
      <c r="AC373" s="64">
        <f>IF('Smart Search'!E13=1,IFERROR(1/'Smart Search'!H13,0),0)</f>
        <v/>
      </c>
      <c r="AD373" s="64">
        <f>IF('Smart Search'!F13=1,IFERROR(1/'Smart Search'!H13,0),0)</f>
        <v/>
      </c>
      <c r="AE373" s="64">
        <f>IF('Smart Search'!F13=1,IFERROR(1/'Smart Search'!H13,0),0)</f>
        <v/>
      </c>
      <c r="AF373" s="64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4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4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4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4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4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4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4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4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4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4">
        <f>AF373*V373</f>
        <v/>
      </c>
      <c r="AQ373" s="64">
        <f>AG373*W373</f>
        <v/>
      </c>
      <c r="AR373" s="64">
        <f>AH373*X373</f>
        <v/>
      </c>
      <c r="AS373" s="64">
        <f>AI373*Y373</f>
        <v/>
      </c>
      <c r="AT373" s="64">
        <f>AJ373*Z373</f>
        <v/>
      </c>
      <c r="AU373" s="64">
        <f>AK373*AA373</f>
        <v/>
      </c>
      <c r="AV373" s="64">
        <f>AL373*AB373</f>
        <v/>
      </c>
      <c r="AW373" s="64">
        <f>AM373*AC373</f>
        <v/>
      </c>
      <c r="AX373" s="64">
        <f>AN373*AD373</f>
        <v/>
      </c>
      <c r="AY373" s="64">
        <f>AO373*AE373</f>
        <v/>
      </c>
      <c r="AZ373" s="64">
        <f>INDEX(Projects[Automation Equipment],372)&amp;""</f>
        <v/>
      </c>
      <c r="BA373" s="64">
        <f>IF(OR(A373="",'Smart Search'!H13=0),"",MAX(0,BE373*BF373*MAX(0,1-BG373)))</f>
        <v/>
      </c>
      <c r="BB373" s="64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4">
        <f>IF('Smart Search'!G13=1,IFERROR(1/'Smart Search'!H13,0),0)</f>
        <v/>
      </c>
      <c r="BD373" s="64">
        <f>BB373*BC373</f>
        <v/>
      </c>
      <c r="BE373" s="64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IF(A373="","",N(INDEX(Projects[Act Mech Inst],372)))</f>
        <v/>
      </c>
      <c r="BK373" s="5">
        <f>IF(A373="","",N(INDEX(Projects[Act Elec Inst],372)))</f>
        <v/>
      </c>
      <c r="BL373" s="5">
        <f>IF(A373="","",N(INDEX(Projects[Act Project Management],372)))</f>
        <v/>
      </c>
      <c r="BM373" s="5">
        <f>IF(A373="","",N(INDEX(Projects[Act Systems Eng],372)))</f>
        <v/>
      </c>
      <c r="BN373" s="5">
        <f>IF(A373="","",N(INDEX(Projects[Act Mechanical Eng],372)))</f>
        <v/>
      </c>
      <c r="BO373" s="5">
        <f>IF(A373="","",N(INDEX(Projects[Act Structural Engineering],372)))</f>
        <v/>
      </c>
      <c r="BP373" s="5">
        <f>IF(A373="","",N(INDEX(Projects[Act Site Sup],372)))</f>
        <v/>
      </c>
      <c r="BQ373" s="5">
        <f>IF(A373="","",N(INDEX(Projects[Act Controls Commissioning],372)))</f>
        <v/>
      </c>
      <c r="BR373" s="5">
        <f>IF(A373="","",N(INDEX(Projects[Act Systems Commissioning],372)))</f>
        <v/>
      </c>
      <c r="BS373" s="5">
        <f>IF(A373="","",N(INDEX(Projects[Act Service Commissioning],372)))</f>
        <v/>
      </c>
      <c r="BT373" s="5">
        <f>IF(A373="","",N(INDEX(Projects[Act Controls Eng],372)))</f>
        <v/>
      </c>
      <c r="BU373" s="5">
        <f>IF(A373="","",N(INDEX(Projects[Act Controls Purchase],372)))</f>
        <v/>
      </c>
      <c r="BV373" s="5">
        <f>IF(A373="","",N(INDEX(Projects[Act Software Eng],372)))</f>
        <v/>
      </c>
      <c r="BW373" s="5">
        <f>IF(A373="","",N(INDEX(Projects[Act 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INDEX(Projects[Sold Value (USD M)],372)</f>
        <v/>
      </c>
      <c r="CE373" s="5" t="n"/>
      <c r="CF373" s="5">
        <f>IF(A373="","",N(INDEX(Projects[Est Mech Inst],372)))</f>
        <v/>
      </c>
      <c r="CG373" s="5">
        <f>IF(A373="","",N(INDEX(Projects[Est Elec Inst],372)))</f>
        <v/>
      </c>
      <c r="CH373" s="5">
        <f>IF(A373="","",N(INDEX(Projects[Est Project Management],372)))</f>
        <v/>
      </c>
      <c r="CI373" s="5">
        <f>IF(A373="","",N(INDEX(Projects[Est Systems Eng],372)))</f>
        <v/>
      </c>
      <c r="CJ373" s="5">
        <f>IF(A373="","",N(INDEX(Projects[Est Mechanical Eng],372)))</f>
        <v/>
      </c>
      <c r="CK373" s="5">
        <f>IF(A373="","",N(INDEX(Projects[Est Structural Engineering],372)))</f>
        <v/>
      </c>
      <c r="CL373" s="5">
        <f>IF(A373="","",N(INDEX(Projects[Est Site Sup],372)))</f>
        <v/>
      </c>
      <c r="CM373" s="5">
        <f>IF(A373="","",N(INDEX(Projects[Est Controls Commissioning],372)))</f>
        <v/>
      </c>
      <c r="CN373" s="5">
        <f>IF(A373="","",N(INDEX(Projects[Est Systems Commissioning],372)))</f>
        <v/>
      </c>
      <c r="CO373" s="5">
        <f>IF(A373="","",N(INDEX(Projects[Est Service Commissioning],372)))</f>
        <v/>
      </c>
      <c r="CP373" s="5">
        <f>IF(A373="","",N(INDEX(Projects[Est Controls Eng],372)))</f>
        <v/>
      </c>
      <c r="CQ373" s="5">
        <f>IF(A373="","",N(INDEX(Projects[Est Controls Purchase],372)))</f>
        <v/>
      </c>
      <c r="CR373" s="5">
        <f>IF(A373="","",N(INDEX(Projects[Est Software Eng],372)))</f>
        <v/>
      </c>
      <c r="CS373" s="5">
        <f>IF(A373="","",N(INDEX(Projects[Est Misc],372)))</f>
        <v/>
      </c>
      <c r="CT373" s="5">
        <f>IF(A373="","",SUM(CF373:CS373))</f>
        <v/>
      </c>
      <c r="CU373" s="5">
        <f>INDEX(Projects[Est Cost (M)],372)</f>
        <v/>
      </c>
      <c r="CV373" s="5">
        <f>INDEX(Projects[Act Cost (M)],372)</f>
        <v/>
      </c>
      <c r="CW373" s="5">
        <f>INDEX(Projects[Plan Mech Eng (wks)],372)</f>
        <v/>
      </c>
      <c r="CX373" s="5">
        <f>INDEX(Projects[Plan Controls Eng (wks)],372)</f>
        <v/>
      </c>
      <c r="CY373" s="5">
        <f>INDEX(Projects[Plan Systems Eng (wks)],372)</f>
        <v/>
      </c>
      <c r="CZ373" s="5">
        <f>INDEX(Projects[Plan Software Eng (wks)],372)</f>
        <v/>
      </c>
      <c r="DA373" s="5">
        <f>INDEX(Projects[Plan M&amp;E Installation (wks)],372)</f>
        <v/>
      </c>
      <c r="DB373" s="5">
        <f>INDEX(Projects[Plan Commissioning (wks)],372)</f>
        <v/>
      </c>
      <c r="DC373" s="5">
        <f>INDEX(Projects[Plan Total (wks)],372)</f>
        <v/>
      </c>
      <c r="DD373" s="5">
        <f>INDEX(Projects[Act Mech Eng (wks)],372)</f>
        <v/>
      </c>
      <c r="DE373" s="5">
        <f>INDEX(Projects[Act Controls Eng (wks)],372)</f>
        <v/>
      </c>
      <c r="DF373" s="5">
        <f>INDEX(Projects[Act Systems Eng (wks)],372)</f>
        <v/>
      </c>
      <c r="DG373" s="5">
        <f>INDEX(Projects[Act Software Eng (wks)],372)</f>
        <v/>
      </c>
      <c r="DH373" s="5">
        <f>INDEX(Projects[Act M&amp;E Installation (wks)],372)</f>
        <v/>
      </c>
      <c r="DI373" s="5">
        <f>INDEX(Projects[Act Commissioning (wks)],372)</f>
        <v/>
      </c>
      <c r="DJ373" s="5">
        <f>INDEX(Projects[Act Total (wks)],372)</f>
        <v/>
      </c>
    </row>
    <row r="374" ht="15" customHeight="1" s="82">
      <c r="A374" s="64">
        <f>INDEX(Projects[Project ID *],373)&amp;""</f>
        <v/>
      </c>
      <c r="B374" s="64">
        <f>INDEX(Projects[Project Name *],373)&amp;""</f>
        <v/>
      </c>
      <c r="C374" s="64">
        <f>INDEX(Projects[MS Shuttles],373)</f>
        <v/>
      </c>
      <c r="D374" s="64">
        <f>INDEX(Projects[MS Tote Locations],373)</f>
        <v/>
      </c>
      <c r="E374" s="64">
        <f>INDEX(Projects[AS Robots],373)</f>
        <v/>
      </c>
      <c r="F374" s="64">
        <f>INDEX(Projects[AS Tote Locations],373)</f>
        <v/>
      </c>
      <c r="G374" s="64">
        <f>INDEX(Projects[PS Shuttles],373)</f>
        <v/>
      </c>
      <c r="H374" s="64">
        <f>INDEX(Projects[PS Pallet Locations],373)</f>
        <v/>
      </c>
      <c r="I374" s="64">
        <f>INDEX(Projects[SRM Cranes],373)</f>
        <v/>
      </c>
      <c r="J374" s="64">
        <f>INDEX(Projects[SRM Pallet Locations],373)</f>
        <v/>
      </c>
      <c r="K374" s="64">
        <f>INDEX(Projects[Case Conv (m)],373)</f>
        <v/>
      </c>
      <c r="L374" s="64">
        <f>INDEX(Projects[Pallet Conv (m)],373)</f>
        <v/>
      </c>
      <c r="M374" s="64">
        <f>IF(N(DJ374)&gt;0,DD374,CW374)</f>
        <v/>
      </c>
      <c r="N374" s="64">
        <f>IF(N(DJ374)&gt;0,DE374,CX374)</f>
        <v/>
      </c>
      <c r="O374" s="64">
        <f>IF(N(DJ374)&gt;0,DF374,CY374)</f>
        <v/>
      </c>
      <c r="P374" s="64">
        <f>IF(N(DJ374)&gt;0,DG374,CZ374)</f>
        <v/>
      </c>
      <c r="Q374" s="64">
        <f>IF(N(DJ374)&gt;0,DH374,DA374)</f>
        <v/>
      </c>
      <c r="R374" s="64">
        <f>IF(N(DJ374)&gt;0,DI374,DB374)</f>
        <v/>
      </c>
      <c r="S374" s="64">
        <f>IF(N(DJ374)&gt;0,DJ374,DC374)</f>
        <v/>
      </c>
      <c r="T374" s="64">
        <f>INDEX(Projects[Currency],373)&amp;""</f>
        <v/>
      </c>
      <c r="U374" s="65">
        <f>INDEX(Projects[Sold Value (M)],373)</f>
        <v/>
      </c>
      <c r="V374" s="64">
        <f>IF('Smart Search'!B13=1,IFERROR(1/'Smart Search'!H13,0),0)</f>
        <v/>
      </c>
      <c r="W374" s="64">
        <f>IF('Smart Search'!B13=1,IFERROR(1/'Smart Search'!H13,0),0)</f>
        <v/>
      </c>
      <c r="X374" s="64">
        <f>IF('Smart Search'!C13=1,IFERROR(1/'Smart Search'!H13,0),0)</f>
        <v/>
      </c>
      <c r="Y374" s="64">
        <f>IF('Smart Search'!C13=1,IFERROR(1/'Smart Search'!H13,0),0)</f>
        <v/>
      </c>
      <c r="Z374" s="64">
        <f>IF('Smart Search'!D13=1,IFERROR(1/'Smart Search'!H13,0),0)</f>
        <v/>
      </c>
      <c r="AA374" s="64">
        <f>IF('Smart Search'!D13=1,IFERROR(1/'Smart Search'!H13,0),0)</f>
        <v/>
      </c>
      <c r="AB374" s="64">
        <f>IF('Smart Search'!E13=1,IFERROR(1/'Smart Search'!H13,0),0)</f>
        <v/>
      </c>
      <c r="AC374" s="64">
        <f>IF('Smart Search'!E13=1,IFERROR(1/'Smart Search'!H13,0),0)</f>
        <v/>
      </c>
      <c r="AD374" s="64">
        <f>IF('Smart Search'!F13=1,IFERROR(1/'Smart Search'!H13,0),0)</f>
        <v/>
      </c>
      <c r="AE374" s="64">
        <f>IF('Smart Search'!F13=1,IFERROR(1/'Smart Search'!H13,0),0)</f>
        <v/>
      </c>
      <c r="AF374" s="64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4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4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4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4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4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4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4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4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4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4">
        <f>AF374*V374</f>
        <v/>
      </c>
      <c r="AQ374" s="64">
        <f>AG374*W374</f>
        <v/>
      </c>
      <c r="AR374" s="64">
        <f>AH374*X374</f>
        <v/>
      </c>
      <c r="AS374" s="64">
        <f>AI374*Y374</f>
        <v/>
      </c>
      <c r="AT374" s="64">
        <f>AJ374*Z374</f>
        <v/>
      </c>
      <c r="AU374" s="64">
        <f>AK374*AA374</f>
        <v/>
      </c>
      <c r="AV374" s="64">
        <f>AL374*AB374</f>
        <v/>
      </c>
      <c r="AW374" s="64">
        <f>AM374*AC374</f>
        <v/>
      </c>
      <c r="AX374" s="64">
        <f>AN374*AD374</f>
        <v/>
      </c>
      <c r="AY374" s="64">
        <f>AO374*AE374</f>
        <v/>
      </c>
      <c r="AZ374" s="64">
        <f>INDEX(Projects[Automation Equipment],373)&amp;""</f>
        <v/>
      </c>
      <c r="BA374" s="64">
        <f>IF(OR(A374="",'Smart Search'!H13=0),"",MAX(0,BE374*BF374*MAX(0,1-BG374)))</f>
        <v/>
      </c>
      <c r="BB374" s="64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4">
        <f>IF('Smart Search'!G13=1,IFERROR(1/'Smart Search'!H13,0),0)</f>
        <v/>
      </c>
      <c r="BD374" s="64">
        <f>BB374*BC374</f>
        <v/>
      </c>
      <c r="BE374" s="64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IF(A374="","",N(INDEX(Projects[Act Mech Inst],373)))</f>
        <v/>
      </c>
      <c r="BK374" s="5">
        <f>IF(A374="","",N(INDEX(Projects[Act Elec Inst],373)))</f>
        <v/>
      </c>
      <c r="BL374" s="5">
        <f>IF(A374="","",N(INDEX(Projects[Act Project Management],373)))</f>
        <v/>
      </c>
      <c r="BM374" s="5">
        <f>IF(A374="","",N(INDEX(Projects[Act Systems Eng],373)))</f>
        <v/>
      </c>
      <c r="BN374" s="5">
        <f>IF(A374="","",N(INDEX(Projects[Act Mechanical Eng],373)))</f>
        <v/>
      </c>
      <c r="BO374" s="5">
        <f>IF(A374="","",N(INDEX(Projects[Act Structural Engineering],373)))</f>
        <v/>
      </c>
      <c r="BP374" s="5">
        <f>IF(A374="","",N(INDEX(Projects[Act Site Sup],373)))</f>
        <v/>
      </c>
      <c r="BQ374" s="5">
        <f>IF(A374="","",N(INDEX(Projects[Act Controls Commissioning],373)))</f>
        <v/>
      </c>
      <c r="BR374" s="5">
        <f>IF(A374="","",N(INDEX(Projects[Act Systems Commissioning],373)))</f>
        <v/>
      </c>
      <c r="BS374" s="5">
        <f>IF(A374="","",N(INDEX(Projects[Act Service Commissioning],373)))</f>
        <v/>
      </c>
      <c r="BT374" s="5">
        <f>IF(A374="","",N(INDEX(Projects[Act Controls Eng],373)))</f>
        <v/>
      </c>
      <c r="BU374" s="5">
        <f>IF(A374="","",N(INDEX(Projects[Act Controls Purchase],373)))</f>
        <v/>
      </c>
      <c r="BV374" s="5">
        <f>IF(A374="","",N(INDEX(Projects[Act Software Eng],373)))</f>
        <v/>
      </c>
      <c r="BW374" s="5">
        <f>IF(A374="","",N(INDEX(Projects[Act 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INDEX(Projects[Sold Value (USD M)],373)</f>
        <v/>
      </c>
      <c r="CE374" s="5" t="n"/>
      <c r="CF374" s="5">
        <f>IF(A374="","",N(INDEX(Projects[Est Mech Inst],373)))</f>
        <v/>
      </c>
      <c r="CG374" s="5">
        <f>IF(A374="","",N(INDEX(Projects[Est Elec Inst],373)))</f>
        <v/>
      </c>
      <c r="CH374" s="5">
        <f>IF(A374="","",N(INDEX(Projects[Est Project Management],373)))</f>
        <v/>
      </c>
      <c r="CI374" s="5">
        <f>IF(A374="","",N(INDEX(Projects[Est Systems Eng],373)))</f>
        <v/>
      </c>
      <c r="CJ374" s="5">
        <f>IF(A374="","",N(INDEX(Projects[Est Mechanical Eng],373)))</f>
        <v/>
      </c>
      <c r="CK374" s="5">
        <f>IF(A374="","",N(INDEX(Projects[Est Structural Engineering],373)))</f>
        <v/>
      </c>
      <c r="CL374" s="5">
        <f>IF(A374="","",N(INDEX(Projects[Est Site Sup],373)))</f>
        <v/>
      </c>
      <c r="CM374" s="5">
        <f>IF(A374="","",N(INDEX(Projects[Est Controls Commissioning],373)))</f>
        <v/>
      </c>
      <c r="CN374" s="5">
        <f>IF(A374="","",N(INDEX(Projects[Est Systems Commissioning],373)))</f>
        <v/>
      </c>
      <c r="CO374" s="5">
        <f>IF(A374="","",N(INDEX(Projects[Est Service Commissioning],373)))</f>
        <v/>
      </c>
      <c r="CP374" s="5">
        <f>IF(A374="","",N(INDEX(Projects[Est Controls Eng],373)))</f>
        <v/>
      </c>
      <c r="CQ374" s="5">
        <f>IF(A374="","",N(INDEX(Projects[Est Controls Purchase],373)))</f>
        <v/>
      </c>
      <c r="CR374" s="5">
        <f>IF(A374="","",N(INDEX(Projects[Est Software Eng],373)))</f>
        <v/>
      </c>
      <c r="CS374" s="5">
        <f>IF(A374="","",N(INDEX(Projects[Est Misc],373)))</f>
        <v/>
      </c>
      <c r="CT374" s="5">
        <f>IF(A374="","",SUM(CF374:CS374))</f>
        <v/>
      </c>
      <c r="CU374" s="5">
        <f>INDEX(Projects[Est Cost (M)],373)</f>
        <v/>
      </c>
      <c r="CV374" s="5">
        <f>INDEX(Projects[Act Cost (M)],373)</f>
        <v/>
      </c>
      <c r="CW374" s="5">
        <f>INDEX(Projects[Plan Mech Eng (wks)],373)</f>
        <v/>
      </c>
      <c r="CX374" s="5">
        <f>INDEX(Projects[Plan Controls Eng (wks)],373)</f>
        <v/>
      </c>
      <c r="CY374" s="5">
        <f>INDEX(Projects[Plan Systems Eng (wks)],373)</f>
        <v/>
      </c>
      <c r="CZ374" s="5">
        <f>INDEX(Projects[Plan Software Eng (wks)],373)</f>
        <v/>
      </c>
      <c r="DA374" s="5">
        <f>INDEX(Projects[Plan M&amp;E Installation (wks)],373)</f>
        <v/>
      </c>
      <c r="DB374" s="5">
        <f>INDEX(Projects[Plan Commissioning (wks)],373)</f>
        <v/>
      </c>
      <c r="DC374" s="5">
        <f>INDEX(Projects[Plan Total (wks)],373)</f>
        <v/>
      </c>
      <c r="DD374" s="5">
        <f>INDEX(Projects[Act Mech Eng (wks)],373)</f>
        <v/>
      </c>
      <c r="DE374" s="5">
        <f>INDEX(Projects[Act Controls Eng (wks)],373)</f>
        <v/>
      </c>
      <c r="DF374" s="5">
        <f>INDEX(Projects[Act Systems Eng (wks)],373)</f>
        <v/>
      </c>
      <c r="DG374" s="5">
        <f>INDEX(Projects[Act Software Eng (wks)],373)</f>
        <v/>
      </c>
      <c r="DH374" s="5">
        <f>INDEX(Projects[Act M&amp;E Installation (wks)],373)</f>
        <v/>
      </c>
      <c r="DI374" s="5">
        <f>INDEX(Projects[Act Commissioning (wks)],373)</f>
        <v/>
      </c>
      <c r="DJ374" s="5">
        <f>INDEX(Projects[Act Total (wks)],373)</f>
        <v/>
      </c>
    </row>
    <row r="375" ht="15" customHeight="1" s="82">
      <c r="A375" s="64">
        <f>INDEX(Projects[Project ID *],374)&amp;""</f>
        <v/>
      </c>
      <c r="B375" s="64">
        <f>INDEX(Projects[Project Name *],374)&amp;""</f>
        <v/>
      </c>
      <c r="C375" s="64">
        <f>INDEX(Projects[MS Shuttles],374)</f>
        <v/>
      </c>
      <c r="D375" s="64">
        <f>INDEX(Projects[MS Tote Locations],374)</f>
        <v/>
      </c>
      <c r="E375" s="64">
        <f>INDEX(Projects[AS Robots],374)</f>
        <v/>
      </c>
      <c r="F375" s="64">
        <f>INDEX(Projects[AS Tote Locations],374)</f>
        <v/>
      </c>
      <c r="G375" s="64">
        <f>INDEX(Projects[PS Shuttles],374)</f>
        <v/>
      </c>
      <c r="H375" s="64">
        <f>INDEX(Projects[PS Pallet Locations],374)</f>
        <v/>
      </c>
      <c r="I375" s="64">
        <f>INDEX(Projects[SRM Cranes],374)</f>
        <v/>
      </c>
      <c r="J375" s="64">
        <f>INDEX(Projects[SRM Pallet Locations],374)</f>
        <v/>
      </c>
      <c r="K375" s="64">
        <f>INDEX(Projects[Case Conv (m)],374)</f>
        <v/>
      </c>
      <c r="L375" s="64">
        <f>INDEX(Projects[Pallet Conv (m)],374)</f>
        <v/>
      </c>
      <c r="M375" s="64">
        <f>IF(N(DJ375)&gt;0,DD375,CW375)</f>
        <v/>
      </c>
      <c r="N375" s="64">
        <f>IF(N(DJ375)&gt;0,DE375,CX375)</f>
        <v/>
      </c>
      <c r="O375" s="64">
        <f>IF(N(DJ375)&gt;0,DF375,CY375)</f>
        <v/>
      </c>
      <c r="P375" s="64">
        <f>IF(N(DJ375)&gt;0,DG375,CZ375)</f>
        <v/>
      </c>
      <c r="Q375" s="64">
        <f>IF(N(DJ375)&gt;0,DH375,DA375)</f>
        <v/>
      </c>
      <c r="R375" s="64">
        <f>IF(N(DJ375)&gt;0,DI375,DB375)</f>
        <v/>
      </c>
      <c r="S375" s="64">
        <f>IF(N(DJ375)&gt;0,DJ375,DC375)</f>
        <v/>
      </c>
      <c r="T375" s="64">
        <f>INDEX(Projects[Currency],374)&amp;""</f>
        <v/>
      </c>
      <c r="U375" s="65">
        <f>INDEX(Projects[Sold Value (M)],374)</f>
        <v/>
      </c>
      <c r="V375" s="64">
        <f>IF('Smart Search'!B13=1,IFERROR(1/'Smart Search'!H13,0),0)</f>
        <v/>
      </c>
      <c r="W375" s="64">
        <f>IF('Smart Search'!B13=1,IFERROR(1/'Smart Search'!H13,0),0)</f>
        <v/>
      </c>
      <c r="X375" s="64">
        <f>IF('Smart Search'!C13=1,IFERROR(1/'Smart Search'!H13,0),0)</f>
        <v/>
      </c>
      <c r="Y375" s="64">
        <f>IF('Smart Search'!C13=1,IFERROR(1/'Smart Search'!H13,0),0)</f>
        <v/>
      </c>
      <c r="Z375" s="64">
        <f>IF('Smart Search'!D13=1,IFERROR(1/'Smart Search'!H13,0),0)</f>
        <v/>
      </c>
      <c r="AA375" s="64">
        <f>IF('Smart Search'!D13=1,IFERROR(1/'Smart Search'!H13,0),0)</f>
        <v/>
      </c>
      <c r="AB375" s="64">
        <f>IF('Smart Search'!E13=1,IFERROR(1/'Smart Search'!H13,0),0)</f>
        <v/>
      </c>
      <c r="AC375" s="64">
        <f>IF('Smart Search'!E13=1,IFERROR(1/'Smart Search'!H13,0),0)</f>
        <v/>
      </c>
      <c r="AD375" s="64">
        <f>IF('Smart Search'!F13=1,IFERROR(1/'Smart Search'!H13,0),0)</f>
        <v/>
      </c>
      <c r="AE375" s="64">
        <f>IF('Smart Search'!F13=1,IFERROR(1/'Smart Search'!H13,0),0)</f>
        <v/>
      </c>
      <c r="AF375" s="64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4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4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4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4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4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4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4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4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4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4">
        <f>AF375*V375</f>
        <v/>
      </c>
      <c r="AQ375" s="64">
        <f>AG375*W375</f>
        <v/>
      </c>
      <c r="AR375" s="64">
        <f>AH375*X375</f>
        <v/>
      </c>
      <c r="AS375" s="64">
        <f>AI375*Y375</f>
        <v/>
      </c>
      <c r="AT375" s="64">
        <f>AJ375*Z375</f>
        <v/>
      </c>
      <c r="AU375" s="64">
        <f>AK375*AA375</f>
        <v/>
      </c>
      <c r="AV375" s="64">
        <f>AL375*AB375</f>
        <v/>
      </c>
      <c r="AW375" s="64">
        <f>AM375*AC375</f>
        <v/>
      </c>
      <c r="AX375" s="64">
        <f>AN375*AD375</f>
        <v/>
      </c>
      <c r="AY375" s="64">
        <f>AO375*AE375</f>
        <v/>
      </c>
      <c r="AZ375" s="64">
        <f>INDEX(Projects[Automation Equipment],374)&amp;""</f>
        <v/>
      </c>
      <c r="BA375" s="64">
        <f>IF(OR(A375="",'Smart Search'!H13=0),"",MAX(0,BE375*BF375*MAX(0,1-BG375)))</f>
        <v/>
      </c>
      <c r="BB375" s="64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4">
        <f>IF('Smart Search'!G13=1,IFERROR(1/'Smart Search'!H13,0),0)</f>
        <v/>
      </c>
      <c r="BD375" s="64">
        <f>BB375*BC375</f>
        <v/>
      </c>
      <c r="BE375" s="64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IF(A375="","",N(INDEX(Projects[Act Mech Inst],374)))</f>
        <v/>
      </c>
      <c r="BK375" s="5">
        <f>IF(A375="","",N(INDEX(Projects[Act Elec Inst],374)))</f>
        <v/>
      </c>
      <c r="BL375" s="5">
        <f>IF(A375="","",N(INDEX(Projects[Act Project Management],374)))</f>
        <v/>
      </c>
      <c r="BM375" s="5">
        <f>IF(A375="","",N(INDEX(Projects[Act Systems Eng],374)))</f>
        <v/>
      </c>
      <c r="BN375" s="5">
        <f>IF(A375="","",N(INDEX(Projects[Act Mechanical Eng],374)))</f>
        <v/>
      </c>
      <c r="BO375" s="5">
        <f>IF(A375="","",N(INDEX(Projects[Act Structural Engineering],374)))</f>
        <v/>
      </c>
      <c r="BP375" s="5">
        <f>IF(A375="","",N(INDEX(Projects[Act Site Sup],374)))</f>
        <v/>
      </c>
      <c r="BQ375" s="5">
        <f>IF(A375="","",N(INDEX(Projects[Act Controls Commissioning],374)))</f>
        <v/>
      </c>
      <c r="BR375" s="5">
        <f>IF(A375="","",N(INDEX(Projects[Act Systems Commissioning],374)))</f>
        <v/>
      </c>
      <c r="BS375" s="5">
        <f>IF(A375="","",N(INDEX(Projects[Act Service Commissioning],374)))</f>
        <v/>
      </c>
      <c r="BT375" s="5">
        <f>IF(A375="","",N(INDEX(Projects[Act Controls Eng],374)))</f>
        <v/>
      </c>
      <c r="BU375" s="5">
        <f>IF(A375="","",N(INDEX(Projects[Act Controls Purchase],374)))</f>
        <v/>
      </c>
      <c r="BV375" s="5">
        <f>IF(A375="","",N(INDEX(Projects[Act Software Eng],374)))</f>
        <v/>
      </c>
      <c r="BW375" s="5">
        <f>IF(A375="","",N(INDEX(Projects[Act 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INDEX(Projects[Sold Value (USD M)],374)</f>
        <v/>
      </c>
      <c r="CE375" s="5" t="n"/>
      <c r="CF375" s="5">
        <f>IF(A375="","",N(INDEX(Projects[Est Mech Inst],374)))</f>
        <v/>
      </c>
      <c r="CG375" s="5">
        <f>IF(A375="","",N(INDEX(Projects[Est Elec Inst],374)))</f>
        <v/>
      </c>
      <c r="CH375" s="5">
        <f>IF(A375="","",N(INDEX(Projects[Est Project Management],374)))</f>
        <v/>
      </c>
      <c r="CI375" s="5">
        <f>IF(A375="","",N(INDEX(Projects[Est Systems Eng],374)))</f>
        <v/>
      </c>
      <c r="CJ375" s="5">
        <f>IF(A375="","",N(INDEX(Projects[Est Mechanical Eng],374)))</f>
        <v/>
      </c>
      <c r="CK375" s="5">
        <f>IF(A375="","",N(INDEX(Projects[Est Structural Engineering],374)))</f>
        <v/>
      </c>
      <c r="CL375" s="5">
        <f>IF(A375="","",N(INDEX(Projects[Est Site Sup],374)))</f>
        <v/>
      </c>
      <c r="CM375" s="5">
        <f>IF(A375="","",N(INDEX(Projects[Est Controls Commissioning],374)))</f>
        <v/>
      </c>
      <c r="CN375" s="5">
        <f>IF(A375="","",N(INDEX(Projects[Est Systems Commissioning],374)))</f>
        <v/>
      </c>
      <c r="CO375" s="5">
        <f>IF(A375="","",N(INDEX(Projects[Est Service Commissioning],374)))</f>
        <v/>
      </c>
      <c r="CP375" s="5">
        <f>IF(A375="","",N(INDEX(Projects[Est Controls Eng],374)))</f>
        <v/>
      </c>
      <c r="CQ375" s="5">
        <f>IF(A375="","",N(INDEX(Projects[Est Controls Purchase],374)))</f>
        <v/>
      </c>
      <c r="CR375" s="5">
        <f>IF(A375="","",N(INDEX(Projects[Est Software Eng],374)))</f>
        <v/>
      </c>
      <c r="CS375" s="5">
        <f>IF(A375="","",N(INDEX(Projects[Est Misc],374)))</f>
        <v/>
      </c>
      <c r="CT375" s="5">
        <f>IF(A375="","",SUM(CF375:CS375))</f>
        <v/>
      </c>
      <c r="CU375" s="5">
        <f>INDEX(Projects[Est Cost (M)],374)</f>
        <v/>
      </c>
      <c r="CV375" s="5">
        <f>INDEX(Projects[Act Cost (M)],374)</f>
        <v/>
      </c>
      <c r="CW375" s="5">
        <f>INDEX(Projects[Plan Mech Eng (wks)],374)</f>
        <v/>
      </c>
      <c r="CX375" s="5">
        <f>INDEX(Projects[Plan Controls Eng (wks)],374)</f>
        <v/>
      </c>
      <c r="CY375" s="5">
        <f>INDEX(Projects[Plan Systems Eng (wks)],374)</f>
        <v/>
      </c>
      <c r="CZ375" s="5">
        <f>INDEX(Projects[Plan Software Eng (wks)],374)</f>
        <v/>
      </c>
      <c r="DA375" s="5">
        <f>INDEX(Projects[Plan M&amp;E Installation (wks)],374)</f>
        <v/>
      </c>
      <c r="DB375" s="5">
        <f>INDEX(Projects[Plan Commissioning (wks)],374)</f>
        <v/>
      </c>
      <c r="DC375" s="5">
        <f>INDEX(Projects[Plan Total (wks)],374)</f>
        <v/>
      </c>
      <c r="DD375" s="5">
        <f>INDEX(Projects[Act Mech Eng (wks)],374)</f>
        <v/>
      </c>
      <c r="DE375" s="5">
        <f>INDEX(Projects[Act Controls Eng (wks)],374)</f>
        <v/>
      </c>
      <c r="DF375" s="5">
        <f>INDEX(Projects[Act Systems Eng (wks)],374)</f>
        <v/>
      </c>
      <c r="DG375" s="5">
        <f>INDEX(Projects[Act Software Eng (wks)],374)</f>
        <v/>
      </c>
      <c r="DH375" s="5">
        <f>INDEX(Projects[Act M&amp;E Installation (wks)],374)</f>
        <v/>
      </c>
      <c r="DI375" s="5">
        <f>INDEX(Projects[Act Commissioning (wks)],374)</f>
        <v/>
      </c>
      <c r="DJ375" s="5">
        <f>INDEX(Projects[Act Total (wks)],374)</f>
        <v/>
      </c>
    </row>
    <row r="376" ht="15" customHeight="1" s="82">
      <c r="A376" s="64">
        <f>INDEX(Projects[Project ID *],375)&amp;""</f>
        <v/>
      </c>
      <c r="B376" s="64">
        <f>INDEX(Projects[Project Name *],375)&amp;""</f>
        <v/>
      </c>
      <c r="C376" s="64">
        <f>INDEX(Projects[MS Shuttles],375)</f>
        <v/>
      </c>
      <c r="D376" s="64">
        <f>INDEX(Projects[MS Tote Locations],375)</f>
        <v/>
      </c>
      <c r="E376" s="64">
        <f>INDEX(Projects[AS Robots],375)</f>
        <v/>
      </c>
      <c r="F376" s="64">
        <f>INDEX(Projects[AS Tote Locations],375)</f>
        <v/>
      </c>
      <c r="G376" s="64">
        <f>INDEX(Projects[PS Shuttles],375)</f>
        <v/>
      </c>
      <c r="H376" s="64">
        <f>INDEX(Projects[PS Pallet Locations],375)</f>
        <v/>
      </c>
      <c r="I376" s="64">
        <f>INDEX(Projects[SRM Cranes],375)</f>
        <v/>
      </c>
      <c r="J376" s="64">
        <f>INDEX(Projects[SRM Pallet Locations],375)</f>
        <v/>
      </c>
      <c r="K376" s="64">
        <f>INDEX(Projects[Case Conv (m)],375)</f>
        <v/>
      </c>
      <c r="L376" s="64">
        <f>INDEX(Projects[Pallet Conv (m)],375)</f>
        <v/>
      </c>
      <c r="M376" s="64">
        <f>IF(N(DJ376)&gt;0,DD376,CW376)</f>
        <v/>
      </c>
      <c r="N376" s="64">
        <f>IF(N(DJ376)&gt;0,DE376,CX376)</f>
        <v/>
      </c>
      <c r="O376" s="64">
        <f>IF(N(DJ376)&gt;0,DF376,CY376)</f>
        <v/>
      </c>
      <c r="P376" s="64">
        <f>IF(N(DJ376)&gt;0,DG376,CZ376)</f>
        <v/>
      </c>
      <c r="Q376" s="64">
        <f>IF(N(DJ376)&gt;0,DH376,DA376)</f>
        <v/>
      </c>
      <c r="R376" s="64">
        <f>IF(N(DJ376)&gt;0,DI376,DB376)</f>
        <v/>
      </c>
      <c r="S376" s="64">
        <f>IF(N(DJ376)&gt;0,DJ376,DC376)</f>
        <v/>
      </c>
      <c r="T376" s="64">
        <f>INDEX(Projects[Currency],375)&amp;""</f>
        <v/>
      </c>
      <c r="U376" s="65">
        <f>INDEX(Projects[Sold Value (M)],375)</f>
        <v/>
      </c>
      <c r="V376" s="64">
        <f>IF('Smart Search'!B13=1,IFERROR(1/'Smart Search'!H13,0),0)</f>
        <v/>
      </c>
      <c r="W376" s="64">
        <f>IF('Smart Search'!B13=1,IFERROR(1/'Smart Search'!H13,0),0)</f>
        <v/>
      </c>
      <c r="X376" s="64">
        <f>IF('Smart Search'!C13=1,IFERROR(1/'Smart Search'!H13,0),0)</f>
        <v/>
      </c>
      <c r="Y376" s="64">
        <f>IF('Smart Search'!C13=1,IFERROR(1/'Smart Search'!H13,0),0)</f>
        <v/>
      </c>
      <c r="Z376" s="64">
        <f>IF('Smart Search'!D13=1,IFERROR(1/'Smart Search'!H13,0),0)</f>
        <v/>
      </c>
      <c r="AA376" s="64">
        <f>IF('Smart Search'!D13=1,IFERROR(1/'Smart Search'!H13,0),0)</f>
        <v/>
      </c>
      <c r="AB376" s="64">
        <f>IF('Smart Search'!E13=1,IFERROR(1/'Smart Search'!H13,0),0)</f>
        <v/>
      </c>
      <c r="AC376" s="64">
        <f>IF('Smart Search'!E13=1,IFERROR(1/'Smart Search'!H13,0),0)</f>
        <v/>
      </c>
      <c r="AD376" s="64">
        <f>IF('Smart Search'!F13=1,IFERROR(1/'Smart Search'!H13,0),0)</f>
        <v/>
      </c>
      <c r="AE376" s="64">
        <f>IF('Smart Search'!F13=1,IFERROR(1/'Smart Search'!H13,0),0)</f>
        <v/>
      </c>
      <c r="AF376" s="64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4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4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4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4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4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4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4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4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4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4">
        <f>AF376*V376</f>
        <v/>
      </c>
      <c r="AQ376" s="64">
        <f>AG376*W376</f>
        <v/>
      </c>
      <c r="AR376" s="64">
        <f>AH376*X376</f>
        <v/>
      </c>
      <c r="AS376" s="64">
        <f>AI376*Y376</f>
        <v/>
      </c>
      <c r="AT376" s="64">
        <f>AJ376*Z376</f>
        <v/>
      </c>
      <c r="AU376" s="64">
        <f>AK376*AA376</f>
        <v/>
      </c>
      <c r="AV376" s="64">
        <f>AL376*AB376</f>
        <v/>
      </c>
      <c r="AW376" s="64">
        <f>AM376*AC376</f>
        <v/>
      </c>
      <c r="AX376" s="64">
        <f>AN376*AD376</f>
        <v/>
      </c>
      <c r="AY376" s="64">
        <f>AO376*AE376</f>
        <v/>
      </c>
      <c r="AZ376" s="64">
        <f>INDEX(Projects[Automation Equipment],375)&amp;""</f>
        <v/>
      </c>
      <c r="BA376" s="64">
        <f>IF(OR(A376="",'Smart Search'!H13=0),"",MAX(0,BE376*BF376*MAX(0,1-BG376)))</f>
        <v/>
      </c>
      <c r="BB376" s="64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4">
        <f>IF('Smart Search'!G13=1,IFERROR(1/'Smart Search'!H13,0),0)</f>
        <v/>
      </c>
      <c r="BD376" s="64">
        <f>BB376*BC376</f>
        <v/>
      </c>
      <c r="BE376" s="64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IF(A376="","",N(INDEX(Projects[Act Mech Inst],375)))</f>
        <v/>
      </c>
      <c r="BK376" s="5">
        <f>IF(A376="","",N(INDEX(Projects[Act Elec Inst],375)))</f>
        <v/>
      </c>
      <c r="BL376" s="5">
        <f>IF(A376="","",N(INDEX(Projects[Act Project Management],375)))</f>
        <v/>
      </c>
      <c r="BM376" s="5">
        <f>IF(A376="","",N(INDEX(Projects[Act Systems Eng],375)))</f>
        <v/>
      </c>
      <c r="BN376" s="5">
        <f>IF(A376="","",N(INDEX(Projects[Act Mechanical Eng],375)))</f>
        <v/>
      </c>
      <c r="BO376" s="5">
        <f>IF(A376="","",N(INDEX(Projects[Act Structural Engineering],375)))</f>
        <v/>
      </c>
      <c r="BP376" s="5">
        <f>IF(A376="","",N(INDEX(Projects[Act Site Sup],375)))</f>
        <v/>
      </c>
      <c r="BQ376" s="5">
        <f>IF(A376="","",N(INDEX(Projects[Act Controls Commissioning],375)))</f>
        <v/>
      </c>
      <c r="BR376" s="5">
        <f>IF(A376="","",N(INDEX(Projects[Act Systems Commissioning],375)))</f>
        <v/>
      </c>
      <c r="BS376" s="5">
        <f>IF(A376="","",N(INDEX(Projects[Act Service Commissioning],375)))</f>
        <v/>
      </c>
      <c r="BT376" s="5">
        <f>IF(A376="","",N(INDEX(Projects[Act Controls Eng],375)))</f>
        <v/>
      </c>
      <c r="BU376" s="5">
        <f>IF(A376="","",N(INDEX(Projects[Act Controls Purchase],375)))</f>
        <v/>
      </c>
      <c r="BV376" s="5">
        <f>IF(A376="","",N(INDEX(Projects[Act Software Eng],375)))</f>
        <v/>
      </c>
      <c r="BW376" s="5">
        <f>IF(A376="","",N(INDEX(Projects[Act 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INDEX(Projects[Sold Value (USD M)],375)</f>
        <v/>
      </c>
      <c r="CE376" s="5" t="n"/>
      <c r="CF376" s="5">
        <f>IF(A376="","",N(INDEX(Projects[Est Mech Inst],375)))</f>
        <v/>
      </c>
      <c r="CG376" s="5">
        <f>IF(A376="","",N(INDEX(Projects[Est Elec Inst],375)))</f>
        <v/>
      </c>
      <c r="CH376" s="5">
        <f>IF(A376="","",N(INDEX(Projects[Est Project Management],375)))</f>
        <v/>
      </c>
      <c r="CI376" s="5">
        <f>IF(A376="","",N(INDEX(Projects[Est Systems Eng],375)))</f>
        <v/>
      </c>
      <c r="CJ376" s="5">
        <f>IF(A376="","",N(INDEX(Projects[Est Mechanical Eng],375)))</f>
        <v/>
      </c>
      <c r="CK376" s="5">
        <f>IF(A376="","",N(INDEX(Projects[Est Structural Engineering],375)))</f>
        <v/>
      </c>
      <c r="CL376" s="5">
        <f>IF(A376="","",N(INDEX(Projects[Est Site Sup],375)))</f>
        <v/>
      </c>
      <c r="CM376" s="5">
        <f>IF(A376="","",N(INDEX(Projects[Est Controls Commissioning],375)))</f>
        <v/>
      </c>
      <c r="CN376" s="5">
        <f>IF(A376="","",N(INDEX(Projects[Est Systems Commissioning],375)))</f>
        <v/>
      </c>
      <c r="CO376" s="5">
        <f>IF(A376="","",N(INDEX(Projects[Est Service Commissioning],375)))</f>
        <v/>
      </c>
      <c r="CP376" s="5">
        <f>IF(A376="","",N(INDEX(Projects[Est Controls Eng],375)))</f>
        <v/>
      </c>
      <c r="CQ376" s="5">
        <f>IF(A376="","",N(INDEX(Projects[Est Controls Purchase],375)))</f>
        <v/>
      </c>
      <c r="CR376" s="5">
        <f>IF(A376="","",N(INDEX(Projects[Est Software Eng],375)))</f>
        <v/>
      </c>
      <c r="CS376" s="5">
        <f>IF(A376="","",N(INDEX(Projects[Est Misc],375)))</f>
        <v/>
      </c>
      <c r="CT376" s="5">
        <f>IF(A376="","",SUM(CF376:CS376))</f>
        <v/>
      </c>
      <c r="CU376" s="5">
        <f>INDEX(Projects[Est Cost (M)],375)</f>
        <v/>
      </c>
      <c r="CV376" s="5">
        <f>INDEX(Projects[Act Cost (M)],375)</f>
        <v/>
      </c>
      <c r="CW376" s="5">
        <f>INDEX(Projects[Plan Mech Eng (wks)],375)</f>
        <v/>
      </c>
      <c r="CX376" s="5">
        <f>INDEX(Projects[Plan Controls Eng (wks)],375)</f>
        <v/>
      </c>
      <c r="CY376" s="5">
        <f>INDEX(Projects[Plan Systems Eng (wks)],375)</f>
        <v/>
      </c>
      <c r="CZ376" s="5">
        <f>INDEX(Projects[Plan Software Eng (wks)],375)</f>
        <v/>
      </c>
      <c r="DA376" s="5">
        <f>INDEX(Projects[Plan M&amp;E Installation (wks)],375)</f>
        <v/>
      </c>
      <c r="DB376" s="5">
        <f>INDEX(Projects[Plan Commissioning (wks)],375)</f>
        <v/>
      </c>
      <c r="DC376" s="5">
        <f>INDEX(Projects[Plan Total (wks)],375)</f>
        <v/>
      </c>
      <c r="DD376" s="5">
        <f>INDEX(Projects[Act Mech Eng (wks)],375)</f>
        <v/>
      </c>
      <c r="DE376" s="5">
        <f>INDEX(Projects[Act Controls Eng (wks)],375)</f>
        <v/>
      </c>
      <c r="DF376" s="5">
        <f>INDEX(Projects[Act Systems Eng (wks)],375)</f>
        <v/>
      </c>
      <c r="DG376" s="5">
        <f>INDEX(Projects[Act Software Eng (wks)],375)</f>
        <v/>
      </c>
      <c r="DH376" s="5">
        <f>INDEX(Projects[Act M&amp;E Installation (wks)],375)</f>
        <v/>
      </c>
      <c r="DI376" s="5">
        <f>INDEX(Projects[Act Commissioning (wks)],375)</f>
        <v/>
      </c>
      <c r="DJ376" s="5">
        <f>INDEX(Projects[Act Total (wks)],375)</f>
        <v/>
      </c>
    </row>
    <row r="377" ht="15" customHeight="1" s="82">
      <c r="A377" s="64">
        <f>INDEX(Projects[Project ID *],376)&amp;""</f>
        <v/>
      </c>
      <c r="B377" s="64">
        <f>INDEX(Projects[Project Name *],376)&amp;""</f>
        <v/>
      </c>
      <c r="C377" s="64">
        <f>INDEX(Projects[MS Shuttles],376)</f>
        <v/>
      </c>
      <c r="D377" s="64">
        <f>INDEX(Projects[MS Tote Locations],376)</f>
        <v/>
      </c>
      <c r="E377" s="64">
        <f>INDEX(Projects[AS Robots],376)</f>
        <v/>
      </c>
      <c r="F377" s="64">
        <f>INDEX(Projects[AS Tote Locations],376)</f>
        <v/>
      </c>
      <c r="G377" s="64">
        <f>INDEX(Projects[PS Shuttles],376)</f>
        <v/>
      </c>
      <c r="H377" s="64">
        <f>INDEX(Projects[PS Pallet Locations],376)</f>
        <v/>
      </c>
      <c r="I377" s="64">
        <f>INDEX(Projects[SRM Cranes],376)</f>
        <v/>
      </c>
      <c r="J377" s="64">
        <f>INDEX(Projects[SRM Pallet Locations],376)</f>
        <v/>
      </c>
      <c r="K377" s="64">
        <f>INDEX(Projects[Case Conv (m)],376)</f>
        <v/>
      </c>
      <c r="L377" s="64">
        <f>INDEX(Projects[Pallet Conv (m)],376)</f>
        <v/>
      </c>
      <c r="M377" s="64">
        <f>IF(N(DJ377)&gt;0,DD377,CW377)</f>
        <v/>
      </c>
      <c r="N377" s="64">
        <f>IF(N(DJ377)&gt;0,DE377,CX377)</f>
        <v/>
      </c>
      <c r="O377" s="64">
        <f>IF(N(DJ377)&gt;0,DF377,CY377)</f>
        <v/>
      </c>
      <c r="P377" s="64">
        <f>IF(N(DJ377)&gt;0,DG377,CZ377)</f>
        <v/>
      </c>
      <c r="Q377" s="64">
        <f>IF(N(DJ377)&gt;0,DH377,DA377)</f>
        <v/>
      </c>
      <c r="R377" s="64">
        <f>IF(N(DJ377)&gt;0,DI377,DB377)</f>
        <v/>
      </c>
      <c r="S377" s="64">
        <f>IF(N(DJ377)&gt;0,DJ377,DC377)</f>
        <v/>
      </c>
      <c r="T377" s="64">
        <f>INDEX(Projects[Currency],376)&amp;""</f>
        <v/>
      </c>
      <c r="U377" s="65">
        <f>INDEX(Projects[Sold Value (M)],376)</f>
        <v/>
      </c>
      <c r="V377" s="64">
        <f>IF('Smart Search'!B13=1,IFERROR(1/'Smart Search'!H13,0),0)</f>
        <v/>
      </c>
      <c r="W377" s="64">
        <f>IF('Smart Search'!B13=1,IFERROR(1/'Smart Search'!H13,0),0)</f>
        <v/>
      </c>
      <c r="X377" s="64">
        <f>IF('Smart Search'!C13=1,IFERROR(1/'Smart Search'!H13,0),0)</f>
        <v/>
      </c>
      <c r="Y377" s="64">
        <f>IF('Smart Search'!C13=1,IFERROR(1/'Smart Search'!H13,0),0)</f>
        <v/>
      </c>
      <c r="Z377" s="64">
        <f>IF('Smart Search'!D13=1,IFERROR(1/'Smart Search'!H13,0),0)</f>
        <v/>
      </c>
      <c r="AA377" s="64">
        <f>IF('Smart Search'!D13=1,IFERROR(1/'Smart Search'!H13,0),0)</f>
        <v/>
      </c>
      <c r="AB377" s="64">
        <f>IF('Smart Search'!E13=1,IFERROR(1/'Smart Search'!H13,0),0)</f>
        <v/>
      </c>
      <c r="AC377" s="64">
        <f>IF('Smart Search'!E13=1,IFERROR(1/'Smart Search'!H13,0),0)</f>
        <v/>
      </c>
      <c r="AD377" s="64">
        <f>IF('Smart Search'!F13=1,IFERROR(1/'Smart Search'!H13,0),0)</f>
        <v/>
      </c>
      <c r="AE377" s="64">
        <f>IF('Smart Search'!F13=1,IFERROR(1/'Smart Search'!H13,0),0)</f>
        <v/>
      </c>
      <c r="AF377" s="64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4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4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4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4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4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4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4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4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4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4">
        <f>AF377*V377</f>
        <v/>
      </c>
      <c r="AQ377" s="64">
        <f>AG377*W377</f>
        <v/>
      </c>
      <c r="AR377" s="64">
        <f>AH377*X377</f>
        <v/>
      </c>
      <c r="AS377" s="64">
        <f>AI377*Y377</f>
        <v/>
      </c>
      <c r="AT377" s="64">
        <f>AJ377*Z377</f>
        <v/>
      </c>
      <c r="AU377" s="64">
        <f>AK377*AA377</f>
        <v/>
      </c>
      <c r="AV377" s="64">
        <f>AL377*AB377</f>
        <v/>
      </c>
      <c r="AW377" s="64">
        <f>AM377*AC377</f>
        <v/>
      </c>
      <c r="AX377" s="64">
        <f>AN377*AD377</f>
        <v/>
      </c>
      <c r="AY377" s="64">
        <f>AO377*AE377</f>
        <v/>
      </c>
      <c r="AZ377" s="64">
        <f>INDEX(Projects[Automation Equipment],376)&amp;""</f>
        <v/>
      </c>
      <c r="BA377" s="64">
        <f>IF(OR(A377="",'Smart Search'!H13=0),"",MAX(0,BE377*BF377*MAX(0,1-BG377)))</f>
        <v/>
      </c>
      <c r="BB377" s="64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4">
        <f>IF('Smart Search'!G13=1,IFERROR(1/'Smart Search'!H13,0),0)</f>
        <v/>
      </c>
      <c r="BD377" s="64">
        <f>BB377*BC377</f>
        <v/>
      </c>
      <c r="BE377" s="64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IF(A377="","",N(INDEX(Projects[Act Mech Inst],376)))</f>
        <v/>
      </c>
      <c r="BK377" s="5">
        <f>IF(A377="","",N(INDEX(Projects[Act Elec Inst],376)))</f>
        <v/>
      </c>
      <c r="BL377" s="5">
        <f>IF(A377="","",N(INDEX(Projects[Act Project Management],376)))</f>
        <v/>
      </c>
      <c r="BM377" s="5">
        <f>IF(A377="","",N(INDEX(Projects[Act Systems Eng],376)))</f>
        <v/>
      </c>
      <c r="BN377" s="5">
        <f>IF(A377="","",N(INDEX(Projects[Act Mechanical Eng],376)))</f>
        <v/>
      </c>
      <c r="BO377" s="5">
        <f>IF(A377="","",N(INDEX(Projects[Act Structural Engineering],376)))</f>
        <v/>
      </c>
      <c r="BP377" s="5">
        <f>IF(A377="","",N(INDEX(Projects[Act Site Sup],376)))</f>
        <v/>
      </c>
      <c r="BQ377" s="5">
        <f>IF(A377="","",N(INDEX(Projects[Act Controls Commissioning],376)))</f>
        <v/>
      </c>
      <c r="BR377" s="5">
        <f>IF(A377="","",N(INDEX(Projects[Act Systems Commissioning],376)))</f>
        <v/>
      </c>
      <c r="BS377" s="5">
        <f>IF(A377="","",N(INDEX(Projects[Act Service Commissioning],376)))</f>
        <v/>
      </c>
      <c r="BT377" s="5">
        <f>IF(A377="","",N(INDEX(Projects[Act Controls Eng],376)))</f>
        <v/>
      </c>
      <c r="BU377" s="5">
        <f>IF(A377="","",N(INDEX(Projects[Act Controls Purchase],376)))</f>
        <v/>
      </c>
      <c r="BV377" s="5">
        <f>IF(A377="","",N(INDEX(Projects[Act Software Eng],376)))</f>
        <v/>
      </c>
      <c r="BW377" s="5">
        <f>IF(A377="","",N(INDEX(Projects[Act 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INDEX(Projects[Sold Value (USD M)],376)</f>
        <v/>
      </c>
      <c r="CE377" s="5" t="n"/>
      <c r="CF377" s="5">
        <f>IF(A377="","",N(INDEX(Projects[Est Mech Inst],376)))</f>
        <v/>
      </c>
      <c r="CG377" s="5">
        <f>IF(A377="","",N(INDEX(Projects[Est Elec Inst],376)))</f>
        <v/>
      </c>
      <c r="CH377" s="5">
        <f>IF(A377="","",N(INDEX(Projects[Est Project Management],376)))</f>
        <v/>
      </c>
      <c r="CI377" s="5">
        <f>IF(A377="","",N(INDEX(Projects[Est Systems Eng],376)))</f>
        <v/>
      </c>
      <c r="CJ377" s="5">
        <f>IF(A377="","",N(INDEX(Projects[Est Mechanical Eng],376)))</f>
        <v/>
      </c>
      <c r="CK377" s="5">
        <f>IF(A377="","",N(INDEX(Projects[Est Structural Engineering],376)))</f>
        <v/>
      </c>
      <c r="CL377" s="5">
        <f>IF(A377="","",N(INDEX(Projects[Est Site Sup],376)))</f>
        <v/>
      </c>
      <c r="CM377" s="5">
        <f>IF(A377="","",N(INDEX(Projects[Est Controls Commissioning],376)))</f>
        <v/>
      </c>
      <c r="CN377" s="5">
        <f>IF(A377="","",N(INDEX(Projects[Est Systems Commissioning],376)))</f>
        <v/>
      </c>
      <c r="CO377" s="5">
        <f>IF(A377="","",N(INDEX(Projects[Est Service Commissioning],376)))</f>
        <v/>
      </c>
      <c r="CP377" s="5">
        <f>IF(A377="","",N(INDEX(Projects[Est Controls Eng],376)))</f>
        <v/>
      </c>
      <c r="CQ377" s="5">
        <f>IF(A377="","",N(INDEX(Projects[Est Controls Purchase],376)))</f>
        <v/>
      </c>
      <c r="CR377" s="5">
        <f>IF(A377="","",N(INDEX(Projects[Est Software Eng],376)))</f>
        <v/>
      </c>
      <c r="CS377" s="5">
        <f>IF(A377="","",N(INDEX(Projects[Est Misc],376)))</f>
        <v/>
      </c>
      <c r="CT377" s="5">
        <f>IF(A377="","",SUM(CF377:CS377))</f>
        <v/>
      </c>
      <c r="CU377" s="5">
        <f>INDEX(Projects[Est Cost (M)],376)</f>
        <v/>
      </c>
      <c r="CV377" s="5">
        <f>INDEX(Projects[Act Cost (M)],376)</f>
        <v/>
      </c>
      <c r="CW377" s="5">
        <f>INDEX(Projects[Plan Mech Eng (wks)],376)</f>
        <v/>
      </c>
      <c r="CX377" s="5">
        <f>INDEX(Projects[Plan Controls Eng (wks)],376)</f>
        <v/>
      </c>
      <c r="CY377" s="5">
        <f>INDEX(Projects[Plan Systems Eng (wks)],376)</f>
        <v/>
      </c>
      <c r="CZ377" s="5">
        <f>INDEX(Projects[Plan Software Eng (wks)],376)</f>
        <v/>
      </c>
      <c r="DA377" s="5">
        <f>INDEX(Projects[Plan M&amp;E Installation (wks)],376)</f>
        <v/>
      </c>
      <c r="DB377" s="5">
        <f>INDEX(Projects[Plan Commissioning (wks)],376)</f>
        <v/>
      </c>
      <c r="DC377" s="5">
        <f>INDEX(Projects[Plan Total (wks)],376)</f>
        <v/>
      </c>
      <c r="DD377" s="5">
        <f>INDEX(Projects[Act Mech Eng (wks)],376)</f>
        <v/>
      </c>
      <c r="DE377" s="5">
        <f>INDEX(Projects[Act Controls Eng (wks)],376)</f>
        <v/>
      </c>
      <c r="DF377" s="5">
        <f>INDEX(Projects[Act Systems Eng (wks)],376)</f>
        <v/>
      </c>
      <c r="DG377" s="5">
        <f>INDEX(Projects[Act Software Eng (wks)],376)</f>
        <v/>
      </c>
      <c r="DH377" s="5">
        <f>INDEX(Projects[Act M&amp;E Installation (wks)],376)</f>
        <v/>
      </c>
      <c r="DI377" s="5">
        <f>INDEX(Projects[Act Commissioning (wks)],376)</f>
        <v/>
      </c>
      <c r="DJ377" s="5">
        <f>INDEX(Projects[Act Total (wks)],376)</f>
        <v/>
      </c>
    </row>
    <row r="378" ht="15" customHeight="1" s="82">
      <c r="A378" s="64">
        <f>INDEX(Projects[Project ID *],377)&amp;""</f>
        <v/>
      </c>
      <c r="B378" s="64">
        <f>INDEX(Projects[Project Name *],377)&amp;""</f>
        <v/>
      </c>
      <c r="C378" s="64">
        <f>INDEX(Projects[MS Shuttles],377)</f>
        <v/>
      </c>
      <c r="D378" s="64">
        <f>INDEX(Projects[MS Tote Locations],377)</f>
        <v/>
      </c>
      <c r="E378" s="64">
        <f>INDEX(Projects[AS Robots],377)</f>
        <v/>
      </c>
      <c r="F378" s="64">
        <f>INDEX(Projects[AS Tote Locations],377)</f>
        <v/>
      </c>
      <c r="G378" s="64">
        <f>INDEX(Projects[PS Shuttles],377)</f>
        <v/>
      </c>
      <c r="H378" s="64">
        <f>INDEX(Projects[PS Pallet Locations],377)</f>
        <v/>
      </c>
      <c r="I378" s="64">
        <f>INDEX(Projects[SRM Cranes],377)</f>
        <v/>
      </c>
      <c r="J378" s="64">
        <f>INDEX(Projects[SRM Pallet Locations],377)</f>
        <v/>
      </c>
      <c r="K378" s="64">
        <f>INDEX(Projects[Case Conv (m)],377)</f>
        <v/>
      </c>
      <c r="L378" s="64">
        <f>INDEX(Projects[Pallet Conv (m)],377)</f>
        <v/>
      </c>
      <c r="M378" s="64">
        <f>IF(N(DJ378)&gt;0,DD378,CW378)</f>
        <v/>
      </c>
      <c r="N378" s="64">
        <f>IF(N(DJ378)&gt;0,DE378,CX378)</f>
        <v/>
      </c>
      <c r="O378" s="64">
        <f>IF(N(DJ378)&gt;0,DF378,CY378)</f>
        <v/>
      </c>
      <c r="P378" s="64">
        <f>IF(N(DJ378)&gt;0,DG378,CZ378)</f>
        <v/>
      </c>
      <c r="Q378" s="64">
        <f>IF(N(DJ378)&gt;0,DH378,DA378)</f>
        <v/>
      </c>
      <c r="R378" s="64">
        <f>IF(N(DJ378)&gt;0,DI378,DB378)</f>
        <v/>
      </c>
      <c r="S378" s="64">
        <f>IF(N(DJ378)&gt;0,DJ378,DC378)</f>
        <v/>
      </c>
      <c r="T378" s="64">
        <f>INDEX(Projects[Currency],377)&amp;""</f>
        <v/>
      </c>
      <c r="U378" s="65">
        <f>INDEX(Projects[Sold Value (M)],377)</f>
        <v/>
      </c>
      <c r="V378" s="64">
        <f>IF('Smart Search'!B13=1,IFERROR(1/'Smart Search'!H13,0),0)</f>
        <v/>
      </c>
      <c r="W378" s="64">
        <f>IF('Smart Search'!B13=1,IFERROR(1/'Smart Search'!H13,0),0)</f>
        <v/>
      </c>
      <c r="X378" s="64">
        <f>IF('Smart Search'!C13=1,IFERROR(1/'Smart Search'!H13,0),0)</f>
        <v/>
      </c>
      <c r="Y378" s="64">
        <f>IF('Smart Search'!C13=1,IFERROR(1/'Smart Search'!H13,0),0)</f>
        <v/>
      </c>
      <c r="Z378" s="64">
        <f>IF('Smart Search'!D13=1,IFERROR(1/'Smart Search'!H13,0),0)</f>
        <v/>
      </c>
      <c r="AA378" s="64">
        <f>IF('Smart Search'!D13=1,IFERROR(1/'Smart Search'!H13,0),0)</f>
        <v/>
      </c>
      <c r="AB378" s="64">
        <f>IF('Smart Search'!E13=1,IFERROR(1/'Smart Search'!H13,0),0)</f>
        <v/>
      </c>
      <c r="AC378" s="64">
        <f>IF('Smart Search'!E13=1,IFERROR(1/'Smart Search'!H13,0),0)</f>
        <v/>
      </c>
      <c r="AD378" s="64">
        <f>IF('Smart Search'!F13=1,IFERROR(1/'Smart Search'!H13,0),0)</f>
        <v/>
      </c>
      <c r="AE378" s="64">
        <f>IF('Smart Search'!F13=1,IFERROR(1/'Smart Search'!H13,0),0)</f>
        <v/>
      </c>
      <c r="AF378" s="64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4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4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4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4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4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4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4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4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4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4">
        <f>AF378*V378</f>
        <v/>
      </c>
      <c r="AQ378" s="64">
        <f>AG378*W378</f>
        <v/>
      </c>
      <c r="AR378" s="64">
        <f>AH378*X378</f>
        <v/>
      </c>
      <c r="AS378" s="64">
        <f>AI378*Y378</f>
        <v/>
      </c>
      <c r="AT378" s="64">
        <f>AJ378*Z378</f>
        <v/>
      </c>
      <c r="AU378" s="64">
        <f>AK378*AA378</f>
        <v/>
      </c>
      <c r="AV378" s="64">
        <f>AL378*AB378</f>
        <v/>
      </c>
      <c r="AW378" s="64">
        <f>AM378*AC378</f>
        <v/>
      </c>
      <c r="AX378" s="64">
        <f>AN378*AD378</f>
        <v/>
      </c>
      <c r="AY378" s="64">
        <f>AO378*AE378</f>
        <v/>
      </c>
      <c r="AZ378" s="64">
        <f>INDEX(Projects[Automation Equipment],377)&amp;""</f>
        <v/>
      </c>
      <c r="BA378" s="64">
        <f>IF(OR(A378="",'Smart Search'!H13=0),"",MAX(0,BE378*BF378*MAX(0,1-BG378)))</f>
        <v/>
      </c>
      <c r="BB378" s="64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4">
        <f>IF('Smart Search'!G13=1,IFERROR(1/'Smart Search'!H13,0),0)</f>
        <v/>
      </c>
      <c r="BD378" s="64">
        <f>BB378*BC378</f>
        <v/>
      </c>
      <c r="BE378" s="64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IF(A378="","",N(INDEX(Projects[Act Mech Inst],377)))</f>
        <v/>
      </c>
      <c r="BK378" s="5">
        <f>IF(A378="","",N(INDEX(Projects[Act Elec Inst],377)))</f>
        <v/>
      </c>
      <c r="BL378" s="5">
        <f>IF(A378="","",N(INDEX(Projects[Act Project Management],377)))</f>
        <v/>
      </c>
      <c r="BM378" s="5">
        <f>IF(A378="","",N(INDEX(Projects[Act Systems Eng],377)))</f>
        <v/>
      </c>
      <c r="BN378" s="5">
        <f>IF(A378="","",N(INDEX(Projects[Act Mechanical Eng],377)))</f>
        <v/>
      </c>
      <c r="BO378" s="5">
        <f>IF(A378="","",N(INDEX(Projects[Act Structural Engineering],377)))</f>
        <v/>
      </c>
      <c r="BP378" s="5">
        <f>IF(A378="","",N(INDEX(Projects[Act Site Sup],377)))</f>
        <v/>
      </c>
      <c r="BQ378" s="5">
        <f>IF(A378="","",N(INDEX(Projects[Act Controls Commissioning],377)))</f>
        <v/>
      </c>
      <c r="BR378" s="5">
        <f>IF(A378="","",N(INDEX(Projects[Act Systems Commissioning],377)))</f>
        <v/>
      </c>
      <c r="BS378" s="5">
        <f>IF(A378="","",N(INDEX(Projects[Act Service Commissioning],377)))</f>
        <v/>
      </c>
      <c r="BT378" s="5">
        <f>IF(A378="","",N(INDEX(Projects[Act Controls Eng],377)))</f>
        <v/>
      </c>
      <c r="BU378" s="5">
        <f>IF(A378="","",N(INDEX(Projects[Act Controls Purchase],377)))</f>
        <v/>
      </c>
      <c r="BV378" s="5">
        <f>IF(A378="","",N(INDEX(Projects[Act Software Eng],377)))</f>
        <v/>
      </c>
      <c r="BW378" s="5">
        <f>IF(A378="","",N(INDEX(Projects[Act 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INDEX(Projects[Sold Value (USD M)],377)</f>
        <v/>
      </c>
      <c r="CE378" s="5" t="n"/>
      <c r="CF378" s="5">
        <f>IF(A378="","",N(INDEX(Projects[Est Mech Inst],377)))</f>
        <v/>
      </c>
      <c r="CG378" s="5">
        <f>IF(A378="","",N(INDEX(Projects[Est Elec Inst],377)))</f>
        <v/>
      </c>
      <c r="CH378" s="5">
        <f>IF(A378="","",N(INDEX(Projects[Est Project Management],377)))</f>
        <v/>
      </c>
      <c r="CI378" s="5">
        <f>IF(A378="","",N(INDEX(Projects[Est Systems Eng],377)))</f>
        <v/>
      </c>
      <c r="CJ378" s="5">
        <f>IF(A378="","",N(INDEX(Projects[Est Mechanical Eng],377)))</f>
        <v/>
      </c>
      <c r="CK378" s="5">
        <f>IF(A378="","",N(INDEX(Projects[Est Structural Engineering],377)))</f>
        <v/>
      </c>
      <c r="CL378" s="5">
        <f>IF(A378="","",N(INDEX(Projects[Est Site Sup],377)))</f>
        <v/>
      </c>
      <c r="CM378" s="5">
        <f>IF(A378="","",N(INDEX(Projects[Est Controls Commissioning],377)))</f>
        <v/>
      </c>
      <c r="CN378" s="5">
        <f>IF(A378="","",N(INDEX(Projects[Est Systems Commissioning],377)))</f>
        <v/>
      </c>
      <c r="CO378" s="5">
        <f>IF(A378="","",N(INDEX(Projects[Est Service Commissioning],377)))</f>
        <v/>
      </c>
      <c r="CP378" s="5">
        <f>IF(A378="","",N(INDEX(Projects[Est Controls Eng],377)))</f>
        <v/>
      </c>
      <c r="CQ378" s="5">
        <f>IF(A378="","",N(INDEX(Projects[Est Controls Purchase],377)))</f>
        <v/>
      </c>
      <c r="CR378" s="5">
        <f>IF(A378="","",N(INDEX(Projects[Est Software Eng],377)))</f>
        <v/>
      </c>
      <c r="CS378" s="5">
        <f>IF(A378="","",N(INDEX(Projects[Est Misc],377)))</f>
        <v/>
      </c>
      <c r="CT378" s="5">
        <f>IF(A378="","",SUM(CF378:CS378))</f>
        <v/>
      </c>
      <c r="CU378" s="5">
        <f>INDEX(Projects[Est Cost (M)],377)</f>
        <v/>
      </c>
      <c r="CV378" s="5">
        <f>INDEX(Projects[Act Cost (M)],377)</f>
        <v/>
      </c>
      <c r="CW378" s="5">
        <f>INDEX(Projects[Plan Mech Eng (wks)],377)</f>
        <v/>
      </c>
      <c r="CX378" s="5">
        <f>INDEX(Projects[Plan Controls Eng (wks)],377)</f>
        <v/>
      </c>
      <c r="CY378" s="5">
        <f>INDEX(Projects[Plan Systems Eng (wks)],377)</f>
        <v/>
      </c>
      <c r="CZ378" s="5">
        <f>INDEX(Projects[Plan Software Eng (wks)],377)</f>
        <v/>
      </c>
      <c r="DA378" s="5">
        <f>INDEX(Projects[Plan M&amp;E Installation (wks)],377)</f>
        <v/>
      </c>
      <c r="DB378" s="5">
        <f>INDEX(Projects[Plan Commissioning (wks)],377)</f>
        <v/>
      </c>
      <c r="DC378" s="5">
        <f>INDEX(Projects[Plan Total (wks)],377)</f>
        <v/>
      </c>
      <c r="DD378" s="5">
        <f>INDEX(Projects[Act Mech Eng (wks)],377)</f>
        <v/>
      </c>
      <c r="DE378" s="5">
        <f>INDEX(Projects[Act Controls Eng (wks)],377)</f>
        <v/>
      </c>
      <c r="DF378" s="5">
        <f>INDEX(Projects[Act Systems Eng (wks)],377)</f>
        <v/>
      </c>
      <c r="DG378" s="5">
        <f>INDEX(Projects[Act Software Eng (wks)],377)</f>
        <v/>
      </c>
      <c r="DH378" s="5">
        <f>INDEX(Projects[Act M&amp;E Installation (wks)],377)</f>
        <v/>
      </c>
      <c r="DI378" s="5">
        <f>INDEX(Projects[Act Commissioning (wks)],377)</f>
        <v/>
      </c>
      <c r="DJ378" s="5">
        <f>INDEX(Projects[Act Total (wks)],377)</f>
        <v/>
      </c>
    </row>
    <row r="379" ht="15" customHeight="1" s="82">
      <c r="A379" s="64">
        <f>INDEX(Projects[Project ID *],378)&amp;""</f>
        <v/>
      </c>
      <c r="B379" s="64">
        <f>INDEX(Projects[Project Name *],378)&amp;""</f>
        <v/>
      </c>
      <c r="C379" s="64">
        <f>INDEX(Projects[MS Shuttles],378)</f>
        <v/>
      </c>
      <c r="D379" s="64">
        <f>INDEX(Projects[MS Tote Locations],378)</f>
        <v/>
      </c>
      <c r="E379" s="64">
        <f>INDEX(Projects[AS Robots],378)</f>
        <v/>
      </c>
      <c r="F379" s="64">
        <f>INDEX(Projects[AS Tote Locations],378)</f>
        <v/>
      </c>
      <c r="G379" s="64">
        <f>INDEX(Projects[PS Shuttles],378)</f>
        <v/>
      </c>
      <c r="H379" s="64">
        <f>INDEX(Projects[PS Pallet Locations],378)</f>
        <v/>
      </c>
      <c r="I379" s="64">
        <f>INDEX(Projects[SRM Cranes],378)</f>
        <v/>
      </c>
      <c r="J379" s="64">
        <f>INDEX(Projects[SRM Pallet Locations],378)</f>
        <v/>
      </c>
      <c r="K379" s="64">
        <f>INDEX(Projects[Case Conv (m)],378)</f>
        <v/>
      </c>
      <c r="L379" s="64">
        <f>INDEX(Projects[Pallet Conv (m)],378)</f>
        <v/>
      </c>
      <c r="M379" s="64">
        <f>IF(N(DJ379)&gt;0,DD379,CW379)</f>
        <v/>
      </c>
      <c r="N379" s="64">
        <f>IF(N(DJ379)&gt;0,DE379,CX379)</f>
        <v/>
      </c>
      <c r="O379" s="64">
        <f>IF(N(DJ379)&gt;0,DF379,CY379)</f>
        <v/>
      </c>
      <c r="P379" s="64">
        <f>IF(N(DJ379)&gt;0,DG379,CZ379)</f>
        <v/>
      </c>
      <c r="Q379" s="64">
        <f>IF(N(DJ379)&gt;0,DH379,DA379)</f>
        <v/>
      </c>
      <c r="R379" s="64">
        <f>IF(N(DJ379)&gt;0,DI379,DB379)</f>
        <v/>
      </c>
      <c r="S379" s="64">
        <f>IF(N(DJ379)&gt;0,DJ379,DC379)</f>
        <v/>
      </c>
      <c r="T379" s="64">
        <f>INDEX(Projects[Currency],378)&amp;""</f>
        <v/>
      </c>
      <c r="U379" s="65">
        <f>INDEX(Projects[Sold Value (M)],378)</f>
        <v/>
      </c>
      <c r="V379" s="64">
        <f>IF('Smart Search'!B13=1,IFERROR(1/'Smart Search'!H13,0),0)</f>
        <v/>
      </c>
      <c r="W379" s="64">
        <f>IF('Smart Search'!B13=1,IFERROR(1/'Smart Search'!H13,0),0)</f>
        <v/>
      </c>
      <c r="X379" s="64">
        <f>IF('Smart Search'!C13=1,IFERROR(1/'Smart Search'!H13,0),0)</f>
        <v/>
      </c>
      <c r="Y379" s="64">
        <f>IF('Smart Search'!C13=1,IFERROR(1/'Smart Search'!H13,0),0)</f>
        <v/>
      </c>
      <c r="Z379" s="64">
        <f>IF('Smart Search'!D13=1,IFERROR(1/'Smart Search'!H13,0),0)</f>
        <v/>
      </c>
      <c r="AA379" s="64">
        <f>IF('Smart Search'!D13=1,IFERROR(1/'Smart Search'!H13,0),0)</f>
        <v/>
      </c>
      <c r="AB379" s="64">
        <f>IF('Smart Search'!E13=1,IFERROR(1/'Smart Search'!H13,0),0)</f>
        <v/>
      </c>
      <c r="AC379" s="64">
        <f>IF('Smart Search'!E13=1,IFERROR(1/'Smart Search'!H13,0),0)</f>
        <v/>
      </c>
      <c r="AD379" s="64">
        <f>IF('Smart Search'!F13=1,IFERROR(1/'Smart Search'!H13,0),0)</f>
        <v/>
      </c>
      <c r="AE379" s="64">
        <f>IF('Smart Search'!F13=1,IFERROR(1/'Smart Search'!H13,0),0)</f>
        <v/>
      </c>
      <c r="AF379" s="64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4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4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4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4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4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4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4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4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4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4">
        <f>AF379*V379</f>
        <v/>
      </c>
      <c r="AQ379" s="64">
        <f>AG379*W379</f>
        <v/>
      </c>
      <c r="AR379" s="64">
        <f>AH379*X379</f>
        <v/>
      </c>
      <c r="AS379" s="64">
        <f>AI379*Y379</f>
        <v/>
      </c>
      <c r="AT379" s="64">
        <f>AJ379*Z379</f>
        <v/>
      </c>
      <c r="AU379" s="64">
        <f>AK379*AA379</f>
        <v/>
      </c>
      <c r="AV379" s="64">
        <f>AL379*AB379</f>
        <v/>
      </c>
      <c r="AW379" s="64">
        <f>AM379*AC379</f>
        <v/>
      </c>
      <c r="AX379" s="64">
        <f>AN379*AD379</f>
        <v/>
      </c>
      <c r="AY379" s="64">
        <f>AO379*AE379</f>
        <v/>
      </c>
      <c r="AZ379" s="64">
        <f>INDEX(Projects[Automation Equipment],378)&amp;""</f>
        <v/>
      </c>
      <c r="BA379" s="64">
        <f>IF(OR(A379="",'Smart Search'!H13=0),"",MAX(0,BE379*BF379*MAX(0,1-BG379)))</f>
        <v/>
      </c>
      <c r="BB379" s="64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4">
        <f>IF('Smart Search'!G13=1,IFERROR(1/'Smart Search'!H13,0),0)</f>
        <v/>
      </c>
      <c r="BD379" s="64">
        <f>BB379*BC379</f>
        <v/>
      </c>
      <c r="BE379" s="64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IF(A379="","",N(INDEX(Projects[Act Mech Inst],378)))</f>
        <v/>
      </c>
      <c r="BK379" s="5">
        <f>IF(A379="","",N(INDEX(Projects[Act Elec Inst],378)))</f>
        <v/>
      </c>
      <c r="BL379" s="5">
        <f>IF(A379="","",N(INDEX(Projects[Act Project Management],378)))</f>
        <v/>
      </c>
      <c r="BM379" s="5">
        <f>IF(A379="","",N(INDEX(Projects[Act Systems Eng],378)))</f>
        <v/>
      </c>
      <c r="BN379" s="5">
        <f>IF(A379="","",N(INDEX(Projects[Act Mechanical Eng],378)))</f>
        <v/>
      </c>
      <c r="BO379" s="5">
        <f>IF(A379="","",N(INDEX(Projects[Act Structural Engineering],378)))</f>
        <v/>
      </c>
      <c r="BP379" s="5">
        <f>IF(A379="","",N(INDEX(Projects[Act Site Sup],378)))</f>
        <v/>
      </c>
      <c r="BQ379" s="5">
        <f>IF(A379="","",N(INDEX(Projects[Act Controls Commissioning],378)))</f>
        <v/>
      </c>
      <c r="BR379" s="5">
        <f>IF(A379="","",N(INDEX(Projects[Act Systems Commissioning],378)))</f>
        <v/>
      </c>
      <c r="BS379" s="5">
        <f>IF(A379="","",N(INDEX(Projects[Act Service Commissioning],378)))</f>
        <v/>
      </c>
      <c r="BT379" s="5">
        <f>IF(A379="","",N(INDEX(Projects[Act Controls Eng],378)))</f>
        <v/>
      </c>
      <c r="BU379" s="5">
        <f>IF(A379="","",N(INDEX(Projects[Act Controls Purchase],378)))</f>
        <v/>
      </c>
      <c r="BV379" s="5">
        <f>IF(A379="","",N(INDEX(Projects[Act Software Eng],378)))</f>
        <v/>
      </c>
      <c r="BW379" s="5">
        <f>IF(A379="","",N(INDEX(Projects[Act 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INDEX(Projects[Sold Value (USD M)],378)</f>
        <v/>
      </c>
      <c r="CE379" s="5" t="n"/>
      <c r="CF379" s="5">
        <f>IF(A379="","",N(INDEX(Projects[Est Mech Inst],378)))</f>
        <v/>
      </c>
      <c r="CG379" s="5">
        <f>IF(A379="","",N(INDEX(Projects[Est Elec Inst],378)))</f>
        <v/>
      </c>
      <c r="CH379" s="5">
        <f>IF(A379="","",N(INDEX(Projects[Est Project Management],378)))</f>
        <v/>
      </c>
      <c r="CI379" s="5">
        <f>IF(A379="","",N(INDEX(Projects[Est Systems Eng],378)))</f>
        <v/>
      </c>
      <c r="CJ379" s="5">
        <f>IF(A379="","",N(INDEX(Projects[Est Mechanical Eng],378)))</f>
        <v/>
      </c>
      <c r="CK379" s="5">
        <f>IF(A379="","",N(INDEX(Projects[Est Structural Engineering],378)))</f>
        <v/>
      </c>
      <c r="CL379" s="5">
        <f>IF(A379="","",N(INDEX(Projects[Est Site Sup],378)))</f>
        <v/>
      </c>
      <c r="CM379" s="5">
        <f>IF(A379="","",N(INDEX(Projects[Est Controls Commissioning],378)))</f>
        <v/>
      </c>
      <c r="CN379" s="5">
        <f>IF(A379="","",N(INDEX(Projects[Est Systems Commissioning],378)))</f>
        <v/>
      </c>
      <c r="CO379" s="5">
        <f>IF(A379="","",N(INDEX(Projects[Est Service Commissioning],378)))</f>
        <v/>
      </c>
      <c r="CP379" s="5">
        <f>IF(A379="","",N(INDEX(Projects[Est Controls Eng],378)))</f>
        <v/>
      </c>
      <c r="CQ379" s="5">
        <f>IF(A379="","",N(INDEX(Projects[Est Controls Purchase],378)))</f>
        <v/>
      </c>
      <c r="CR379" s="5">
        <f>IF(A379="","",N(INDEX(Projects[Est Software Eng],378)))</f>
        <v/>
      </c>
      <c r="CS379" s="5">
        <f>IF(A379="","",N(INDEX(Projects[Est Misc],378)))</f>
        <v/>
      </c>
      <c r="CT379" s="5">
        <f>IF(A379="","",SUM(CF379:CS379))</f>
        <v/>
      </c>
      <c r="CU379" s="5">
        <f>INDEX(Projects[Est Cost (M)],378)</f>
        <v/>
      </c>
      <c r="CV379" s="5">
        <f>INDEX(Projects[Act Cost (M)],378)</f>
        <v/>
      </c>
      <c r="CW379" s="5">
        <f>INDEX(Projects[Plan Mech Eng (wks)],378)</f>
        <v/>
      </c>
      <c r="CX379" s="5">
        <f>INDEX(Projects[Plan Controls Eng (wks)],378)</f>
        <v/>
      </c>
      <c r="CY379" s="5">
        <f>INDEX(Projects[Plan Systems Eng (wks)],378)</f>
        <v/>
      </c>
      <c r="CZ379" s="5">
        <f>INDEX(Projects[Plan Software Eng (wks)],378)</f>
        <v/>
      </c>
      <c r="DA379" s="5">
        <f>INDEX(Projects[Plan M&amp;E Installation (wks)],378)</f>
        <v/>
      </c>
      <c r="DB379" s="5">
        <f>INDEX(Projects[Plan Commissioning (wks)],378)</f>
        <v/>
      </c>
      <c r="DC379" s="5">
        <f>INDEX(Projects[Plan Total (wks)],378)</f>
        <v/>
      </c>
      <c r="DD379" s="5">
        <f>INDEX(Projects[Act Mech Eng (wks)],378)</f>
        <v/>
      </c>
      <c r="DE379" s="5">
        <f>INDEX(Projects[Act Controls Eng (wks)],378)</f>
        <v/>
      </c>
      <c r="DF379" s="5">
        <f>INDEX(Projects[Act Systems Eng (wks)],378)</f>
        <v/>
      </c>
      <c r="DG379" s="5">
        <f>INDEX(Projects[Act Software Eng (wks)],378)</f>
        <v/>
      </c>
      <c r="DH379" s="5">
        <f>INDEX(Projects[Act M&amp;E Installation (wks)],378)</f>
        <v/>
      </c>
      <c r="DI379" s="5">
        <f>INDEX(Projects[Act Commissioning (wks)],378)</f>
        <v/>
      </c>
      <c r="DJ379" s="5">
        <f>INDEX(Projects[Act Total (wks)],378)</f>
        <v/>
      </c>
    </row>
    <row r="380" ht="15" customHeight="1" s="82">
      <c r="A380" s="64">
        <f>INDEX(Projects[Project ID *],379)&amp;""</f>
        <v/>
      </c>
      <c r="B380" s="64">
        <f>INDEX(Projects[Project Name *],379)&amp;""</f>
        <v/>
      </c>
      <c r="C380" s="64">
        <f>INDEX(Projects[MS Shuttles],379)</f>
        <v/>
      </c>
      <c r="D380" s="64">
        <f>INDEX(Projects[MS Tote Locations],379)</f>
        <v/>
      </c>
      <c r="E380" s="64">
        <f>INDEX(Projects[AS Robots],379)</f>
        <v/>
      </c>
      <c r="F380" s="64">
        <f>INDEX(Projects[AS Tote Locations],379)</f>
        <v/>
      </c>
      <c r="G380" s="64">
        <f>INDEX(Projects[PS Shuttles],379)</f>
        <v/>
      </c>
      <c r="H380" s="64">
        <f>INDEX(Projects[PS Pallet Locations],379)</f>
        <v/>
      </c>
      <c r="I380" s="64">
        <f>INDEX(Projects[SRM Cranes],379)</f>
        <v/>
      </c>
      <c r="J380" s="64">
        <f>INDEX(Projects[SRM Pallet Locations],379)</f>
        <v/>
      </c>
      <c r="K380" s="64">
        <f>INDEX(Projects[Case Conv (m)],379)</f>
        <v/>
      </c>
      <c r="L380" s="64">
        <f>INDEX(Projects[Pallet Conv (m)],379)</f>
        <v/>
      </c>
      <c r="M380" s="64">
        <f>IF(N(DJ380)&gt;0,DD380,CW380)</f>
        <v/>
      </c>
      <c r="N380" s="64">
        <f>IF(N(DJ380)&gt;0,DE380,CX380)</f>
        <v/>
      </c>
      <c r="O380" s="64">
        <f>IF(N(DJ380)&gt;0,DF380,CY380)</f>
        <v/>
      </c>
      <c r="P380" s="64">
        <f>IF(N(DJ380)&gt;0,DG380,CZ380)</f>
        <v/>
      </c>
      <c r="Q380" s="64">
        <f>IF(N(DJ380)&gt;0,DH380,DA380)</f>
        <v/>
      </c>
      <c r="R380" s="64">
        <f>IF(N(DJ380)&gt;0,DI380,DB380)</f>
        <v/>
      </c>
      <c r="S380" s="64">
        <f>IF(N(DJ380)&gt;0,DJ380,DC380)</f>
        <v/>
      </c>
      <c r="T380" s="64">
        <f>INDEX(Projects[Currency],379)&amp;""</f>
        <v/>
      </c>
      <c r="U380" s="65">
        <f>INDEX(Projects[Sold Value (M)],379)</f>
        <v/>
      </c>
      <c r="V380" s="64">
        <f>IF('Smart Search'!B13=1,IFERROR(1/'Smart Search'!H13,0),0)</f>
        <v/>
      </c>
      <c r="W380" s="64">
        <f>IF('Smart Search'!B13=1,IFERROR(1/'Smart Search'!H13,0),0)</f>
        <v/>
      </c>
      <c r="X380" s="64">
        <f>IF('Smart Search'!C13=1,IFERROR(1/'Smart Search'!H13,0),0)</f>
        <v/>
      </c>
      <c r="Y380" s="64">
        <f>IF('Smart Search'!C13=1,IFERROR(1/'Smart Search'!H13,0),0)</f>
        <v/>
      </c>
      <c r="Z380" s="64">
        <f>IF('Smart Search'!D13=1,IFERROR(1/'Smart Search'!H13,0),0)</f>
        <v/>
      </c>
      <c r="AA380" s="64">
        <f>IF('Smart Search'!D13=1,IFERROR(1/'Smart Search'!H13,0),0)</f>
        <v/>
      </c>
      <c r="AB380" s="64">
        <f>IF('Smart Search'!E13=1,IFERROR(1/'Smart Search'!H13,0),0)</f>
        <v/>
      </c>
      <c r="AC380" s="64">
        <f>IF('Smart Search'!E13=1,IFERROR(1/'Smart Search'!H13,0),0)</f>
        <v/>
      </c>
      <c r="AD380" s="64">
        <f>IF('Smart Search'!F13=1,IFERROR(1/'Smart Search'!H13,0),0)</f>
        <v/>
      </c>
      <c r="AE380" s="64">
        <f>IF('Smart Search'!F13=1,IFERROR(1/'Smart Search'!H13,0),0)</f>
        <v/>
      </c>
      <c r="AF380" s="64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4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4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4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4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4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4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4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4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4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4">
        <f>AF380*V380</f>
        <v/>
      </c>
      <c r="AQ380" s="64">
        <f>AG380*W380</f>
        <v/>
      </c>
      <c r="AR380" s="64">
        <f>AH380*X380</f>
        <v/>
      </c>
      <c r="AS380" s="64">
        <f>AI380*Y380</f>
        <v/>
      </c>
      <c r="AT380" s="64">
        <f>AJ380*Z380</f>
        <v/>
      </c>
      <c r="AU380" s="64">
        <f>AK380*AA380</f>
        <v/>
      </c>
      <c r="AV380" s="64">
        <f>AL380*AB380</f>
        <v/>
      </c>
      <c r="AW380" s="64">
        <f>AM380*AC380</f>
        <v/>
      </c>
      <c r="AX380" s="64">
        <f>AN380*AD380</f>
        <v/>
      </c>
      <c r="AY380" s="64">
        <f>AO380*AE380</f>
        <v/>
      </c>
      <c r="AZ380" s="64">
        <f>INDEX(Projects[Automation Equipment],379)&amp;""</f>
        <v/>
      </c>
      <c r="BA380" s="64">
        <f>IF(OR(A380="",'Smart Search'!H13=0),"",MAX(0,BE380*BF380*MAX(0,1-BG380)))</f>
        <v/>
      </c>
      <c r="BB380" s="64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4">
        <f>IF('Smart Search'!G13=1,IFERROR(1/'Smart Search'!H13,0),0)</f>
        <v/>
      </c>
      <c r="BD380" s="64">
        <f>BB380*BC380</f>
        <v/>
      </c>
      <c r="BE380" s="64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IF(A380="","",N(INDEX(Projects[Act Mech Inst],379)))</f>
        <v/>
      </c>
      <c r="BK380" s="5">
        <f>IF(A380="","",N(INDEX(Projects[Act Elec Inst],379)))</f>
        <v/>
      </c>
      <c r="BL380" s="5">
        <f>IF(A380="","",N(INDEX(Projects[Act Project Management],379)))</f>
        <v/>
      </c>
      <c r="BM380" s="5">
        <f>IF(A380="","",N(INDEX(Projects[Act Systems Eng],379)))</f>
        <v/>
      </c>
      <c r="BN380" s="5">
        <f>IF(A380="","",N(INDEX(Projects[Act Mechanical Eng],379)))</f>
        <v/>
      </c>
      <c r="BO380" s="5">
        <f>IF(A380="","",N(INDEX(Projects[Act Structural Engineering],379)))</f>
        <v/>
      </c>
      <c r="BP380" s="5">
        <f>IF(A380="","",N(INDEX(Projects[Act Site Sup],379)))</f>
        <v/>
      </c>
      <c r="BQ380" s="5">
        <f>IF(A380="","",N(INDEX(Projects[Act Controls Commissioning],379)))</f>
        <v/>
      </c>
      <c r="BR380" s="5">
        <f>IF(A380="","",N(INDEX(Projects[Act Systems Commissioning],379)))</f>
        <v/>
      </c>
      <c r="BS380" s="5">
        <f>IF(A380="","",N(INDEX(Projects[Act Service Commissioning],379)))</f>
        <v/>
      </c>
      <c r="BT380" s="5">
        <f>IF(A380="","",N(INDEX(Projects[Act Controls Eng],379)))</f>
        <v/>
      </c>
      <c r="BU380" s="5">
        <f>IF(A380="","",N(INDEX(Projects[Act Controls Purchase],379)))</f>
        <v/>
      </c>
      <c r="BV380" s="5">
        <f>IF(A380="","",N(INDEX(Projects[Act Software Eng],379)))</f>
        <v/>
      </c>
      <c r="BW380" s="5">
        <f>IF(A380="","",N(INDEX(Projects[Act 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INDEX(Projects[Sold Value (USD M)],379)</f>
        <v/>
      </c>
      <c r="CE380" s="5" t="n"/>
      <c r="CF380" s="5">
        <f>IF(A380="","",N(INDEX(Projects[Est Mech Inst],379)))</f>
        <v/>
      </c>
      <c r="CG380" s="5">
        <f>IF(A380="","",N(INDEX(Projects[Est Elec Inst],379)))</f>
        <v/>
      </c>
      <c r="CH380" s="5">
        <f>IF(A380="","",N(INDEX(Projects[Est Project Management],379)))</f>
        <v/>
      </c>
      <c r="CI380" s="5">
        <f>IF(A380="","",N(INDEX(Projects[Est Systems Eng],379)))</f>
        <v/>
      </c>
      <c r="CJ380" s="5">
        <f>IF(A380="","",N(INDEX(Projects[Est Mechanical Eng],379)))</f>
        <v/>
      </c>
      <c r="CK380" s="5">
        <f>IF(A380="","",N(INDEX(Projects[Est Structural Engineering],379)))</f>
        <v/>
      </c>
      <c r="CL380" s="5">
        <f>IF(A380="","",N(INDEX(Projects[Est Site Sup],379)))</f>
        <v/>
      </c>
      <c r="CM380" s="5">
        <f>IF(A380="","",N(INDEX(Projects[Est Controls Commissioning],379)))</f>
        <v/>
      </c>
      <c r="CN380" s="5">
        <f>IF(A380="","",N(INDEX(Projects[Est Systems Commissioning],379)))</f>
        <v/>
      </c>
      <c r="CO380" s="5">
        <f>IF(A380="","",N(INDEX(Projects[Est Service Commissioning],379)))</f>
        <v/>
      </c>
      <c r="CP380" s="5">
        <f>IF(A380="","",N(INDEX(Projects[Est Controls Eng],379)))</f>
        <v/>
      </c>
      <c r="CQ380" s="5">
        <f>IF(A380="","",N(INDEX(Projects[Est Controls Purchase],379)))</f>
        <v/>
      </c>
      <c r="CR380" s="5">
        <f>IF(A380="","",N(INDEX(Projects[Est Software Eng],379)))</f>
        <v/>
      </c>
      <c r="CS380" s="5">
        <f>IF(A380="","",N(INDEX(Projects[Est Misc],379)))</f>
        <v/>
      </c>
      <c r="CT380" s="5">
        <f>IF(A380="","",SUM(CF380:CS380))</f>
        <v/>
      </c>
      <c r="CU380" s="5">
        <f>INDEX(Projects[Est Cost (M)],379)</f>
        <v/>
      </c>
      <c r="CV380" s="5">
        <f>INDEX(Projects[Act Cost (M)],379)</f>
        <v/>
      </c>
      <c r="CW380" s="5">
        <f>INDEX(Projects[Plan Mech Eng (wks)],379)</f>
        <v/>
      </c>
      <c r="CX380" s="5">
        <f>INDEX(Projects[Plan Controls Eng (wks)],379)</f>
        <v/>
      </c>
      <c r="CY380" s="5">
        <f>INDEX(Projects[Plan Systems Eng (wks)],379)</f>
        <v/>
      </c>
      <c r="CZ380" s="5">
        <f>INDEX(Projects[Plan Software Eng (wks)],379)</f>
        <v/>
      </c>
      <c r="DA380" s="5">
        <f>INDEX(Projects[Plan M&amp;E Installation (wks)],379)</f>
        <v/>
      </c>
      <c r="DB380" s="5">
        <f>INDEX(Projects[Plan Commissioning (wks)],379)</f>
        <v/>
      </c>
      <c r="DC380" s="5">
        <f>INDEX(Projects[Plan Total (wks)],379)</f>
        <v/>
      </c>
      <c r="DD380" s="5">
        <f>INDEX(Projects[Act Mech Eng (wks)],379)</f>
        <v/>
      </c>
      <c r="DE380" s="5">
        <f>INDEX(Projects[Act Controls Eng (wks)],379)</f>
        <v/>
      </c>
      <c r="DF380" s="5">
        <f>INDEX(Projects[Act Systems Eng (wks)],379)</f>
        <v/>
      </c>
      <c r="DG380" s="5">
        <f>INDEX(Projects[Act Software Eng (wks)],379)</f>
        <v/>
      </c>
      <c r="DH380" s="5">
        <f>INDEX(Projects[Act M&amp;E Installation (wks)],379)</f>
        <v/>
      </c>
      <c r="DI380" s="5">
        <f>INDEX(Projects[Act Commissioning (wks)],379)</f>
        <v/>
      </c>
      <c r="DJ380" s="5">
        <f>INDEX(Projects[Act Total (wks)],379)</f>
        <v/>
      </c>
    </row>
    <row r="381" ht="15" customHeight="1" s="82">
      <c r="A381" s="64">
        <f>INDEX(Projects[Project ID *],380)&amp;""</f>
        <v/>
      </c>
      <c r="B381" s="64">
        <f>INDEX(Projects[Project Name *],380)&amp;""</f>
        <v/>
      </c>
      <c r="C381" s="64">
        <f>INDEX(Projects[MS Shuttles],380)</f>
        <v/>
      </c>
      <c r="D381" s="64">
        <f>INDEX(Projects[MS Tote Locations],380)</f>
        <v/>
      </c>
      <c r="E381" s="64">
        <f>INDEX(Projects[AS Robots],380)</f>
        <v/>
      </c>
      <c r="F381" s="64">
        <f>INDEX(Projects[AS Tote Locations],380)</f>
        <v/>
      </c>
      <c r="G381" s="64">
        <f>INDEX(Projects[PS Shuttles],380)</f>
        <v/>
      </c>
      <c r="H381" s="64">
        <f>INDEX(Projects[PS Pallet Locations],380)</f>
        <v/>
      </c>
      <c r="I381" s="64">
        <f>INDEX(Projects[SRM Cranes],380)</f>
        <v/>
      </c>
      <c r="J381" s="64">
        <f>INDEX(Projects[SRM Pallet Locations],380)</f>
        <v/>
      </c>
      <c r="K381" s="64">
        <f>INDEX(Projects[Case Conv (m)],380)</f>
        <v/>
      </c>
      <c r="L381" s="64">
        <f>INDEX(Projects[Pallet Conv (m)],380)</f>
        <v/>
      </c>
      <c r="M381" s="64">
        <f>IF(N(DJ381)&gt;0,DD381,CW381)</f>
        <v/>
      </c>
      <c r="N381" s="64">
        <f>IF(N(DJ381)&gt;0,DE381,CX381)</f>
        <v/>
      </c>
      <c r="O381" s="64">
        <f>IF(N(DJ381)&gt;0,DF381,CY381)</f>
        <v/>
      </c>
      <c r="P381" s="64">
        <f>IF(N(DJ381)&gt;0,DG381,CZ381)</f>
        <v/>
      </c>
      <c r="Q381" s="64">
        <f>IF(N(DJ381)&gt;0,DH381,DA381)</f>
        <v/>
      </c>
      <c r="R381" s="64">
        <f>IF(N(DJ381)&gt;0,DI381,DB381)</f>
        <v/>
      </c>
      <c r="S381" s="64">
        <f>IF(N(DJ381)&gt;0,DJ381,DC381)</f>
        <v/>
      </c>
      <c r="T381" s="64">
        <f>INDEX(Projects[Currency],380)&amp;""</f>
        <v/>
      </c>
      <c r="U381" s="65">
        <f>INDEX(Projects[Sold Value (M)],380)</f>
        <v/>
      </c>
      <c r="V381" s="64">
        <f>IF('Smart Search'!B13=1,IFERROR(1/'Smart Search'!H13,0),0)</f>
        <v/>
      </c>
      <c r="W381" s="64">
        <f>IF('Smart Search'!B13=1,IFERROR(1/'Smart Search'!H13,0),0)</f>
        <v/>
      </c>
      <c r="X381" s="64">
        <f>IF('Smart Search'!C13=1,IFERROR(1/'Smart Search'!H13,0),0)</f>
        <v/>
      </c>
      <c r="Y381" s="64">
        <f>IF('Smart Search'!C13=1,IFERROR(1/'Smart Search'!H13,0),0)</f>
        <v/>
      </c>
      <c r="Z381" s="64">
        <f>IF('Smart Search'!D13=1,IFERROR(1/'Smart Search'!H13,0),0)</f>
        <v/>
      </c>
      <c r="AA381" s="64">
        <f>IF('Smart Search'!D13=1,IFERROR(1/'Smart Search'!H13,0),0)</f>
        <v/>
      </c>
      <c r="AB381" s="64">
        <f>IF('Smart Search'!E13=1,IFERROR(1/'Smart Search'!H13,0),0)</f>
        <v/>
      </c>
      <c r="AC381" s="64">
        <f>IF('Smart Search'!E13=1,IFERROR(1/'Smart Search'!H13,0),0)</f>
        <v/>
      </c>
      <c r="AD381" s="64">
        <f>IF('Smart Search'!F13=1,IFERROR(1/'Smart Search'!H13,0),0)</f>
        <v/>
      </c>
      <c r="AE381" s="64">
        <f>IF('Smart Search'!F13=1,IFERROR(1/'Smart Search'!H13,0),0)</f>
        <v/>
      </c>
      <c r="AF381" s="64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4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4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4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4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4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4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4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4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4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4">
        <f>AF381*V381</f>
        <v/>
      </c>
      <c r="AQ381" s="64">
        <f>AG381*W381</f>
        <v/>
      </c>
      <c r="AR381" s="64">
        <f>AH381*X381</f>
        <v/>
      </c>
      <c r="AS381" s="64">
        <f>AI381*Y381</f>
        <v/>
      </c>
      <c r="AT381" s="64">
        <f>AJ381*Z381</f>
        <v/>
      </c>
      <c r="AU381" s="64">
        <f>AK381*AA381</f>
        <v/>
      </c>
      <c r="AV381" s="64">
        <f>AL381*AB381</f>
        <v/>
      </c>
      <c r="AW381" s="64">
        <f>AM381*AC381</f>
        <v/>
      </c>
      <c r="AX381" s="64">
        <f>AN381*AD381</f>
        <v/>
      </c>
      <c r="AY381" s="64">
        <f>AO381*AE381</f>
        <v/>
      </c>
      <c r="AZ381" s="64">
        <f>INDEX(Projects[Automation Equipment],380)&amp;""</f>
        <v/>
      </c>
      <c r="BA381" s="64">
        <f>IF(OR(A381="",'Smart Search'!H13=0),"",MAX(0,BE381*BF381*MAX(0,1-BG381)))</f>
        <v/>
      </c>
      <c r="BB381" s="64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4">
        <f>IF('Smart Search'!G13=1,IFERROR(1/'Smart Search'!H13,0),0)</f>
        <v/>
      </c>
      <c r="BD381" s="64">
        <f>BB381*BC381</f>
        <v/>
      </c>
      <c r="BE381" s="64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IF(A381="","",N(INDEX(Projects[Act Mech Inst],380)))</f>
        <v/>
      </c>
      <c r="BK381" s="5">
        <f>IF(A381="","",N(INDEX(Projects[Act Elec Inst],380)))</f>
        <v/>
      </c>
      <c r="BL381" s="5">
        <f>IF(A381="","",N(INDEX(Projects[Act Project Management],380)))</f>
        <v/>
      </c>
      <c r="BM381" s="5">
        <f>IF(A381="","",N(INDEX(Projects[Act Systems Eng],380)))</f>
        <v/>
      </c>
      <c r="BN381" s="5">
        <f>IF(A381="","",N(INDEX(Projects[Act Mechanical Eng],380)))</f>
        <v/>
      </c>
      <c r="BO381" s="5">
        <f>IF(A381="","",N(INDEX(Projects[Act Structural Engineering],380)))</f>
        <v/>
      </c>
      <c r="BP381" s="5">
        <f>IF(A381="","",N(INDEX(Projects[Act Site Sup],380)))</f>
        <v/>
      </c>
      <c r="BQ381" s="5">
        <f>IF(A381="","",N(INDEX(Projects[Act Controls Commissioning],380)))</f>
        <v/>
      </c>
      <c r="BR381" s="5">
        <f>IF(A381="","",N(INDEX(Projects[Act Systems Commissioning],380)))</f>
        <v/>
      </c>
      <c r="BS381" s="5">
        <f>IF(A381="","",N(INDEX(Projects[Act Service Commissioning],380)))</f>
        <v/>
      </c>
      <c r="BT381" s="5">
        <f>IF(A381="","",N(INDEX(Projects[Act Controls Eng],380)))</f>
        <v/>
      </c>
      <c r="BU381" s="5">
        <f>IF(A381="","",N(INDEX(Projects[Act Controls Purchase],380)))</f>
        <v/>
      </c>
      <c r="BV381" s="5">
        <f>IF(A381="","",N(INDEX(Projects[Act Software Eng],380)))</f>
        <v/>
      </c>
      <c r="BW381" s="5">
        <f>IF(A381="","",N(INDEX(Projects[Act 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INDEX(Projects[Sold Value (USD M)],380)</f>
        <v/>
      </c>
      <c r="CE381" s="5" t="n"/>
      <c r="CF381" s="5">
        <f>IF(A381="","",N(INDEX(Projects[Est Mech Inst],380)))</f>
        <v/>
      </c>
      <c r="CG381" s="5">
        <f>IF(A381="","",N(INDEX(Projects[Est Elec Inst],380)))</f>
        <v/>
      </c>
      <c r="CH381" s="5">
        <f>IF(A381="","",N(INDEX(Projects[Est Project Management],380)))</f>
        <v/>
      </c>
      <c r="CI381" s="5">
        <f>IF(A381="","",N(INDEX(Projects[Est Systems Eng],380)))</f>
        <v/>
      </c>
      <c r="CJ381" s="5">
        <f>IF(A381="","",N(INDEX(Projects[Est Mechanical Eng],380)))</f>
        <v/>
      </c>
      <c r="CK381" s="5">
        <f>IF(A381="","",N(INDEX(Projects[Est Structural Engineering],380)))</f>
        <v/>
      </c>
      <c r="CL381" s="5">
        <f>IF(A381="","",N(INDEX(Projects[Est Site Sup],380)))</f>
        <v/>
      </c>
      <c r="CM381" s="5">
        <f>IF(A381="","",N(INDEX(Projects[Est Controls Commissioning],380)))</f>
        <v/>
      </c>
      <c r="CN381" s="5">
        <f>IF(A381="","",N(INDEX(Projects[Est Systems Commissioning],380)))</f>
        <v/>
      </c>
      <c r="CO381" s="5">
        <f>IF(A381="","",N(INDEX(Projects[Est Service Commissioning],380)))</f>
        <v/>
      </c>
      <c r="CP381" s="5">
        <f>IF(A381="","",N(INDEX(Projects[Est Controls Eng],380)))</f>
        <v/>
      </c>
      <c r="CQ381" s="5">
        <f>IF(A381="","",N(INDEX(Projects[Est Controls Purchase],380)))</f>
        <v/>
      </c>
      <c r="CR381" s="5">
        <f>IF(A381="","",N(INDEX(Projects[Est Software Eng],380)))</f>
        <v/>
      </c>
      <c r="CS381" s="5">
        <f>IF(A381="","",N(INDEX(Projects[Est Misc],380)))</f>
        <v/>
      </c>
      <c r="CT381" s="5">
        <f>IF(A381="","",SUM(CF381:CS381))</f>
        <v/>
      </c>
      <c r="CU381" s="5">
        <f>INDEX(Projects[Est Cost (M)],380)</f>
        <v/>
      </c>
      <c r="CV381" s="5">
        <f>INDEX(Projects[Act Cost (M)],380)</f>
        <v/>
      </c>
      <c r="CW381" s="5">
        <f>INDEX(Projects[Plan Mech Eng (wks)],380)</f>
        <v/>
      </c>
      <c r="CX381" s="5">
        <f>INDEX(Projects[Plan Controls Eng (wks)],380)</f>
        <v/>
      </c>
      <c r="CY381" s="5">
        <f>INDEX(Projects[Plan Systems Eng (wks)],380)</f>
        <v/>
      </c>
      <c r="CZ381" s="5">
        <f>INDEX(Projects[Plan Software Eng (wks)],380)</f>
        <v/>
      </c>
      <c r="DA381" s="5">
        <f>INDEX(Projects[Plan M&amp;E Installation (wks)],380)</f>
        <v/>
      </c>
      <c r="DB381" s="5">
        <f>INDEX(Projects[Plan Commissioning (wks)],380)</f>
        <v/>
      </c>
      <c r="DC381" s="5">
        <f>INDEX(Projects[Plan Total (wks)],380)</f>
        <v/>
      </c>
      <c r="DD381" s="5">
        <f>INDEX(Projects[Act Mech Eng (wks)],380)</f>
        <v/>
      </c>
      <c r="DE381" s="5">
        <f>INDEX(Projects[Act Controls Eng (wks)],380)</f>
        <v/>
      </c>
      <c r="DF381" s="5">
        <f>INDEX(Projects[Act Systems Eng (wks)],380)</f>
        <v/>
      </c>
      <c r="DG381" s="5">
        <f>INDEX(Projects[Act Software Eng (wks)],380)</f>
        <v/>
      </c>
      <c r="DH381" s="5">
        <f>INDEX(Projects[Act M&amp;E Installation (wks)],380)</f>
        <v/>
      </c>
      <c r="DI381" s="5">
        <f>INDEX(Projects[Act Commissioning (wks)],380)</f>
        <v/>
      </c>
      <c r="DJ381" s="5">
        <f>INDEX(Projects[Act Total (wks)],380)</f>
        <v/>
      </c>
    </row>
    <row r="382" ht="15" customHeight="1" s="82">
      <c r="A382" s="64">
        <f>INDEX(Projects[Project ID *],381)&amp;""</f>
        <v/>
      </c>
      <c r="B382" s="64">
        <f>INDEX(Projects[Project Name *],381)&amp;""</f>
        <v/>
      </c>
      <c r="C382" s="64">
        <f>INDEX(Projects[MS Shuttles],381)</f>
        <v/>
      </c>
      <c r="D382" s="64">
        <f>INDEX(Projects[MS Tote Locations],381)</f>
        <v/>
      </c>
      <c r="E382" s="64">
        <f>INDEX(Projects[AS Robots],381)</f>
        <v/>
      </c>
      <c r="F382" s="64">
        <f>INDEX(Projects[AS Tote Locations],381)</f>
        <v/>
      </c>
      <c r="G382" s="64">
        <f>INDEX(Projects[PS Shuttles],381)</f>
        <v/>
      </c>
      <c r="H382" s="64">
        <f>INDEX(Projects[PS Pallet Locations],381)</f>
        <v/>
      </c>
      <c r="I382" s="64">
        <f>INDEX(Projects[SRM Cranes],381)</f>
        <v/>
      </c>
      <c r="J382" s="64">
        <f>INDEX(Projects[SRM Pallet Locations],381)</f>
        <v/>
      </c>
      <c r="K382" s="64">
        <f>INDEX(Projects[Case Conv (m)],381)</f>
        <v/>
      </c>
      <c r="L382" s="64">
        <f>INDEX(Projects[Pallet Conv (m)],381)</f>
        <v/>
      </c>
      <c r="M382" s="64">
        <f>IF(N(DJ382)&gt;0,DD382,CW382)</f>
        <v/>
      </c>
      <c r="N382" s="64">
        <f>IF(N(DJ382)&gt;0,DE382,CX382)</f>
        <v/>
      </c>
      <c r="O382" s="64">
        <f>IF(N(DJ382)&gt;0,DF382,CY382)</f>
        <v/>
      </c>
      <c r="P382" s="64">
        <f>IF(N(DJ382)&gt;0,DG382,CZ382)</f>
        <v/>
      </c>
      <c r="Q382" s="64">
        <f>IF(N(DJ382)&gt;0,DH382,DA382)</f>
        <v/>
      </c>
      <c r="R382" s="64">
        <f>IF(N(DJ382)&gt;0,DI382,DB382)</f>
        <v/>
      </c>
      <c r="S382" s="64">
        <f>IF(N(DJ382)&gt;0,DJ382,DC382)</f>
        <v/>
      </c>
      <c r="T382" s="64">
        <f>INDEX(Projects[Currency],381)&amp;""</f>
        <v/>
      </c>
      <c r="U382" s="65">
        <f>INDEX(Projects[Sold Value (M)],381)</f>
        <v/>
      </c>
      <c r="V382" s="64">
        <f>IF('Smart Search'!B13=1,IFERROR(1/'Smart Search'!H13,0),0)</f>
        <v/>
      </c>
      <c r="W382" s="64">
        <f>IF('Smart Search'!B13=1,IFERROR(1/'Smart Search'!H13,0),0)</f>
        <v/>
      </c>
      <c r="X382" s="64">
        <f>IF('Smart Search'!C13=1,IFERROR(1/'Smart Search'!H13,0),0)</f>
        <v/>
      </c>
      <c r="Y382" s="64">
        <f>IF('Smart Search'!C13=1,IFERROR(1/'Smart Search'!H13,0),0)</f>
        <v/>
      </c>
      <c r="Z382" s="64">
        <f>IF('Smart Search'!D13=1,IFERROR(1/'Smart Search'!H13,0),0)</f>
        <v/>
      </c>
      <c r="AA382" s="64">
        <f>IF('Smart Search'!D13=1,IFERROR(1/'Smart Search'!H13,0),0)</f>
        <v/>
      </c>
      <c r="AB382" s="64">
        <f>IF('Smart Search'!E13=1,IFERROR(1/'Smart Search'!H13,0),0)</f>
        <v/>
      </c>
      <c r="AC382" s="64">
        <f>IF('Smart Search'!E13=1,IFERROR(1/'Smart Search'!H13,0),0)</f>
        <v/>
      </c>
      <c r="AD382" s="64">
        <f>IF('Smart Search'!F13=1,IFERROR(1/'Smart Search'!H13,0),0)</f>
        <v/>
      </c>
      <c r="AE382" s="64">
        <f>IF('Smart Search'!F13=1,IFERROR(1/'Smart Search'!H13,0),0)</f>
        <v/>
      </c>
      <c r="AF382" s="64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4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4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4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4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4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4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4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4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4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4">
        <f>AF382*V382</f>
        <v/>
      </c>
      <c r="AQ382" s="64">
        <f>AG382*W382</f>
        <v/>
      </c>
      <c r="AR382" s="64">
        <f>AH382*X382</f>
        <v/>
      </c>
      <c r="AS382" s="64">
        <f>AI382*Y382</f>
        <v/>
      </c>
      <c r="AT382" s="64">
        <f>AJ382*Z382</f>
        <v/>
      </c>
      <c r="AU382" s="64">
        <f>AK382*AA382</f>
        <v/>
      </c>
      <c r="AV382" s="64">
        <f>AL382*AB382</f>
        <v/>
      </c>
      <c r="AW382" s="64">
        <f>AM382*AC382</f>
        <v/>
      </c>
      <c r="AX382" s="64">
        <f>AN382*AD382</f>
        <v/>
      </c>
      <c r="AY382" s="64">
        <f>AO382*AE382</f>
        <v/>
      </c>
      <c r="AZ382" s="64">
        <f>INDEX(Projects[Automation Equipment],381)&amp;""</f>
        <v/>
      </c>
      <c r="BA382" s="64">
        <f>IF(OR(A382="",'Smart Search'!H13=0),"",MAX(0,BE382*BF382*MAX(0,1-BG382)))</f>
        <v/>
      </c>
      <c r="BB382" s="64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4">
        <f>IF('Smart Search'!G13=1,IFERROR(1/'Smart Search'!H13,0),0)</f>
        <v/>
      </c>
      <c r="BD382" s="64">
        <f>BB382*BC382</f>
        <v/>
      </c>
      <c r="BE382" s="64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IF(A382="","",N(INDEX(Projects[Act Mech Inst],381)))</f>
        <v/>
      </c>
      <c r="BK382" s="5">
        <f>IF(A382="","",N(INDEX(Projects[Act Elec Inst],381)))</f>
        <v/>
      </c>
      <c r="BL382" s="5">
        <f>IF(A382="","",N(INDEX(Projects[Act Project Management],381)))</f>
        <v/>
      </c>
      <c r="BM382" s="5">
        <f>IF(A382="","",N(INDEX(Projects[Act Systems Eng],381)))</f>
        <v/>
      </c>
      <c r="BN382" s="5">
        <f>IF(A382="","",N(INDEX(Projects[Act Mechanical Eng],381)))</f>
        <v/>
      </c>
      <c r="BO382" s="5">
        <f>IF(A382="","",N(INDEX(Projects[Act Structural Engineering],381)))</f>
        <v/>
      </c>
      <c r="BP382" s="5">
        <f>IF(A382="","",N(INDEX(Projects[Act Site Sup],381)))</f>
        <v/>
      </c>
      <c r="BQ382" s="5">
        <f>IF(A382="","",N(INDEX(Projects[Act Controls Commissioning],381)))</f>
        <v/>
      </c>
      <c r="BR382" s="5">
        <f>IF(A382="","",N(INDEX(Projects[Act Systems Commissioning],381)))</f>
        <v/>
      </c>
      <c r="BS382" s="5">
        <f>IF(A382="","",N(INDEX(Projects[Act Service Commissioning],381)))</f>
        <v/>
      </c>
      <c r="BT382" s="5">
        <f>IF(A382="","",N(INDEX(Projects[Act Controls Eng],381)))</f>
        <v/>
      </c>
      <c r="BU382" s="5">
        <f>IF(A382="","",N(INDEX(Projects[Act Controls Purchase],381)))</f>
        <v/>
      </c>
      <c r="BV382" s="5">
        <f>IF(A382="","",N(INDEX(Projects[Act Software Eng],381)))</f>
        <v/>
      </c>
      <c r="BW382" s="5">
        <f>IF(A382="","",N(INDEX(Projects[Act 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INDEX(Projects[Sold Value (USD M)],381)</f>
        <v/>
      </c>
      <c r="CE382" s="5" t="n"/>
      <c r="CF382" s="5">
        <f>IF(A382="","",N(INDEX(Projects[Est Mech Inst],381)))</f>
        <v/>
      </c>
      <c r="CG382" s="5">
        <f>IF(A382="","",N(INDEX(Projects[Est Elec Inst],381)))</f>
        <v/>
      </c>
      <c r="CH382" s="5">
        <f>IF(A382="","",N(INDEX(Projects[Est Project Management],381)))</f>
        <v/>
      </c>
      <c r="CI382" s="5">
        <f>IF(A382="","",N(INDEX(Projects[Est Systems Eng],381)))</f>
        <v/>
      </c>
      <c r="CJ382" s="5">
        <f>IF(A382="","",N(INDEX(Projects[Est Mechanical Eng],381)))</f>
        <v/>
      </c>
      <c r="CK382" s="5">
        <f>IF(A382="","",N(INDEX(Projects[Est Structural Engineering],381)))</f>
        <v/>
      </c>
      <c r="CL382" s="5">
        <f>IF(A382="","",N(INDEX(Projects[Est Site Sup],381)))</f>
        <v/>
      </c>
      <c r="CM382" s="5">
        <f>IF(A382="","",N(INDEX(Projects[Est Controls Commissioning],381)))</f>
        <v/>
      </c>
      <c r="CN382" s="5">
        <f>IF(A382="","",N(INDEX(Projects[Est Systems Commissioning],381)))</f>
        <v/>
      </c>
      <c r="CO382" s="5">
        <f>IF(A382="","",N(INDEX(Projects[Est Service Commissioning],381)))</f>
        <v/>
      </c>
      <c r="CP382" s="5">
        <f>IF(A382="","",N(INDEX(Projects[Est Controls Eng],381)))</f>
        <v/>
      </c>
      <c r="CQ382" s="5">
        <f>IF(A382="","",N(INDEX(Projects[Est Controls Purchase],381)))</f>
        <v/>
      </c>
      <c r="CR382" s="5">
        <f>IF(A382="","",N(INDEX(Projects[Est Software Eng],381)))</f>
        <v/>
      </c>
      <c r="CS382" s="5">
        <f>IF(A382="","",N(INDEX(Projects[Est Misc],381)))</f>
        <v/>
      </c>
      <c r="CT382" s="5">
        <f>IF(A382="","",SUM(CF382:CS382))</f>
        <v/>
      </c>
      <c r="CU382" s="5">
        <f>INDEX(Projects[Est Cost (M)],381)</f>
        <v/>
      </c>
      <c r="CV382" s="5">
        <f>INDEX(Projects[Act Cost (M)],381)</f>
        <v/>
      </c>
      <c r="CW382" s="5">
        <f>INDEX(Projects[Plan Mech Eng (wks)],381)</f>
        <v/>
      </c>
      <c r="CX382" s="5">
        <f>INDEX(Projects[Plan Controls Eng (wks)],381)</f>
        <v/>
      </c>
      <c r="CY382" s="5">
        <f>INDEX(Projects[Plan Systems Eng (wks)],381)</f>
        <v/>
      </c>
      <c r="CZ382" s="5">
        <f>INDEX(Projects[Plan Software Eng (wks)],381)</f>
        <v/>
      </c>
      <c r="DA382" s="5">
        <f>INDEX(Projects[Plan M&amp;E Installation (wks)],381)</f>
        <v/>
      </c>
      <c r="DB382" s="5">
        <f>INDEX(Projects[Plan Commissioning (wks)],381)</f>
        <v/>
      </c>
      <c r="DC382" s="5">
        <f>INDEX(Projects[Plan Total (wks)],381)</f>
        <v/>
      </c>
      <c r="DD382" s="5">
        <f>INDEX(Projects[Act Mech Eng (wks)],381)</f>
        <v/>
      </c>
      <c r="DE382" s="5">
        <f>INDEX(Projects[Act Controls Eng (wks)],381)</f>
        <v/>
      </c>
      <c r="DF382" s="5">
        <f>INDEX(Projects[Act Systems Eng (wks)],381)</f>
        <v/>
      </c>
      <c r="DG382" s="5">
        <f>INDEX(Projects[Act Software Eng (wks)],381)</f>
        <v/>
      </c>
      <c r="DH382" s="5">
        <f>INDEX(Projects[Act M&amp;E Installation (wks)],381)</f>
        <v/>
      </c>
      <c r="DI382" s="5">
        <f>INDEX(Projects[Act Commissioning (wks)],381)</f>
        <v/>
      </c>
      <c r="DJ382" s="5">
        <f>INDEX(Projects[Act Total (wks)],381)</f>
        <v/>
      </c>
    </row>
    <row r="383" ht="15" customHeight="1" s="82">
      <c r="A383" s="64">
        <f>INDEX(Projects[Project ID *],382)&amp;""</f>
        <v/>
      </c>
      <c r="B383" s="64">
        <f>INDEX(Projects[Project Name *],382)&amp;""</f>
        <v/>
      </c>
      <c r="C383" s="64">
        <f>INDEX(Projects[MS Shuttles],382)</f>
        <v/>
      </c>
      <c r="D383" s="64">
        <f>INDEX(Projects[MS Tote Locations],382)</f>
        <v/>
      </c>
      <c r="E383" s="64">
        <f>INDEX(Projects[AS Robots],382)</f>
        <v/>
      </c>
      <c r="F383" s="64">
        <f>INDEX(Projects[AS Tote Locations],382)</f>
        <v/>
      </c>
      <c r="G383" s="64">
        <f>INDEX(Projects[PS Shuttles],382)</f>
        <v/>
      </c>
      <c r="H383" s="64">
        <f>INDEX(Projects[PS Pallet Locations],382)</f>
        <v/>
      </c>
      <c r="I383" s="64">
        <f>INDEX(Projects[SRM Cranes],382)</f>
        <v/>
      </c>
      <c r="J383" s="64">
        <f>INDEX(Projects[SRM Pallet Locations],382)</f>
        <v/>
      </c>
      <c r="K383" s="64">
        <f>INDEX(Projects[Case Conv (m)],382)</f>
        <v/>
      </c>
      <c r="L383" s="64">
        <f>INDEX(Projects[Pallet Conv (m)],382)</f>
        <v/>
      </c>
      <c r="M383" s="64">
        <f>IF(N(DJ383)&gt;0,DD383,CW383)</f>
        <v/>
      </c>
      <c r="N383" s="64">
        <f>IF(N(DJ383)&gt;0,DE383,CX383)</f>
        <v/>
      </c>
      <c r="O383" s="64">
        <f>IF(N(DJ383)&gt;0,DF383,CY383)</f>
        <v/>
      </c>
      <c r="P383" s="64">
        <f>IF(N(DJ383)&gt;0,DG383,CZ383)</f>
        <v/>
      </c>
      <c r="Q383" s="64">
        <f>IF(N(DJ383)&gt;0,DH383,DA383)</f>
        <v/>
      </c>
      <c r="R383" s="64">
        <f>IF(N(DJ383)&gt;0,DI383,DB383)</f>
        <v/>
      </c>
      <c r="S383" s="64">
        <f>IF(N(DJ383)&gt;0,DJ383,DC383)</f>
        <v/>
      </c>
      <c r="T383" s="64">
        <f>INDEX(Projects[Currency],382)&amp;""</f>
        <v/>
      </c>
      <c r="U383" s="65">
        <f>INDEX(Projects[Sold Value (M)],382)</f>
        <v/>
      </c>
      <c r="V383" s="64">
        <f>IF('Smart Search'!B13=1,IFERROR(1/'Smart Search'!H13,0),0)</f>
        <v/>
      </c>
      <c r="W383" s="64">
        <f>IF('Smart Search'!B13=1,IFERROR(1/'Smart Search'!H13,0),0)</f>
        <v/>
      </c>
      <c r="X383" s="64">
        <f>IF('Smart Search'!C13=1,IFERROR(1/'Smart Search'!H13,0),0)</f>
        <v/>
      </c>
      <c r="Y383" s="64">
        <f>IF('Smart Search'!C13=1,IFERROR(1/'Smart Search'!H13,0),0)</f>
        <v/>
      </c>
      <c r="Z383" s="64">
        <f>IF('Smart Search'!D13=1,IFERROR(1/'Smart Search'!H13,0),0)</f>
        <v/>
      </c>
      <c r="AA383" s="64">
        <f>IF('Smart Search'!D13=1,IFERROR(1/'Smart Search'!H13,0),0)</f>
        <v/>
      </c>
      <c r="AB383" s="64">
        <f>IF('Smart Search'!E13=1,IFERROR(1/'Smart Search'!H13,0),0)</f>
        <v/>
      </c>
      <c r="AC383" s="64">
        <f>IF('Smart Search'!E13=1,IFERROR(1/'Smart Search'!H13,0),0)</f>
        <v/>
      </c>
      <c r="AD383" s="64">
        <f>IF('Smart Search'!F13=1,IFERROR(1/'Smart Search'!H13,0),0)</f>
        <v/>
      </c>
      <c r="AE383" s="64">
        <f>IF('Smart Search'!F13=1,IFERROR(1/'Smart Search'!H13,0),0)</f>
        <v/>
      </c>
      <c r="AF383" s="64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4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4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4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4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4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4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4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4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4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4">
        <f>AF383*V383</f>
        <v/>
      </c>
      <c r="AQ383" s="64">
        <f>AG383*W383</f>
        <v/>
      </c>
      <c r="AR383" s="64">
        <f>AH383*X383</f>
        <v/>
      </c>
      <c r="AS383" s="64">
        <f>AI383*Y383</f>
        <v/>
      </c>
      <c r="AT383" s="64">
        <f>AJ383*Z383</f>
        <v/>
      </c>
      <c r="AU383" s="64">
        <f>AK383*AA383</f>
        <v/>
      </c>
      <c r="AV383" s="64">
        <f>AL383*AB383</f>
        <v/>
      </c>
      <c r="AW383" s="64">
        <f>AM383*AC383</f>
        <v/>
      </c>
      <c r="AX383" s="64">
        <f>AN383*AD383</f>
        <v/>
      </c>
      <c r="AY383" s="64">
        <f>AO383*AE383</f>
        <v/>
      </c>
      <c r="AZ383" s="64">
        <f>INDEX(Projects[Automation Equipment],382)&amp;""</f>
        <v/>
      </c>
      <c r="BA383" s="64">
        <f>IF(OR(A383="",'Smart Search'!H13=0),"",MAX(0,BE383*BF383*MAX(0,1-BG383)))</f>
        <v/>
      </c>
      <c r="BB383" s="64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4">
        <f>IF('Smart Search'!G13=1,IFERROR(1/'Smart Search'!H13,0),0)</f>
        <v/>
      </c>
      <c r="BD383" s="64">
        <f>BB383*BC383</f>
        <v/>
      </c>
      <c r="BE383" s="64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IF(A383="","",N(INDEX(Projects[Act Mech Inst],382)))</f>
        <v/>
      </c>
      <c r="BK383" s="5">
        <f>IF(A383="","",N(INDEX(Projects[Act Elec Inst],382)))</f>
        <v/>
      </c>
      <c r="BL383" s="5">
        <f>IF(A383="","",N(INDEX(Projects[Act Project Management],382)))</f>
        <v/>
      </c>
      <c r="BM383" s="5">
        <f>IF(A383="","",N(INDEX(Projects[Act Systems Eng],382)))</f>
        <v/>
      </c>
      <c r="BN383" s="5">
        <f>IF(A383="","",N(INDEX(Projects[Act Mechanical Eng],382)))</f>
        <v/>
      </c>
      <c r="BO383" s="5">
        <f>IF(A383="","",N(INDEX(Projects[Act Structural Engineering],382)))</f>
        <v/>
      </c>
      <c r="BP383" s="5">
        <f>IF(A383="","",N(INDEX(Projects[Act Site Sup],382)))</f>
        <v/>
      </c>
      <c r="BQ383" s="5">
        <f>IF(A383="","",N(INDEX(Projects[Act Controls Commissioning],382)))</f>
        <v/>
      </c>
      <c r="BR383" s="5">
        <f>IF(A383="","",N(INDEX(Projects[Act Systems Commissioning],382)))</f>
        <v/>
      </c>
      <c r="BS383" s="5">
        <f>IF(A383="","",N(INDEX(Projects[Act Service Commissioning],382)))</f>
        <v/>
      </c>
      <c r="BT383" s="5">
        <f>IF(A383="","",N(INDEX(Projects[Act Controls Eng],382)))</f>
        <v/>
      </c>
      <c r="BU383" s="5">
        <f>IF(A383="","",N(INDEX(Projects[Act Controls Purchase],382)))</f>
        <v/>
      </c>
      <c r="BV383" s="5">
        <f>IF(A383="","",N(INDEX(Projects[Act Software Eng],382)))</f>
        <v/>
      </c>
      <c r="BW383" s="5">
        <f>IF(A383="","",N(INDEX(Projects[Act 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INDEX(Projects[Sold Value (USD M)],382)</f>
        <v/>
      </c>
      <c r="CE383" s="5" t="n"/>
      <c r="CF383" s="5">
        <f>IF(A383="","",N(INDEX(Projects[Est Mech Inst],382)))</f>
        <v/>
      </c>
      <c r="CG383" s="5">
        <f>IF(A383="","",N(INDEX(Projects[Est Elec Inst],382)))</f>
        <v/>
      </c>
      <c r="CH383" s="5">
        <f>IF(A383="","",N(INDEX(Projects[Est Project Management],382)))</f>
        <v/>
      </c>
      <c r="CI383" s="5">
        <f>IF(A383="","",N(INDEX(Projects[Est Systems Eng],382)))</f>
        <v/>
      </c>
      <c r="CJ383" s="5">
        <f>IF(A383="","",N(INDEX(Projects[Est Mechanical Eng],382)))</f>
        <v/>
      </c>
      <c r="CK383" s="5">
        <f>IF(A383="","",N(INDEX(Projects[Est Structural Engineering],382)))</f>
        <v/>
      </c>
      <c r="CL383" s="5">
        <f>IF(A383="","",N(INDEX(Projects[Est Site Sup],382)))</f>
        <v/>
      </c>
      <c r="CM383" s="5">
        <f>IF(A383="","",N(INDEX(Projects[Est Controls Commissioning],382)))</f>
        <v/>
      </c>
      <c r="CN383" s="5">
        <f>IF(A383="","",N(INDEX(Projects[Est Systems Commissioning],382)))</f>
        <v/>
      </c>
      <c r="CO383" s="5">
        <f>IF(A383="","",N(INDEX(Projects[Est Service Commissioning],382)))</f>
        <v/>
      </c>
      <c r="CP383" s="5">
        <f>IF(A383="","",N(INDEX(Projects[Est Controls Eng],382)))</f>
        <v/>
      </c>
      <c r="CQ383" s="5">
        <f>IF(A383="","",N(INDEX(Projects[Est Controls Purchase],382)))</f>
        <v/>
      </c>
      <c r="CR383" s="5">
        <f>IF(A383="","",N(INDEX(Projects[Est Software Eng],382)))</f>
        <v/>
      </c>
      <c r="CS383" s="5">
        <f>IF(A383="","",N(INDEX(Projects[Est Misc],382)))</f>
        <v/>
      </c>
      <c r="CT383" s="5">
        <f>IF(A383="","",SUM(CF383:CS383))</f>
        <v/>
      </c>
      <c r="CU383" s="5">
        <f>INDEX(Projects[Est Cost (M)],382)</f>
        <v/>
      </c>
      <c r="CV383" s="5">
        <f>INDEX(Projects[Act Cost (M)],382)</f>
        <v/>
      </c>
      <c r="CW383" s="5">
        <f>INDEX(Projects[Plan Mech Eng (wks)],382)</f>
        <v/>
      </c>
      <c r="CX383" s="5">
        <f>INDEX(Projects[Plan Controls Eng (wks)],382)</f>
        <v/>
      </c>
      <c r="CY383" s="5">
        <f>INDEX(Projects[Plan Systems Eng (wks)],382)</f>
        <v/>
      </c>
      <c r="CZ383" s="5">
        <f>INDEX(Projects[Plan Software Eng (wks)],382)</f>
        <v/>
      </c>
      <c r="DA383" s="5">
        <f>INDEX(Projects[Plan M&amp;E Installation (wks)],382)</f>
        <v/>
      </c>
      <c r="DB383" s="5">
        <f>INDEX(Projects[Plan Commissioning (wks)],382)</f>
        <v/>
      </c>
      <c r="DC383" s="5">
        <f>INDEX(Projects[Plan Total (wks)],382)</f>
        <v/>
      </c>
      <c r="DD383" s="5">
        <f>INDEX(Projects[Act Mech Eng (wks)],382)</f>
        <v/>
      </c>
      <c r="DE383" s="5">
        <f>INDEX(Projects[Act Controls Eng (wks)],382)</f>
        <v/>
      </c>
      <c r="DF383" s="5">
        <f>INDEX(Projects[Act Systems Eng (wks)],382)</f>
        <v/>
      </c>
      <c r="DG383" s="5">
        <f>INDEX(Projects[Act Software Eng (wks)],382)</f>
        <v/>
      </c>
      <c r="DH383" s="5">
        <f>INDEX(Projects[Act M&amp;E Installation (wks)],382)</f>
        <v/>
      </c>
      <c r="DI383" s="5">
        <f>INDEX(Projects[Act Commissioning (wks)],382)</f>
        <v/>
      </c>
      <c r="DJ383" s="5">
        <f>INDEX(Projects[Act Total (wks)],382)</f>
        <v/>
      </c>
    </row>
    <row r="384" ht="15" customHeight="1" s="82">
      <c r="A384" s="64">
        <f>INDEX(Projects[Project ID *],383)&amp;""</f>
        <v/>
      </c>
      <c r="B384" s="64">
        <f>INDEX(Projects[Project Name *],383)&amp;""</f>
        <v/>
      </c>
      <c r="C384" s="64">
        <f>INDEX(Projects[MS Shuttles],383)</f>
        <v/>
      </c>
      <c r="D384" s="64">
        <f>INDEX(Projects[MS Tote Locations],383)</f>
        <v/>
      </c>
      <c r="E384" s="64">
        <f>INDEX(Projects[AS Robots],383)</f>
        <v/>
      </c>
      <c r="F384" s="64">
        <f>INDEX(Projects[AS Tote Locations],383)</f>
        <v/>
      </c>
      <c r="G384" s="64">
        <f>INDEX(Projects[PS Shuttles],383)</f>
        <v/>
      </c>
      <c r="H384" s="64">
        <f>INDEX(Projects[PS Pallet Locations],383)</f>
        <v/>
      </c>
      <c r="I384" s="64">
        <f>INDEX(Projects[SRM Cranes],383)</f>
        <v/>
      </c>
      <c r="J384" s="64">
        <f>INDEX(Projects[SRM Pallet Locations],383)</f>
        <v/>
      </c>
      <c r="K384" s="64">
        <f>INDEX(Projects[Case Conv (m)],383)</f>
        <v/>
      </c>
      <c r="L384" s="64">
        <f>INDEX(Projects[Pallet Conv (m)],383)</f>
        <v/>
      </c>
      <c r="M384" s="64">
        <f>IF(N(DJ384)&gt;0,DD384,CW384)</f>
        <v/>
      </c>
      <c r="N384" s="64">
        <f>IF(N(DJ384)&gt;0,DE384,CX384)</f>
        <v/>
      </c>
      <c r="O384" s="64">
        <f>IF(N(DJ384)&gt;0,DF384,CY384)</f>
        <v/>
      </c>
      <c r="P384" s="64">
        <f>IF(N(DJ384)&gt;0,DG384,CZ384)</f>
        <v/>
      </c>
      <c r="Q384" s="64">
        <f>IF(N(DJ384)&gt;0,DH384,DA384)</f>
        <v/>
      </c>
      <c r="R384" s="64">
        <f>IF(N(DJ384)&gt;0,DI384,DB384)</f>
        <v/>
      </c>
      <c r="S384" s="64">
        <f>IF(N(DJ384)&gt;0,DJ384,DC384)</f>
        <v/>
      </c>
      <c r="T384" s="64">
        <f>INDEX(Projects[Currency],383)&amp;""</f>
        <v/>
      </c>
      <c r="U384" s="65">
        <f>INDEX(Projects[Sold Value (M)],383)</f>
        <v/>
      </c>
      <c r="V384" s="64">
        <f>IF('Smart Search'!B13=1,IFERROR(1/'Smart Search'!H13,0),0)</f>
        <v/>
      </c>
      <c r="W384" s="64">
        <f>IF('Smart Search'!B13=1,IFERROR(1/'Smart Search'!H13,0),0)</f>
        <v/>
      </c>
      <c r="X384" s="64">
        <f>IF('Smart Search'!C13=1,IFERROR(1/'Smart Search'!H13,0),0)</f>
        <v/>
      </c>
      <c r="Y384" s="64">
        <f>IF('Smart Search'!C13=1,IFERROR(1/'Smart Search'!H13,0),0)</f>
        <v/>
      </c>
      <c r="Z384" s="64">
        <f>IF('Smart Search'!D13=1,IFERROR(1/'Smart Search'!H13,0),0)</f>
        <v/>
      </c>
      <c r="AA384" s="64">
        <f>IF('Smart Search'!D13=1,IFERROR(1/'Smart Search'!H13,0),0)</f>
        <v/>
      </c>
      <c r="AB384" s="64">
        <f>IF('Smart Search'!E13=1,IFERROR(1/'Smart Search'!H13,0),0)</f>
        <v/>
      </c>
      <c r="AC384" s="64">
        <f>IF('Smart Search'!E13=1,IFERROR(1/'Smart Search'!H13,0),0)</f>
        <v/>
      </c>
      <c r="AD384" s="64">
        <f>IF('Smart Search'!F13=1,IFERROR(1/'Smart Search'!H13,0),0)</f>
        <v/>
      </c>
      <c r="AE384" s="64">
        <f>IF('Smart Search'!F13=1,IFERROR(1/'Smart Search'!H13,0),0)</f>
        <v/>
      </c>
      <c r="AF384" s="64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4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4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4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4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4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4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4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4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4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4">
        <f>AF384*V384</f>
        <v/>
      </c>
      <c r="AQ384" s="64">
        <f>AG384*W384</f>
        <v/>
      </c>
      <c r="AR384" s="64">
        <f>AH384*X384</f>
        <v/>
      </c>
      <c r="AS384" s="64">
        <f>AI384*Y384</f>
        <v/>
      </c>
      <c r="AT384" s="64">
        <f>AJ384*Z384</f>
        <v/>
      </c>
      <c r="AU384" s="64">
        <f>AK384*AA384</f>
        <v/>
      </c>
      <c r="AV384" s="64">
        <f>AL384*AB384</f>
        <v/>
      </c>
      <c r="AW384" s="64">
        <f>AM384*AC384</f>
        <v/>
      </c>
      <c r="AX384" s="64">
        <f>AN384*AD384</f>
        <v/>
      </c>
      <c r="AY384" s="64">
        <f>AO384*AE384</f>
        <v/>
      </c>
      <c r="AZ384" s="64">
        <f>INDEX(Projects[Automation Equipment],383)&amp;""</f>
        <v/>
      </c>
      <c r="BA384" s="64">
        <f>IF(OR(A384="",'Smart Search'!H13=0),"",MAX(0,BE384*BF384*MAX(0,1-BG384)))</f>
        <v/>
      </c>
      <c r="BB384" s="64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4">
        <f>IF('Smart Search'!G13=1,IFERROR(1/'Smart Search'!H13,0),0)</f>
        <v/>
      </c>
      <c r="BD384" s="64">
        <f>BB384*BC384</f>
        <v/>
      </c>
      <c r="BE384" s="64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IF(A384="","",N(INDEX(Projects[Act Mech Inst],383)))</f>
        <v/>
      </c>
      <c r="BK384" s="5">
        <f>IF(A384="","",N(INDEX(Projects[Act Elec Inst],383)))</f>
        <v/>
      </c>
      <c r="BL384" s="5">
        <f>IF(A384="","",N(INDEX(Projects[Act Project Management],383)))</f>
        <v/>
      </c>
      <c r="BM384" s="5">
        <f>IF(A384="","",N(INDEX(Projects[Act Systems Eng],383)))</f>
        <v/>
      </c>
      <c r="BN384" s="5">
        <f>IF(A384="","",N(INDEX(Projects[Act Mechanical Eng],383)))</f>
        <v/>
      </c>
      <c r="BO384" s="5">
        <f>IF(A384="","",N(INDEX(Projects[Act Structural Engineering],383)))</f>
        <v/>
      </c>
      <c r="BP384" s="5">
        <f>IF(A384="","",N(INDEX(Projects[Act Site Sup],383)))</f>
        <v/>
      </c>
      <c r="BQ384" s="5">
        <f>IF(A384="","",N(INDEX(Projects[Act Controls Commissioning],383)))</f>
        <v/>
      </c>
      <c r="BR384" s="5">
        <f>IF(A384="","",N(INDEX(Projects[Act Systems Commissioning],383)))</f>
        <v/>
      </c>
      <c r="BS384" s="5">
        <f>IF(A384="","",N(INDEX(Projects[Act Service Commissioning],383)))</f>
        <v/>
      </c>
      <c r="BT384" s="5">
        <f>IF(A384="","",N(INDEX(Projects[Act Controls Eng],383)))</f>
        <v/>
      </c>
      <c r="BU384" s="5">
        <f>IF(A384="","",N(INDEX(Projects[Act Controls Purchase],383)))</f>
        <v/>
      </c>
      <c r="BV384" s="5">
        <f>IF(A384="","",N(INDEX(Projects[Act Software Eng],383)))</f>
        <v/>
      </c>
      <c r="BW384" s="5">
        <f>IF(A384="","",N(INDEX(Projects[Act 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INDEX(Projects[Sold Value (USD M)],383)</f>
        <v/>
      </c>
      <c r="CE384" s="5" t="n"/>
      <c r="CF384" s="5">
        <f>IF(A384="","",N(INDEX(Projects[Est Mech Inst],383)))</f>
        <v/>
      </c>
      <c r="CG384" s="5">
        <f>IF(A384="","",N(INDEX(Projects[Est Elec Inst],383)))</f>
        <v/>
      </c>
      <c r="CH384" s="5">
        <f>IF(A384="","",N(INDEX(Projects[Est Project Management],383)))</f>
        <v/>
      </c>
      <c r="CI384" s="5">
        <f>IF(A384="","",N(INDEX(Projects[Est Systems Eng],383)))</f>
        <v/>
      </c>
      <c r="CJ384" s="5">
        <f>IF(A384="","",N(INDEX(Projects[Est Mechanical Eng],383)))</f>
        <v/>
      </c>
      <c r="CK384" s="5">
        <f>IF(A384="","",N(INDEX(Projects[Est Structural Engineering],383)))</f>
        <v/>
      </c>
      <c r="CL384" s="5">
        <f>IF(A384="","",N(INDEX(Projects[Est Site Sup],383)))</f>
        <v/>
      </c>
      <c r="CM384" s="5">
        <f>IF(A384="","",N(INDEX(Projects[Est Controls Commissioning],383)))</f>
        <v/>
      </c>
      <c r="CN384" s="5">
        <f>IF(A384="","",N(INDEX(Projects[Est Systems Commissioning],383)))</f>
        <v/>
      </c>
      <c r="CO384" s="5">
        <f>IF(A384="","",N(INDEX(Projects[Est Service Commissioning],383)))</f>
        <v/>
      </c>
      <c r="CP384" s="5">
        <f>IF(A384="","",N(INDEX(Projects[Est Controls Eng],383)))</f>
        <v/>
      </c>
      <c r="CQ384" s="5">
        <f>IF(A384="","",N(INDEX(Projects[Est Controls Purchase],383)))</f>
        <v/>
      </c>
      <c r="CR384" s="5">
        <f>IF(A384="","",N(INDEX(Projects[Est Software Eng],383)))</f>
        <v/>
      </c>
      <c r="CS384" s="5">
        <f>IF(A384="","",N(INDEX(Projects[Est Misc],383)))</f>
        <v/>
      </c>
      <c r="CT384" s="5">
        <f>IF(A384="","",SUM(CF384:CS384))</f>
        <v/>
      </c>
      <c r="CU384" s="5">
        <f>INDEX(Projects[Est Cost (M)],383)</f>
        <v/>
      </c>
      <c r="CV384" s="5">
        <f>INDEX(Projects[Act Cost (M)],383)</f>
        <v/>
      </c>
      <c r="CW384" s="5">
        <f>INDEX(Projects[Plan Mech Eng (wks)],383)</f>
        <v/>
      </c>
      <c r="CX384" s="5">
        <f>INDEX(Projects[Plan Controls Eng (wks)],383)</f>
        <v/>
      </c>
      <c r="CY384" s="5">
        <f>INDEX(Projects[Plan Systems Eng (wks)],383)</f>
        <v/>
      </c>
      <c r="CZ384" s="5">
        <f>INDEX(Projects[Plan Software Eng (wks)],383)</f>
        <v/>
      </c>
      <c r="DA384" s="5">
        <f>INDEX(Projects[Plan M&amp;E Installation (wks)],383)</f>
        <v/>
      </c>
      <c r="DB384" s="5">
        <f>INDEX(Projects[Plan Commissioning (wks)],383)</f>
        <v/>
      </c>
      <c r="DC384" s="5">
        <f>INDEX(Projects[Plan Total (wks)],383)</f>
        <v/>
      </c>
      <c r="DD384" s="5">
        <f>INDEX(Projects[Act Mech Eng (wks)],383)</f>
        <v/>
      </c>
      <c r="DE384" s="5">
        <f>INDEX(Projects[Act Controls Eng (wks)],383)</f>
        <v/>
      </c>
      <c r="DF384" s="5">
        <f>INDEX(Projects[Act Systems Eng (wks)],383)</f>
        <v/>
      </c>
      <c r="DG384" s="5">
        <f>INDEX(Projects[Act Software Eng (wks)],383)</f>
        <v/>
      </c>
      <c r="DH384" s="5">
        <f>INDEX(Projects[Act M&amp;E Installation (wks)],383)</f>
        <v/>
      </c>
      <c r="DI384" s="5">
        <f>INDEX(Projects[Act Commissioning (wks)],383)</f>
        <v/>
      </c>
      <c r="DJ384" s="5">
        <f>INDEX(Projects[Act Total (wks)],383)</f>
        <v/>
      </c>
    </row>
    <row r="385" ht="15" customHeight="1" s="82">
      <c r="A385" s="64">
        <f>INDEX(Projects[Project ID *],384)&amp;""</f>
        <v/>
      </c>
      <c r="B385" s="64">
        <f>INDEX(Projects[Project Name *],384)&amp;""</f>
        <v/>
      </c>
      <c r="C385" s="64">
        <f>INDEX(Projects[MS Shuttles],384)</f>
        <v/>
      </c>
      <c r="D385" s="64">
        <f>INDEX(Projects[MS Tote Locations],384)</f>
        <v/>
      </c>
      <c r="E385" s="64">
        <f>INDEX(Projects[AS Robots],384)</f>
        <v/>
      </c>
      <c r="F385" s="64">
        <f>INDEX(Projects[AS Tote Locations],384)</f>
        <v/>
      </c>
      <c r="G385" s="64">
        <f>INDEX(Projects[PS Shuttles],384)</f>
        <v/>
      </c>
      <c r="H385" s="64">
        <f>INDEX(Projects[PS Pallet Locations],384)</f>
        <v/>
      </c>
      <c r="I385" s="64">
        <f>INDEX(Projects[SRM Cranes],384)</f>
        <v/>
      </c>
      <c r="J385" s="64">
        <f>INDEX(Projects[SRM Pallet Locations],384)</f>
        <v/>
      </c>
      <c r="K385" s="64">
        <f>INDEX(Projects[Case Conv (m)],384)</f>
        <v/>
      </c>
      <c r="L385" s="64">
        <f>INDEX(Projects[Pallet Conv (m)],384)</f>
        <v/>
      </c>
      <c r="M385" s="64">
        <f>IF(N(DJ385)&gt;0,DD385,CW385)</f>
        <v/>
      </c>
      <c r="N385" s="64">
        <f>IF(N(DJ385)&gt;0,DE385,CX385)</f>
        <v/>
      </c>
      <c r="O385" s="64">
        <f>IF(N(DJ385)&gt;0,DF385,CY385)</f>
        <v/>
      </c>
      <c r="P385" s="64">
        <f>IF(N(DJ385)&gt;0,DG385,CZ385)</f>
        <v/>
      </c>
      <c r="Q385" s="64">
        <f>IF(N(DJ385)&gt;0,DH385,DA385)</f>
        <v/>
      </c>
      <c r="R385" s="64">
        <f>IF(N(DJ385)&gt;0,DI385,DB385)</f>
        <v/>
      </c>
      <c r="S385" s="64">
        <f>IF(N(DJ385)&gt;0,DJ385,DC385)</f>
        <v/>
      </c>
      <c r="T385" s="64">
        <f>INDEX(Projects[Currency],384)&amp;""</f>
        <v/>
      </c>
      <c r="U385" s="65">
        <f>INDEX(Projects[Sold Value (M)],384)</f>
        <v/>
      </c>
      <c r="V385" s="64">
        <f>IF('Smart Search'!B13=1,IFERROR(1/'Smart Search'!H13,0),0)</f>
        <v/>
      </c>
      <c r="W385" s="64">
        <f>IF('Smart Search'!B13=1,IFERROR(1/'Smart Search'!H13,0),0)</f>
        <v/>
      </c>
      <c r="X385" s="64">
        <f>IF('Smart Search'!C13=1,IFERROR(1/'Smart Search'!H13,0),0)</f>
        <v/>
      </c>
      <c r="Y385" s="64">
        <f>IF('Smart Search'!C13=1,IFERROR(1/'Smart Search'!H13,0),0)</f>
        <v/>
      </c>
      <c r="Z385" s="64">
        <f>IF('Smart Search'!D13=1,IFERROR(1/'Smart Search'!H13,0),0)</f>
        <v/>
      </c>
      <c r="AA385" s="64">
        <f>IF('Smart Search'!D13=1,IFERROR(1/'Smart Search'!H13,0),0)</f>
        <v/>
      </c>
      <c r="AB385" s="64">
        <f>IF('Smart Search'!E13=1,IFERROR(1/'Smart Search'!H13,0),0)</f>
        <v/>
      </c>
      <c r="AC385" s="64">
        <f>IF('Smart Search'!E13=1,IFERROR(1/'Smart Search'!H13,0),0)</f>
        <v/>
      </c>
      <c r="AD385" s="64">
        <f>IF('Smart Search'!F13=1,IFERROR(1/'Smart Search'!H13,0),0)</f>
        <v/>
      </c>
      <c r="AE385" s="64">
        <f>IF('Smart Search'!F13=1,IFERROR(1/'Smart Search'!H13,0),0)</f>
        <v/>
      </c>
      <c r="AF385" s="64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4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4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4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4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4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4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4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4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4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4">
        <f>AF385*V385</f>
        <v/>
      </c>
      <c r="AQ385" s="64">
        <f>AG385*W385</f>
        <v/>
      </c>
      <c r="AR385" s="64">
        <f>AH385*X385</f>
        <v/>
      </c>
      <c r="AS385" s="64">
        <f>AI385*Y385</f>
        <v/>
      </c>
      <c r="AT385" s="64">
        <f>AJ385*Z385</f>
        <v/>
      </c>
      <c r="AU385" s="64">
        <f>AK385*AA385</f>
        <v/>
      </c>
      <c r="AV385" s="64">
        <f>AL385*AB385</f>
        <v/>
      </c>
      <c r="AW385" s="64">
        <f>AM385*AC385</f>
        <v/>
      </c>
      <c r="AX385" s="64">
        <f>AN385*AD385</f>
        <v/>
      </c>
      <c r="AY385" s="64">
        <f>AO385*AE385</f>
        <v/>
      </c>
      <c r="AZ385" s="64">
        <f>INDEX(Projects[Automation Equipment],384)&amp;""</f>
        <v/>
      </c>
      <c r="BA385" s="64">
        <f>IF(OR(A385="",'Smart Search'!H13=0),"",MAX(0,BE385*BF385*MAX(0,1-BG385)))</f>
        <v/>
      </c>
      <c r="BB385" s="64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4">
        <f>IF('Smart Search'!G13=1,IFERROR(1/'Smart Search'!H13,0),0)</f>
        <v/>
      </c>
      <c r="BD385" s="64">
        <f>BB385*BC385</f>
        <v/>
      </c>
      <c r="BE385" s="64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IF(A385="","",N(INDEX(Projects[Act Mech Inst],384)))</f>
        <v/>
      </c>
      <c r="BK385" s="5">
        <f>IF(A385="","",N(INDEX(Projects[Act Elec Inst],384)))</f>
        <v/>
      </c>
      <c r="BL385" s="5">
        <f>IF(A385="","",N(INDEX(Projects[Act Project Management],384)))</f>
        <v/>
      </c>
      <c r="BM385" s="5">
        <f>IF(A385="","",N(INDEX(Projects[Act Systems Eng],384)))</f>
        <v/>
      </c>
      <c r="BN385" s="5">
        <f>IF(A385="","",N(INDEX(Projects[Act Mechanical Eng],384)))</f>
        <v/>
      </c>
      <c r="BO385" s="5">
        <f>IF(A385="","",N(INDEX(Projects[Act Structural Engineering],384)))</f>
        <v/>
      </c>
      <c r="BP385" s="5">
        <f>IF(A385="","",N(INDEX(Projects[Act Site Sup],384)))</f>
        <v/>
      </c>
      <c r="BQ385" s="5">
        <f>IF(A385="","",N(INDEX(Projects[Act Controls Commissioning],384)))</f>
        <v/>
      </c>
      <c r="BR385" s="5">
        <f>IF(A385="","",N(INDEX(Projects[Act Systems Commissioning],384)))</f>
        <v/>
      </c>
      <c r="BS385" s="5">
        <f>IF(A385="","",N(INDEX(Projects[Act Service Commissioning],384)))</f>
        <v/>
      </c>
      <c r="BT385" s="5">
        <f>IF(A385="","",N(INDEX(Projects[Act Controls Eng],384)))</f>
        <v/>
      </c>
      <c r="BU385" s="5">
        <f>IF(A385="","",N(INDEX(Projects[Act Controls Purchase],384)))</f>
        <v/>
      </c>
      <c r="BV385" s="5">
        <f>IF(A385="","",N(INDEX(Projects[Act Software Eng],384)))</f>
        <v/>
      </c>
      <c r="BW385" s="5">
        <f>IF(A385="","",N(INDEX(Projects[Act 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INDEX(Projects[Sold Value (USD M)],384)</f>
        <v/>
      </c>
      <c r="CE385" s="5" t="n"/>
      <c r="CF385" s="5">
        <f>IF(A385="","",N(INDEX(Projects[Est Mech Inst],384)))</f>
        <v/>
      </c>
      <c r="CG385" s="5">
        <f>IF(A385="","",N(INDEX(Projects[Est Elec Inst],384)))</f>
        <v/>
      </c>
      <c r="CH385" s="5">
        <f>IF(A385="","",N(INDEX(Projects[Est Project Management],384)))</f>
        <v/>
      </c>
      <c r="CI385" s="5">
        <f>IF(A385="","",N(INDEX(Projects[Est Systems Eng],384)))</f>
        <v/>
      </c>
      <c r="CJ385" s="5">
        <f>IF(A385="","",N(INDEX(Projects[Est Mechanical Eng],384)))</f>
        <v/>
      </c>
      <c r="CK385" s="5">
        <f>IF(A385="","",N(INDEX(Projects[Est Structural Engineering],384)))</f>
        <v/>
      </c>
      <c r="CL385" s="5">
        <f>IF(A385="","",N(INDEX(Projects[Est Site Sup],384)))</f>
        <v/>
      </c>
      <c r="CM385" s="5">
        <f>IF(A385="","",N(INDEX(Projects[Est Controls Commissioning],384)))</f>
        <v/>
      </c>
      <c r="CN385" s="5">
        <f>IF(A385="","",N(INDEX(Projects[Est Systems Commissioning],384)))</f>
        <v/>
      </c>
      <c r="CO385" s="5">
        <f>IF(A385="","",N(INDEX(Projects[Est Service Commissioning],384)))</f>
        <v/>
      </c>
      <c r="CP385" s="5">
        <f>IF(A385="","",N(INDEX(Projects[Est Controls Eng],384)))</f>
        <v/>
      </c>
      <c r="CQ385" s="5">
        <f>IF(A385="","",N(INDEX(Projects[Est Controls Purchase],384)))</f>
        <v/>
      </c>
      <c r="CR385" s="5">
        <f>IF(A385="","",N(INDEX(Projects[Est Software Eng],384)))</f>
        <v/>
      </c>
      <c r="CS385" s="5">
        <f>IF(A385="","",N(INDEX(Projects[Est Misc],384)))</f>
        <v/>
      </c>
      <c r="CT385" s="5">
        <f>IF(A385="","",SUM(CF385:CS385))</f>
        <v/>
      </c>
      <c r="CU385" s="5">
        <f>INDEX(Projects[Est Cost (M)],384)</f>
        <v/>
      </c>
      <c r="CV385" s="5">
        <f>INDEX(Projects[Act Cost (M)],384)</f>
        <v/>
      </c>
      <c r="CW385" s="5">
        <f>INDEX(Projects[Plan Mech Eng (wks)],384)</f>
        <v/>
      </c>
      <c r="CX385" s="5">
        <f>INDEX(Projects[Plan Controls Eng (wks)],384)</f>
        <v/>
      </c>
      <c r="CY385" s="5">
        <f>INDEX(Projects[Plan Systems Eng (wks)],384)</f>
        <v/>
      </c>
      <c r="CZ385" s="5">
        <f>INDEX(Projects[Plan Software Eng (wks)],384)</f>
        <v/>
      </c>
      <c r="DA385" s="5">
        <f>INDEX(Projects[Plan M&amp;E Installation (wks)],384)</f>
        <v/>
      </c>
      <c r="DB385" s="5">
        <f>INDEX(Projects[Plan Commissioning (wks)],384)</f>
        <v/>
      </c>
      <c r="DC385" s="5">
        <f>INDEX(Projects[Plan Total (wks)],384)</f>
        <v/>
      </c>
      <c r="DD385" s="5">
        <f>INDEX(Projects[Act Mech Eng (wks)],384)</f>
        <v/>
      </c>
      <c r="DE385" s="5">
        <f>INDEX(Projects[Act Controls Eng (wks)],384)</f>
        <v/>
      </c>
      <c r="DF385" s="5">
        <f>INDEX(Projects[Act Systems Eng (wks)],384)</f>
        <v/>
      </c>
      <c r="DG385" s="5">
        <f>INDEX(Projects[Act Software Eng (wks)],384)</f>
        <v/>
      </c>
      <c r="DH385" s="5">
        <f>INDEX(Projects[Act M&amp;E Installation (wks)],384)</f>
        <v/>
      </c>
      <c r="DI385" s="5">
        <f>INDEX(Projects[Act Commissioning (wks)],384)</f>
        <v/>
      </c>
      <c r="DJ385" s="5">
        <f>INDEX(Projects[Act Total (wks)],384)</f>
        <v/>
      </c>
    </row>
    <row r="386" ht="15" customHeight="1" s="82">
      <c r="A386" s="64">
        <f>INDEX(Projects[Project ID *],385)&amp;""</f>
        <v/>
      </c>
      <c r="B386" s="64">
        <f>INDEX(Projects[Project Name *],385)&amp;""</f>
        <v/>
      </c>
      <c r="C386" s="64">
        <f>INDEX(Projects[MS Shuttles],385)</f>
        <v/>
      </c>
      <c r="D386" s="64">
        <f>INDEX(Projects[MS Tote Locations],385)</f>
        <v/>
      </c>
      <c r="E386" s="64">
        <f>INDEX(Projects[AS Robots],385)</f>
        <v/>
      </c>
      <c r="F386" s="64">
        <f>INDEX(Projects[AS Tote Locations],385)</f>
        <v/>
      </c>
      <c r="G386" s="64">
        <f>INDEX(Projects[PS Shuttles],385)</f>
        <v/>
      </c>
      <c r="H386" s="64">
        <f>INDEX(Projects[PS Pallet Locations],385)</f>
        <v/>
      </c>
      <c r="I386" s="64">
        <f>INDEX(Projects[SRM Cranes],385)</f>
        <v/>
      </c>
      <c r="J386" s="64">
        <f>INDEX(Projects[SRM Pallet Locations],385)</f>
        <v/>
      </c>
      <c r="K386" s="64">
        <f>INDEX(Projects[Case Conv (m)],385)</f>
        <v/>
      </c>
      <c r="L386" s="64">
        <f>INDEX(Projects[Pallet Conv (m)],385)</f>
        <v/>
      </c>
      <c r="M386" s="64">
        <f>IF(N(DJ386)&gt;0,DD386,CW386)</f>
        <v/>
      </c>
      <c r="N386" s="64">
        <f>IF(N(DJ386)&gt;0,DE386,CX386)</f>
        <v/>
      </c>
      <c r="O386" s="64">
        <f>IF(N(DJ386)&gt;0,DF386,CY386)</f>
        <v/>
      </c>
      <c r="P386" s="64">
        <f>IF(N(DJ386)&gt;0,DG386,CZ386)</f>
        <v/>
      </c>
      <c r="Q386" s="64">
        <f>IF(N(DJ386)&gt;0,DH386,DA386)</f>
        <v/>
      </c>
      <c r="R386" s="64">
        <f>IF(N(DJ386)&gt;0,DI386,DB386)</f>
        <v/>
      </c>
      <c r="S386" s="64">
        <f>IF(N(DJ386)&gt;0,DJ386,DC386)</f>
        <v/>
      </c>
      <c r="T386" s="64">
        <f>INDEX(Projects[Currency],385)&amp;""</f>
        <v/>
      </c>
      <c r="U386" s="65">
        <f>INDEX(Projects[Sold Value (M)],385)</f>
        <v/>
      </c>
      <c r="V386" s="64">
        <f>IF('Smart Search'!B13=1,IFERROR(1/'Smart Search'!H13,0),0)</f>
        <v/>
      </c>
      <c r="W386" s="64">
        <f>IF('Smart Search'!B13=1,IFERROR(1/'Smart Search'!H13,0),0)</f>
        <v/>
      </c>
      <c r="X386" s="64">
        <f>IF('Smart Search'!C13=1,IFERROR(1/'Smart Search'!H13,0),0)</f>
        <v/>
      </c>
      <c r="Y386" s="64">
        <f>IF('Smart Search'!C13=1,IFERROR(1/'Smart Search'!H13,0),0)</f>
        <v/>
      </c>
      <c r="Z386" s="64">
        <f>IF('Smart Search'!D13=1,IFERROR(1/'Smart Search'!H13,0),0)</f>
        <v/>
      </c>
      <c r="AA386" s="64">
        <f>IF('Smart Search'!D13=1,IFERROR(1/'Smart Search'!H13,0),0)</f>
        <v/>
      </c>
      <c r="AB386" s="64">
        <f>IF('Smart Search'!E13=1,IFERROR(1/'Smart Search'!H13,0),0)</f>
        <v/>
      </c>
      <c r="AC386" s="64">
        <f>IF('Smart Search'!E13=1,IFERROR(1/'Smart Search'!H13,0),0)</f>
        <v/>
      </c>
      <c r="AD386" s="64">
        <f>IF('Smart Search'!F13=1,IFERROR(1/'Smart Search'!H13,0),0)</f>
        <v/>
      </c>
      <c r="AE386" s="64">
        <f>IF('Smart Search'!F13=1,IFERROR(1/'Smart Search'!H13,0),0)</f>
        <v/>
      </c>
      <c r="AF386" s="64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4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4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4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4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4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4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4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4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4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4">
        <f>AF386*V386</f>
        <v/>
      </c>
      <c r="AQ386" s="64">
        <f>AG386*W386</f>
        <v/>
      </c>
      <c r="AR386" s="64">
        <f>AH386*X386</f>
        <v/>
      </c>
      <c r="AS386" s="64">
        <f>AI386*Y386</f>
        <v/>
      </c>
      <c r="AT386" s="64">
        <f>AJ386*Z386</f>
        <v/>
      </c>
      <c r="AU386" s="64">
        <f>AK386*AA386</f>
        <v/>
      </c>
      <c r="AV386" s="64">
        <f>AL386*AB386</f>
        <v/>
      </c>
      <c r="AW386" s="64">
        <f>AM386*AC386</f>
        <v/>
      </c>
      <c r="AX386" s="64">
        <f>AN386*AD386</f>
        <v/>
      </c>
      <c r="AY386" s="64">
        <f>AO386*AE386</f>
        <v/>
      </c>
      <c r="AZ386" s="64">
        <f>INDEX(Projects[Automation Equipment],385)&amp;""</f>
        <v/>
      </c>
      <c r="BA386" s="64">
        <f>IF(OR(A386="",'Smart Search'!H13=0),"",MAX(0,BE386*BF386*MAX(0,1-BG386)))</f>
        <v/>
      </c>
      <c r="BB386" s="64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4">
        <f>IF('Smart Search'!G13=1,IFERROR(1/'Smart Search'!H13,0),0)</f>
        <v/>
      </c>
      <c r="BD386" s="64">
        <f>BB386*BC386</f>
        <v/>
      </c>
      <c r="BE386" s="64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IF(A386="","",N(INDEX(Projects[Act Mech Inst],385)))</f>
        <v/>
      </c>
      <c r="BK386" s="5">
        <f>IF(A386="","",N(INDEX(Projects[Act Elec Inst],385)))</f>
        <v/>
      </c>
      <c r="BL386" s="5">
        <f>IF(A386="","",N(INDEX(Projects[Act Project Management],385)))</f>
        <v/>
      </c>
      <c r="BM386" s="5">
        <f>IF(A386="","",N(INDEX(Projects[Act Systems Eng],385)))</f>
        <v/>
      </c>
      <c r="BN386" s="5">
        <f>IF(A386="","",N(INDEX(Projects[Act Mechanical Eng],385)))</f>
        <v/>
      </c>
      <c r="BO386" s="5">
        <f>IF(A386="","",N(INDEX(Projects[Act Structural Engineering],385)))</f>
        <v/>
      </c>
      <c r="BP386" s="5">
        <f>IF(A386="","",N(INDEX(Projects[Act Site Sup],385)))</f>
        <v/>
      </c>
      <c r="BQ386" s="5">
        <f>IF(A386="","",N(INDEX(Projects[Act Controls Commissioning],385)))</f>
        <v/>
      </c>
      <c r="BR386" s="5">
        <f>IF(A386="","",N(INDEX(Projects[Act Systems Commissioning],385)))</f>
        <v/>
      </c>
      <c r="BS386" s="5">
        <f>IF(A386="","",N(INDEX(Projects[Act Service Commissioning],385)))</f>
        <v/>
      </c>
      <c r="BT386" s="5">
        <f>IF(A386="","",N(INDEX(Projects[Act Controls Eng],385)))</f>
        <v/>
      </c>
      <c r="BU386" s="5">
        <f>IF(A386="","",N(INDEX(Projects[Act Controls Purchase],385)))</f>
        <v/>
      </c>
      <c r="BV386" s="5">
        <f>IF(A386="","",N(INDEX(Projects[Act Software Eng],385)))</f>
        <v/>
      </c>
      <c r="BW386" s="5">
        <f>IF(A386="","",N(INDEX(Projects[Act 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INDEX(Projects[Sold Value (USD M)],385)</f>
        <v/>
      </c>
      <c r="CE386" s="5" t="n"/>
      <c r="CF386" s="5">
        <f>IF(A386="","",N(INDEX(Projects[Est Mech Inst],385)))</f>
        <v/>
      </c>
      <c r="CG386" s="5">
        <f>IF(A386="","",N(INDEX(Projects[Est Elec Inst],385)))</f>
        <v/>
      </c>
      <c r="CH386" s="5">
        <f>IF(A386="","",N(INDEX(Projects[Est Project Management],385)))</f>
        <v/>
      </c>
      <c r="CI386" s="5">
        <f>IF(A386="","",N(INDEX(Projects[Est Systems Eng],385)))</f>
        <v/>
      </c>
      <c r="CJ386" s="5">
        <f>IF(A386="","",N(INDEX(Projects[Est Mechanical Eng],385)))</f>
        <v/>
      </c>
      <c r="CK386" s="5">
        <f>IF(A386="","",N(INDEX(Projects[Est Structural Engineering],385)))</f>
        <v/>
      </c>
      <c r="CL386" s="5">
        <f>IF(A386="","",N(INDEX(Projects[Est Site Sup],385)))</f>
        <v/>
      </c>
      <c r="CM386" s="5">
        <f>IF(A386="","",N(INDEX(Projects[Est Controls Commissioning],385)))</f>
        <v/>
      </c>
      <c r="CN386" s="5">
        <f>IF(A386="","",N(INDEX(Projects[Est Systems Commissioning],385)))</f>
        <v/>
      </c>
      <c r="CO386" s="5">
        <f>IF(A386="","",N(INDEX(Projects[Est Service Commissioning],385)))</f>
        <v/>
      </c>
      <c r="CP386" s="5">
        <f>IF(A386="","",N(INDEX(Projects[Est Controls Eng],385)))</f>
        <v/>
      </c>
      <c r="CQ386" s="5">
        <f>IF(A386="","",N(INDEX(Projects[Est Controls Purchase],385)))</f>
        <v/>
      </c>
      <c r="CR386" s="5">
        <f>IF(A386="","",N(INDEX(Projects[Est Software Eng],385)))</f>
        <v/>
      </c>
      <c r="CS386" s="5">
        <f>IF(A386="","",N(INDEX(Projects[Est Misc],385)))</f>
        <v/>
      </c>
      <c r="CT386" s="5">
        <f>IF(A386="","",SUM(CF386:CS386))</f>
        <v/>
      </c>
      <c r="CU386" s="5">
        <f>INDEX(Projects[Est Cost (M)],385)</f>
        <v/>
      </c>
      <c r="CV386" s="5">
        <f>INDEX(Projects[Act Cost (M)],385)</f>
        <v/>
      </c>
      <c r="CW386" s="5">
        <f>INDEX(Projects[Plan Mech Eng (wks)],385)</f>
        <v/>
      </c>
      <c r="CX386" s="5">
        <f>INDEX(Projects[Plan Controls Eng (wks)],385)</f>
        <v/>
      </c>
      <c r="CY386" s="5">
        <f>INDEX(Projects[Plan Systems Eng (wks)],385)</f>
        <v/>
      </c>
      <c r="CZ386" s="5">
        <f>INDEX(Projects[Plan Software Eng (wks)],385)</f>
        <v/>
      </c>
      <c r="DA386" s="5">
        <f>INDEX(Projects[Plan M&amp;E Installation (wks)],385)</f>
        <v/>
      </c>
      <c r="DB386" s="5">
        <f>INDEX(Projects[Plan Commissioning (wks)],385)</f>
        <v/>
      </c>
      <c r="DC386" s="5">
        <f>INDEX(Projects[Plan Total (wks)],385)</f>
        <v/>
      </c>
      <c r="DD386" s="5">
        <f>INDEX(Projects[Act Mech Eng (wks)],385)</f>
        <v/>
      </c>
      <c r="DE386" s="5">
        <f>INDEX(Projects[Act Controls Eng (wks)],385)</f>
        <v/>
      </c>
      <c r="DF386" s="5">
        <f>INDEX(Projects[Act Systems Eng (wks)],385)</f>
        <v/>
      </c>
      <c r="DG386" s="5">
        <f>INDEX(Projects[Act Software Eng (wks)],385)</f>
        <v/>
      </c>
      <c r="DH386" s="5">
        <f>INDEX(Projects[Act M&amp;E Installation (wks)],385)</f>
        <v/>
      </c>
      <c r="DI386" s="5">
        <f>INDEX(Projects[Act Commissioning (wks)],385)</f>
        <v/>
      </c>
      <c r="DJ386" s="5">
        <f>INDEX(Projects[Act Total (wks)],385)</f>
        <v/>
      </c>
    </row>
    <row r="387" ht="15" customHeight="1" s="82">
      <c r="A387" s="64">
        <f>INDEX(Projects[Project ID *],386)&amp;""</f>
        <v/>
      </c>
      <c r="B387" s="64">
        <f>INDEX(Projects[Project Name *],386)&amp;""</f>
        <v/>
      </c>
      <c r="C387" s="64">
        <f>INDEX(Projects[MS Shuttles],386)</f>
        <v/>
      </c>
      <c r="D387" s="64">
        <f>INDEX(Projects[MS Tote Locations],386)</f>
        <v/>
      </c>
      <c r="E387" s="64">
        <f>INDEX(Projects[AS Robots],386)</f>
        <v/>
      </c>
      <c r="F387" s="64">
        <f>INDEX(Projects[AS Tote Locations],386)</f>
        <v/>
      </c>
      <c r="G387" s="64">
        <f>INDEX(Projects[PS Shuttles],386)</f>
        <v/>
      </c>
      <c r="H387" s="64">
        <f>INDEX(Projects[PS Pallet Locations],386)</f>
        <v/>
      </c>
      <c r="I387" s="64">
        <f>INDEX(Projects[SRM Cranes],386)</f>
        <v/>
      </c>
      <c r="J387" s="64">
        <f>INDEX(Projects[SRM Pallet Locations],386)</f>
        <v/>
      </c>
      <c r="K387" s="64">
        <f>INDEX(Projects[Case Conv (m)],386)</f>
        <v/>
      </c>
      <c r="L387" s="64">
        <f>INDEX(Projects[Pallet Conv (m)],386)</f>
        <v/>
      </c>
      <c r="M387" s="64">
        <f>IF(N(DJ387)&gt;0,DD387,CW387)</f>
        <v/>
      </c>
      <c r="N387" s="64">
        <f>IF(N(DJ387)&gt;0,DE387,CX387)</f>
        <v/>
      </c>
      <c r="O387" s="64">
        <f>IF(N(DJ387)&gt;0,DF387,CY387)</f>
        <v/>
      </c>
      <c r="P387" s="64">
        <f>IF(N(DJ387)&gt;0,DG387,CZ387)</f>
        <v/>
      </c>
      <c r="Q387" s="64">
        <f>IF(N(DJ387)&gt;0,DH387,DA387)</f>
        <v/>
      </c>
      <c r="R387" s="64">
        <f>IF(N(DJ387)&gt;0,DI387,DB387)</f>
        <v/>
      </c>
      <c r="S387" s="64">
        <f>IF(N(DJ387)&gt;0,DJ387,DC387)</f>
        <v/>
      </c>
      <c r="T387" s="64">
        <f>INDEX(Projects[Currency],386)&amp;""</f>
        <v/>
      </c>
      <c r="U387" s="65">
        <f>INDEX(Projects[Sold Value (M)],386)</f>
        <v/>
      </c>
      <c r="V387" s="64">
        <f>IF('Smart Search'!B13=1,IFERROR(1/'Smart Search'!H13,0),0)</f>
        <v/>
      </c>
      <c r="W387" s="64">
        <f>IF('Smart Search'!B13=1,IFERROR(1/'Smart Search'!H13,0),0)</f>
        <v/>
      </c>
      <c r="X387" s="64">
        <f>IF('Smart Search'!C13=1,IFERROR(1/'Smart Search'!H13,0),0)</f>
        <v/>
      </c>
      <c r="Y387" s="64">
        <f>IF('Smart Search'!C13=1,IFERROR(1/'Smart Search'!H13,0),0)</f>
        <v/>
      </c>
      <c r="Z387" s="64">
        <f>IF('Smart Search'!D13=1,IFERROR(1/'Smart Search'!H13,0),0)</f>
        <v/>
      </c>
      <c r="AA387" s="64">
        <f>IF('Smart Search'!D13=1,IFERROR(1/'Smart Search'!H13,0),0)</f>
        <v/>
      </c>
      <c r="AB387" s="64">
        <f>IF('Smart Search'!E13=1,IFERROR(1/'Smart Search'!H13,0),0)</f>
        <v/>
      </c>
      <c r="AC387" s="64">
        <f>IF('Smart Search'!E13=1,IFERROR(1/'Smart Search'!H13,0),0)</f>
        <v/>
      </c>
      <c r="AD387" s="64">
        <f>IF('Smart Search'!F13=1,IFERROR(1/'Smart Search'!H13,0),0)</f>
        <v/>
      </c>
      <c r="AE387" s="64">
        <f>IF('Smart Search'!F13=1,IFERROR(1/'Smart Search'!H13,0),0)</f>
        <v/>
      </c>
      <c r="AF387" s="64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4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4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4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4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4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4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4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4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4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4">
        <f>AF387*V387</f>
        <v/>
      </c>
      <c r="AQ387" s="64">
        <f>AG387*W387</f>
        <v/>
      </c>
      <c r="AR387" s="64">
        <f>AH387*X387</f>
        <v/>
      </c>
      <c r="AS387" s="64">
        <f>AI387*Y387</f>
        <v/>
      </c>
      <c r="AT387" s="64">
        <f>AJ387*Z387</f>
        <v/>
      </c>
      <c r="AU387" s="64">
        <f>AK387*AA387</f>
        <v/>
      </c>
      <c r="AV387" s="64">
        <f>AL387*AB387</f>
        <v/>
      </c>
      <c r="AW387" s="64">
        <f>AM387*AC387</f>
        <v/>
      </c>
      <c r="AX387" s="64">
        <f>AN387*AD387</f>
        <v/>
      </c>
      <c r="AY387" s="64">
        <f>AO387*AE387</f>
        <v/>
      </c>
      <c r="AZ387" s="64">
        <f>INDEX(Projects[Automation Equipment],386)&amp;""</f>
        <v/>
      </c>
      <c r="BA387" s="64">
        <f>IF(OR(A387="",'Smart Search'!H13=0),"",MAX(0,BE387*BF387*MAX(0,1-BG387)))</f>
        <v/>
      </c>
      <c r="BB387" s="64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4">
        <f>IF('Smart Search'!G13=1,IFERROR(1/'Smart Search'!H13,0),0)</f>
        <v/>
      </c>
      <c r="BD387" s="64">
        <f>BB387*BC387</f>
        <v/>
      </c>
      <c r="BE387" s="64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IF(A387="","",N(INDEX(Projects[Act Mech Inst],386)))</f>
        <v/>
      </c>
      <c r="BK387" s="5">
        <f>IF(A387="","",N(INDEX(Projects[Act Elec Inst],386)))</f>
        <v/>
      </c>
      <c r="BL387" s="5">
        <f>IF(A387="","",N(INDEX(Projects[Act Project Management],386)))</f>
        <v/>
      </c>
      <c r="BM387" s="5">
        <f>IF(A387="","",N(INDEX(Projects[Act Systems Eng],386)))</f>
        <v/>
      </c>
      <c r="BN387" s="5">
        <f>IF(A387="","",N(INDEX(Projects[Act Mechanical Eng],386)))</f>
        <v/>
      </c>
      <c r="BO387" s="5">
        <f>IF(A387="","",N(INDEX(Projects[Act Structural Engineering],386)))</f>
        <v/>
      </c>
      <c r="BP387" s="5">
        <f>IF(A387="","",N(INDEX(Projects[Act Site Sup],386)))</f>
        <v/>
      </c>
      <c r="BQ387" s="5">
        <f>IF(A387="","",N(INDEX(Projects[Act Controls Commissioning],386)))</f>
        <v/>
      </c>
      <c r="BR387" s="5">
        <f>IF(A387="","",N(INDEX(Projects[Act Systems Commissioning],386)))</f>
        <v/>
      </c>
      <c r="BS387" s="5">
        <f>IF(A387="","",N(INDEX(Projects[Act Service Commissioning],386)))</f>
        <v/>
      </c>
      <c r="BT387" s="5">
        <f>IF(A387="","",N(INDEX(Projects[Act Controls Eng],386)))</f>
        <v/>
      </c>
      <c r="BU387" s="5">
        <f>IF(A387="","",N(INDEX(Projects[Act Controls Purchase],386)))</f>
        <v/>
      </c>
      <c r="BV387" s="5">
        <f>IF(A387="","",N(INDEX(Projects[Act Software Eng],386)))</f>
        <v/>
      </c>
      <c r="BW387" s="5">
        <f>IF(A387="","",N(INDEX(Projects[Act 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INDEX(Projects[Sold Value (USD M)],386)</f>
        <v/>
      </c>
      <c r="CE387" s="5" t="n"/>
      <c r="CF387" s="5">
        <f>IF(A387="","",N(INDEX(Projects[Est Mech Inst],386)))</f>
        <v/>
      </c>
      <c r="CG387" s="5">
        <f>IF(A387="","",N(INDEX(Projects[Est Elec Inst],386)))</f>
        <v/>
      </c>
      <c r="CH387" s="5">
        <f>IF(A387="","",N(INDEX(Projects[Est Project Management],386)))</f>
        <v/>
      </c>
      <c r="CI387" s="5">
        <f>IF(A387="","",N(INDEX(Projects[Est Systems Eng],386)))</f>
        <v/>
      </c>
      <c r="CJ387" s="5">
        <f>IF(A387="","",N(INDEX(Projects[Est Mechanical Eng],386)))</f>
        <v/>
      </c>
      <c r="CK387" s="5">
        <f>IF(A387="","",N(INDEX(Projects[Est Structural Engineering],386)))</f>
        <v/>
      </c>
      <c r="CL387" s="5">
        <f>IF(A387="","",N(INDEX(Projects[Est Site Sup],386)))</f>
        <v/>
      </c>
      <c r="CM387" s="5">
        <f>IF(A387="","",N(INDEX(Projects[Est Controls Commissioning],386)))</f>
        <v/>
      </c>
      <c r="CN387" s="5">
        <f>IF(A387="","",N(INDEX(Projects[Est Systems Commissioning],386)))</f>
        <v/>
      </c>
      <c r="CO387" s="5">
        <f>IF(A387="","",N(INDEX(Projects[Est Service Commissioning],386)))</f>
        <v/>
      </c>
      <c r="CP387" s="5">
        <f>IF(A387="","",N(INDEX(Projects[Est Controls Eng],386)))</f>
        <v/>
      </c>
      <c r="CQ387" s="5">
        <f>IF(A387="","",N(INDEX(Projects[Est Controls Purchase],386)))</f>
        <v/>
      </c>
      <c r="CR387" s="5">
        <f>IF(A387="","",N(INDEX(Projects[Est Software Eng],386)))</f>
        <v/>
      </c>
      <c r="CS387" s="5">
        <f>IF(A387="","",N(INDEX(Projects[Est Misc],386)))</f>
        <v/>
      </c>
      <c r="CT387" s="5">
        <f>IF(A387="","",SUM(CF387:CS387))</f>
        <v/>
      </c>
      <c r="CU387" s="5">
        <f>INDEX(Projects[Est Cost (M)],386)</f>
        <v/>
      </c>
      <c r="CV387" s="5">
        <f>INDEX(Projects[Act Cost (M)],386)</f>
        <v/>
      </c>
      <c r="CW387" s="5">
        <f>INDEX(Projects[Plan Mech Eng (wks)],386)</f>
        <v/>
      </c>
      <c r="CX387" s="5">
        <f>INDEX(Projects[Plan Controls Eng (wks)],386)</f>
        <v/>
      </c>
      <c r="CY387" s="5">
        <f>INDEX(Projects[Plan Systems Eng (wks)],386)</f>
        <v/>
      </c>
      <c r="CZ387" s="5">
        <f>INDEX(Projects[Plan Software Eng (wks)],386)</f>
        <v/>
      </c>
      <c r="DA387" s="5">
        <f>INDEX(Projects[Plan M&amp;E Installation (wks)],386)</f>
        <v/>
      </c>
      <c r="DB387" s="5">
        <f>INDEX(Projects[Plan Commissioning (wks)],386)</f>
        <v/>
      </c>
      <c r="DC387" s="5">
        <f>INDEX(Projects[Plan Total (wks)],386)</f>
        <v/>
      </c>
      <c r="DD387" s="5">
        <f>INDEX(Projects[Act Mech Eng (wks)],386)</f>
        <v/>
      </c>
      <c r="DE387" s="5">
        <f>INDEX(Projects[Act Controls Eng (wks)],386)</f>
        <v/>
      </c>
      <c r="DF387" s="5">
        <f>INDEX(Projects[Act Systems Eng (wks)],386)</f>
        <v/>
      </c>
      <c r="DG387" s="5">
        <f>INDEX(Projects[Act Software Eng (wks)],386)</f>
        <v/>
      </c>
      <c r="DH387" s="5">
        <f>INDEX(Projects[Act M&amp;E Installation (wks)],386)</f>
        <v/>
      </c>
      <c r="DI387" s="5">
        <f>INDEX(Projects[Act Commissioning (wks)],386)</f>
        <v/>
      </c>
      <c r="DJ387" s="5">
        <f>INDEX(Projects[Act Total (wks)],386)</f>
        <v/>
      </c>
    </row>
    <row r="388" ht="15" customHeight="1" s="82">
      <c r="A388" s="64">
        <f>INDEX(Projects[Project ID *],387)&amp;""</f>
        <v/>
      </c>
      <c r="B388" s="64">
        <f>INDEX(Projects[Project Name *],387)&amp;""</f>
        <v/>
      </c>
      <c r="C388" s="64">
        <f>INDEX(Projects[MS Shuttles],387)</f>
        <v/>
      </c>
      <c r="D388" s="64">
        <f>INDEX(Projects[MS Tote Locations],387)</f>
        <v/>
      </c>
      <c r="E388" s="64">
        <f>INDEX(Projects[AS Robots],387)</f>
        <v/>
      </c>
      <c r="F388" s="64">
        <f>INDEX(Projects[AS Tote Locations],387)</f>
        <v/>
      </c>
      <c r="G388" s="64">
        <f>INDEX(Projects[PS Shuttles],387)</f>
        <v/>
      </c>
      <c r="H388" s="64">
        <f>INDEX(Projects[PS Pallet Locations],387)</f>
        <v/>
      </c>
      <c r="I388" s="64">
        <f>INDEX(Projects[SRM Cranes],387)</f>
        <v/>
      </c>
      <c r="J388" s="64">
        <f>INDEX(Projects[SRM Pallet Locations],387)</f>
        <v/>
      </c>
      <c r="K388" s="64">
        <f>INDEX(Projects[Case Conv (m)],387)</f>
        <v/>
      </c>
      <c r="L388" s="64">
        <f>INDEX(Projects[Pallet Conv (m)],387)</f>
        <v/>
      </c>
      <c r="M388" s="64">
        <f>IF(N(DJ388)&gt;0,DD388,CW388)</f>
        <v/>
      </c>
      <c r="N388" s="64">
        <f>IF(N(DJ388)&gt;0,DE388,CX388)</f>
        <v/>
      </c>
      <c r="O388" s="64">
        <f>IF(N(DJ388)&gt;0,DF388,CY388)</f>
        <v/>
      </c>
      <c r="P388" s="64">
        <f>IF(N(DJ388)&gt;0,DG388,CZ388)</f>
        <v/>
      </c>
      <c r="Q388" s="64">
        <f>IF(N(DJ388)&gt;0,DH388,DA388)</f>
        <v/>
      </c>
      <c r="R388" s="64">
        <f>IF(N(DJ388)&gt;0,DI388,DB388)</f>
        <v/>
      </c>
      <c r="S388" s="64">
        <f>IF(N(DJ388)&gt;0,DJ388,DC388)</f>
        <v/>
      </c>
      <c r="T388" s="64">
        <f>INDEX(Projects[Currency],387)&amp;""</f>
        <v/>
      </c>
      <c r="U388" s="65">
        <f>INDEX(Projects[Sold Value (M)],387)</f>
        <v/>
      </c>
      <c r="V388" s="64">
        <f>IF('Smart Search'!B13=1,IFERROR(1/'Smart Search'!H13,0),0)</f>
        <v/>
      </c>
      <c r="W388" s="64">
        <f>IF('Smart Search'!B13=1,IFERROR(1/'Smart Search'!H13,0),0)</f>
        <v/>
      </c>
      <c r="X388" s="64">
        <f>IF('Smart Search'!C13=1,IFERROR(1/'Smart Search'!H13,0),0)</f>
        <v/>
      </c>
      <c r="Y388" s="64">
        <f>IF('Smart Search'!C13=1,IFERROR(1/'Smart Search'!H13,0),0)</f>
        <v/>
      </c>
      <c r="Z388" s="64">
        <f>IF('Smart Search'!D13=1,IFERROR(1/'Smart Search'!H13,0),0)</f>
        <v/>
      </c>
      <c r="AA388" s="64">
        <f>IF('Smart Search'!D13=1,IFERROR(1/'Smart Search'!H13,0),0)</f>
        <v/>
      </c>
      <c r="AB388" s="64">
        <f>IF('Smart Search'!E13=1,IFERROR(1/'Smart Search'!H13,0),0)</f>
        <v/>
      </c>
      <c r="AC388" s="64">
        <f>IF('Smart Search'!E13=1,IFERROR(1/'Smart Search'!H13,0),0)</f>
        <v/>
      </c>
      <c r="AD388" s="64">
        <f>IF('Smart Search'!F13=1,IFERROR(1/'Smart Search'!H13,0),0)</f>
        <v/>
      </c>
      <c r="AE388" s="64">
        <f>IF('Smart Search'!F13=1,IFERROR(1/'Smart Search'!H13,0),0)</f>
        <v/>
      </c>
      <c r="AF388" s="64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4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4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4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4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4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4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4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4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4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4">
        <f>AF388*V388</f>
        <v/>
      </c>
      <c r="AQ388" s="64">
        <f>AG388*W388</f>
        <v/>
      </c>
      <c r="AR388" s="64">
        <f>AH388*X388</f>
        <v/>
      </c>
      <c r="AS388" s="64">
        <f>AI388*Y388</f>
        <v/>
      </c>
      <c r="AT388" s="64">
        <f>AJ388*Z388</f>
        <v/>
      </c>
      <c r="AU388" s="64">
        <f>AK388*AA388</f>
        <v/>
      </c>
      <c r="AV388" s="64">
        <f>AL388*AB388</f>
        <v/>
      </c>
      <c r="AW388" s="64">
        <f>AM388*AC388</f>
        <v/>
      </c>
      <c r="AX388" s="64">
        <f>AN388*AD388</f>
        <v/>
      </c>
      <c r="AY388" s="64">
        <f>AO388*AE388</f>
        <v/>
      </c>
      <c r="AZ388" s="64">
        <f>INDEX(Projects[Automation Equipment],387)&amp;""</f>
        <v/>
      </c>
      <c r="BA388" s="64">
        <f>IF(OR(A388="",'Smart Search'!H13=0),"",MAX(0,BE388*BF388*MAX(0,1-BG388)))</f>
        <v/>
      </c>
      <c r="BB388" s="64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4">
        <f>IF('Smart Search'!G13=1,IFERROR(1/'Smart Search'!H13,0),0)</f>
        <v/>
      </c>
      <c r="BD388" s="64">
        <f>BB388*BC388</f>
        <v/>
      </c>
      <c r="BE388" s="64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IF(A388="","",N(INDEX(Projects[Act Mech Inst],387)))</f>
        <v/>
      </c>
      <c r="BK388" s="5">
        <f>IF(A388="","",N(INDEX(Projects[Act Elec Inst],387)))</f>
        <v/>
      </c>
      <c r="BL388" s="5">
        <f>IF(A388="","",N(INDEX(Projects[Act Project Management],387)))</f>
        <v/>
      </c>
      <c r="BM388" s="5">
        <f>IF(A388="","",N(INDEX(Projects[Act Systems Eng],387)))</f>
        <v/>
      </c>
      <c r="BN388" s="5">
        <f>IF(A388="","",N(INDEX(Projects[Act Mechanical Eng],387)))</f>
        <v/>
      </c>
      <c r="BO388" s="5">
        <f>IF(A388="","",N(INDEX(Projects[Act Structural Engineering],387)))</f>
        <v/>
      </c>
      <c r="BP388" s="5">
        <f>IF(A388="","",N(INDEX(Projects[Act Site Sup],387)))</f>
        <v/>
      </c>
      <c r="BQ388" s="5">
        <f>IF(A388="","",N(INDEX(Projects[Act Controls Commissioning],387)))</f>
        <v/>
      </c>
      <c r="BR388" s="5">
        <f>IF(A388="","",N(INDEX(Projects[Act Systems Commissioning],387)))</f>
        <v/>
      </c>
      <c r="BS388" s="5">
        <f>IF(A388="","",N(INDEX(Projects[Act Service Commissioning],387)))</f>
        <v/>
      </c>
      <c r="BT388" s="5">
        <f>IF(A388="","",N(INDEX(Projects[Act Controls Eng],387)))</f>
        <v/>
      </c>
      <c r="BU388" s="5">
        <f>IF(A388="","",N(INDEX(Projects[Act Controls Purchase],387)))</f>
        <v/>
      </c>
      <c r="BV388" s="5">
        <f>IF(A388="","",N(INDEX(Projects[Act Software Eng],387)))</f>
        <v/>
      </c>
      <c r="BW388" s="5">
        <f>IF(A388="","",N(INDEX(Projects[Act 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INDEX(Projects[Sold Value (USD M)],387)</f>
        <v/>
      </c>
      <c r="CE388" s="5" t="n"/>
      <c r="CF388" s="5">
        <f>IF(A388="","",N(INDEX(Projects[Est Mech Inst],387)))</f>
        <v/>
      </c>
      <c r="CG388" s="5">
        <f>IF(A388="","",N(INDEX(Projects[Est Elec Inst],387)))</f>
        <v/>
      </c>
      <c r="CH388" s="5">
        <f>IF(A388="","",N(INDEX(Projects[Est Project Management],387)))</f>
        <v/>
      </c>
      <c r="CI388" s="5">
        <f>IF(A388="","",N(INDEX(Projects[Est Systems Eng],387)))</f>
        <v/>
      </c>
      <c r="CJ388" s="5">
        <f>IF(A388="","",N(INDEX(Projects[Est Mechanical Eng],387)))</f>
        <v/>
      </c>
      <c r="CK388" s="5">
        <f>IF(A388="","",N(INDEX(Projects[Est Structural Engineering],387)))</f>
        <v/>
      </c>
      <c r="CL388" s="5">
        <f>IF(A388="","",N(INDEX(Projects[Est Site Sup],387)))</f>
        <v/>
      </c>
      <c r="CM388" s="5">
        <f>IF(A388="","",N(INDEX(Projects[Est Controls Commissioning],387)))</f>
        <v/>
      </c>
      <c r="CN388" s="5">
        <f>IF(A388="","",N(INDEX(Projects[Est Systems Commissioning],387)))</f>
        <v/>
      </c>
      <c r="CO388" s="5">
        <f>IF(A388="","",N(INDEX(Projects[Est Service Commissioning],387)))</f>
        <v/>
      </c>
      <c r="CP388" s="5">
        <f>IF(A388="","",N(INDEX(Projects[Est Controls Eng],387)))</f>
        <v/>
      </c>
      <c r="CQ388" s="5">
        <f>IF(A388="","",N(INDEX(Projects[Est Controls Purchase],387)))</f>
        <v/>
      </c>
      <c r="CR388" s="5">
        <f>IF(A388="","",N(INDEX(Projects[Est Software Eng],387)))</f>
        <v/>
      </c>
      <c r="CS388" s="5">
        <f>IF(A388="","",N(INDEX(Projects[Est Misc],387)))</f>
        <v/>
      </c>
      <c r="CT388" s="5">
        <f>IF(A388="","",SUM(CF388:CS388))</f>
        <v/>
      </c>
      <c r="CU388" s="5">
        <f>INDEX(Projects[Est Cost (M)],387)</f>
        <v/>
      </c>
      <c r="CV388" s="5">
        <f>INDEX(Projects[Act Cost (M)],387)</f>
        <v/>
      </c>
      <c r="CW388" s="5">
        <f>INDEX(Projects[Plan Mech Eng (wks)],387)</f>
        <v/>
      </c>
      <c r="CX388" s="5">
        <f>INDEX(Projects[Plan Controls Eng (wks)],387)</f>
        <v/>
      </c>
      <c r="CY388" s="5">
        <f>INDEX(Projects[Plan Systems Eng (wks)],387)</f>
        <v/>
      </c>
      <c r="CZ388" s="5">
        <f>INDEX(Projects[Plan Software Eng (wks)],387)</f>
        <v/>
      </c>
      <c r="DA388" s="5">
        <f>INDEX(Projects[Plan M&amp;E Installation (wks)],387)</f>
        <v/>
      </c>
      <c r="DB388" s="5">
        <f>INDEX(Projects[Plan Commissioning (wks)],387)</f>
        <v/>
      </c>
      <c r="DC388" s="5">
        <f>INDEX(Projects[Plan Total (wks)],387)</f>
        <v/>
      </c>
      <c r="DD388" s="5">
        <f>INDEX(Projects[Act Mech Eng (wks)],387)</f>
        <v/>
      </c>
      <c r="DE388" s="5">
        <f>INDEX(Projects[Act Controls Eng (wks)],387)</f>
        <v/>
      </c>
      <c r="DF388" s="5">
        <f>INDEX(Projects[Act Systems Eng (wks)],387)</f>
        <v/>
      </c>
      <c r="DG388" s="5">
        <f>INDEX(Projects[Act Software Eng (wks)],387)</f>
        <v/>
      </c>
      <c r="DH388" s="5">
        <f>INDEX(Projects[Act M&amp;E Installation (wks)],387)</f>
        <v/>
      </c>
      <c r="DI388" s="5">
        <f>INDEX(Projects[Act Commissioning (wks)],387)</f>
        <v/>
      </c>
      <c r="DJ388" s="5">
        <f>INDEX(Projects[Act Total (wks)],387)</f>
        <v/>
      </c>
    </row>
    <row r="389" ht="15" customHeight="1" s="82">
      <c r="A389" s="64">
        <f>INDEX(Projects[Project ID *],388)&amp;""</f>
        <v/>
      </c>
      <c r="B389" s="64">
        <f>INDEX(Projects[Project Name *],388)&amp;""</f>
        <v/>
      </c>
      <c r="C389" s="64">
        <f>INDEX(Projects[MS Shuttles],388)</f>
        <v/>
      </c>
      <c r="D389" s="64">
        <f>INDEX(Projects[MS Tote Locations],388)</f>
        <v/>
      </c>
      <c r="E389" s="64">
        <f>INDEX(Projects[AS Robots],388)</f>
        <v/>
      </c>
      <c r="F389" s="64">
        <f>INDEX(Projects[AS Tote Locations],388)</f>
        <v/>
      </c>
      <c r="G389" s="64">
        <f>INDEX(Projects[PS Shuttles],388)</f>
        <v/>
      </c>
      <c r="H389" s="64">
        <f>INDEX(Projects[PS Pallet Locations],388)</f>
        <v/>
      </c>
      <c r="I389" s="64">
        <f>INDEX(Projects[SRM Cranes],388)</f>
        <v/>
      </c>
      <c r="J389" s="64">
        <f>INDEX(Projects[SRM Pallet Locations],388)</f>
        <v/>
      </c>
      <c r="K389" s="64">
        <f>INDEX(Projects[Case Conv (m)],388)</f>
        <v/>
      </c>
      <c r="L389" s="64">
        <f>INDEX(Projects[Pallet Conv (m)],388)</f>
        <v/>
      </c>
      <c r="M389" s="64">
        <f>IF(N(DJ389)&gt;0,DD389,CW389)</f>
        <v/>
      </c>
      <c r="N389" s="64">
        <f>IF(N(DJ389)&gt;0,DE389,CX389)</f>
        <v/>
      </c>
      <c r="O389" s="64">
        <f>IF(N(DJ389)&gt;0,DF389,CY389)</f>
        <v/>
      </c>
      <c r="P389" s="64">
        <f>IF(N(DJ389)&gt;0,DG389,CZ389)</f>
        <v/>
      </c>
      <c r="Q389" s="64">
        <f>IF(N(DJ389)&gt;0,DH389,DA389)</f>
        <v/>
      </c>
      <c r="R389" s="64">
        <f>IF(N(DJ389)&gt;0,DI389,DB389)</f>
        <v/>
      </c>
      <c r="S389" s="64">
        <f>IF(N(DJ389)&gt;0,DJ389,DC389)</f>
        <v/>
      </c>
      <c r="T389" s="64">
        <f>INDEX(Projects[Currency],388)&amp;""</f>
        <v/>
      </c>
      <c r="U389" s="65">
        <f>INDEX(Projects[Sold Value (M)],388)</f>
        <v/>
      </c>
      <c r="V389" s="64">
        <f>IF('Smart Search'!B13=1,IFERROR(1/'Smart Search'!H13,0),0)</f>
        <v/>
      </c>
      <c r="W389" s="64">
        <f>IF('Smart Search'!B13=1,IFERROR(1/'Smart Search'!H13,0),0)</f>
        <v/>
      </c>
      <c r="X389" s="64">
        <f>IF('Smart Search'!C13=1,IFERROR(1/'Smart Search'!H13,0),0)</f>
        <v/>
      </c>
      <c r="Y389" s="64">
        <f>IF('Smart Search'!C13=1,IFERROR(1/'Smart Search'!H13,0),0)</f>
        <v/>
      </c>
      <c r="Z389" s="64">
        <f>IF('Smart Search'!D13=1,IFERROR(1/'Smart Search'!H13,0),0)</f>
        <v/>
      </c>
      <c r="AA389" s="64">
        <f>IF('Smart Search'!D13=1,IFERROR(1/'Smart Search'!H13,0),0)</f>
        <v/>
      </c>
      <c r="AB389" s="64">
        <f>IF('Smart Search'!E13=1,IFERROR(1/'Smart Search'!H13,0),0)</f>
        <v/>
      </c>
      <c r="AC389" s="64">
        <f>IF('Smart Search'!E13=1,IFERROR(1/'Smart Search'!H13,0),0)</f>
        <v/>
      </c>
      <c r="AD389" s="64">
        <f>IF('Smart Search'!F13=1,IFERROR(1/'Smart Search'!H13,0),0)</f>
        <v/>
      </c>
      <c r="AE389" s="64">
        <f>IF('Smart Search'!F13=1,IFERROR(1/'Smart Search'!H13,0),0)</f>
        <v/>
      </c>
      <c r="AF389" s="64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4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4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4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4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4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4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4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4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4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4">
        <f>AF389*V389</f>
        <v/>
      </c>
      <c r="AQ389" s="64">
        <f>AG389*W389</f>
        <v/>
      </c>
      <c r="AR389" s="64">
        <f>AH389*X389</f>
        <v/>
      </c>
      <c r="AS389" s="64">
        <f>AI389*Y389</f>
        <v/>
      </c>
      <c r="AT389" s="64">
        <f>AJ389*Z389</f>
        <v/>
      </c>
      <c r="AU389" s="64">
        <f>AK389*AA389</f>
        <v/>
      </c>
      <c r="AV389" s="64">
        <f>AL389*AB389</f>
        <v/>
      </c>
      <c r="AW389" s="64">
        <f>AM389*AC389</f>
        <v/>
      </c>
      <c r="AX389" s="64">
        <f>AN389*AD389</f>
        <v/>
      </c>
      <c r="AY389" s="64">
        <f>AO389*AE389</f>
        <v/>
      </c>
      <c r="AZ389" s="64">
        <f>INDEX(Projects[Automation Equipment],388)&amp;""</f>
        <v/>
      </c>
      <c r="BA389" s="64">
        <f>IF(OR(A389="",'Smart Search'!H13=0),"",MAX(0,BE389*BF389*MAX(0,1-BG389)))</f>
        <v/>
      </c>
      <c r="BB389" s="64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4">
        <f>IF('Smart Search'!G13=1,IFERROR(1/'Smart Search'!H13,0),0)</f>
        <v/>
      </c>
      <c r="BD389" s="64">
        <f>BB389*BC389</f>
        <v/>
      </c>
      <c r="BE389" s="64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IF(A389="","",N(INDEX(Projects[Act Mech Inst],388)))</f>
        <v/>
      </c>
      <c r="BK389" s="5">
        <f>IF(A389="","",N(INDEX(Projects[Act Elec Inst],388)))</f>
        <v/>
      </c>
      <c r="BL389" s="5">
        <f>IF(A389="","",N(INDEX(Projects[Act Project Management],388)))</f>
        <v/>
      </c>
      <c r="BM389" s="5">
        <f>IF(A389="","",N(INDEX(Projects[Act Systems Eng],388)))</f>
        <v/>
      </c>
      <c r="BN389" s="5">
        <f>IF(A389="","",N(INDEX(Projects[Act Mechanical Eng],388)))</f>
        <v/>
      </c>
      <c r="BO389" s="5">
        <f>IF(A389="","",N(INDEX(Projects[Act Structural Engineering],388)))</f>
        <v/>
      </c>
      <c r="BP389" s="5">
        <f>IF(A389="","",N(INDEX(Projects[Act Site Sup],388)))</f>
        <v/>
      </c>
      <c r="BQ389" s="5">
        <f>IF(A389="","",N(INDEX(Projects[Act Controls Commissioning],388)))</f>
        <v/>
      </c>
      <c r="BR389" s="5">
        <f>IF(A389="","",N(INDEX(Projects[Act Systems Commissioning],388)))</f>
        <v/>
      </c>
      <c r="BS389" s="5">
        <f>IF(A389="","",N(INDEX(Projects[Act Service Commissioning],388)))</f>
        <v/>
      </c>
      <c r="BT389" s="5">
        <f>IF(A389="","",N(INDEX(Projects[Act Controls Eng],388)))</f>
        <v/>
      </c>
      <c r="BU389" s="5">
        <f>IF(A389="","",N(INDEX(Projects[Act Controls Purchase],388)))</f>
        <v/>
      </c>
      <c r="BV389" s="5">
        <f>IF(A389="","",N(INDEX(Projects[Act Software Eng],388)))</f>
        <v/>
      </c>
      <c r="BW389" s="5">
        <f>IF(A389="","",N(INDEX(Projects[Act 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INDEX(Projects[Sold Value (USD M)],388)</f>
        <v/>
      </c>
      <c r="CE389" s="5" t="n"/>
      <c r="CF389" s="5">
        <f>IF(A389="","",N(INDEX(Projects[Est Mech Inst],388)))</f>
        <v/>
      </c>
      <c r="CG389" s="5">
        <f>IF(A389="","",N(INDEX(Projects[Est Elec Inst],388)))</f>
        <v/>
      </c>
      <c r="CH389" s="5">
        <f>IF(A389="","",N(INDEX(Projects[Est Project Management],388)))</f>
        <v/>
      </c>
      <c r="CI389" s="5">
        <f>IF(A389="","",N(INDEX(Projects[Est Systems Eng],388)))</f>
        <v/>
      </c>
      <c r="CJ389" s="5">
        <f>IF(A389="","",N(INDEX(Projects[Est Mechanical Eng],388)))</f>
        <v/>
      </c>
      <c r="CK389" s="5">
        <f>IF(A389="","",N(INDEX(Projects[Est Structural Engineering],388)))</f>
        <v/>
      </c>
      <c r="CL389" s="5">
        <f>IF(A389="","",N(INDEX(Projects[Est Site Sup],388)))</f>
        <v/>
      </c>
      <c r="CM389" s="5">
        <f>IF(A389="","",N(INDEX(Projects[Est Controls Commissioning],388)))</f>
        <v/>
      </c>
      <c r="CN389" s="5">
        <f>IF(A389="","",N(INDEX(Projects[Est Systems Commissioning],388)))</f>
        <v/>
      </c>
      <c r="CO389" s="5">
        <f>IF(A389="","",N(INDEX(Projects[Est Service Commissioning],388)))</f>
        <v/>
      </c>
      <c r="CP389" s="5">
        <f>IF(A389="","",N(INDEX(Projects[Est Controls Eng],388)))</f>
        <v/>
      </c>
      <c r="CQ389" s="5">
        <f>IF(A389="","",N(INDEX(Projects[Est Controls Purchase],388)))</f>
        <v/>
      </c>
      <c r="CR389" s="5">
        <f>IF(A389="","",N(INDEX(Projects[Est Software Eng],388)))</f>
        <v/>
      </c>
      <c r="CS389" s="5">
        <f>IF(A389="","",N(INDEX(Projects[Est Misc],388)))</f>
        <v/>
      </c>
      <c r="CT389" s="5">
        <f>IF(A389="","",SUM(CF389:CS389))</f>
        <v/>
      </c>
      <c r="CU389" s="5">
        <f>INDEX(Projects[Est Cost (M)],388)</f>
        <v/>
      </c>
      <c r="CV389" s="5">
        <f>INDEX(Projects[Act Cost (M)],388)</f>
        <v/>
      </c>
      <c r="CW389" s="5">
        <f>INDEX(Projects[Plan Mech Eng (wks)],388)</f>
        <v/>
      </c>
      <c r="CX389" s="5">
        <f>INDEX(Projects[Plan Controls Eng (wks)],388)</f>
        <v/>
      </c>
      <c r="CY389" s="5">
        <f>INDEX(Projects[Plan Systems Eng (wks)],388)</f>
        <v/>
      </c>
      <c r="CZ389" s="5">
        <f>INDEX(Projects[Plan Software Eng (wks)],388)</f>
        <v/>
      </c>
      <c r="DA389" s="5">
        <f>INDEX(Projects[Plan M&amp;E Installation (wks)],388)</f>
        <v/>
      </c>
      <c r="DB389" s="5">
        <f>INDEX(Projects[Plan Commissioning (wks)],388)</f>
        <v/>
      </c>
      <c r="DC389" s="5">
        <f>INDEX(Projects[Plan Total (wks)],388)</f>
        <v/>
      </c>
      <c r="DD389" s="5">
        <f>INDEX(Projects[Act Mech Eng (wks)],388)</f>
        <v/>
      </c>
      <c r="DE389" s="5">
        <f>INDEX(Projects[Act Controls Eng (wks)],388)</f>
        <v/>
      </c>
      <c r="DF389" s="5">
        <f>INDEX(Projects[Act Systems Eng (wks)],388)</f>
        <v/>
      </c>
      <c r="DG389" s="5">
        <f>INDEX(Projects[Act Software Eng (wks)],388)</f>
        <v/>
      </c>
      <c r="DH389" s="5">
        <f>INDEX(Projects[Act M&amp;E Installation (wks)],388)</f>
        <v/>
      </c>
      <c r="DI389" s="5">
        <f>INDEX(Projects[Act Commissioning (wks)],388)</f>
        <v/>
      </c>
      <c r="DJ389" s="5">
        <f>INDEX(Projects[Act Total (wks)],388)</f>
        <v/>
      </c>
    </row>
    <row r="390" ht="15" customHeight="1" s="82">
      <c r="A390" s="64">
        <f>INDEX(Projects[Project ID *],389)&amp;""</f>
        <v/>
      </c>
      <c r="B390" s="64">
        <f>INDEX(Projects[Project Name *],389)&amp;""</f>
        <v/>
      </c>
      <c r="C390" s="64">
        <f>INDEX(Projects[MS Shuttles],389)</f>
        <v/>
      </c>
      <c r="D390" s="64">
        <f>INDEX(Projects[MS Tote Locations],389)</f>
        <v/>
      </c>
      <c r="E390" s="64">
        <f>INDEX(Projects[AS Robots],389)</f>
        <v/>
      </c>
      <c r="F390" s="64">
        <f>INDEX(Projects[AS Tote Locations],389)</f>
        <v/>
      </c>
      <c r="G390" s="64">
        <f>INDEX(Projects[PS Shuttles],389)</f>
        <v/>
      </c>
      <c r="H390" s="64">
        <f>INDEX(Projects[PS Pallet Locations],389)</f>
        <v/>
      </c>
      <c r="I390" s="64">
        <f>INDEX(Projects[SRM Cranes],389)</f>
        <v/>
      </c>
      <c r="J390" s="64">
        <f>INDEX(Projects[SRM Pallet Locations],389)</f>
        <v/>
      </c>
      <c r="K390" s="64">
        <f>INDEX(Projects[Case Conv (m)],389)</f>
        <v/>
      </c>
      <c r="L390" s="64">
        <f>INDEX(Projects[Pallet Conv (m)],389)</f>
        <v/>
      </c>
      <c r="M390" s="64">
        <f>IF(N(DJ390)&gt;0,DD390,CW390)</f>
        <v/>
      </c>
      <c r="N390" s="64">
        <f>IF(N(DJ390)&gt;0,DE390,CX390)</f>
        <v/>
      </c>
      <c r="O390" s="64">
        <f>IF(N(DJ390)&gt;0,DF390,CY390)</f>
        <v/>
      </c>
      <c r="P390" s="64">
        <f>IF(N(DJ390)&gt;0,DG390,CZ390)</f>
        <v/>
      </c>
      <c r="Q390" s="64">
        <f>IF(N(DJ390)&gt;0,DH390,DA390)</f>
        <v/>
      </c>
      <c r="R390" s="64">
        <f>IF(N(DJ390)&gt;0,DI390,DB390)</f>
        <v/>
      </c>
      <c r="S390" s="64">
        <f>IF(N(DJ390)&gt;0,DJ390,DC390)</f>
        <v/>
      </c>
      <c r="T390" s="64">
        <f>INDEX(Projects[Currency],389)&amp;""</f>
        <v/>
      </c>
      <c r="U390" s="65">
        <f>INDEX(Projects[Sold Value (M)],389)</f>
        <v/>
      </c>
      <c r="V390" s="64">
        <f>IF('Smart Search'!B13=1,IFERROR(1/'Smart Search'!H13,0),0)</f>
        <v/>
      </c>
      <c r="W390" s="64">
        <f>IF('Smart Search'!B13=1,IFERROR(1/'Smart Search'!H13,0),0)</f>
        <v/>
      </c>
      <c r="X390" s="64">
        <f>IF('Smart Search'!C13=1,IFERROR(1/'Smart Search'!H13,0),0)</f>
        <v/>
      </c>
      <c r="Y390" s="64">
        <f>IF('Smart Search'!C13=1,IFERROR(1/'Smart Search'!H13,0),0)</f>
        <v/>
      </c>
      <c r="Z390" s="64">
        <f>IF('Smart Search'!D13=1,IFERROR(1/'Smart Search'!H13,0),0)</f>
        <v/>
      </c>
      <c r="AA390" s="64">
        <f>IF('Smart Search'!D13=1,IFERROR(1/'Smart Search'!H13,0),0)</f>
        <v/>
      </c>
      <c r="AB390" s="64">
        <f>IF('Smart Search'!E13=1,IFERROR(1/'Smart Search'!H13,0),0)</f>
        <v/>
      </c>
      <c r="AC390" s="64">
        <f>IF('Smart Search'!E13=1,IFERROR(1/'Smart Search'!H13,0),0)</f>
        <v/>
      </c>
      <c r="AD390" s="64">
        <f>IF('Smart Search'!F13=1,IFERROR(1/'Smart Search'!H13,0),0)</f>
        <v/>
      </c>
      <c r="AE390" s="64">
        <f>IF('Smart Search'!F13=1,IFERROR(1/'Smart Search'!H13,0),0)</f>
        <v/>
      </c>
      <c r="AF390" s="64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4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4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4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4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4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4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4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4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4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4">
        <f>AF390*V390</f>
        <v/>
      </c>
      <c r="AQ390" s="64">
        <f>AG390*W390</f>
        <v/>
      </c>
      <c r="AR390" s="64">
        <f>AH390*X390</f>
        <v/>
      </c>
      <c r="AS390" s="64">
        <f>AI390*Y390</f>
        <v/>
      </c>
      <c r="AT390" s="64">
        <f>AJ390*Z390</f>
        <v/>
      </c>
      <c r="AU390" s="64">
        <f>AK390*AA390</f>
        <v/>
      </c>
      <c r="AV390" s="64">
        <f>AL390*AB390</f>
        <v/>
      </c>
      <c r="AW390" s="64">
        <f>AM390*AC390</f>
        <v/>
      </c>
      <c r="AX390" s="64">
        <f>AN390*AD390</f>
        <v/>
      </c>
      <c r="AY390" s="64">
        <f>AO390*AE390</f>
        <v/>
      </c>
      <c r="AZ390" s="64">
        <f>INDEX(Projects[Automation Equipment],389)&amp;""</f>
        <v/>
      </c>
      <c r="BA390" s="64">
        <f>IF(OR(A390="",'Smart Search'!H13=0),"",MAX(0,BE390*BF390*MAX(0,1-BG390)))</f>
        <v/>
      </c>
      <c r="BB390" s="64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4">
        <f>IF('Smart Search'!G13=1,IFERROR(1/'Smart Search'!H13,0),0)</f>
        <v/>
      </c>
      <c r="BD390" s="64">
        <f>BB390*BC390</f>
        <v/>
      </c>
      <c r="BE390" s="64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IF(A390="","",N(INDEX(Projects[Act Mech Inst],389)))</f>
        <v/>
      </c>
      <c r="BK390" s="5">
        <f>IF(A390="","",N(INDEX(Projects[Act Elec Inst],389)))</f>
        <v/>
      </c>
      <c r="BL390" s="5">
        <f>IF(A390="","",N(INDEX(Projects[Act Project Management],389)))</f>
        <v/>
      </c>
      <c r="BM390" s="5">
        <f>IF(A390="","",N(INDEX(Projects[Act Systems Eng],389)))</f>
        <v/>
      </c>
      <c r="BN390" s="5">
        <f>IF(A390="","",N(INDEX(Projects[Act Mechanical Eng],389)))</f>
        <v/>
      </c>
      <c r="BO390" s="5">
        <f>IF(A390="","",N(INDEX(Projects[Act Structural Engineering],389)))</f>
        <v/>
      </c>
      <c r="BP390" s="5">
        <f>IF(A390="","",N(INDEX(Projects[Act Site Sup],389)))</f>
        <v/>
      </c>
      <c r="BQ390" s="5">
        <f>IF(A390="","",N(INDEX(Projects[Act Controls Commissioning],389)))</f>
        <v/>
      </c>
      <c r="BR390" s="5">
        <f>IF(A390="","",N(INDEX(Projects[Act Systems Commissioning],389)))</f>
        <v/>
      </c>
      <c r="BS390" s="5">
        <f>IF(A390="","",N(INDEX(Projects[Act Service Commissioning],389)))</f>
        <v/>
      </c>
      <c r="BT390" s="5">
        <f>IF(A390="","",N(INDEX(Projects[Act Controls Eng],389)))</f>
        <v/>
      </c>
      <c r="BU390" s="5">
        <f>IF(A390="","",N(INDEX(Projects[Act Controls Purchase],389)))</f>
        <v/>
      </c>
      <c r="BV390" s="5">
        <f>IF(A390="","",N(INDEX(Projects[Act Software Eng],389)))</f>
        <v/>
      </c>
      <c r="BW390" s="5">
        <f>IF(A390="","",N(INDEX(Projects[Act 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INDEX(Projects[Sold Value (USD M)],389)</f>
        <v/>
      </c>
      <c r="CE390" s="5" t="n"/>
      <c r="CF390" s="5">
        <f>IF(A390="","",N(INDEX(Projects[Est Mech Inst],389)))</f>
        <v/>
      </c>
      <c r="CG390" s="5">
        <f>IF(A390="","",N(INDEX(Projects[Est Elec Inst],389)))</f>
        <v/>
      </c>
      <c r="CH390" s="5">
        <f>IF(A390="","",N(INDEX(Projects[Est Project Management],389)))</f>
        <v/>
      </c>
      <c r="CI390" s="5">
        <f>IF(A390="","",N(INDEX(Projects[Est Systems Eng],389)))</f>
        <v/>
      </c>
      <c r="CJ390" s="5">
        <f>IF(A390="","",N(INDEX(Projects[Est Mechanical Eng],389)))</f>
        <v/>
      </c>
      <c r="CK390" s="5">
        <f>IF(A390="","",N(INDEX(Projects[Est Structural Engineering],389)))</f>
        <v/>
      </c>
      <c r="CL390" s="5">
        <f>IF(A390="","",N(INDEX(Projects[Est Site Sup],389)))</f>
        <v/>
      </c>
      <c r="CM390" s="5">
        <f>IF(A390="","",N(INDEX(Projects[Est Controls Commissioning],389)))</f>
        <v/>
      </c>
      <c r="CN390" s="5">
        <f>IF(A390="","",N(INDEX(Projects[Est Systems Commissioning],389)))</f>
        <v/>
      </c>
      <c r="CO390" s="5">
        <f>IF(A390="","",N(INDEX(Projects[Est Service Commissioning],389)))</f>
        <v/>
      </c>
      <c r="CP390" s="5">
        <f>IF(A390="","",N(INDEX(Projects[Est Controls Eng],389)))</f>
        <v/>
      </c>
      <c r="CQ390" s="5">
        <f>IF(A390="","",N(INDEX(Projects[Est Controls Purchase],389)))</f>
        <v/>
      </c>
      <c r="CR390" s="5">
        <f>IF(A390="","",N(INDEX(Projects[Est Software Eng],389)))</f>
        <v/>
      </c>
      <c r="CS390" s="5">
        <f>IF(A390="","",N(INDEX(Projects[Est Misc],389)))</f>
        <v/>
      </c>
      <c r="CT390" s="5">
        <f>IF(A390="","",SUM(CF390:CS390))</f>
        <v/>
      </c>
      <c r="CU390" s="5">
        <f>INDEX(Projects[Est Cost (M)],389)</f>
        <v/>
      </c>
      <c r="CV390" s="5">
        <f>INDEX(Projects[Act Cost (M)],389)</f>
        <v/>
      </c>
      <c r="CW390" s="5">
        <f>INDEX(Projects[Plan Mech Eng (wks)],389)</f>
        <v/>
      </c>
      <c r="CX390" s="5">
        <f>INDEX(Projects[Plan Controls Eng (wks)],389)</f>
        <v/>
      </c>
      <c r="CY390" s="5">
        <f>INDEX(Projects[Plan Systems Eng (wks)],389)</f>
        <v/>
      </c>
      <c r="CZ390" s="5">
        <f>INDEX(Projects[Plan Software Eng (wks)],389)</f>
        <v/>
      </c>
      <c r="DA390" s="5">
        <f>INDEX(Projects[Plan M&amp;E Installation (wks)],389)</f>
        <v/>
      </c>
      <c r="DB390" s="5">
        <f>INDEX(Projects[Plan Commissioning (wks)],389)</f>
        <v/>
      </c>
      <c r="DC390" s="5">
        <f>INDEX(Projects[Plan Total (wks)],389)</f>
        <v/>
      </c>
      <c r="DD390" s="5">
        <f>INDEX(Projects[Act Mech Eng (wks)],389)</f>
        <v/>
      </c>
      <c r="DE390" s="5">
        <f>INDEX(Projects[Act Controls Eng (wks)],389)</f>
        <v/>
      </c>
      <c r="DF390" s="5">
        <f>INDEX(Projects[Act Systems Eng (wks)],389)</f>
        <v/>
      </c>
      <c r="DG390" s="5">
        <f>INDEX(Projects[Act Software Eng (wks)],389)</f>
        <v/>
      </c>
      <c r="DH390" s="5">
        <f>INDEX(Projects[Act M&amp;E Installation (wks)],389)</f>
        <v/>
      </c>
      <c r="DI390" s="5">
        <f>INDEX(Projects[Act Commissioning (wks)],389)</f>
        <v/>
      </c>
      <c r="DJ390" s="5">
        <f>INDEX(Projects[Act Total (wks)],389)</f>
        <v/>
      </c>
    </row>
    <row r="391" ht="15" customHeight="1" s="82">
      <c r="A391" s="64">
        <f>INDEX(Projects[Project ID *],390)&amp;""</f>
        <v/>
      </c>
      <c r="B391" s="64">
        <f>INDEX(Projects[Project Name *],390)&amp;""</f>
        <v/>
      </c>
      <c r="C391" s="64">
        <f>INDEX(Projects[MS Shuttles],390)</f>
        <v/>
      </c>
      <c r="D391" s="64">
        <f>INDEX(Projects[MS Tote Locations],390)</f>
        <v/>
      </c>
      <c r="E391" s="64">
        <f>INDEX(Projects[AS Robots],390)</f>
        <v/>
      </c>
      <c r="F391" s="64">
        <f>INDEX(Projects[AS Tote Locations],390)</f>
        <v/>
      </c>
      <c r="G391" s="64">
        <f>INDEX(Projects[PS Shuttles],390)</f>
        <v/>
      </c>
      <c r="H391" s="64">
        <f>INDEX(Projects[PS Pallet Locations],390)</f>
        <v/>
      </c>
      <c r="I391" s="64">
        <f>INDEX(Projects[SRM Cranes],390)</f>
        <v/>
      </c>
      <c r="J391" s="64">
        <f>INDEX(Projects[SRM Pallet Locations],390)</f>
        <v/>
      </c>
      <c r="K391" s="64">
        <f>INDEX(Projects[Case Conv (m)],390)</f>
        <v/>
      </c>
      <c r="L391" s="64">
        <f>INDEX(Projects[Pallet Conv (m)],390)</f>
        <v/>
      </c>
      <c r="M391" s="64">
        <f>IF(N(DJ391)&gt;0,DD391,CW391)</f>
        <v/>
      </c>
      <c r="N391" s="64">
        <f>IF(N(DJ391)&gt;0,DE391,CX391)</f>
        <v/>
      </c>
      <c r="O391" s="64">
        <f>IF(N(DJ391)&gt;0,DF391,CY391)</f>
        <v/>
      </c>
      <c r="P391" s="64">
        <f>IF(N(DJ391)&gt;0,DG391,CZ391)</f>
        <v/>
      </c>
      <c r="Q391" s="64">
        <f>IF(N(DJ391)&gt;0,DH391,DA391)</f>
        <v/>
      </c>
      <c r="R391" s="64">
        <f>IF(N(DJ391)&gt;0,DI391,DB391)</f>
        <v/>
      </c>
      <c r="S391" s="64">
        <f>IF(N(DJ391)&gt;0,DJ391,DC391)</f>
        <v/>
      </c>
      <c r="T391" s="64">
        <f>INDEX(Projects[Currency],390)&amp;""</f>
        <v/>
      </c>
      <c r="U391" s="65">
        <f>INDEX(Projects[Sold Value (M)],390)</f>
        <v/>
      </c>
      <c r="V391" s="64">
        <f>IF('Smart Search'!B13=1,IFERROR(1/'Smart Search'!H13,0),0)</f>
        <v/>
      </c>
      <c r="W391" s="64">
        <f>IF('Smart Search'!B13=1,IFERROR(1/'Smart Search'!H13,0),0)</f>
        <v/>
      </c>
      <c r="X391" s="64">
        <f>IF('Smart Search'!C13=1,IFERROR(1/'Smart Search'!H13,0),0)</f>
        <v/>
      </c>
      <c r="Y391" s="64">
        <f>IF('Smart Search'!C13=1,IFERROR(1/'Smart Search'!H13,0),0)</f>
        <v/>
      </c>
      <c r="Z391" s="64">
        <f>IF('Smart Search'!D13=1,IFERROR(1/'Smart Search'!H13,0),0)</f>
        <v/>
      </c>
      <c r="AA391" s="64">
        <f>IF('Smart Search'!D13=1,IFERROR(1/'Smart Search'!H13,0),0)</f>
        <v/>
      </c>
      <c r="AB391" s="64">
        <f>IF('Smart Search'!E13=1,IFERROR(1/'Smart Search'!H13,0),0)</f>
        <v/>
      </c>
      <c r="AC391" s="64">
        <f>IF('Smart Search'!E13=1,IFERROR(1/'Smart Search'!H13,0),0)</f>
        <v/>
      </c>
      <c r="AD391" s="64">
        <f>IF('Smart Search'!F13=1,IFERROR(1/'Smart Search'!H13,0),0)</f>
        <v/>
      </c>
      <c r="AE391" s="64">
        <f>IF('Smart Search'!F13=1,IFERROR(1/'Smart Search'!H13,0),0)</f>
        <v/>
      </c>
      <c r="AF391" s="64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4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4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4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4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4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4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4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4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4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4">
        <f>AF391*V391</f>
        <v/>
      </c>
      <c r="AQ391" s="64">
        <f>AG391*W391</f>
        <v/>
      </c>
      <c r="AR391" s="64">
        <f>AH391*X391</f>
        <v/>
      </c>
      <c r="AS391" s="64">
        <f>AI391*Y391</f>
        <v/>
      </c>
      <c r="AT391" s="64">
        <f>AJ391*Z391</f>
        <v/>
      </c>
      <c r="AU391" s="64">
        <f>AK391*AA391</f>
        <v/>
      </c>
      <c r="AV391" s="64">
        <f>AL391*AB391</f>
        <v/>
      </c>
      <c r="AW391" s="64">
        <f>AM391*AC391</f>
        <v/>
      </c>
      <c r="AX391" s="64">
        <f>AN391*AD391</f>
        <v/>
      </c>
      <c r="AY391" s="64">
        <f>AO391*AE391</f>
        <v/>
      </c>
      <c r="AZ391" s="64">
        <f>INDEX(Projects[Automation Equipment],390)&amp;""</f>
        <v/>
      </c>
      <c r="BA391" s="64">
        <f>IF(OR(A391="",'Smart Search'!H13=0),"",MAX(0,BE391*BF391*MAX(0,1-BG391)))</f>
        <v/>
      </c>
      <c r="BB391" s="64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4">
        <f>IF('Smart Search'!G13=1,IFERROR(1/'Smart Search'!H13,0),0)</f>
        <v/>
      </c>
      <c r="BD391" s="64">
        <f>BB391*BC391</f>
        <v/>
      </c>
      <c r="BE391" s="64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IF(A391="","",N(INDEX(Projects[Act Mech Inst],390)))</f>
        <v/>
      </c>
      <c r="BK391" s="5">
        <f>IF(A391="","",N(INDEX(Projects[Act Elec Inst],390)))</f>
        <v/>
      </c>
      <c r="BL391" s="5">
        <f>IF(A391="","",N(INDEX(Projects[Act Project Management],390)))</f>
        <v/>
      </c>
      <c r="BM391" s="5">
        <f>IF(A391="","",N(INDEX(Projects[Act Systems Eng],390)))</f>
        <v/>
      </c>
      <c r="BN391" s="5">
        <f>IF(A391="","",N(INDEX(Projects[Act Mechanical Eng],390)))</f>
        <v/>
      </c>
      <c r="BO391" s="5">
        <f>IF(A391="","",N(INDEX(Projects[Act Structural Engineering],390)))</f>
        <v/>
      </c>
      <c r="BP391" s="5">
        <f>IF(A391="","",N(INDEX(Projects[Act Site Sup],390)))</f>
        <v/>
      </c>
      <c r="BQ391" s="5">
        <f>IF(A391="","",N(INDEX(Projects[Act Controls Commissioning],390)))</f>
        <v/>
      </c>
      <c r="BR391" s="5">
        <f>IF(A391="","",N(INDEX(Projects[Act Systems Commissioning],390)))</f>
        <v/>
      </c>
      <c r="BS391" s="5">
        <f>IF(A391="","",N(INDEX(Projects[Act Service Commissioning],390)))</f>
        <v/>
      </c>
      <c r="BT391" s="5">
        <f>IF(A391="","",N(INDEX(Projects[Act Controls Eng],390)))</f>
        <v/>
      </c>
      <c r="BU391" s="5">
        <f>IF(A391="","",N(INDEX(Projects[Act Controls Purchase],390)))</f>
        <v/>
      </c>
      <c r="BV391" s="5">
        <f>IF(A391="","",N(INDEX(Projects[Act Software Eng],390)))</f>
        <v/>
      </c>
      <c r="BW391" s="5">
        <f>IF(A391="","",N(INDEX(Projects[Act 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INDEX(Projects[Sold Value (USD M)],390)</f>
        <v/>
      </c>
      <c r="CE391" s="5" t="n"/>
      <c r="CF391" s="5">
        <f>IF(A391="","",N(INDEX(Projects[Est Mech Inst],390)))</f>
        <v/>
      </c>
      <c r="CG391" s="5">
        <f>IF(A391="","",N(INDEX(Projects[Est Elec Inst],390)))</f>
        <v/>
      </c>
      <c r="CH391" s="5">
        <f>IF(A391="","",N(INDEX(Projects[Est Project Management],390)))</f>
        <v/>
      </c>
      <c r="CI391" s="5">
        <f>IF(A391="","",N(INDEX(Projects[Est Systems Eng],390)))</f>
        <v/>
      </c>
      <c r="CJ391" s="5">
        <f>IF(A391="","",N(INDEX(Projects[Est Mechanical Eng],390)))</f>
        <v/>
      </c>
      <c r="CK391" s="5">
        <f>IF(A391="","",N(INDEX(Projects[Est Structural Engineering],390)))</f>
        <v/>
      </c>
      <c r="CL391" s="5">
        <f>IF(A391="","",N(INDEX(Projects[Est Site Sup],390)))</f>
        <v/>
      </c>
      <c r="CM391" s="5">
        <f>IF(A391="","",N(INDEX(Projects[Est Controls Commissioning],390)))</f>
        <v/>
      </c>
      <c r="CN391" s="5">
        <f>IF(A391="","",N(INDEX(Projects[Est Systems Commissioning],390)))</f>
        <v/>
      </c>
      <c r="CO391" s="5">
        <f>IF(A391="","",N(INDEX(Projects[Est Service Commissioning],390)))</f>
        <v/>
      </c>
      <c r="CP391" s="5">
        <f>IF(A391="","",N(INDEX(Projects[Est Controls Eng],390)))</f>
        <v/>
      </c>
      <c r="CQ391" s="5">
        <f>IF(A391="","",N(INDEX(Projects[Est Controls Purchase],390)))</f>
        <v/>
      </c>
      <c r="CR391" s="5">
        <f>IF(A391="","",N(INDEX(Projects[Est Software Eng],390)))</f>
        <v/>
      </c>
      <c r="CS391" s="5">
        <f>IF(A391="","",N(INDEX(Projects[Est Misc],390)))</f>
        <v/>
      </c>
      <c r="CT391" s="5">
        <f>IF(A391="","",SUM(CF391:CS391))</f>
        <v/>
      </c>
      <c r="CU391" s="5">
        <f>INDEX(Projects[Est Cost (M)],390)</f>
        <v/>
      </c>
      <c r="CV391" s="5">
        <f>INDEX(Projects[Act Cost (M)],390)</f>
        <v/>
      </c>
      <c r="CW391" s="5">
        <f>INDEX(Projects[Plan Mech Eng (wks)],390)</f>
        <v/>
      </c>
      <c r="CX391" s="5">
        <f>INDEX(Projects[Plan Controls Eng (wks)],390)</f>
        <v/>
      </c>
      <c r="CY391" s="5">
        <f>INDEX(Projects[Plan Systems Eng (wks)],390)</f>
        <v/>
      </c>
      <c r="CZ391" s="5">
        <f>INDEX(Projects[Plan Software Eng (wks)],390)</f>
        <v/>
      </c>
      <c r="DA391" s="5">
        <f>INDEX(Projects[Plan M&amp;E Installation (wks)],390)</f>
        <v/>
      </c>
      <c r="DB391" s="5">
        <f>INDEX(Projects[Plan Commissioning (wks)],390)</f>
        <v/>
      </c>
      <c r="DC391" s="5">
        <f>INDEX(Projects[Plan Total (wks)],390)</f>
        <v/>
      </c>
      <c r="DD391" s="5">
        <f>INDEX(Projects[Act Mech Eng (wks)],390)</f>
        <v/>
      </c>
      <c r="DE391" s="5">
        <f>INDEX(Projects[Act Controls Eng (wks)],390)</f>
        <v/>
      </c>
      <c r="DF391" s="5">
        <f>INDEX(Projects[Act Systems Eng (wks)],390)</f>
        <v/>
      </c>
      <c r="DG391" s="5">
        <f>INDEX(Projects[Act Software Eng (wks)],390)</f>
        <v/>
      </c>
      <c r="DH391" s="5">
        <f>INDEX(Projects[Act M&amp;E Installation (wks)],390)</f>
        <v/>
      </c>
      <c r="DI391" s="5">
        <f>INDEX(Projects[Act Commissioning (wks)],390)</f>
        <v/>
      </c>
      <c r="DJ391" s="5">
        <f>INDEX(Projects[Act Total (wks)],390)</f>
        <v/>
      </c>
    </row>
    <row r="392" ht="15" customHeight="1" s="82">
      <c r="A392" s="64">
        <f>INDEX(Projects[Project ID *],391)&amp;""</f>
        <v/>
      </c>
      <c r="B392" s="64">
        <f>INDEX(Projects[Project Name *],391)&amp;""</f>
        <v/>
      </c>
      <c r="C392" s="64">
        <f>INDEX(Projects[MS Shuttles],391)</f>
        <v/>
      </c>
      <c r="D392" s="64">
        <f>INDEX(Projects[MS Tote Locations],391)</f>
        <v/>
      </c>
      <c r="E392" s="64">
        <f>INDEX(Projects[AS Robots],391)</f>
        <v/>
      </c>
      <c r="F392" s="64">
        <f>INDEX(Projects[AS Tote Locations],391)</f>
        <v/>
      </c>
      <c r="G392" s="64">
        <f>INDEX(Projects[PS Shuttles],391)</f>
        <v/>
      </c>
      <c r="H392" s="64">
        <f>INDEX(Projects[PS Pallet Locations],391)</f>
        <v/>
      </c>
      <c r="I392" s="64">
        <f>INDEX(Projects[SRM Cranes],391)</f>
        <v/>
      </c>
      <c r="J392" s="64">
        <f>INDEX(Projects[SRM Pallet Locations],391)</f>
        <v/>
      </c>
      <c r="K392" s="64">
        <f>INDEX(Projects[Case Conv (m)],391)</f>
        <v/>
      </c>
      <c r="L392" s="64">
        <f>INDEX(Projects[Pallet Conv (m)],391)</f>
        <v/>
      </c>
      <c r="M392" s="64">
        <f>IF(N(DJ392)&gt;0,DD392,CW392)</f>
        <v/>
      </c>
      <c r="N392" s="64">
        <f>IF(N(DJ392)&gt;0,DE392,CX392)</f>
        <v/>
      </c>
      <c r="O392" s="64">
        <f>IF(N(DJ392)&gt;0,DF392,CY392)</f>
        <v/>
      </c>
      <c r="P392" s="64">
        <f>IF(N(DJ392)&gt;0,DG392,CZ392)</f>
        <v/>
      </c>
      <c r="Q392" s="64">
        <f>IF(N(DJ392)&gt;0,DH392,DA392)</f>
        <v/>
      </c>
      <c r="R392" s="64">
        <f>IF(N(DJ392)&gt;0,DI392,DB392)</f>
        <v/>
      </c>
      <c r="S392" s="64">
        <f>IF(N(DJ392)&gt;0,DJ392,DC392)</f>
        <v/>
      </c>
      <c r="T392" s="64">
        <f>INDEX(Projects[Currency],391)&amp;""</f>
        <v/>
      </c>
      <c r="U392" s="65">
        <f>INDEX(Projects[Sold Value (M)],391)</f>
        <v/>
      </c>
      <c r="V392" s="64">
        <f>IF('Smart Search'!B13=1,IFERROR(1/'Smart Search'!H13,0),0)</f>
        <v/>
      </c>
      <c r="W392" s="64">
        <f>IF('Smart Search'!B13=1,IFERROR(1/'Smart Search'!H13,0),0)</f>
        <v/>
      </c>
      <c r="X392" s="64">
        <f>IF('Smart Search'!C13=1,IFERROR(1/'Smart Search'!H13,0),0)</f>
        <v/>
      </c>
      <c r="Y392" s="64">
        <f>IF('Smart Search'!C13=1,IFERROR(1/'Smart Search'!H13,0),0)</f>
        <v/>
      </c>
      <c r="Z392" s="64">
        <f>IF('Smart Search'!D13=1,IFERROR(1/'Smart Search'!H13,0),0)</f>
        <v/>
      </c>
      <c r="AA392" s="64">
        <f>IF('Smart Search'!D13=1,IFERROR(1/'Smart Search'!H13,0),0)</f>
        <v/>
      </c>
      <c r="AB392" s="64">
        <f>IF('Smart Search'!E13=1,IFERROR(1/'Smart Search'!H13,0),0)</f>
        <v/>
      </c>
      <c r="AC392" s="64">
        <f>IF('Smart Search'!E13=1,IFERROR(1/'Smart Search'!H13,0),0)</f>
        <v/>
      </c>
      <c r="AD392" s="64">
        <f>IF('Smart Search'!F13=1,IFERROR(1/'Smart Search'!H13,0),0)</f>
        <v/>
      </c>
      <c r="AE392" s="64">
        <f>IF('Smart Search'!F13=1,IFERROR(1/'Smart Search'!H13,0),0)</f>
        <v/>
      </c>
      <c r="AF392" s="64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4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4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4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4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4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4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4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4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4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4">
        <f>AF392*V392</f>
        <v/>
      </c>
      <c r="AQ392" s="64">
        <f>AG392*W392</f>
        <v/>
      </c>
      <c r="AR392" s="64">
        <f>AH392*X392</f>
        <v/>
      </c>
      <c r="AS392" s="64">
        <f>AI392*Y392</f>
        <v/>
      </c>
      <c r="AT392" s="64">
        <f>AJ392*Z392</f>
        <v/>
      </c>
      <c r="AU392" s="64">
        <f>AK392*AA392</f>
        <v/>
      </c>
      <c r="AV392" s="64">
        <f>AL392*AB392</f>
        <v/>
      </c>
      <c r="AW392" s="64">
        <f>AM392*AC392</f>
        <v/>
      </c>
      <c r="AX392" s="64">
        <f>AN392*AD392</f>
        <v/>
      </c>
      <c r="AY392" s="64">
        <f>AO392*AE392</f>
        <v/>
      </c>
      <c r="AZ392" s="64">
        <f>INDEX(Projects[Automation Equipment],391)&amp;""</f>
        <v/>
      </c>
      <c r="BA392" s="64">
        <f>IF(OR(A392="",'Smart Search'!H13=0),"",MAX(0,BE392*BF392*MAX(0,1-BG392)))</f>
        <v/>
      </c>
      <c r="BB392" s="64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4">
        <f>IF('Smart Search'!G13=1,IFERROR(1/'Smart Search'!H13,0),0)</f>
        <v/>
      </c>
      <c r="BD392" s="64">
        <f>BB392*BC392</f>
        <v/>
      </c>
      <c r="BE392" s="64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IF(A392="","",N(INDEX(Projects[Act Mech Inst],391)))</f>
        <v/>
      </c>
      <c r="BK392" s="5">
        <f>IF(A392="","",N(INDEX(Projects[Act Elec Inst],391)))</f>
        <v/>
      </c>
      <c r="BL392" s="5">
        <f>IF(A392="","",N(INDEX(Projects[Act Project Management],391)))</f>
        <v/>
      </c>
      <c r="BM392" s="5">
        <f>IF(A392="","",N(INDEX(Projects[Act Systems Eng],391)))</f>
        <v/>
      </c>
      <c r="BN392" s="5">
        <f>IF(A392="","",N(INDEX(Projects[Act Mechanical Eng],391)))</f>
        <v/>
      </c>
      <c r="BO392" s="5">
        <f>IF(A392="","",N(INDEX(Projects[Act Structural Engineering],391)))</f>
        <v/>
      </c>
      <c r="BP392" s="5">
        <f>IF(A392="","",N(INDEX(Projects[Act Site Sup],391)))</f>
        <v/>
      </c>
      <c r="BQ392" s="5">
        <f>IF(A392="","",N(INDEX(Projects[Act Controls Commissioning],391)))</f>
        <v/>
      </c>
      <c r="BR392" s="5">
        <f>IF(A392="","",N(INDEX(Projects[Act Systems Commissioning],391)))</f>
        <v/>
      </c>
      <c r="BS392" s="5">
        <f>IF(A392="","",N(INDEX(Projects[Act Service Commissioning],391)))</f>
        <v/>
      </c>
      <c r="BT392" s="5">
        <f>IF(A392="","",N(INDEX(Projects[Act Controls Eng],391)))</f>
        <v/>
      </c>
      <c r="BU392" s="5">
        <f>IF(A392="","",N(INDEX(Projects[Act Controls Purchase],391)))</f>
        <v/>
      </c>
      <c r="BV392" s="5">
        <f>IF(A392="","",N(INDEX(Projects[Act Software Eng],391)))</f>
        <v/>
      </c>
      <c r="BW392" s="5">
        <f>IF(A392="","",N(INDEX(Projects[Act 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INDEX(Projects[Sold Value (USD M)],391)</f>
        <v/>
      </c>
      <c r="CE392" s="5" t="n"/>
      <c r="CF392" s="5">
        <f>IF(A392="","",N(INDEX(Projects[Est Mech Inst],391)))</f>
        <v/>
      </c>
      <c r="CG392" s="5">
        <f>IF(A392="","",N(INDEX(Projects[Est Elec Inst],391)))</f>
        <v/>
      </c>
      <c r="CH392" s="5">
        <f>IF(A392="","",N(INDEX(Projects[Est Project Management],391)))</f>
        <v/>
      </c>
      <c r="CI392" s="5">
        <f>IF(A392="","",N(INDEX(Projects[Est Systems Eng],391)))</f>
        <v/>
      </c>
      <c r="CJ392" s="5">
        <f>IF(A392="","",N(INDEX(Projects[Est Mechanical Eng],391)))</f>
        <v/>
      </c>
      <c r="CK392" s="5">
        <f>IF(A392="","",N(INDEX(Projects[Est Structural Engineering],391)))</f>
        <v/>
      </c>
      <c r="CL392" s="5">
        <f>IF(A392="","",N(INDEX(Projects[Est Site Sup],391)))</f>
        <v/>
      </c>
      <c r="CM392" s="5">
        <f>IF(A392="","",N(INDEX(Projects[Est Controls Commissioning],391)))</f>
        <v/>
      </c>
      <c r="CN392" s="5">
        <f>IF(A392="","",N(INDEX(Projects[Est Systems Commissioning],391)))</f>
        <v/>
      </c>
      <c r="CO392" s="5">
        <f>IF(A392="","",N(INDEX(Projects[Est Service Commissioning],391)))</f>
        <v/>
      </c>
      <c r="CP392" s="5">
        <f>IF(A392="","",N(INDEX(Projects[Est Controls Eng],391)))</f>
        <v/>
      </c>
      <c r="CQ392" s="5">
        <f>IF(A392="","",N(INDEX(Projects[Est Controls Purchase],391)))</f>
        <v/>
      </c>
      <c r="CR392" s="5">
        <f>IF(A392="","",N(INDEX(Projects[Est Software Eng],391)))</f>
        <v/>
      </c>
      <c r="CS392" s="5">
        <f>IF(A392="","",N(INDEX(Projects[Est Misc],391)))</f>
        <v/>
      </c>
      <c r="CT392" s="5">
        <f>IF(A392="","",SUM(CF392:CS392))</f>
        <v/>
      </c>
      <c r="CU392" s="5">
        <f>INDEX(Projects[Est Cost (M)],391)</f>
        <v/>
      </c>
      <c r="CV392" s="5">
        <f>INDEX(Projects[Act Cost (M)],391)</f>
        <v/>
      </c>
      <c r="CW392" s="5">
        <f>INDEX(Projects[Plan Mech Eng (wks)],391)</f>
        <v/>
      </c>
      <c r="CX392" s="5">
        <f>INDEX(Projects[Plan Controls Eng (wks)],391)</f>
        <v/>
      </c>
      <c r="CY392" s="5">
        <f>INDEX(Projects[Plan Systems Eng (wks)],391)</f>
        <v/>
      </c>
      <c r="CZ392" s="5">
        <f>INDEX(Projects[Plan Software Eng (wks)],391)</f>
        <v/>
      </c>
      <c r="DA392" s="5">
        <f>INDEX(Projects[Plan M&amp;E Installation (wks)],391)</f>
        <v/>
      </c>
      <c r="DB392" s="5">
        <f>INDEX(Projects[Plan Commissioning (wks)],391)</f>
        <v/>
      </c>
      <c r="DC392" s="5">
        <f>INDEX(Projects[Plan Total (wks)],391)</f>
        <v/>
      </c>
      <c r="DD392" s="5">
        <f>INDEX(Projects[Act Mech Eng (wks)],391)</f>
        <v/>
      </c>
      <c r="DE392" s="5">
        <f>INDEX(Projects[Act Controls Eng (wks)],391)</f>
        <v/>
      </c>
      <c r="DF392" s="5">
        <f>INDEX(Projects[Act Systems Eng (wks)],391)</f>
        <v/>
      </c>
      <c r="DG392" s="5">
        <f>INDEX(Projects[Act Software Eng (wks)],391)</f>
        <v/>
      </c>
      <c r="DH392" s="5">
        <f>INDEX(Projects[Act M&amp;E Installation (wks)],391)</f>
        <v/>
      </c>
      <c r="DI392" s="5">
        <f>INDEX(Projects[Act Commissioning (wks)],391)</f>
        <v/>
      </c>
      <c r="DJ392" s="5">
        <f>INDEX(Projects[Act Total (wks)],391)</f>
        <v/>
      </c>
    </row>
    <row r="393" ht="15" customHeight="1" s="82">
      <c r="A393" s="64">
        <f>INDEX(Projects[Project ID *],392)&amp;""</f>
        <v/>
      </c>
      <c r="B393" s="64">
        <f>INDEX(Projects[Project Name *],392)&amp;""</f>
        <v/>
      </c>
      <c r="C393" s="64">
        <f>INDEX(Projects[MS Shuttles],392)</f>
        <v/>
      </c>
      <c r="D393" s="64">
        <f>INDEX(Projects[MS Tote Locations],392)</f>
        <v/>
      </c>
      <c r="E393" s="64">
        <f>INDEX(Projects[AS Robots],392)</f>
        <v/>
      </c>
      <c r="F393" s="64">
        <f>INDEX(Projects[AS Tote Locations],392)</f>
        <v/>
      </c>
      <c r="G393" s="64">
        <f>INDEX(Projects[PS Shuttles],392)</f>
        <v/>
      </c>
      <c r="H393" s="64">
        <f>INDEX(Projects[PS Pallet Locations],392)</f>
        <v/>
      </c>
      <c r="I393" s="64">
        <f>INDEX(Projects[SRM Cranes],392)</f>
        <v/>
      </c>
      <c r="J393" s="64">
        <f>INDEX(Projects[SRM Pallet Locations],392)</f>
        <v/>
      </c>
      <c r="K393" s="64">
        <f>INDEX(Projects[Case Conv (m)],392)</f>
        <v/>
      </c>
      <c r="L393" s="64">
        <f>INDEX(Projects[Pallet Conv (m)],392)</f>
        <v/>
      </c>
      <c r="M393" s="64">
        <f>IF(N(DJ393)&gt;0,DD393,CW393)</f>
        <v/>
      </c>
      <c r="N393" s="64">
        <f>IF(N(DJ393)&gt;0,DE393,CX393)</f>
        <v/>
      </c>
      <c r="O393" s="64">
        <f>IF(N(DJ393)&gt;0,DF393,CY393)</f>
        <v/>
      </c>
      <c r="P393" s="64">
        <f>IF(N(DJ393)&gt;0,DG393,CZ393)</f>
        <v/>
      </c>
      <c r="Q393" s="64">
        <f>IF(N(DJ393)&gt;0,DH393,DA393)</f>
        <v/>
      </c>
      <c r="R393" s="64">
        <f>IF(N(DJ393)&gt;0,DI393,DB393)</f>
        <v/>
      </c>
      <c r="S393" s="64">
        <f>IF(N(DJ393)&gt;0,DJ393,DC393)</f>
        <v/>
      </c>
      <c r="T393" s="64">
        <f>INDEX(Projects[Currency],392)&amp;""</f>
        <v/>
      </c>
      <c r="U393" s="65">
        <f>INDEX(Projects[Sold Value (M)],392)</f>
        <v/>
      </c>
      <c r="V393" s="64">
        <f>IF('Smart Search'!B13=1,IFERROR(1/'Smart Search'!H13,0),0)</f>
        <v/>
      </c>
      <c r="W393" s="64">
        <f>IF('Smart Search'!B13=1,IFERROR(1/'Smart Search'!H13,0),0)</f>
        <v/>
      </c>
      <c r="X393" s="64">
        <f>IF('Smart Search'!C13=1,IFERROR(1/'Smart Search'!H13,0),0)</f>
        <v/>
      </c>
      <c r="Y393" s="64">
        <f>IF('Smart Search'!C13=1,IFERROR(1/'Smart Search'!H13,0),0)</f>
        <v/>
      </c>
      <c r="Z393" s="64">
        <f>IF('Smart Search'!D13=1,IFERROR(1/'Smart Search'!H13,0),0)</f>
        <v/>
      </c>
      <c r="AA393" s="64">
        <f>IF('Smart Search'!D13=1,IFERROR(1/'Smart Search'!H13,0),0)</f>
        <v/>
      </c>
      <c r="AB393" s="64">
        <f>IF('Smart Search'!E13=1,IFERROR(1/'Smart Search'!H13,0),0)</f>
        <v/>
      </c>
      <c r="AC393" s="64">
        <f>IF('Smart Search'!E13=1,IFERROR(1/'Smart Search'!H13,0),0)</f>
        <v/>
      </c>
      <c r="AD393" s="64">
        <f>IF('Smart Search'!F13=1,IFERROR(1/'Smart Search'!H13,0),0)</f>
        <v/>
      </c>
      <c r="AE393" s="64">
        <f>IF('Smart Search'!F13=1,IFERROR(1/'Smart Search'!H13,0),0)</f>
        <v/>
      </c>
      <c r="AF393" s="64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4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4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4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4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4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4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4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4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4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4">
        <f>AF393*V393</f>
        <v/>
      </c>
      <c r="AQ393" s="64">
        <f>AG393*W393</f>
        <v/>
      </c>
      <c r="AR393" s="64">
        <f>AH393*X393</f>
        <v/>
      </c>
      <c r="AS393" s="64">
        <f>AI393*Y393</f>
        <v/>
      </c>
      <c r="AT393" s="64">
        <f>AJ393*Z393</f>
        <v/>
      </c>
      <c r="AU393" s="64">
        <f>AK393*AA393</f>
        <v/>
      </c>
      <c r="AV393" s="64">
        <f>AL393*AB393</f>
        <v/>
      </c>
      <c r="AW393" s="64">
        <f>AM393*AC393</f>
        <v/>
      </c>
      <c r="AX393" s="64">
        <f>AN393*AD393</f>
        <v/>
      </c>
      <c r="AY393" s="64">
        <f>AO393*AE393</f>
        <v/>
      </c>
      <c r="AZ393" s="64">
        <f>INDEX(Projects[Automation Equipment],392)&amp;""</f>
        <v/>
      </c>
      <c r="BA393" s="64">
        <f>IF(OR(A393="",'Smart Search'!H13=0),"",MAX(0,BE393*BF393*MAX(0,1-BG393)))</f>
        <v/>
      </c>
      <c r="BB393" s="64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4">
        <f>IF('Smart Search'!G13=1,IFERROR(1/'Smart Search'!H13,0),0)</f>
        <v/>
      </c>
      <c r="BD393" s="64">
        <f>BB393*BC393</f>
        <v/>
      </c>
      <c r="BE393" s="64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IF(A393="","",N(INDEX(Projects[Act Mech Inst],392)))</f>
        <v/>
      </c>
      <c r="BK393" s="5">
        <f>IF(A393="","",N(INDEX(Projects[Act Elec Inst],392)))</f>
        <v/>
      </c>
      <c r="BL393" s="5">
        <f>IF(A393="","",N(INDEX(Projects[Act Project Management],392)))</f>
        <v/>
      </c>
      <c r="BM393" s="5">
        <f>IF(A393="","",N(INDEX(Projects[Act Systems Eng],392)))</f>
        <v/>
      </c>
      <c r="BN393" s="5">
        <f>IF(A393="","",N(INDEX(Projects[Act Mechanical Eng],392)))</f>
        <v/>
      </c>
      <c r="BO393" s="5">
        <f>IF(A393="","",N(INDEX(Projects[Act Structural Engineering],392)))</f>
        <v/>
      </c>
      <c r="BP393" s="5">
        <f>IF(A393="","",N(INDEX(Projects[Act Site Sup],392)))</f>
        <v/>
      </c>
      <c r="BQ393" s="5">
        <f>IF(A393="","",N(INDEX(Projects[Act Controls Commissioning],392)))</f>
        <v/>
      </c>
      <c r="BR393" s="5">
        <f>IF(A393="","",N(INDEX(Projects[Act Systems Commissioning],392)))</f>
        <v/>
      </c>
      <c r="BS393" s="5">
        <f>IF(A393="","",N(INDEX(Projects[Act Service Commissioning],392)))</f>
        <v/>
      </c>
      <c r="BT393" s="5">
        <f>IF(A393="","",N(INDEX(Projects[Act Controls Eng],392)))</f>
        <v/>
      </c>
      <c r="BU393" s="5">
        <f>IF(A393="","",N(INDEX(Projects[Act Controls Purchase],392)))</f>
        <v/>
      </c>
      <c r="BV393" s="5">
        <f>IF(A393="","",N(INDEX(Projects[Act Software Eng],392)))</f>
        <v/>
      </c>
      <c r="BW393" s="5">
        <f>IF(A393="","",N(INDEX(Projects[Act 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INDEX(Projects[Sold Value (USD M)],392)</f>
        <v/>
      </c>
      <c r="CE393" s="5" t="n"/>
      <c r="CF393" s="5">
        <f>IF(A393="","",N(INDEX(Projects[Est Mech Inst],392)))</f>
        <v/>
      </c>
      <c r="CG393" s="5">
        <f>IF(A393="","",N(INDEX(Projects[Est Elec Inst],392)))</f>
        <v/>
      </c>
      <c r="CH393" s="5">
        <f>IF(A393="","",N(INDEX(Projects[Est Project Management],392)))</f>
        <v/>
      </c>
      <c r="CI393" s="5">
        <f>IF(A393="","",N(INDEX(Projects[Est Systems Eng],392)))</f>
        <v/>
      </c>
      <c r="CJ393" s="5">
        <f>IF(A393="","",N(INDEX(Projects[Est Mechanical Eng],392)))</f>
        <v/>
      </c>
      <c r="CK393" s="5">
        <f>IF(A393="","",N(INDEX(Projects[Est Structural Engineering],392)))</f>
        <v/>
      </c>
      <c r="CL393" s="5">
        <f>IF(A393="","",N(INDEX(Projects[Est Site Sup],392)))</f>
        <v/>
      </c>
      <c r="CM393" s="5">
        <f>IF(A393="","",N(INDEX(Projects[Est Controls Commissioning],392)))</f>
        <v/>
      </c>
      <c r="CN393" s="5">
        <f>IF(A393="","",N(INDEX(Projects[Est Systems Commissioning],392)))</f>
        <v/>
      </c>
      <c r="CO393" s="5">
        <f>IF(A393="","",N(INDEX(Projects[Est Service Commissioning],392)))</f>
        <v/>
      </c>
      <c r="CP393" s="5">
        <f>IF(A393="","",N(INDEX(Projects[Est Controls Eng],392)))</f>
        <v/>
      </c>
      <c r="CQ393" s="5">
        <f>IF(A393="","",N(INDEX(Projects[Est Controls Purchase],392)))</f>
        <v/>
      </c>
      <c r="CR393" s="5">
        <f>IF(A393="","",N(INDEX(Projects[Est Software Eng],392)))</f>
        <v/>
      </c>
      <c r="CS393" s="5">
        <f>IF(A393="","",N(INDEX(Projects[Est Misc],392)))</f>
        <v/>
      </c>
      <c r="CT393" s="5">
        <f>IF(A393="","",SUM(CF393:CS393))</f>
        <v/>
      </c>
      <c r="CU393" s="5">
        <f>INDEX(Projects[Est Cost (M)],392)</f>
        <v/>
      </c>
      <c r="CV393" s="5">
        <f>INDEX(Projects[Act Cost (M)],392)</f>
        <v/>
      </c>
      <c r="CW393" s="5">
        <f>INDEX(Projects[Plan Mech Eng (wks)],392)</f>
        <v/>
      </c>
      <c r="CX393" s="5">
        <f>INDEX(Projects[Plan Controls Eng (wks)],392)</f>
        <v/>
      </c>
      <c r="CY393" s="5">
        <f>INDEX(Projects[Plan Systems Eng (wks)],392)</f>
        <v/>
      </c>
      <c r="CZ393" s="5">
        <f>INDEX(Projects[Plan Software Eng (wks)],392)</f>
        <v/>
      </c>
      <c r="DA393" s="5">
        <f>INDEX(Projects[Plan M&amp;E Installation (wks)],392)</f>
        <v/>
      </c>
      <c r="DB393" s="5">
        <f>INDEX(Projects[Plan Commissioning (wks)],392)</f>
        <v/>
      </c>
      <c r="DC393" s="5">
        <f>INDEX(Projects[Plan Total (wks)],392)</f>
        <v/>
      </c>
      <c r="DD393" s="5">
        <f>INDEX(Projects[Act Mech Eng (wks)],392)</f>
        <v/>
      </c>
      <c r="DE393" s="5">
        <f>INDEX(Projects[Act Controls Eng (wks)],392)</f>
        <v/>
      </c>
      <c r="DF393" s="5">
        <f>INDEX(Projects[Act Systems Eng (wks)],392)</f>
        <v/>
      </c>
      <c r="DG393" s="5">
        <f>INDEX(Projects[Act Software Eng (wks)],392)</f>
        <v/>
      </c>
      <c r="DH393" s="5">
        <f>INDEX(Projects[Act M&amp;E Installation (wks)],392)</f>
        <v/>
      </c>
      <c r="DI393" s="5">
        <f>INDEX(Projects[Act Commissioning (wks)],392)</f>
        <v/>
      </c>
      <c r="DJ393" s="5">
        <f>INDEX(Projects[Act Total (wks)],392)</f>
        <v/>
      </c>
    </row>
    <row r="394" ht="15" customHeight="1" s="82">
      <c r="A394" s="64">
        <f>INDEX(Projects[Project ID *],393)&amp;""</f>
        <v/>
      </c>
      <c r="B394" s="64">
        <f>INDEX(Projects[Project Name *],393)&amp;""</f>
        <v/>
      </c>
      <c r="C394" s="64">
        <f>INDEX(Projects[MS Shuttles],393)</f>
        <v/>
      </c>
      <c r="D394" s="64">
        <f>INDEX(Projects[MS Tote Locations],393)</f>
        <v/>
      </c>
      <c r="E394" s="64">
        <f>INDEX(Projects[AS Robots],393)</f>
        <v/>
      </c>
      <c r="F394" s="64">
        <f>INDEX(Projects[AS Tote Locations],393)</f>
        <v/>
      </c>
      <c r="G394" s="64">
        <f>INDEX(Projects[PS Shuttles],393)</f>
        <v/>
      </c>
      <c r="H394" s="64">
        <f>INDEX(Projects[PS Pallet Locations],393)</f>
        <v/>
      </c>
      <c r="I394" s="64">
        <f>INDEX(Projects[SRM Cranes],393)</f>
        <v/>
      </c>
      <c r="J394" s="64">
        <f>INDEX(Projects[SRM Pallet Locations],393)</f>
        <v/>
      </c>
      <c r="K394" s="64">
        <f>INDEX(Projects[Case Conv (m)],393)</f>
        <v/>
      </c>
      <c r="L394" s="64">
        <f>INDEX(Projects[Pallet Conv (m)],393)</f>
        <v/>
      </c>
      <c r="M394" s="64">
        <f>IF(N(DJ394)&gt;0,DD394,CW394)</f>
        <v/>
      </c>
      <c r="N394" s="64">
        <f>IF(N(DJ394)&gt;0,DE394,CX394)</f>
        <v/>
      </c>
      <c r="O394" s="64">
        <f>IF(N(DJ394)&gt;0,DF394,CY394)</f>
        <v/>
      </c>
      <c r="P394" s="64">
        <f>IF(N(DJ394)&gt;0,DG394,CZ394)</f>
        <v/>
      </c>
      <c r="Q394" s="64">
        <f>IF(N(DJ394)&gt;0,DH394,DA394)</f>
        <v/>
      </c>
      <c r="R394" s="64">
        <f>IF(N(DJ394)&gt;0,DI394,DB394)</f>
        <v/>
      </c>
      <c r="S394" s="64">
        <f>IF(N(DJ394)&gt;0,DJ394,DC394)</f>
        <v/>
      </c>
      <c r="T394" s="64">
        <f>INDEX(Projects[Currency],393)&amp;""</f>
        <v/>
      </c>
      <c r="U394" s="65">
        <f>INDEX(Projects[Sold Value (M)],393)</f>
        <v/>
      </c>
      <c r="V394" s="64">
        <f>IF('Smart Search'!B13=1,IFERROR(1/'Smart Search'!H13,0),0)</f>
        <v/>
      </c>
      <c r="W394" s="64">
        <f>IF('Smart Search'!B13=1,IFERROR(1/'Smart Search'!H13,0),0)</f>
        <v/>
      </c>
      <c r="X394" s="64">
        <f>IF('Smart Search'!C13=1,IFERROR(1/'Smart Search'!H13,0),0)</f>
        <v/>
      </c>
      <c r="Y394" s="64">
        <f>IF('Smart Search'!C13=1,IFERROR(1/'Smart Search'!H13,0),0)</f>
        <v/>
      </c>
      <c r="Z394" s="64">
        <f>IF('Smart Search'!D13=1,IFERROR(1/'Smart Search'!H13,0),0)</f>
        <v/>
      </c>
      <c r="AA394" s="64">
        <f>IF('Smart Search'!D13=1,IFERROR(1/'Smart Search'!H13,0),0)</f>
        <v/>
      </c>
      <c r="AB394" s="64">
        <f>IF('Smart Search'!E13=1,IFERROR(1/'Smart Search'!H13,0),0)</f>
        <v/>
      </c>
      <c r="AC394" s="64">
        <f>IF('Smart Search'!E13=1,IFERROR(1/'Smart Search'!H13,0),0)</f>
        <v/>
      </c>
      <c r="AD394" s="64">
        <f>IF('Smart Search'!F13=1,IFERROR(1/'Smart Search'!H13,0),0)</f>
        <v/>
      </c>
      <c r="AE394" s="64">
        <f>IF('Smart Search'!F13=1,IFERROR(1/'Smart Search'!H13,0),0)</f>
        <v/>
      </c>
      <c r="AF394" s="64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4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4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4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4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4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4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4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4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4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4">
        <f>AF394*V394</f>
        <v/>
      </c>
      <c r="AQ394" s="64">
        <f>AG394*W394</f>
        <v/>
      </c>
      <c r="AR394" s="64">
        <f>AH394*X394</f>
        <v/>
      </c>
      <c r="AS394" s="64">
        <f>AI394*Y394</f>
        <v/>
      </c>
      <c r="AT394" s="64">
        <f>AJ394*Z394</f>
        <v/>
      </c>
      <c r="AU394" s="64">
        <f>AK394*AA394</f>
        <v/>
      </c>
      <c r="AV394" s="64">
        <f>AL394*AB394</f>
        <v/>
      </c>
      <c r="AW394" s="64">
        <f>AM394*AC394</f>
        <v/>
      </c>
      <c r="AX394" s="64">
        <f>AN394*AD394</f>
        <v/>
      </c>
      <c r="AY394" s="64">
        <f>AO394*AE394</f>
        <v/>
      </c>
      <c r="AZ394" s="64">
        <f>INDEX(Projects[Automation Equipment],393)&amp;""</f>
        <v/>
      </c>
      <c r="BA394" s="64">
        <f>IF(OR(A394="",'Smart Search'!H13=0),"",MAX(0,BE394*BF394*MAX(0,1-BG394)))</f>
        <v/>
      </c>
      <c r="BB394" s="64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4">
        <f>IF('Smart Search'!G13=1,IFERROR(1/'Smart Search'!H13,0),0)</f>
        <v/>
      </c>
      <c r="BD394" s="64">
        <f>BB394*BC394</f>
        <v/>
      </c>
      <c r="BE394" s="64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IF(A394="","",N(INDEX(Projects[Act Mech Inst],393)))</f>
        <v/>
      </c>
      <c r="BK394" s="5">
        <f>IF(A394="","",N(INDEX(Projects[Act Elec Inst],393)))</f>
        <v/>
      </c>
      <c r="BL394" s="5">
        <f>IF(A394="","",N(INDEX(Projects[Act Project Management],393)))</f>
        <v/>
      </c>
      <c r="BM394" s="5">
        <f>IF(A394="","",N(INDEX(Projects[Act Systems Eng],393)))</f>
        <v/>
      </c>
      <c r="BN394" s="5">
        <f>IF(A394="","",N(INDEX(Projects[Act Mechanical Eng],393)))</f>
        <v/>
      </c>
      <c r="BO394" s="5">
        <f>IF(A394="","",N(INDEX(Projects[Act Structural Engineering],393)))</f>
        <v/>
      </c>
      <c r="BP394" s="5">
        <f>IF(A394="","",N(INDEX(Projects[Act Site Sup],393)))</f>
        <v/>
      </c>
      <c r="BQ394" s="5">
        <f>IF(A394="","",N(INDEX(Projects[Act Controls Commissioning],393)))</f>
        <v/>
      </c>
      <c r="BR394" s="5">
        <f>IF(A394="","",N(INDEX(Projects[Act Systems Commissioning],393)))</f>
        <v/>
      </c>
      <c r="BS394" s="5">
        <f>IF(A394="","",N(INDEX(Projects[Act Service Commissioning],393)))</f>
        <v/>
      </c>
      <c r="BT394" s="5">
        <f>IF(A394="","",N(INDEX(Projects[Act Controls Eng],393)))</f>
        <v/>
      </c>
      <c r="BU394" s="5">
        <f>IF(A394="","",N(INDEX(Projects[Act Controls Purchase],393)))</f>
        <v/>
      </c>
      <c r="BV394" s="5">
        <f>IF(A394="","",N(INDEX(Projects[Act Software Eng],393)))</f>
        <v/>
      </c>
      <c r="BW394" s="5">
        <f>IF(A394="","",N(INDEX(Projects[Act 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INDEX(Projects[Sold Value (USD M)],393)</f>
        <v/>
      </c>
      <c r="CE394" s="5" t="n"/>
      <c r="CF394" s="5">
        <f>IF(A394="","",N(INDEX(Projects[Est Mech Inst],393)))</f>
        <v/>
      </c>
      <c r="CG394" s="5">
        <f>IF(A394="","",N(INDEX(Projects[Est Elec Inst],393)))</f>
        <v/>
      </c>
      <c r="CH394" s="5">
        <f>IF(A394="","",N(INDEX(Projects[Est Project Management],393)))</f>
        <v/>
      </c>
      <c r="CI394" s="5">
        <f>IF(A394="","",N(INDEX(Projects[Est Systems Eng],393)))</f>
        <v/>
      </c>
      <c r="CJ394" s="5">
        <f>IF(A394="","",N(INDEX(Projects[Est Mechanical Eng],393)))</f>
        <v/>
      </c>
      <c r="CK394" s="5">
        <f>IF(A394="","",N(INDEX(Projects[Est Structural Engineering],393)))</f>
        <v/>
      </c>
      <c r="CL394" s="5">
        <f>IF(A394="","",N(INDEX(Projects[Est Site Sup],393)))</f>
        <v/>
      </c>
      <c r="CM394" s="5">
        <f>IF(A394="","",N(INDEX(Projects[Est Controls Commissioning],393)))</f>
        <v/>
      </c>
      <c r="CN394" s="5">
        <f>IF(A394="","",N(INDEX(Projects[Est Systems Commissioning],393)))</f>
        <v/>
      </c>
      <c r="CO394" s="5">
        <f>IF(A394="","",N(INDEX(Projects[Est Service Commissioning],393)))</f>
        <v/>
      </c>
      <c r="CP394" s="5">
        <f>IF(A394="","",N(INDEX(Projects[Est Controls Eng],393)))</f>
        <v/>
      </c>
      <c r="CQ394" s="5">
        <f>IF(A394="","",N(INDEX(Projects[Est Controls Purchase],393)))</f>
        <v/>
      </c>
      <c r="CR394" s="5">
        <f>IF(A394="","",N(INDEX(Projects[Est Software Eng],393)))</f>
        <v/>
      </c>
      <c r="CS394" s="5">
        <f>IF(A394="","",N(INDEX(Projects[Est Misc],393)))</f>
        <v/>
      </c>
      <c r="CT394" s="5">
        <f>IF(A394="","",SUM(CF394:CS394))</f>
        <v/>
      </c>
      <c r="CU394" s="5">
        <f>INDEX(Projects[Est Cost (M)],393)</f>
        <v/>
      </c>
      <c r="CV394" s="5">
        <f>INDEX(Projects[Act Cost (M)],393)</f>
        <v/>
      </c>
      <c r="CW394" s="5">
        <f>INDEX(Projects[Plan Mech Eng (wks)],393)</f>
        <v/>
      </c>
      <c r="CX394" s="5">
        <f>INDEX(Projects[Plan Controls Eng (wks)],393)</f>
        <v/>
      </c>
      <c r="CY394" s="5">
        <f>INDEX(Projects[Plan Systems Eng (wks)],393)</f>
        <v/>
      </c>
      <c r="CZ394" s="5">
        <f>INDEX(Projects[Plan Software Eng (wks)],393)</f>
        <v/>
      </c>
      <c r="DA394" s="5">
        <f>INDEX(Projects[Plan M&amp;E Installation (wks)],393)</f>
        <v/>
      </c>
      <c r="DB394" s="5">
        <f>INDEX(Projects[Plan Commissioning (wks)],393)</f>
        <v/>
      </c>
      <c r="DC394" s="5">
        <f>INDEX(Projects[Plan Total (wks)],393)</f>
        <v/>
      </c>
      <c r="DD394" s="5">
        <f>INDEX(Projects[Act Mech Eng (wks)],393)</f>
        <v/>
      </c>
      <c r="DE394" s="5">
        <f>INDEX(Projects[Act Controls Eng (wks)],393)</f>
        <v/>
      </c>
      <c r="DF394" s="5">
        <f>INDEX(Projects[Act Systems Eng (wks)],393)</f>
        <v/>
      </c>
      <c r="DG394" s="5">
        <f>INDEX(Projects[Act Software Eng (wks)],393)</f>
        <v/>
      </c>
      <c r="DH394" s="5">
        <f>INDEX(Projects[Act M&amp;E Installation (wks)],393)</f>
        <v/>
      </c>
      <c r="DI394" s="5">
        <f>INDEX(Projects[Act Commissioning (wks)],393)</f>
        <v/>
      </c>
      <c r="DJ394" s="5">
        <f>INDEX(Projects[Act Total (wks)],393)</f>
        <v/>
      </c>
    </row>
    <row r="395" ht="15" customHeight="1" s="82">
      <c r="A395" s="64">
        <f>INDEX(Projects[Project ID *],394)&amp;""</f>
        <v/>
      </c>
      <c r="B395" s="64">
        <f>INDEX(Projects[Project Name *],394)&amp;""</f>
        <v/>
      </c>
      <c r="C395" s="64">
        <f>INDEX(Projects[MS Shuttles],394)</f>
        <v/>
      </c>
      <c r="D395" s="64">
        <f>INDEX(Projects[MS Tote Locations],394)</f>
        <v/>
      </c>
      <c r="E395" s="64">
        <f>INDEX(Projects[AS Robots],394)</f>
        <v/>
      </c>
      <c r="F395" s="64">
        <f>INDEX(Projects[AS Tote Locations],394)</f>
        <v/>
      </c>
      <c r="G395" s="64">
        <f>INDEX(Projects[PS Shuttles],394)</f>
        <v/>
      </c>
      <c r="H395" s="64">
        <f>INDEX(Projects[PS Pallet Locations],394)</f>
        <v/>
      </c>
      <c r="I395" s="64">
        <f>INDEX(Projects[SRM Cranes],394)</f>
        <v/>
      </c>
      <c r="J395" s="64">
        <f>INDEX(Projects[SRM Pallet Locations],394)</f>
        <v/>
      </c>
      <c r="K395" s="64">
        <f>INDEX(Projects[Case Conv (m)],394)</f>
        <v/>
      </c>
      <c r="L395" s="64">
        <f>INDEX(Projects[Pallet Conv (m)],394)</f>
        <v/>
      </c>
      <c r="M395" s="64">
        <f>IF(N(DJ395)&gt;0,DD395,CW395)</f>
        <v/>
      </c>
      <c r="N395" s="64">
        <f>IF(N(DJ395)&gt;0,DE395,CX395)</f>
        <v/>
      </c>
      <c r="O395" s="64">
        <f>IF(N(DJ395)&gt;0,DF395,CY395)</f>
        <v/>
      </c>
      <c r="P395" s="64">
        <f>IF(N(DJ395)&gt;0,DG395,CZ395)</f>
        <v/>
      </c>
      <c r="Q395" s="64">
        <f>IF(N(DJ395)&gt;0,DH395,DA395)</f>
        <v/>
      </c>
      <c r="R395" s="64">
        <f>IF(N(DJ395)&gt;0,DI395,DB395)</f>
        <v/>
      </c>
      <c r="S395" s="64">
        <f>IF(N(DJ395)&gt;0,DJ395,DC395)</f>
        <v/>
      </c>
      <c r="T395" s="64">
        <f>INDEX(Projects[Currency],394)&amp;""</f>
        <v/>
      </c>
      <c r="U395" s="65">
        <f>INDEX(Projects[Sold Value (M)],394)</f>
        <v/>
      </c>
      <c r="V395" s="64">
        <f>IF('Smart Search'!B13=1,IFERROR(1/'Smart Search'!H13,0),0)</f>
        <v/>
      </c>
      <c r="W395" s="64">
        <f>IF('Smart Search'!B13=1,IFERROR(1/'Smart Search'!H13,0),0)</f>
        <v/>
      </c>
      <c r="X395" s="64">
        <f>IF('Smart Search'!C13=1,IFERROR(1/'Smart Search'!H13,0),0)</f>
        <v/>
      </c>
      <c r="Y395" s="64">
        <f>IF('Smart Search'!C13=1,IFERROR(1/'Smart Search'!H13,0),0)</f>
        <v/>
      </c>
      <c r="Z395" s="64">
        <f>IF('Smart Search'!D13=1,IFERROR(1/'Smart Search'!H13,0),0)</f>
        <v/>
      </c>
      <c r="AA395" s="64">
        <f>IF('Smart Search'!D13=1,IFERROR(1/'Smart Search'!H13,0),0)</f>
        <v/>
      </c>
      <c r="AB395" s="64">
        <f>IF('Smart Search'!E13=1,IFERROR(1/'Smart Search'!H13,0),0)</f>
        <v/>
      </c>
      <c r="AC395" s="64">
        <f>IF('Smart Search'!E13=1,IFERROR(1/'Smart Search'!H13,0),0)</f>
        <v/>
      </c>
      <c r="AD395" s="64">
        <f>IF('Smart Search'!F13=1,IFERROR(1/'Smart Search'!H13,0),0)</f>
        <v/>
      </c>
      <c r="AE395" s="64">
        <f>IF('Smart Search'!F13=1,IFERROR(1/'Smart Search'!H13,0),0)</f>
        <v/>
      </c>
      <c r="AF395" s="64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4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4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4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4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4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4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4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4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4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4">
        <f>AF395*V395</f>
        <v/>
      </c>
      <c r="AQ395" s="64">
        <f>AG395*W395</f>
        <v/>
      </c>
      <c r="AR395" s="64">
        <f>AH395*X395</f>
        <v/>
      </c>
      <c r="AS395" s="64">
        <f>AI395*Y395</f>
        <v/>
      </c>
      <c r="AT395" s="64">
        <f>AJ395*Z395</f>
        <v/>
      </c>
      <c r="AU395" s="64">
        <f>AK395*AA395</f>
        <v/>
      </c>
      <c r="AV395" s="64">
        <f>AL395*AB395</f>
        <v/>
      </c>
      <c r="AW395" s="64">
        <f>AM395*AC395</f>
        <v/>
      </c>
      <c r="AX395" s="64">
        <f>AN395*AD395</f>
        <v/>
      </c>
      <c r="AY395" s="64">
        <f>AO395*AE395</f>
        <v/>
      </c>
      <c r="AZ395" s="64">
        <f>INDEX(Projects[Automation Equipment],394)&amp;""</f>
        <v/>
      </c>
      <c r="BA395" s="64">
        <f>IF(OR(A395="",'Smart Search'!H13=0),"",MAX(0,BE395*BF395*MAX(0,1-BG395)))</f>
        <v/>
      </c>
      <c r="BB395" s="64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4">
        <f>IF('Smart Search'!G13=1,IFERROR(1/'Smart Search'!H13,0),0)</f>
        <v/>
      </c>
      <c r="BD395" s="64">
        <f>BB395*BC395</f>
        <v/>
      </c>
      <c r="BE395" s="64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IF(A395="","",N(INDEX(Projects[Act Mech Inst],394)))</f>
        <v/>
      </c>
      <c r="BK395" s="5">
        <f>IF(A395="","",N(INDEX(Projects[Act Elec Inst],394)))</f>
        <v/>
      </c>
      <c r="BL395" s="5">
        <f>IF(A395="","",N(INDEX(Projects[Act Project Management],394)))</f>
        <v/>
      </c>
      <c r="BM395" s="5">
        <f>IF(A395="","",N(INDEX(Projects[Act Systems Eng],394)))</f>
        <v/>
      </c>
      <c r="BN395" s="5">
        <f>IF(A395="","",N(INDEX(Projects[Act Mechanical Eng],394)))</f>
        <v/>
      </c>
      <c r="BO395" s="5">
        <f>IF(A395="","",N(INDEX(Projects[Act Structural Engineering],394)))</f>
        <v/>
      </c>
      <c r="BP395" s="5">
        <f>IF(A395="","",N(INDEX(Projects[Act Site Sup],394)))</f>
        <v/>
      </c>
      <c r="BQ395" s="5">
        <f>IF(A395="","",N(INDEX(Projects[Act Controls Commissioning],394)))</f>
        <v/>
      </c>
      <c r="BR395" s="5">
        <f>IF(A395="","",N(INDEX(Projects[Act Systems Commissioning],394)))</f>
        <v/>
      </c>
      <c r="BS395" s="5">
        <f>IF(A395="","",N(INDEX(Projects[Act Service Commissioning],394)))</f>
        <v/>
      </c>
      <c r="BT395" s="5">
        <f>IF(A395="","",N(INDEX(Projects[Act Controls Eng],394)))</f>
        <v/>
      </c>
      <c r="BU395" s="5">
        <f>IF(A395="","",N(INDEX(Projects[Act Controls Purchase],394)))</f>
        <v/>
      </c>
      <c r="BV395" s="5">
        <f>IF(A395="","",N(INDEX(Projects[Act Software Eng],394)))</f>
        <v/>
      </c>
      <c r="BW395" s="5">
        <f>IF(A395="","",N(INDEX(Projects[Act 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INDEX(Projects[Sold Value (USD M)],394)</f>
        <v/>
      </c>
      <c r="CE395" s="5" t="n"/>
      <c r="CF395" s="5">
        <f>IF(A395="","",N(INDEX(Projects[Est Mech Inst],394)))</f>
        <v/>
      </c>
      <c r="CG395" s="5">
        <f>IF(A395="","",N(INDEX(Projects[Est Elec Inst],394)))</f>
        <v/>
      </c>
      <c r="CH395" s="5">
        <f>IF(A395="","",N(INDEX(Projects[Est Project Management],394)))</f>
        <v/>
      </c>
      <c r="CI395" s="5">
        <f>IF(A395="","",N(INDEX(Projects[Est Systems Eng],394)))</f>
        <v/>
      </c>
      <c r="CJ395" s="5">
        <f>IF(A395="","",N(INDEX(Projects[Est Mechanical Eng],394)))</f>
        <v/>
      </c>
      <c r="CK395" s="5">
        <f>IF(A395="","",N(INDEX(Projects[Est Structural Engineering],394)))</f>
        <v/>
      </c>
      <c r="CL395" s="5">
        <f>IF(A395="","",N(INDEX(Projects[Est Site Sup],394)))</f>
        <v/>
      </c>
      <c r="CM395" s="5">
        <f>IF(A395="","",N(INDEX(Projects[Est Controls Commissioning],394)))</f>
        <v/>
      </c>
      <c r="CN395" s="5">
        <f>IF(A395="","",N(INDEX(Projects[Est Systems Commissioning],394)))</f>
        <v/>
      </c>
      <c r="CO395" s="5">
        <f>IF(A395="","",N(INDEX(Projects[Est Service Commissioning],394)))</f>
        <v/>
      </c>
      <c r="CP395" s="5">
        <f>IF(A395="","",N(INDEX(Projects[Est Controls Eng],394)))</f>
        <v/>
      </c>
      <c r="CQ395" s="5">
        <f>IF(A395="","",N(INDEX(Projects[Est Controls Purchase],394)))</f>
        <v/>
      </c>
      <c r="CR395" s="5">
        <f>IF(A395="","",N(INDEX(Projects[Est Software Eng],394)))</f>
        <v/>
      </c>
      <c r="CS395" s="5">
        <f>IF(A395="","",N(INDEX(Projects[Est Misc],394)))</f>
        <v/>
      </c>
      <c r="CT395" s="5">
        <f>IF(A395="","",SUM(CF395:CS395))</f>
        <v/>
      </c>
      <c r="CU395" s="5">
        <f>INDEX(Projects[Est Cost (M)],394)</f>
        <v/>
      </c>
      <c r="CV395" s="5">
        <f>INDEX(Projects[Act Cost (M)],394)</f>
        <v/>
      </c>
      <c r="CW395" s="5">
        <f>INDEX(Projects[Plan Mech Eng (wks)],394)</f>
        <v/>
      </c>
      <c r="CX395" s="5">
        <f>INDEX(Projects[Plan Controls Eng (wks)],394)</f>
        <v/>
      </c>
      <c r="CY395" s="5">
        <f>INDEX(Projects[Plan Systems Eng (wks)],394)</f>
        <v/>
      </c>
      <c r="CZ395" s="5">
        <f>INDEX(Projects[Plan Software Eng (wks)],394)</f>
        <v/>
      </c>
      <c r="DA395" s="5">
        <f>INDEX(Projects[Plan M&amp;E Installation (wks)],394)</f>
        <v/>
      </c>
      <c r="DB395" s="5">
        <f>INDEX(Projects[Plan Commissioning (wks)],394)</f>
        <v/>
      </c>
      <c r="DC395" s="5">
        <f>INDEX(Projects[Plan Total (wks)],394)</f>
        <v/>
      </c>
      <c r="DD395" s="5">
        <f>INDEX(Projects[Act Mech Eng (wks)],394)</f>
        <v/>
      </c>
      <c r="DE395" s="5">
        <f>INDEX(Projects[Act Controls Eng (wks)],394)</f>
        <v/>
      </c>
      <c r="DF395" s="5">
        <f>INDEX(Projects[Act Systems Eng (wks)],394)</f>
        <v/>
      </c>
      <c r="DG395" s="5">
        <f>INDEX(Projects[Act Software Eng (wks)],394)</f>
        <v/>
      </c>
      <c r="DH395" s="5">
        <f>INDEX(Projects[Act M&amp;E Installation (wks)],394)</f>
        <v/>
      </c>
      <c r="DI395" s="5">
        <f>INDEX(Projects[Act Commissioning (wks)],394)</f>
        <v/>
      </c>
      <c r="DJ395" s="5">
        <f>INDEX(Projects[Act Total (wks)],394)</f>
        <v/>
      </c>
    </row>
    <row r="396" ht="15" customHeight="1" s="82">
      <c r="A396" s="64">
        <f>INDEX(Projects[Project ID *],395)&amp;""</f>
        <v/>
      </c>
      <c r="B396" s="64">
        <f>INDEX(Projects[Project Name *],395)&amp;""</f>
        <v/>
      </c>
      <c r="C396" s="64">
        <f>INDEX(Projects[MS Shuttles],395)</f>
        <v/>
      </c>
      <c r="D396" s="64">
        <f>INDEX(Projects[MS Tote Locations],395)</f>
        <v/>
      </c>
      <c r="E396" s="64">
        <f>INDEX(Projects[AS Robots],395)</f>
        <v/>
      </c>
      <c r="F396" s="64">
        <f>INDEX(Projects[AS Tote Locations],395)</f>
        <v/>
      </c>
      <c r="G396" s="64">
        <f>INDEX(Projects[PS Shuttles],395)</f>
        <v/>
      </c>
      <c r="H396" s="64">
        <f>INDEX(Projects[PS Pallet Locations],395)</f>
        <v/>
      </c>
      <c r="I396" s="64">
        <f>INDEX(Projects[SRM Cranes],395)</f>
        <v/>
      </c>
      <c r="J396" s="64">
        <f>INDEX(Projects[SRM Pallet Locations],395)</f>
        <v/>
      </c>
      <c r="K396" s="64">
        <f>INDEX(Projects[Case Conv (m)],395)</f>
        <v/>
      </c>
      <c r="L396" s="64">
        <f>INDEX(Projects[Pallet Conv (m)],395)</f>
        <v/>
      </c>
      <c r="M396" s="64">
        <f>IF(N(DJ396)&gt;0,DD396,CW396)</f>
        <v/>
      </c>
      <c r="N396" s="64">
        <f>IF(N(DJ396)&gt;0,DE396,CX396)</f>
        <v/>
      </c>
      <c r="O396" s="64">
        <f>IF(N(DJ396)&gt;0,DF396,CY396)</f>
        <v/>
      </c>
      <c r="P396" s="64">
        <f>IF(N(DJ396)&gt;0,DG396,CZ396)</f>
        <v/>
      </c>
      <c r="Q396" s="64">
        <f>IF(N(DJ396)&gt;0,DH396,DA396)</f>
        <v/>
      </c>
      <c r="R396" s="64">
        <f>IF(N(DJ396)&gt;0,DI396,DB396)</f>
        <v/>
      </c>
      <c r="S396" s="64">
        <f>IF(N(DJ396)&gt;0,DJ396,DC396)</f>
        <v/>
      </c>
      <c r="T396" s="64">
        <f>INDEX(Projects[Currency],395)&amp;""</f>
        <v/>
      </c>
      <c r="U396" s="65">
        <f>INDEX(Projects[Sold Value (M)],395)</f>
        <v/>
      </c>
      <c r="V396" s="64">
        <f>IF('Smart Search'!B13=1,IFERROR(1/'Smart Search'!H13,0),0)</f>
        <v/>
      </c>
      <c r="W396" s="64">
        <f>IF('Smart Search'!B13=1,IFERROR(1/'Smart Search'!H13,0),0)</f>
        <v/>
      </c>
      <c r="X396" s="64">
        <f>IF('Smart Search'!C13=1,IFERROR(1/'Smart Search'!H13,0),0)</f>
        <v/>
      </c>
      <c r="Y396" s="64">
        <f>IF('Smart Search'!C13=1,IFERROR(1/'Smart Search'!H13,0),0)</f>
        <v/>
      </c>
      <c r="Z396" s="64">
        <f>IF('Smart Search'!D13=1,IFERROR(1/'Smart Search'!H13,0),0)</f>
        <v/>
      </c>
      <c r="AA396" s="64">
        <f>IF('Smart Search'!D13=1,IFERROR(1/'Smart Search'!H13,0),0)</f>
        <v/>
      </c>
      <c r="AB396" s="64">
        <f>IF('Smart Search'!E13=1,IFERROR(1/'Smart Search'!H13,0),0)</f>
        <v/>
      </c>
      <c r="AC396" s="64">
        <f>IF('Smart Search'!E13=1,IFERROR(1/'Smart Search'!H13,0),0)</f>
        <v/>
      </c>
      <c r="AD396" s="64">
        <f>IF('Smart Search'!F13=1,IFERROR(1/'Smart Search'!H13,0),0)</f>
        <v/>
      </c>
      <c r="AE396" s="64">
        <f>IF('Smart Search'!F13=1,IFERROR(1/'Smart Search'!H13,0),0)</f>
        <v/>
      </c>
      <c r="AF396" s="64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4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4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4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4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4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4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4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4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4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4">
        <f>AF396*V396</f>
        <v/>
      </c>
      <c r="AQ396" s="64">
        <f>AG396*W396</f>
        <v/>
      </c>
      <c r="AR396" s="64">
        <f>AH396*X396</f>
        <v/>
      </c>
      <c r="AS396" s="64">
        <f>AI396*Y396</f>
        <v/>
      </c>
      <c r="AT396" s="64">
        <f>AJ396*Z396</f>
        <v/>
      </c>
      <c r="AU396" s="64">
        <f>AK396*AA396</f>
        <v/>
      </c>
      <c r="AV396" s="64">
        <f>AL396*AB396</f>
        <v/>
      </c>
      <c r="AW396" s="64">
        <f>AM396*AC396</f>
        <v/>
      </c>
      <c r="AX396" s="64">
        <f>AN396*AD396</f>
        <v/>
      </c>
      <c r="AY396" s="64">
        <f>AO396*AE396</f>
        <v/>
      </c>
      <c r="AZ396" s="64">
        <f>INDEX(Projects[Automation Equipment],395)&amp;""</f>
        <v/>
      </c>
      <c r="BA396" s="64">
        <f>IF(OR(A396="",'Smart Search'!H13=0),"",MAX(0,BE396*BF396*MAX(0,1-BG396)))</f>
        <v/>
      </c>
      <c r="BB396" s="64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4">
        <f>IF('Smart Search'!G13=1,IFERROR(1/'Smart Search'!H13,0),0)</f>
        <v/>
      </c>
      <c r="BD396" s="64">
        <f>BB396*BC396</f>
        <v/>
      </c>
      <c r="BE396" s="64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IF(A396="","",N(INDEX(Projects[Act Mech Inst],395)))</f>
        <v/>
      </c>
      <c r="BK396" s="5">
        <f>IF(A396="","",N(INDEX(Projects[Act Elec Inst],395)))</f>
        <v/>
      </c>
      <c r="BL396" s="5">
        <f>IF(A396="","",N(INDEX(Projects[Act Project Management],395)))</f>
        <v/>
      </c>
      <c r="BM396" s="5">
        <f>IF(A396="","",N(INDEX(Projects[Act Systems Eng],395)))</f>
        <v/>
      </c>
      <c r="BN396" s="5">
        <f>IF(A396="","",N(INDEX(Projects[Act Mechanical Eng],395)))</f>
        <v/>
      </c>
      <c r="BO396" s="5">
        <f>IF(A396="","",N(INDEX(Projects[Act Structural Engineering],395)))</f>
        <v/>
      </c>
      <c r="BP396" s="5">
        <f>IF(A396="","",N(INDEX(Projects[Act Site Sup],395)))</f>
        <v/>
      </c>
      <c r="BQ396" s="5">
        <f>IF(A396="","",N(INDEX(Projects[Act Controls Commissioning],395)))</f>
        <v/>
      </c>
      <c r="BR396" s="5">
        <f>IF(A396="","",N(INDEX(Projects[Act Systems Commissioning],395)))</f>
        <v/>
      </c>
      <c r="BS396" s="5">
        <f>IF(A396="","",N(INDEX(Projects[Act Service Commissioning],395)))</f>
        <v/>
      </c>
      <c r="BT396" s="5">
        <f>IF(A396="","",N(INDEX(Projects[Act Controls Eng],395)))</f>
        <v/>
      </c>
      <c r="BU396" s="5">
        <f>IF(A396="","",N(INDEX(Projects[Act Controls Purchase],395)))</f>
        <v/>
      </c>
      <c r="BV396" s="5">
        <f>IF(A396="","",N(INDEX(Projects[Act Software Eng],395)))</f>
        <v/>
      </c>
      <c r="BW396" s="5">
        <f>IF(A396="","",N(INDEX(Projects[Act 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INDEX(Projects[Sold Value (USD M)],395)</f>
        <v/>
      </c>
      <c r="CE396" s="5" t="n"/>
      <c r="CF396" s="5">
        <f>IF(A396="","",N(INDEX(Projects[Est Mech Inst],395)))</f>
        <v/>
      </c>
      <c r="CG396" s="5">
        <f>IF(A396="","",N(INDEX(Projects[Est Elec Inst],395)))</f>
        <v/>
      </c>
      <c r="CH396" s="5">
        <f>IF(A396="","",N(INDEX(Projects[Est Project Management],395)))</f>
        <v/>
      </c>
      <c r="CI396" s="5">
        <f>IF(A396="","",N(INDEX(Projects[Est Systems Eng],395)))</f>
        <v/>
      </c>
      <c r="CJ396" s="5">
        <f>IF(A396="","",N(INDEX(Projects[Est Mechanical Eng],395)))</f>
        <v/>
      </c>
      <c r="CK396" s="5">
        <f>IF(A396="","",N(INDEX(Projects[Est Structural Engineering],395)))</f>
        <v/>
      </c>
      <c r="CL396" s="5">
        <f>IF(A396="","",N(INDEX(Projects[Est Site Sup],395)))</f>
        <v/>
      </c>
      <c r="CM396" s="5">
        <f>IF(A396="","",N(INDEX(Projects[Est Controls Commissioning],395)))</f>
        <v/>
      </c>
      <c r="CN396" s="5">
        <f>IF(A396="","",N(INDEX(Projects[Est Systems Commissioning],395)))</f>
        <v/>
      </c>
      <c r="CO396" s="5">
        <f>IF(A396="","",N(INDEX(Projects[Est Service Commissioning],395)))</f>
        <v/>
      </c>
      <c r="CP396" s="5">
        <f>IF(A396="","",N(INDEX(Projects[Est Controls Eng],395)))</f>
        <v/>
      </c>
      <c r="CQ396" s="5">
        <f>IF(A396="","",N(INDEX(Projects[Est Controls Purchase],395)))</f>
        <v/>
      </c>
      <c r="CR396" s="5">
        <f>IF(A396="","",N(INDEX(Projects[Est Software Eng],395)))</f>
        <v/>
      </c>
      <c r="CS396" s="5">
        <f>IF(A396="","",N(INDEX(Projects[Est Misc],395)))</f>
        <v/>
      </c>
      <c r="CT396" s="5">
        <f>IF(A396="","",SUM(CF396:CS396))</f>
        <v/>
      </c>
      <c r="CU396" s="5">
        <f>INDEX(Projects[Est Cost (M)],395)</f>
        <v/>
      </c>
      <c r="CV396" s="5">
        <f>INDEX(Projects[Act Cost (M)],395)</f>
        <v/>
      </c>
      <c r="CW396" s="5">
        <f>INDEX(Projects[Plan Mech Eng (wks)],395)</f>
        <v/>
      </c>
      <c r="CX396" s="5">
        <f>INDEX(Projects[Plan Controls Eng (wks)],395)</f>
        <v/>
      </c>
      <c r="CY396" s="5">
        <f>INDEX(Projects[Plan Systems Eng (wks)],395)</f>
        <v/>
      </c>
      <c r="CZ396" s="5">
        <f>INDEX(Projects[Plan Software Eng (wks)],395)</f>
        <v/>
      </c>
      <c r="DA396" s="5">
        <f>INDEX(Projects[Plan M&amp;E Installation (wks)],395)</f>
        <v/>
      </c>
      <c r="DB396" s="5">
        <f>INDEX(Projects[Plan Commissioning (wks)],395)</f>
        <v/>
      </c>
      <c r="DC396" s="5">
        <f>INDEX(Projects[Plan Total (wks)],395)</f>
        <v/>
      </c>
      <c r="DD396" s="5">
        <f>INDEX(Projects[Act Mech Eng (wks)],395)</f>
        <v/>
      </c>
      <c r="DE396" s="5">
        <f>INDEX(Projects[Act Controls Eng (wks)],395)</f>
        <v/>
      </c>
      <c r="DF396" s="5">
        <f>INDEX(Projects[Act Systems Eng (wks)],395)</f>
        <v/>
      </c>
      <c r="DG396" s="5">
        <f>INDEX(Projects[Act Software Eng (wks)],395)</f>
        <v/>
      </c>
      <c r="DH396" s="5">
        <f>INDEX(Projects[Act M&amp;E Installation (wks)],395)</f>
        <v/>
      </c>
      <c r="DI396" s="5">
        <f>INDEX(Projects[Act Commissioning (wks)],395)</f>
        <v/>
      </c>
      <c r="DJ396" s="5">
        <f>INDEX(Projects[Act Total (wks)],395)</f>
        <v/>
      </c>
    </row>
    <row r="397" ht="15" customHeight="1" s="82">
      <c r="A397" s="64">
        <f>INDEX(Projects[Project ID *],396)&amp;""</f>
        <v/>
      </c>
      <c r="B397" s="64">
        <f>INDEX(Projects[Project Name *],396)&amp;""</f>
        <v/>
      </c>
      <c r="C397" s="64">
        <f>INDEX(Projects[MS Shuttles],396)</f>
        <v/>
      </c>
      <c r="D397" s="64">
        <f>INDEX(Projects[MS Tote Locations],396)</f>
        <v/>
      </c>
      <c r="E397" s="64">
        <f>INDEX(Projects[AS Robots],396)</f>
        <v/>
      </c>
      <c r="F397" s="64">
        <f>INDEX(Projects[AS Tote Locations],396)</f>
        <v/>
      </c>
      <c r="G397" s="64">
        <f>INDEX(Projects[PS Shuttles],396)</f>
        <v/>
      </c>
      <c r="H397" s="64">
        <f>INDEX(Projects[PS Pallet Locations],396)</f>
        <v/>
      </c>
      <c r="I397" s="64">
        <f>INDEX(Projects[SRM Cranes],396)</f>
        <v/>
      </c>
      <c r="J397" s="64">
        <f>INDEX(Projects[SRM Pallet Locations],396)</f>
        <v/>
      </c>
      <c r="K397" s="64">
        <f>INDEX(Projects[Case Conv (m)],396)</f>
        <v/>
      </c>
      <c r="L397" s="64">
        <f>INDEX(Projects[Pallet Conv (m)],396)</f>
        <v/>
      </c>
      <c r="M397" s="64">
        <f>IF(N(DJ397)&gt;0,DD397,CW397)</f>
        <v/>
      </c>
      <c r="N397" s="64">
        <f>IF(N(DJ397)&gt;0,DE397,CX397)</f>
        <v/>
      </c>
      <c r="O397" s="64">
        <f>IF(N(DJ397)&gt;0,DF397,CY397)</f>
        <v/>
      </c>
      <c r="P397" s="64">
        <f>IF(N(DJ397)&gt;0,DG397,CZ397)</f>
        <v/>
      </c>
      <c r="Q397" s="64">
        <f>IF(N(DJ397)&gt;0,DH397,DA397)</f>
        <v/>
      </c>
      <c r="R397" s="64">
        <f>IF(N(DJ397)&gt;0,DI397,DB397)</f>
        <v/>
      </c>
      <c r="S397" s="64">
        <f>IF(N(DJ397)&gt;0,DJ397,DC397)</f>
        <v/>
      </c>
      <c r="T397" s="64">
        <f>INDEX(Projects[Currency],396)&amp;""</f>
        <v/>
      </c>
      <c r="U397" s="65">
        <f>INDEX(Projects[Sold Value (M)],396)</f>
        <v/>
      </c>
      <c r="V397" s="64">
        <f>IF('Smart Search'!B13=1,IFERROR(1/'Smart Search'!H13,0),0)</f>
        <v/>
      </c>
      <c r="W397" s="64">
        <f>IF('Smart Search'!B13=1,IFERROR(1/'Smart Search'!H13,0),0)</f>
        <v/>
      </c>
      <c r="X397" s="64">
        <f>IF('Smart Search'!C13=1,IFERROR(1/'Smart Search'!H13,0),0)</f>
        <v/>
      </c>
      <c r="Y397" s="64">
        <f>IF('Smart Search'!C13=1,IFERROR(1/'Smart Search'!H13,0),0)</f>
        <v/>
      </c>
      <c r="Z397" s="64">
        <f>IF('Smart Search'!D13=1,IFERROR(1/'Smart Search'!H13,0),0)</f>
        <v/>
      </c>
      <c r="AA397" s="64">
        <f>IF('Smart Search'!D13=1,IFERROR(1/'Smart Search'!H13,0),0)</f>
        <v/>
      </c>
      <c r="AB397" s="64">
        <f>IF('Smart Search'!E13=1,IFERROR(1/'Smart Search'!H13,0),0)</f>
        <v/>
      </c>
      <c r="AC397" s="64">
        <f>IF('Smart Search'!E13=1,IFERROR(1/'Smart Search'!H13,0),0)</f>
        <v/>
      </c>
      <c r="AD397" s="64">
        <f>IF('Smart Search'!F13=1,IFERROR(1/'Smart Search'!H13,0),0)</f>
        <v/>
      </c>
      <c r="AE397" s="64">
        <f>IF('Smart Search'!F13=1,IFERROR(1/'Smart Search'!H13,0),0)</f>
        <v/>
      </c>
      <c r="AF397" s="64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4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4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4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4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4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4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4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4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4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4">
        <f>AF397*V397</f>
        <v/>
      </c>
      <c r="AQ397" s="64">
        <f>AG397*W397</f>
        <v/>
      </c>
      <c r="AR397" s="64">
        <f>AH397*X397</f>
        <v/>
      </c>
      <c r="AS397" s="64">
        <f>AI397*Y397</f>
        <v/>
      </c>
      <c r="AT397" s="64">
        <f>AJ397*Z397</f>
        <v/>
      </c>
      <c r="AU397" s="64">
        <f>AK397*AA397</f>
        <v/>
      </c>
      <c r="AV397" s="64">
        <f>AL397*AB397</f>
        <v/>
      </c>
      <c r="AW397" s="64">
        <f>AM397*AC397</f>
        <v/>
      </c>
      <c r="AX397" s="64">
        <f>AN397*AD397</f>
        <v/>
      </c>
      <c r="AY397" s="64">
        <f>AO397*AE397</f>
        <v/>
      </c>
      <c r="AZ397" s="64">
        <f>INDEX(Projects[Automation Equipment],396)&amp;""</f>
        <v/>
      </c>
      <c r="BA397" s="64">
        <f>IF(OR(A397="",'Smart Search'!H13=0),"",MAX(0,BE397*BF397*MAX(0,1-BG397)))</f>
        <v/>
      </c>
      <c r="BB397" s="64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4">
        <f>IF('Smart Search'!G13=1,IFERROR(1/'Smart Search'!H13,0),0)</f>
        <v/>
      </c>
      <c r="BD397" s="64">
        <f>BB397*BC397</f>
        <v/>
      </c>
      <c r="BE397" s="64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IF(A397="","",N(INDEX(Projects[Act Mech Inst],396)))</f>
        <v/>
      </c>
      <c r="BK397" s="5">
        <f>IF(A397="","",N(INDEX(Projects[Act Elec Inst],396)))</f>
        <v/>
      </c>
      <c r="BL397" s="5">
        <f>IF(A397="","",N(INDEX(Projects[Act Project Management],396)))</f>
        <v/>
      </c>
      <c r="BM397" s="5">
        <f>IF(A397="","",N(INDEX(Projects[Act Systems Eng],396)))</f>
        <v/>
      </c>
      <c r="BN397" s="5">
        <f>IF(A397="","",N(INDEX(Projects[Act Mechanical Eng],396)))</f>
        <v/>
      </c>
      <c r="BO397" s="5">
        <f>IF(A397="","",N(INDEX(Projects[Act Structural Engineering],396)))</f>
        <v/>
      </c>
      <c r="BP397" s="5">
        <f>IF(A397="","",N(INDEX(Projects[Act Site Sup],396)))</f>
        <v/>
      </c>
      <c r="BQ397" s="5">
        <f>IF(A397="","",N(INDEX(Projects[Act Controls Commissioning],396)))</f>
        <v/>
      </c>
      <c r="BR397" s="5">
        <f>IF(A397="","",N(INDEX(Projects[Act Systems Commissioning],396)))</f>
        <v/>
      </c>
      <c r="BS397" s="5">
        <f>IF(A397="","",N(INDEX(Projects[Act Service Commissioning],396)))</f>
        <v/>
      </c>
      <c r="BT397" s="5">
        <f>IF(A397="","",N(INDEX(Projects[Act Controls Eng],396)))</f>
        <v/>
      </c>
      <c r="BU397" s="5">
        <f>IF(A397="","",N(INDEX(Projects[Act Controls Purchase],396)))</f>
        <v/>
      </c>
      <c r="BV397" s="5">
        <f>IF(A397="","",N(INDEX(Projects[Act Software Eng],396)))</f>
        <v/>
      </c>
      <c r="BW397" s="5">
        <f>IF(A397="","",N(INDEX(Projects[Act 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INDEX(Projects[Sold Value (USD M)],396)</f>
        <v/>
      </c>
      <c r="CE397" s="5" t="n"/>
      <c r="CF397" s="5">
        <f>IF(A397="","",N(INDEX(Projects[Est Mech Inst],396)))</f>
        <v/>
      </c>
      <c r="CG397" s="5">
        <f>IF(A397="","",N(INDEX(Projects[Est Elec Inst],396)))</f>
        <v/>
      </c>
      <c r="CH397" s="5">
        <f>IF(A397="","",N(INDEX(Projects[Est Project Management],396)))</f>
        <v/>
      </c>
      <c r="CI397" s="5">
        <f>IF(A397="","",N(INDEX(Projects[Est Systems Eng],396)))</f>
        <v/>
      </c>
      <c r="CJ397" s="5">
        <f>IF(A397="","",N(INDEX(Projects[Est Mechanical Eng],396)))</f>
        <v/>
      </c>
      <c r="CK397" s="5">
        <f>IF(A397="","",N(INDEX(Projects[Est Structural Engineering],396)))</f>
        <v/>
      </c>
      <c r="CL397" s="5">
        <f>IF(A397="","",N(INDEX(Projects[Est Site Sup],396)))</f>
        <v/>
      </c>
      <c r="CM397" s="5">
        <f>IF(A397="","",N(INDEX(Projects[Est Controls Commissioning],396)))</f>
        <v/>
      </c>
      <c r="CN397" s="5">
        <f>IF(A397="","",N(INDEX(Projects[Est Systems Commissioning],396)))</f>
        <v/>
      </c>
      <c r="CO397" s="5">
        <f>IF(A397="","",N(INDEX(Projects[Est Service Commissioning],396)))</f>
        <v/>
      </c>
      <c r="CP397" s="5">
        <f>IF(A397="","",N(INDEX(Projects[Est Controls Eng],396)))</f>
        <v/>
      </c>
      <c r="CQ397" s="5">
        <f>IF(A397="","",N(INDEX(Projects[Est Controls Purchase],396)))</f>
        <v/>
      </c>
      <c r="CR397" s="5">
        <f>IF(A397="","",N(INDEX(Projects[Est Software Eng],396)))</f>
        <v/>
      </c>
      <c r="CS397" s="5">
        <f>IF(A397="","",N(INDEX(Projects[Est Misc],396)))</f>
        <v/>
      </c>
      <c r="CT397" s="5">
        <f>IF(A397="","",SUM(CF397:CS397))</f>
        <v/>
      </c>
      <c r="CU397" s="5">
        <f>INDEX(Projects[Est Cost (M)],396)</f>
        <v/>
      </c>
      <c r="CV397" s="5">
        <f>INDEX(Projects[Act Cost (M)],396)</f>
        <v/>
      </c>
      <c r="CW397" s="5">
        <f>INDEX(Projects[Plan Mech Eng (wks)],396)</f>
        <v/>
      </c>
      <c r="CX397" s="5">
        <f>INDEX(Projects[Plan Controls Eng (wks)],396)</f>
        <v/>
      </c>
      <c r="CY397" s="5">
        <f>INDEX(Projects[Plan Systems Eng (wks)],396)</f>
        <v/>
      </c>
      <c r="CZ397" s="5">
        <f>INDEX(Projects[Plan Software Eng (wks)],396)</f>
        <v/>
      </c>
      <c r="DA397" s="5">
        <f>INDEX(Projects[Plan M&amp;E Installation (wks)],396)</f>
        <v/>
      </c>
      <c r="DB397" s="5">
        <f>INDEX(Projects[Plan Commissioning (wks)],396)</f>
        <v/>
      </c>
      <c r="DC397" s="5">
        <f>INDEX(Projects[Plan Total (wks)],396)</f>
        <v/>
      </c>
      <c r="DD397" s="5">
        <f>INDEX(Projects[Act Mech Eng (wks)],396)</f>
        <v/>
      </c>
      <c r="DE397" s="5">
        <f>INDEX(Projects[Act Controls Eng (wks)],396)</f>
        <v/>
      </c>
      <c r="DF397" s="5">
        <f>INDEX(Projects[Act Systems Eng (wks)],396)</f>
        <v/>
      </c>
      <c r="DG397" s="5">
        <f>INDEX(Projects[Act Software Eng (wks)],396)</f>
        <v/>
      </c>
      <c r="DH397" s="5">
        <f>INDEX(Projects[Act M&amp;E Installation (wks)],396)</f>
        <v/>
      </c>
      <c r="DI397" s="5">
        <f>INDEX(Projects[Act Commissioning (wks)],396)</f>
        <v/>
      </c>
      <c r="DJ397" s="5">
        <f>INDEX(Projects[Act Total (wks)],396)</f>
        <v/>
      </c>
    </row>
    <row r="398" ht="15" customHeight="1" s="82">
      <c r="A398" s="64">
        <f>INDEX(Projects[Project ID *],397)&amp;""</f>
        <v/>
      </c>
      <c r="B398" s="64">
        <f>INDEX(Projects[Project Name *],397)&amp;""</f>
        <v/>
      </c>
      <c r="C398" s="64">
        <f>INDEX(Projects[MS Shuttles],397)</f>
        <v/>
      </c>
      <c r="D398" s="64">
        <f>INDEX(Projects[MS Tote Locations],397)</f>
        <v/>
      </c>
      <c r="E398" s="64">
        <f>INDEX(Projects[AS Robots],397)</f>
        <v/>
      </c>
      <c r="F398" s="64">
        <f>INDEX(Projects[AS Tote Locations],397)</f>
        <v/>
      </c>
      <c r="G398" s="64">
        <f>INDEX(Projects[PS Shuttles],397)</f>
        <v/>
      </c>
      <c r="H398" s="64">
        <f>INDEX(Projects[PS Pallet Locations],397)</f>
        <v/>
      </c>
      <c r="I398" s="64">
        <f>INDEX(Projects[SRM Cranes],397)</f>
        <v/>
      </c>
      <c r="J398" s="64">
        <f>INDEX(Projects[SRM Pallet Locations],397)</f>
        <v/>
      </c>
      <c r="K398" s="64">
        <f>INDEX(Projects[Case Conv (m)],397)</f>
        <v/>
      </c>
      <c r="L398" s="64">
        <f>INDEX(Projects[Pallet Conv (m)],397)</f>
        <v/>
      </c>
      <c r="M398" s="64">
        <f>IF(N(DJ398)&gt;0,DD398,CW398)</f>
        <v/>
      </c>
      <c r="N398" s="64">
        <f>IF(N(DJ398)&gt;0,DE398,CX398)</f>
        <v/>
      </c>
      <c r="O398" s="64">
        <f>IF(N(DJ398)&gt;0,DF398,CY398)</f>
        <v/>
      </c>
      <c r="P398" s="64">
        <f>IF(N(DJ398)&gt;0,DG398,CZ398)</f>
        <v/>
      </c>
      <c r="Q398" s="64">
        <f>IF(N(DJ398)&gt;0,DH398,DA398)</f>
        <v/>
      </c>
      <c r="R398" s="64">
        <f>IF(N(DJ398)&gt;0,DI398,DB398)</f>
        <v/>
      </c>
      <c r="S398" s="64">
        <f>IF(N(DJ398)&gt;0,DJ398,DC398)</f>
        <v/>
      </c>
      <c r="T398" s="64">
        <f>INDEX(Projects[Currency],397)&amp;""</f>
        <v/>
      </c>
      <c r="U398" s="65">
        <f>INDEX(Projects[Sold Value (M)],397)</f>
        <v/>
      </c>
      <c r="V398" s="64">
        <f>IF('Smart Search'!B13=1,IFERROR(1/'Smart Search'!H13,0),0)</f>
        <v/>
      </c>
      <c r="W398" s="64">
        <f>IF('Smart Search'!B13=1,IFERROR(1/'Smart Search'!H13,0),0)</f>
        <v/>
      </c>
      <c r="X398" s="64">
        <f>IF('Smart Search'!C13=1,IFERROR(1/'Smart Search'!H13,0),0)</f>
        <v/>
      </c>
      <c r="Y398" s="64">
        <f>IF('Smart Search'!C13=1,IFERROR(1/'Smart Search'!H13,0),0)</f>
        <v/>
      </c>
      <c r="Z398" s="64">
        <f>IF('Smart Search'!D13=1,IFERROR(1/'Smart Search'!H13,0),0)</f>
        <v/>
      </c>
      <c r="AA398" s="64">
        <f>IF('Smart Search'!D13=1,IFERROR(1/'Smart Search'!H13,0),0)</f>
        <v/>
      </c>
      <c r="AB398" s="64">
        <f>IF('Smart Search'!E13=1,IFERROR(1/'Smart Search'!H13,0),0)</f>
        <v/>
      </c>
      <c r="AC398" s="64">
        <f>IF('Smart Search'!E13=1,IFERROR(1/'Smart Search'!H13,0),0)</f>
        <v/>
      </c>
      <c r="AD398" s="64">
        <f>IF('Smart Search'!F13=1,IFERROR(1/'Smart Search'!H13,0),0)</f>
        <v/>
      </c>
      <c r="AE398" s="64">
        <f>IF('Smart Search'!F13=1,IFERROR(1/'Smart Search'!H13,0),0)</f>
        <v/>
      </c>
      <c r="AF398" s="64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4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4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4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4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4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4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4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4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4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4">
        <f>AF398*V398</f>
        <v/>
      </c>
      <c r="AQ398" s="64">
        <f>AG398*W398</f>
        <v/>
      </c>
      <c r="AR398" s="64">
        <f>AH398*X398</f>
        <v/>
      </c>
      <c r="AS398" s="64">
        <f>AI398*Y398</f>
        <v/>
      </c>
      <c r="AT398" s="64">
        <f>AJ398*Z398</f>
        <v/>
      </c>
      <c r="AU398" s="64">
        <f>AK398*AA398</f>
        <v/>
      </c>
      <c r="AV398" s="64">
        <f>AL398*AB398</f>
        <v/>
      </c>
      <c r="AW398" s="64">
        <f>AM398*AC398</f>
        <v/>
      </c>
      <c r="AX398" s="64">
        <f>AN398*AD398</f>
        <v/>
      </c>
      <c r="AY398" s="64">
        <f>AO398*AE398</f>
        <v/>
      </c>
      <c r="AZ398" s="64">
        <f>INDEX(Projects[Automation Equipment],397)&amp;""</f>
        <v/>
      </c>
      <c r="BA398" s="64">
        <f>IF(OR(A398="",'Smart Search'!H13=0),"",MAX(0,BE398*BF398*MAX(0,1-BG398)))</f>
        <v/>
      </c>
      <c r="BB398" s="64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4">
        <f>IF('Smart Search'!G13=1,IFERROR(1/'Smart Search'!H13,0),0)</f>
        <v/>
      </c>
      <c r="BD398" s="64">
        <f>BB398*BC398</f>
        <v/>
      </c>
      <c r="BE398" s="64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IF(A398="","",N(INDEX(Projects[Act Mech Inst],397)))</f>
        <v/>
      </c>
      <c r="BK398" s="5">
        <f>IF(A398="","",N(INDEX(Projects[Act Elec Inst],397)))</f>
        <v/>
      </c>
      <c r="BL398" s="5">
        <f>IF(A398="","",N(INDEX(Projects[Act Project Management],397)))</f>
        <v/>
      </c>
      <c r="BM398" s="5">
        <f>IF(A398="","",N(INDEX(Projects[Act Systems Eng],397)))</f>
        <v/>
      </c>
      <c r="BN398" s="5">
        <f>IF(A398="","",N(INDEX(Projects[Act Mechanical Eng],397)))</f>
        <v/>
      </c>
      <c r="BO398" s="5">
        <f>IF(A398="","",N(INDEX(Projects[Act Structural Engineering],397)))</f>
        <v/>
      </c>
      <c r="BP398" s="5">
        <f>IF(A398="","",N(INDEX(Projects[Act Site Sup],397)))</f>
        <v/>
      </c>
      <c r="BQ398" s="5">
        <f>IF(A398="","",N(INDEX(Projects[Act Controls Commissioning],397)))</f>
        <v/>
      </c>
      <c r="BR398" s="5">
        <f>IF(A398="","",N(INDEX(Projects[Act Systems Commissioning],397)))</f>
        <v/>
      </c>
      <c r="BS398" s="5">
        <f>IF(A398="","",N(INDEX(Projects[Act Service Commissioning],397)))</f>
        <v/>
      </c>
      <c r="BT398" s="5">
        <f>IF(A398="","",N(INDEX(Projects[Act Controls Eng],397)))</f>
        <v/>
      </c>
      <c r="BU398" s="5">
        <f>IF(A398="","",N(INDEX(Projects[Act Controls Purchase],397)))</f>
        <v/>
      </c>
      <c r="BV398" s="5">
        <f>IF(A398="","",N(INDEX(Projects[Act Software Eng],397)))</f>
        <v/>
      </c>
      <c r="BW398" s="5">
        <f>IF(A398="","",N(INDEX(Projects[Act 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INDEX(Projects[Sold Value (USD M)],397)</f>
        <v/>
      </c>
      <c r="CE398" s="5" t="n"/>
      <c r="CF398" s="5">
        <f>IF(A398="","",N(INDEX(Projects[Est Mech Inst],397)))</f>
        <v/>
      </c>
      <c r="CG398" s="5">
        <f>IF(A398="","",N(INDEX(Projects[Est Elec Inst],397)))</f>
        <v/>
      </c>
      <c r="CH398" s="5">
        <f>IF(A398="","",N(INDEX(Projects[Est Project Management],397)))</f>
        <v/>
      </c>
      <c r="CI398" s="5">
        <f>IF(A398="","",N(INDEX(Projects[Est Systems Eng],397)))</f>
        <v/>
      </c>
      <c r="CJ398" s="5">
        <f>IF(A398="","",N(INDEX(Projects[Est Mechanical Eng],397)))</f>
        <v/>
      </c>
      <c r="CK398" s="5">
        <f>IF(A398="","",N(INDEX(Projects[Est Structural Engineering],397)))</f>
        <v/>
      </c>
      <c r="CL398" s="5">
        <f>IF(A398="","",N(INDEX(Projects[Est Site Sup],397)))</f>
        <v/>
      </c>
      <c r="CM398" s="5">
        <f>IF(A398="","",N(INDEX(Projects[Est Controls Commissioning],397)))</f>
        <v/>
      </c>
      <c r="CN398" s="5">
        <f>IF(A398="","",N(INDEX(Projects[Est Systems Commissioning],397)))</f>
        <v/>
      </c>
      <c r="CO398" s="5">
        <f>IF(A398="","",N(INDEX(Projects[Est Service Commissioning],397)))</f>
        <v/>
      </c>
      <c r="CP398" s="5">
        <f>IF(A398="","",N(INDEX(Projects[Est Controls Eng],397)))</f>
        <v/>
      </c>
      <c r="CQ398" s="5">
        <f>IF(A398="","",N(INDEX(Projects[Est Controls Purchase],397)))</f>
        <v/>
      </c>
      <c r="CR398" s="5">
        <f>IF(A398="","",N(INDEX(Projects[Est Software Eng],397)))</f>
        <v/>
      </c>
      <c r="CS398" s="5">
        <f>IF(A398="","",N(INDEX(Projects[Est Misc],397)))</f>
        <v/>
      </c>
      <c r="CT398" s="5">
        <f>IF(A398="","",SUM(CF398:CS398))</f>
        <v/>
      </c>
      <c r="CU398" s="5">
        <f>INDEX(Projects[Est Cost (M)],397)</f>
        <v/>
      </c>
      <c r="CV398" s="5">
        <f>INDEX(Projects[Act Cost (M)],397)</f>
        <v/>
      </c>
      <c r="CW398" s="5">
        <f>INDEX(Projects[Plan Mech Eng (wks)],397)</f>
        <v/>
      </c>
      <c r="CX398" s="5">
        <f>INDEX(Projects[Plan Controls Eng (wks)],397)</f>
        <v/>
      </c>
      <c r="CY398" s="5">
        <f>INDEX(Projects[Plan Systems Eng (wks)],397)</f>
        <v/>
      </c>
      <c r="CZ398" s="5">
        <f>INDEX(Projects[Plan Software Eng (wks)],397)</f>
        <v/>
      </c>
      <c r="DA398" s="5">
        <f>INDEX(Projects[Plan M&amp;E Installation (wks)],397)</f>
        <v/>
      </c>
      <c r="DB398" s="5">
        <f>INDEX(Projects[Plan Commissioning (wks)],397)</f>
        <v/>
      </c>
      <c r="DC398" s="5">
        <f>INDEX(Projects[Plan Total (wks)],397)</f>
        <v/>
      </c>
      <c r="DD398" s="5">
        <f>INDEX(Projects[Act Mech Eng (wks)],397)</f>
        <v/>
      </c>
      <c r="DE398" s="5">
        <f>INDEX(Projects[Act Controls Eng (wks)],397)</f>
        <v/>
      </c>
      <c r="DF398" s="5">
        <f>INDEX(Projects[Act Systems Eng (wks)],397)</f>
        <v/>
      </c>
      <c r="DG398" s="5">
        <f>INDEX(Projects[Act Software Eng (wks)],397)</f>
        <v/>
      </c>
      <c r="DH398" s="5">
        <f>INDEX(Projects[Act M&amp;E Installation (wks)],397)</f>
        <v/>
      </c>
      <c r="DI398" s="5">
        <f>INDEX(Projects[Act Commissioning (wks)],397)</f>
        <v/>
      </c>
      <c r="DJ398" s="5">
        <f>INDEX(Projects[Act Total (wks)],397)</f>
        <v/>
      </c>
    </row>
    <row r="399" ht="15" customHeight="1" s="82">
      <c r="A399" s="64">
        <f>INDEX(Projects[Project ID *],398)&amp;""</f>
        <v/>
      </c>
      <c r="B399" s="64">
        <f>INDEX(Projects[Project Name *],398)&amp;""</f>
        <v/>
      </c>
      <c r="C399" s="64">
        <f>INDEX(Projects[MS Shuttles],398)</f>
        <v/>
      </c>
      <c r="D399" s="64">
        <f>INDEX(Projects[MS Tote Locations],398)</f>
        <v/>
      </c>
      <c r="E399" s="64">
        <f>INDEX(Projects[AS Robots],398)</f>
        <v/>
      </c>
      <c r="F399" s="64">
        <f>INDEX(Projects[AS Tote Locations],398)</f>
        <v/>
      </c>
      <c r="G399" s="64">
        <f>INDEX(Projects[PS Shuttles],398)</f>
        <v/>
      </c>
      <c r="H399" s="64">
        <f>INDEX(Projects[PS Pallet Locations],398)</f>
        <v/>
      </c>
      <c r="I399" s="64">
        <f>INDEX(Projects[SRM Cranes],398)</f>
        <v/>
      </c>
      <c r="J399" s="64">
        <f>INDEX(Projects[SRM Pallet Locations],398)</f>
        <v/>
      </c>
      <c r="K399" s="64">
        <f>INDEX(Projects[Case Conv (m)],398)</f>
        <v/>
      </c>
      <c r="L399" s="64">
        <f>INDEX(Projects[Pallet Conv (m)],398)</f>
        <v/>
      </c>
      <c r="M399" s="64">
        <f>IF(N(DJ399)&gt;0,DD399,CW399)</f>
        <v/>
      </c>
      <c r="N399" s="64">
        <f>IF(N(DJ399)&gt;0,DE399,CX399)</f>
        <v/>
      </c>
      <c r="O399" s="64">
        <f>IF(N(DJ399)&gt;0,DF399,CY399)</f>
        <v/>
      </c>
      <c r="P399" s="64">
        <f>IF(N(DJ399)&gt;0,DG399,CZ399)</f>
        <v/>
      </c>
      <c r="Q399" s="64">
        <f>IF(N(DJ399)&gt;0,DH399,DA399)</f>
        <v/>
      </c>
      <c r="R399" s="64">
        <f>IF(N(DJ399)&gt;0,DI399,DB399)</f>
        <v/>
      </c>
      <c r="S399" s="64">
        <f>IF(N(DJ399)&gt;0,DJ399,DC399)</f>
        <v/>
      </c>
      <c r="T399" s="64">
        <f>INDEX(Projects[Currency],398)&amp;""</f>
        <v/>
      </c>
      <c r="U399" s="65">
        <f>INDEX(Projects[Sold Value (M)],398)</f>
        <v/>
      </c>
      <c r="V399" s="64">
        <f>IF('Smart Search'!B13=1,IFERROR(1/'Smart Search'!H13,0),0)</f>
        <v/>
      </c>
      <c r="W399" s="64">
        <f>IF('Smart Search'!B13=1,IFERROR(1/'Smart Search'!H13,0),0)</f>
        <v/>
      </c>
      <c r="X399" s="64">
        <f>IF('Smart Search'!C13=1,IFERROR(1/'Smart Search'!H13,0),0)</f>
        <v/>
      </c>
      <c r="Y399" s="64">
        <f>IF('Smart Search'!C13=1,IFERROR(1/'Smart Search'!H13,0),0)</f>
        <v/>
      </c>
      <c r="Z399" s="64">
        <f>IF('Smart Search'!D13=1,IFERROR(1/'Smart Search'!H13,0),0)</f>
        <v/>
      </c>
      <c r="AA399" s="64">
        <f>IF('Smart Search'!D13=1,IFERROR(1/'Smart Search'!H13,0),0)</f>
        <v/>
      </c>
      <c r="AB399" s="64">
        <f>IF('Smart Search'!E13=1,IFERROR(1/'Smart Search'!H13,0),0)</f>
        <v/>
      </c>
      <c r="AC399" s="64">
        <f>IF('Smart Search'!E13=1,IFERROR(1/'Smart Search'!H13,0),0)</f>
        <v/>
      </c>
      <c r="AD399" s="64">
        <f>IF('Smart Search'!F13=1,IFERROR(1/'Smart Search'!H13,0),0)</f>
        <v/>
      </c>
      <c r="AE399" s="64">
        <f>IF('Smart Search'!F13=1,IFERROR(1/'Smart Search'!H13,0),0)</f>
        <v/>
      </c>
      <c r="AF399" s="64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4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4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4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4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4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4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4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4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4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4">
        <f>AF399*V399</f>
        <v/>
      </c>
      <c r="AQ399" s="64">
        <f>AG399*W399</f>
        <v/>
      </c>
      <c r="AR399" s="64">
        <f>AH399*X399</f>
        <v/>
      </c>
      <c r="AS399" s="64">
        <f>AI399*Y399</f>
        <v/>
      </c>
      <c r="AT399" s="64">
        <f>AJ399*Z399</f>
        <v/>
      </c>
      <c r="AU399" s="64">
        <f>AK399*AA399</f>
        <v/>
      </c>
      <c r="AV399" s="64">
        <f>AL399*AB399</f>
        <v/>
      </c>
      <c r="AW399" s="64">
        <f>AM399*AC399</f>
        <v/>
      </c>
      <c r="AX399" s="64">
        <f>AN399*AD399</f>
        <v/>
      </c>
      <c r="AY399" s="64">
        <f>AO399*AE399</f>
        <v/>
      </c>
      <c r="AZ399" s="64">
        <f>INDEX(Projects[Automation Equipment],398)&amp;""</f>
        <v/>
      </c>
      <c r="BA399" s="64">
        <f>IF(OR(A399="",'Smart Search'!H13=0),"",MAX(0,BE399*BF399*MAX(0,1-BG399)))</f>
        <v/>
      </c>
      <c r="BB399" s="64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4">
        <f>IF('Smart Search'!G13=1,IFERROR(1/'Smart Search'!H13,0),0)</f>
        <v/>
      </c>
      <c r="BD399" s="64">
        <f>BB399*BC399</f>
        <v/>
      </c>
      <c r="BE399" s="64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IF(A399="","",N(INDEX(Projects[Act Mech Inst],398)))</f>
        <v/>
      </c>
      <c r="BK399" s="5">
        <f>IF(A399="","",N(INDEX(Projects[Act Elec Inst],398)))</f>
        <v/>
      </c>
      <c r="BL399" s="5">
        <f>IF(A399="","",N(INDEX(Projects[Act Project Management],398)))</f>
        <v/>
      </c>
      <c r="BM399" s="5">
        <f>IF(A399="","",N(INDEX(Projects[Act Systems Eng],398)))</f>
        <v/>
      </c>
      <c r="BN399" s="5">
        <f>IF(A399="","",N(INDEX(Projects[Act Mechanical Eng],398)))</f>
        <v/>
      </c>
      <c r="BO399" s="5">
        <f>IF(A399="","",N(INDEX(Projects[Act Structural Engineering],398)))</f>
        <v/>
      </c>
      <c r="BP399" s="5">
        <f>IF(A399="","",N(INDEX(Projects[Act Site Sup],398)))</f>
        <v/>
      </c>
      <c r="BQ399" s="5">
        <f>IF(A399="","",N(INDEX(Projects[Act Controls Commissioning],398)))</f>
        <v/>
      </c>
      <c r="BR399" s="5">
        <f>IF(A399="","",N(INDEX(Projects[Act Systems Commissioning],398)))</f>
        <v/>
      </c>
      <c r="BS399" s="5">
        <f>IF(A399="","",N(INDEX(Projects[Act Service Commissioning],398)))</f>
        <v/>
      </c>
      <c r="BT399" s="5">
        <f>IF(A399="","",N(INDEX(Projects[Act Controls Eng],398)))</f>
        <v/>
      </c>
      <c r="BU399" s="5">
        <f>IF(A399="","",N(INDEX(Projects[Act Controls Purchase],398)))</f>
        <v/>
      </c>
      <c r="BV399" s="5">
        <f>IF(A399="","",N(INDEX(Projects[Act Software Eng],398)))</f>
        <v/>
      </c>
      <c r="BW399" s="5">
        <f>IF(A399="","",N(INDEX(Projects[Act 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INDEX(Projects[Sold Value (USD M)],398)</f>
        <v/>
      </c>
      <c r="CE399" s="5" t="n"/>
      <c r="CF399" s="5">
        <f>IF(A399="","",N(INDEX(Projects[Est Mech Inst],398)))</f>
        <v/>
      </c>
      <c r="CG399" s="5">
        <f>IF(A399="","",N(INDEX(Projects[Est Elec Inst],398)))</f>
        <v/>
      </c>
      <c r="CH399" s="5">
        <f>IF(A399="","",N(INDEX(Projects[Est Project Management],398)))</f>
        <v/>
      </c>
      <c r="CI399" s="5">
        <f>IF(A399="","",N(INDEX(Projects[Est Systems Eng],398)))</f>
        <v/>
      </c>
      <c r="CJ399" s="5">
        <f>IF(A399="","",N(INDEX(Projects[Est Mechanical Eng],398)))</f>
        <v/>
      </c>
      <c r="CK399" s="5">
        <f>IF(A399="","",N(INDEX(Projects[Est Structural Engineering],398)))</f>
        <v/>
      </c>
      <c r="CL399" s="5">
        <f>IF(A399="","",N(INDEX(Projects[Est Site Sup],398)))</f>
        <v/>
      </c>
      <c r="CM399" s="5">
        <f>IF(A399="","",N(INDEX(Projects[Est Controls Commissioning],398)))</f>
        <v/>
      </c>
      <c r="CN399" s="5">
        <f>IF(A399="","",N(INDEX(Projects[Est Systems Commissioning],398)))</f>
        <v/>
      </c>
      <c r="CO399" s="5">
        <f>IF(A399="","",N(INDEX(Projects[Est Service Commissioning],398)))</f>
        <v/>
      </c>
      <c r="CP399" s="5">
        <f>IF(A399="","",N(INDEX(Projects[Est Controls Eng],398)))</f>
        <v/>
      </c>
      <c r="CQ399" s="5">
        <f>IF(A399="","",N(INDEX(Projects[Est Controls Purchase],398)))</f>
        <v/>
      </c>
      <c r="CR399" s="5">
        <f>IF(A399="","",N(INDEX(Projects[Est Software Eng],398)))</f>
        <v/>
      </c>
      <c r="CS399" s="5">
        <f>IF(A399="","",N(INDEX(Projects[Est Misc],398)))</f>
        <v/>
      </c>
      <c r="CT399" s="5">
        <f>IF(A399="","",SUM(CF399:CS399))</f>
        <v/>
      </c>
      <c r="CU399" s="5">
        <f>INDEX(Projects[Est Cost (M)],398)</f>
        <v/>
      </c>
      <c r="CV399" s="5">
        <f>INDEX(Projects[Act Cost (M)],398)</f>
        <v/>
      </c>
      <c r="CW399" s="5">
        <f>INDEX(Projects[Plan Mech Eng (wks)],398)</f>
        <v/>
      </c>
      <c r="CX399" s="5">
        <f>INDEX(Projects[Plan Controls Eng (wks)],398)</f>
        <v/>
      </c>
      <c r="CY399" s="5">
        <f>INDEX(Projects[Plan Systems Eng (wks)],398)</f>
        <v/>
      </c>
      <c r="CZ399" s="5">
        <f>INDEX(Projects[Plan Software Eng (wks)],398)</f>
        <v/>
      </c>
      <c r="DA399" s="5">
        <f>INDEX(Projects[Plan M&amp;E Installation (wks)],398)</f>
        <v/>
      </c>
      <c r="DB399" s="5">
        <f>INDEX(Projects[Plan Commissioning (wks)],398)</f>
        <v/>
      </c>
      <c r="DC399" s="5">
        <f>INDEX(Projects[Plan Total (wks)],398)</f>
        <v/>
      </c>
      <c r="DD399" s="5">
        <f>INDEX(Projects[Act Mech Eng (wks)],398)</f>
        <v/>
      </c>
      <c r="DE399" s="5">
        <f>INDEX(Projects[Act Controls Eng (wks)],398)</f>
        <v/>
      </c>
      <c r="DF399" s="5">
        <f>INDEX(Projects[Act Systems Eng (wks)],398)</f>
        <v/>
      </c>
      <c r="DG399" s="5">
        <f>INDEX(Projects[Act Software Eng (wks)],398)</f>
        <v/>
      </c>
      <c r="DH399" s="5">
        <f>INDEX(Projects[Act M&amp;E Installation (wks)],398)</f>
        <v/>
      </c>
      <c r="DI399" s="5">
        <f>INDEX(Projects[Act Commissioning (wks)],398)</f>
        <v/>
      </c>
      <c r="DJ399" s="5">
        <f>INDEX(Projects[Act Total (wks)],398)</f>
        <v/>
      </c>
    </row>
    <row r="400" ht="15" customHeight="1" s="82">
      <c r="A400" s="64">
        <f>INDEX(Projects[Project ID *],399)&amp;""</f>
        <v/>
      </c>
      <c r="B400" s="64">
        <f>INDEX(Projects[Project Name *],399)&amp;""</f>
        <v/>
      </c>
      <c r="C400" s="64">
        <f>INDEX(Projects[MS Shuttles],399)</f>
        <v/>
      </c>
      <c r="D400" s="64">
        <f>INDEX(Projects[MS Tote Locations],399)</f>
        <v/>
      </c>
      <c r="E400" s="64">
        <f>INDEX(Projects[AS Robots],399)</f>
        <v/>
      </c>
      <c r="F400" s="64">
        <f>INDEX(Projects[AS Tote Locations],399)</f>
        <v/>
      </c>
      <c r="G400" s="64">
        <f>INDEX(Projects[PS Shuttles],399)</f>
        <v/>
      </c>
      <c r="H400" s="64">
        <f>INDEX(Projects[PS Pallet Locations],399)</f>
        <v/>
      </c>
      <c r="I400" s="64">
        <f>INDEX(Projects[SRM Cranes],399)</f>
        <v/>
      </c>
      <c r="J400" s="64">
        <f>INDEX(Projects[SRM Pallet Locations],399)</f>
        <v/>
      </c>
      <c r="K400" s="64">
        <f>INDEX(Projects[Case Conv (m)],399)</f>
        <v/>
      </c>
      <c r="L400" s="64">
        <f>INDEX(Projects[Pallet Conv (m)],399)</f>
        <v/>
      </c>
      <c r="M400" s="64">
        <f>IF(N(DJ400)&gt;0,DD400,CW400)</f>
        <v/>
      </c>
      <c r="N400" s="64">
        <f>IF(N(DJ400)&gt;0,DE400,CX400)</f>
        <v/>
      </c>
      <c r="O400" s="64">
        <f>IF(N(DJ400)&gt;0,DF400,CY400)</f>
        <v/>
      </c>
      <c r="P400" s="64">
        <f>IF(N(DJ400)&gt;0,DG400,CZ400)</f>
        <v/>
      </c>
      <c r="Q400" s="64">
        <f>IF(N(DJ400)&gt;0,DH400,DA400)</f>
        <v/>
      </c>
      <c r="R400" s="64">
        <f>IF(N(DJ400)&gt;0,DI400,DB400)</f>
        <v/>
      </c>
      <c r="S400" s="64">
        <f>IF(N(DJ400)&gt;0,DJ400,DC400)</f>
        <v/>
      </c>
      <c r="T400" s="64">
        <f>INDEX(Projects[Currency],399)&amp;""</f>
        <v/>
      </c>
      <c r="U400" s="65">
        <f>INDEX(Projects[Sold Value (M)],399)</f>
        <v/>
      </c>
      <c r="V400" s="64">
        <f>IF('Smart Search'!B13=1,IFERROR(1/'Smart Search'!H13,0),0)</f>
        <v/>
      </c>
      <c r="W400" s="64">
        <f>IF('Smart Search'!B13=1,IFERROR(1/'Smart Search'!H13,0),0)</f>
        <v/>
      </c>
      <c r="X400" s="64">
        <f>IF('Smart Search'!C13=1,IFERROR(1/'Smart Search'!H13,0),0)</f>
        <v/>
      </c>
      <c r="Y400" s="64">
        <f>IF('Smart Search'!C13=1,IFERROR(1/'Smart Search'!H13,0),0)</f>
        <v/>
      </c>
      <c r="Z400" s="64">
        <f>IF('Smart Search'!D13=1,IFERROR(1/'Smart Search'!H13,0),0)</f>
        <v/>
      </c>
      <c r="AA400" s="64">
        <f>IF('Smart Search'!D13=1,IFERROR(1/'Smart Search'!H13,0),0)</f>
        <v/>
      </c>
      <c r="AB400" s="64">
        <f>IF('Smart Search'!E13=1,IFERROR(1/'Smart Search'!H13,0),0)</f>
        <v/>
      </c>
      <c r="AC400" s="64">
        <f>IF('Smart Search'!E13=1,IFERROR(1/'Smart Search'!H13,0),0)</f>
        <v/>
      </c>
      <c r="AD400" s="64">
        <f>IF('Smart Search'!F13=1,IFERROR(1/'Smart Search'!H13,0),0)</f>
        <v/>
      </c>
      <c r="AE400" s="64">
        <f>IF('Smart Search'!F13=1,IFERROR(1/'Smart Search'!H13,0),0)</f>
        <v/>
      </c>
      <c r="AF400" s="64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4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4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4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4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4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4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4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4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4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4">
        <f>AF400*V400</f>
        <v/>
      </c>
      <c r="AQ400" s="64">
        <f>AG400*W400</f>
        <v/>
      </c>
      <c r="AR400" s="64">
        <f>AH400*X400</f>
        <v/>
      </c>
      <c r="AS400" s="64">
        <f>AI400*Y400</f>
        <v/>
      </c>
      <c r="AT400" s="64">
        <f>AJ400*Z400</f>
        <v/>
      </c>
      <c r="AU400" s="64">
        <f>AK400*AA400</f>
        <v/>
      </c>
      <c r="AV400" s="64">
        <f>AL400*AB400</f>
        <v/>
      </c>
      <c r="AW400" s="64">
        <f>AM400*AC400</f>
        <v/>
      </c>
      <c r="AX400" s="64">
        <f>AN400*AD400</f>
        <v/>
      </c>
      <c r="AY400" s="64">
        <f>AO400*AE400</f>
        <v/>
      </c>
      <c r="AZ400" s="64">
        <f>INDEX(Projects[Automation Equipment],399)&amp;""</f>
        <v/>
      </c>
      <c r="BA400" s="64">
        <f>IF(OR(A400="",'Smart Search'!H13=0),"",MAX(0,BE400*BF400*MAX(0,1-BG400)))</f>
        <v/>
      </c>
      <c r="BB400" s="64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4">
        <f>IF('Smart Search'!G13=1,IFERROR(1/'Smart Search'!H13,0),0)</f>
        <v/>
      </c>
      <c r="BD400" s="64">
        <f>BB400*BC400</f>
        <v/>
      </c>
      <c r="BE400" s="64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IF(A400="","",N(INDEX(Projects[Act Mech Inst],399)))</f>
        <v/>
      </c>
      <c r="BK400" s="5">
        <f>IF(A400="","",N(INDEX(Projects[Act Elec Inst],399)))</f>
        <v/>
      </c>
      <c r="BL400" s="5">
        <f>IF(A400="","",N(INDEX(Projects[Act Project Management],399)))</f>
        <v/>
      </c>
      <c r="BM400" s="5">
        <f>IF(A400="","",N(INDEX(Projects[Act Systems Eng],399)))</f>
        <v/>
      </c>
      <c r="BN400" s="5">
        <f>IF(A400="","",N(INDEX(Projects[Act Mechanical Eng],399)))</f>
        <v/>
      </c>
      <c r="BO400" s="5">
        <f>IF(A400="","",N(INDEX(Projects[Act Structural Engineering],399)))</f>
        <v/>
      </c>
      <c r="BP400" s="5">
        <f>IF(A400="","",N(INDEX(Projects[Act Site Sup],399)))</f>
        <v/>
      </c>
      <c r="BQ400" s="5">
        <f>IF(A400="","",N(INDEX(Projects[Act Controls Commissioning],399)))</f>
        <v/>
      </c>
      <c r="BR400" s="5">
        <f>IF(A400="","",N(INDEX(Projects[Act Systems Commissioning],399)))</f>
        <v/>
      </c>
      <c r="BS400" s="5">
        <f>IF(A400="","",N(INDEX(Projects[Act Service Commissioning],399)))</f>
        <v/>
      </c>
      <c r="BT400" s="5">
        <f>IF(A400="","",N(INDEX(Projects[Act Controls Eng],399)))</f>
        <v/>
      </c>
      <c r="BU400" s="5">
        <f>IF(A400="","",N(INDEX(Projects[Act Controls Purchase],399)))</f>
        <v/>
      </c>
      <c r="BV400" s="5">
        <f>IF(A400="","",N(INDEX(Projects[Act Software Eng],399)))</f>
        <v/>
      </c>
      <c r="BW400" s="5">
        <f>IF(A400="","",N(INDEX(Projects[Act 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INDEX(Projects[Sold Value (USD M)],399)</f>
        <v/>
      </c>
      <c r="CE400" s="5" t="n"/>
      <c r="CF400" s="5">
        <f>IF(A400="","",N(INDEX(Projects[Est Mech Inst],399)))</f>
        <v/>
      </c>
      <c r="CG400" s="5">
        <f>IF(A400="","",N(INDEX(Projects[Est Elec Inst],399)))</f>
        <v/>
      </c>
      <c r="CH400" s="5">
        <f>IF(A400="","",N(INDEX(Projects[Est Project Management],399)))</f>
        <v/>
      </c>
      <c r="CI400" s="5">
        <f>IF(A400="","",N(INDEX(Projects[Est Systems Eng],399)))</f>
        <v/>
      </c>
      <c r="CJ400" s="5">
        <f>IF(A400="","",N(INDEX(Projects[Est Mechanical Eng],399)))</f>
        <v/>
      </c>
      <c r="CK400" s="5">
        <f>IF(A400="","",N(INDEX(Projects[Est Structural Engineering],399)))</f>
        <v/>
      </c>
      <c r="CL400" s="5">
        <f>IF(A400="","",N(INDEX(Projects[Est Site Sup],399)))</f>
        <v/>
      </c>
      <c r="CM400" s="5">
        <f>IF(A400="","",N(INDEX(Projects[Est Controls Commissioning],399)))</f>
        <v/>
      </c>
      <c r="CN400" s="5">
        <f>IF(A400="","",N(INDEX(Projects[Est Systems Commissioning],399)))</f>
        <v/>
      </c>
      <c r="CO400" s="5">
        <f>IF(A400="","",N(INDEX(Projects[Est Service Commissioning],399)))</f>
        <v/>
      </c>
      <c r="CP400" s="5">
        <f>IF(A400="","",N(INDEX(Projects[Est Controls Eng],399)))</f>
        <v/>
      </c>
      <c r="CQ400" s="5">
        <f>IF(A400="","",N(INDEX(Projects[Est Controls Purchase],399)))</f>
        <v/>
      </c>
      <c r="CR400" s="5">
        <f>IF(A400="","",N(INDEX(Projects[Est Software Eng],399)))</f>
        <v/>
      </c>
      <c r="CS400" s="5">
        <f>IF(A400="","",N(INDEX(Projects[Est Misc],399)))</f>
        <v/>
      </c>
      <c r="CT400" s="5">
        <f>IF(A400="","",SUM(CF400:CS400))</f>
        <v/>
      </c>
      <c r="CU400" s="5">
        <f>INDEX(Projects[Est Cost (M)],399)</f>
        <v/>
      </c>
      <c r="CV400" s="5">
        <f>INDEX(Projects[Act Cost (M)],399)</f>
        <v/>
      </c>
      <c r="CW400" s="5">
        <f>INDEX(Projects[Plan Mech Eng (wks)],399)</f>
        <v/>
      </c>
      <c r="CX400" s="5">
        <f>INDEX(Projects[Plan Controls Eng (wks)],399)</f>
        <v/>
      </c>
      <c r="CY400" s="5">
        <f>INDEX(Projects[Plan Systems Eng (wks)],399)</f>
        <v/>
      </c>
      <c r="CZ400" s="5">
        <f>INDEX(Projects[Plan Software Eng (wks)],399)</f>
        <v/>
      </c>
      <c r="DA400" s="5">
        <f>INDEX(Projects[Plan M&amp;E Installation (wks)],399)</f>
        <v/>
      </c>
      <c r="DB400" s="5">
        <f>INDEX(Projects[Plan Commissioning (wks)],399)</f>
        <v/>
      </c>
      <c r="DC400" s="5">
        <f>INDEX(Projects[Plan Total (wks)],399)</f>
        <v/>
      </c>
      <c r="DD400" s="5">
        <f>INDEX(Projects[Act Mech Eng (wks)],399)</f>
        <v/>
      </c>
      <c r="DE400" s="5">
        <f>INDEX(Projects[Act Controls Eng (wks)],399)</f>
        <v/>
      </c>
      <c r="DF400" s="5">
        <f>INDEX(Projects[Act Systems Eng (wks)],399)</f>
        <v/>
      </c>
      <c r="DG400" s="5">
        <f>INDEX(Projects[Act Software Eng (wks)],399)</f>
        <v/>
      </c>
      <c r="DH400" s="5">
        <f>INDEX(Projects[Act M&amp;E Installation (wks)],399)</f>
        <v/>
      </c>
      <c r="DI400" s="5">
        <f>INDEX(Projects[Act Commissioning (wks)],399)</f>
        <v/>
      </c>
      <c r="DJ400" s="5">
        <f>INDEX(Projects[Act Total (wks)],399)</f>
        <v/>
      </c>
    </row>
    <row r="401" ht="15" customHeight="1" s="82">
      <c r="A401" s="64">
        <f>INDEX(Projects[Project ID *],400)&amp;""</f>
        <v/>
      </c>
      <c r="B401" s="64">
        <f>INDEX(Projects[Project Name *],400)&amp;""</f>
        <v/>
      </c>
      <c r="C401" s="64">
        <f>INDEX(Projects[MS Shuttles],400)</f>
        <v/>
      </c>
      <c r="D401" s="64">
        <f>INDEX(Projects[MS Tote Locations],400)</f>
        <v/>
      </c>
      <c r="E401" s="64">
        <f>INDEX(Projects[AS Robots],400)</f>
        <v/>
      </c>
      <c r="F401" s="64">
        <f>INDEX(Projects[AS Tote Locations],400)</f>
        <v/>
      </c>
      <c r="G401" s="64">
        <f>INDEX(Projects[PS Shuttles],400)</f>
        <v/>
      </c>
      <c r="H401" s="64">
        <f>INDEX(Projects[PS Pallet Locations],400)</f>
        <v/>
      </c>
      <c r="I401" s="64">
        <f>INDEX(Projects[SRM Cranes],400)</f>
        <v/>
      </c>
      <c r="J401" s="64">
        <f>INDEX(Projects[SRM Pallet Locations],400)</f>
        <v/>
      </c>
      <c r="K401" s="64">
        <f>INDEX(Projects[Case Conv (m)],400)</f>
        <v/>
      </c>
      <c r="L401" s="64">
        <f>INDEX(Projects[Pallet Conv (m)],400)</f>
        <v/>
      </c>
      <c r="M401" s="64">
        <f>IF(N(DJ401)&gt;0,DD401,CW401)</f>
        <v/>
      </c>
      <c r="N401" s="64">
        <f>IF(N(DJ401)&gt;0,DE401,CX401)</f>
        <v/>
      </c>
      <c r="O401" s="64">
        <f>IF(N(DJ401)&gt;0,DF401,CY401)</f>
        <v/>
      </c>
      <c r="P401" s="64">
        <f>IF(N(DJ401)&gt;0,DG401,CZ401)</f>
        <v/>
      </c>
      <c r="Q401" s="64">
        <f>IF(N(DJ401)&gt;0,DH401,DA401)</f>
        <v/>
      </c>
      <c r="R401" s="64">
        <f>IF(N(DJ401)&gt;0,DI401,DB401)</f>
        <v/>
      </c>
      <c r="S401" s="64">
        <f>IF(N(DJ401)&gt;0,DJ401,DC401)</f>
        <v/>
      </c>
      <c r="T401" s="64">
        <f>INDEX(Projects[Currency],400)&amp;""</f>
        <v/>
      </c>
      <c r="U401" s="65">
        <f>INDEX(Projects[Sold Value (M)],400)</f>
        <v/>
      </c>
      <c r="V401" s="64">
        <f>IF('Smart Search'!B13=1,IFERROR(1/'Smart Search'!H13,0),0)</f>
        <v/>
      </c>
      <c r="W401" s="64">
        <f>IF('Smart Search'!B13=1,IFERROR(1/'Smart Search'!H13,0),0)</f>
        <v/>
      </c>
      <c r="X401" s="64">
        <f>IF('Smart Search'!C13=1,IFERROR(1/'Smart Search'!H13,0),0)</f>
        <v/>
      </c>
      <c r="Y401" s="64">
        <f>IF('Smart Search'!C13=1,IFERROR(1/'Smart Search'!H13,0),0)</f>
        <v/>
      </c>
      <c r="Z401" s="64">
        <f>IF('Smart Search'!D13=1,IFERROR(1/'Smart Search'!H13,0),0)</f>
        <v/>
      </c>
      <c r="AA401" s="64">
        <f>IF('Smart Search'!D13=1,IFERROR(1/'Smart Search'!H13,0),0)</f>
        <v/>
      </c>
      <c r="AB401" s="64">
        <f>IF('Smart Search'!E13=1,IFERROR(1/'Smart Search'!H13,0),0)</f>
        <v/>
      </c>
      <c r="AC401" s="64">
        <f>IF('Smart Search'!E13=1,IFERROR(1/'Smart Search'!H13,0),0)</f>
        <v/>
      </c>
      <c r="AD401" s="64">
        <f>IF('Smart Search'!F13=1,IFERROR(1/'Smart Search'!H13,0),0)</f>
        <v/>
      </c>
      <c r="AE401" s="64">
        <f>IF('Smart Search'!F13=1,IFERROR(1/'Smart Search'!H13,0),0)</f>
        <v/>
      </c>
      <c r="AF401" s="64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4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4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4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4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4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4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4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4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4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4">
        <f>AF401*V401</f>
        <v/>
      </c>
      <c r="AQ401" s="64">
        <f>AG401*W401</f>
        <v/>
      </c>
      <c r="AR401" s="64">
        <f>AH401*X401</f>
        <v/>
      </c>
      <c r="AS401" s="64">
        <f>AI401*Y401</f>
        <v/>
      </c>
      <c r="AT401" s="64">
        <f>AJ401*Z401</f>
        <v/>
      </c>
      <c r="AU401" s="64">
        <f>AK401*AA401</f>
        <v/>
      </c>
      <c r="AV401" s="64">
        <f>AL401*AB401</f>
        <v/>
      </c>
      <c r="AW401" s="64">
        <f>AM401*AC401</f>
        <v/>
      </c>
      <c r="AX401" s="64">
        <f>AN401*AD401</f>
        <v/>
      </c>
      <c r="AY401" s="64">
        <f>AO401*AE401</f>
        <v/>
      </c>
      <c r="AZ401" s="64">
        <f>INDEX(Projects[Automation Equipment],400)&amp;""</f>
        <v/>
      </c>
      <c r="BA401" s="64">
        <f>IF(OR(A401="",'Smart Search'!H13=0),"",MAX(0,BE401*BF401*MAX(0,1-BG401)))</f>
        <v/>
      </c>
      <c r="BB401" s="64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4">
        <f>IF('Smart Search'!G13=1,IFERROR(1/'Smart Search'!H13,0),0)</f>
        <v/>
      </c>
      <c r="BD401" s="64">
        <f>BB401*BC401</f>
        <v/>
      </c>
      <c r="BE401" s="64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IF(A401="","",N(INDEX(Projects[Act Mech Inst],400)))</f>
        <v/>
      </c>
      <c r="BK401" s="5">
        <f>IF(A401="","",N(INDEX(Projects[Act Elec Inst],400)))</f>
        <v/>
      </c>
      <c r="BL401" s="5">
        <f>IF(A401="","",N(INDEX(Projects[Act Project Management],400)))</f>
        <v/>
      </c>
      <c r="BM401" s="5">
        <f>IF(A401="","",N(INDEX(Projects[Act Systems Eng],400)))</f>
        <v/>
      </c>
      <c r="BN401" s="5">
        <f>IF(A401="","",N(INDEX(Projects[Act Mechanical Eng],400)))</f>
        <v/>
      </c>
      <c r="BO401" s="5">
        <f>IF(A401="","",N(INDEX(Projects[Act Structural Engineering],400)))</f>
        <v/>
      </c>
      <c r="BP401" s="5">
        <f>IF(A401="","",N(INDEX(Projects[Act Site Sup],400)))</f>
        <v/>
      </c>
      <c r="BQ401" s="5">
        <f>IF(A401="","",N(INDEX(Projects[Act Controls Commissioning],400)))</f>
        <v/>
      </c>
      <c r="BR401" s="5">
        <f>IF(A401="","",N(INDEX(Projects[Act Systems Commissioning],400)))</f>
        <v/>
      </c>
      <c r="BS401" s="5">
        <f>IF(A401="","",N(INDEX(Projects[Act Service Commissioning],400)))</f>
        <v/>
      </c>
      <c r="BT401" s="5">
        <f>IF(A401="","",N(INDEX(Projects[Act Controls Eng],400)))</f>
        <v/>
      </c>
      <c r="BU401" s="5">
        <f>IF(A401="","",N(INDEX(Projects[Act Controls Purchase],400)))</f>
        <v/>
      </c>
      <c r="BV401" s="5">
        <f>IF(A401="","",N(INDEX(Projects[Act Software Eng],400)))</f>
        <v/>
      </c>
      <c r="BW401" s="5">
        <f>IF(A401="","",N(INDEX(Projects[Act 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INDEX(Projects[Sold Value (USD M)],400)</f>
        <v/>
      </c>
      <c r="CE401" s="5" t="n"/>
      <c r="CF401" s="5">
        <f>IF(A401="","",N(INDEX(Projects[Est Mech Inst],400)))</f>
        <v/>
      </c>
      <c r="CG401" s="5">
        <f>IF(A401="","",N(INDEX(Projects[Est Elec Inst],400)))</f>
        <v/>
      </c>
      <c r="CH401" s="5">
        <f>IF(A401="","",N(INDEX(Projects[Est Project Management],400)))</f>
        <v/>
      </c>
      <c r="CI401" s="5">
        <f>IF(A401="","",N(INDEX(Projects[Est Systems Eng],400)))</f>
        <v/>
      </c>
      <c r="CJ401" s="5">
        <f>IF(A401="","",N(INDEX(Projects[Est Mechanical Eng],400)))</f>
        <v/>
      </c>
      <c r="CK401" s="5">
        <f>IF(A401="","",N(INDEX(Projects[Est Structural Engineering],400)))</f>
        <v/>
      </c>
      <c r="CL401" s="5">
        <f>IF(A401="","",N(INDEX(Projects[Est Site Sup],400)))</f>
        <v/>
      </c>
      <c r="CM401" s="5">
        <f>IF(A401="","",N(INDEX(Projects[Est Controls Commissioning],400)))</f>
        <v/>
      </c>
      <c r="CN401" s="5">
        <f>IF(A401="","",N(INDEX(Projects[Est Systems Commissioning],400)))</f>
        <v/>
      </c>
      <c r="CO401" s="5">
        <f>IF(A401="","",N(INDEX(Projects[Est Service Commissioning],400)))</f>
        <v/>
      </c>
      <c r="CP401" s="5">
        <f>IF(A401="","",N(INDEX(Projects[Est Controls Eng],400)))</f>
        <v/>
      </c>
      <c r="CQ401" s="5">
        <f>IF(A401="","",N(INDEX(Projects[Est Controls Purchase],400)))</f>
        <v/>
      </c>
      <c r="CR401" s="5">
        <f>IF(A401="","",N(INDEX(Projects[Est Software Eng],400)))</f>
        <v/>
      </c>
      <c r="CS401" s="5">
        <f>IF(A401="","",N(INDEX(Projects[Est Misc],400)))</f>
        <v/>
      </c>
      <c r="CT401" s="5">
        <f>IF(A401="","",SUM(CF401:CS401))</f>
        <v/>
      </c>
      <c r="CU401" s="5">
        <f>INDEX(Projects[Est Cost (M)],400)</f>
        <v/>
      </c>
      <c r="CV401" s="5">
        <f>INDEX(Projects[Act Cost (M)],400)</f>
        <v/>
      </c>
      <c r="CW401" s="5">
        <f>INDEX(Projects[Plan Mech Eng (wks)],400)</f>
        <v/>
      </c>
      <c r="CX401" s="5">
        <f>INDEX(Projects[Plan Controls Eng (wks)],400)</f>
        <v/>
      </c>
      <c r="CY401" s="5">
        <f>INDEX(Projects[Plan Systems Eng (wks)],400)</f>
        <v/>
      </c>
      <c r="CZ401" s="5">
        <f>INDEX(Projects[Plan Software Eng (wks)],400)</f>
        <v/>
      </c>
      <c r="DA401" s="5">
        <f>INDEX(Projects[Plan M&amp;E Installation (wks)],400)</f>
        <v/>
      </c>
      <c r="DB401" s="5">
        <f>INDEX(Projects[Plan Commissioning (wks)],400)</f>
        <v/>
      </c>
      <c r="DC401" s="5">
        <f>INDEX(Projects[Plan Total (wks)],400)</f>
        <v/>
      </c>
      <c r="DD401" s="5">
        <f>INDEX(Projects[Act Mech Eng (wks)],400)</f>
        <v/>
      </c>
      <c r="DE401" s="5">
        <f>INDEX(Projects[Act Controls Eng (wks)],400)</f>
        <v/>
      </c>
      <c r="DF401" s="5">
        <f>INDEX(Projects[Act Systems Eng (wks)],400)</f>
        <v/>
      </c>
      <c r="DG401" s="5">
        <f>INDEX(Projects[Act Software Eng (wks)],400)</f>
        <v/>
      </c>
      <c r="DH401" s="5">
        <f>INDEX(Projects[Act M&amp;E Installation (wks)],400)</f>
        <v/>
      </c>
      <c r="DI401" s="5">
        <f>INDEX(Projects[Act Commissioning (wks)],400)</f>
        <v/>
      </c>
      <c r="DJ401" s="5">
        <f>INDEX(Projects[Act Total (wks)],400)</f>
        <v/>
      </c>
    </row>
    <row r="402" ht="15" customHeight="1" s="82">
      <c r="A402" s="64">
        <f>INDEX(Projects[Project ID *],401)&amp;""</f>
        <v/>
      </c>
      <c r="B402" s="64">
        <f>INDEX(Projects[Project Name *],401)&amp;""</f>
        <v/>
      </c>
      <c r="C402" s="64">
        <f>INDEX(Projects[MS Shuttles],401)</f>
        <v/>
      </c>
      <c r="D402" s="64">
        <f>INDEX(Projects[MS Tote Locations],401)</f>
        <v/>
      </c>
      <c r="E402" s="64">
        <f>INDEX(Projects[AS Robots],401)</f>
        <v/>
      </c>
      <c r="F402" s="64">
        <f>INDEX(Projects[AS Tote Locations],401)</f>
        <v/>
      </c>
      <c r="G402" s="64">
        <f>INDEX(Projects[PS Shuttles],401)</f>
        <v/>
      </c>
      <c r="H402" s="64">
        <f>INDEX(Projects[PS Pallet Locations],401)</f>
        <v/>
      </c>
      <c r="I402" s="64">
        <f>INDEX(Projects[SRM Cranes],401)</f>
        <v/>
      </c>
      <c r="J402" s="64">
        <f>INDEX(Projects[SRM Pallet Locations],401)</f>
        <v/>
      </c>
      <c r="K402" s="64">
        <f>INDEX(Projects[Case Conv (m)],401)</f>
        <v/>
      </c>
      <c r="L402" s="64">
        <f>INDEX(Projects[Pallet Conv (m)],401)</f>
        <v/>
      </c>
      <c r="M402" s="64">
        <f>IF(N(DJ402)&gt;0,DD402,CW402)</f>
        <v/>
      </c>
      <c r="N402" s="64">
        <f>IF(N(DJ402)&gt;0,DE402,CX402)</f>
        <v/>
      </c>
      <c r="O402" s="64">
        <f>IF(N(DJ402)&gt;0,DF402,CY402)</f>
        <v/>
      </c>
      <c r="P402" s="64">
        <f>IF(N(DJ402)&gt;0,DG402,CZ402)</f>
        <v/>
      </c>
      <c r="Q402" s="64">
        <f>IF(N(DJ402)&gt;0,DH402,DA402)</f>
        <v/>
      </c>
      <c r="R402" s="64">
        <f>IF(N(DJ402)&gt;0,DI402,DB402)</f>
        <v/>
      </c>
      <c r="S402" s="64">
        <f>IF(N(DJ402)&gt;0,DJ402,DC402)</f>
        <v/>
      </c>
      <c r="T402" s="64">
        <f>INDEX(Projects[Currency],401)&amp;""</f>
        <v/>
      </c>
      <c r="U402" s="65">
        <f>INDEX(Projects[Sold Value (M)],401)</f>
        <v/>
      </c>
      <c r="V402" s="64">
        <f>IF('Smart Search'!B13=1,IFERROR(1/'Smart Search'!H13,0),0)</f>
        <v/>
      </c>
      <c r="W402" s="64">
        <f>IF('Smart Search'!B13=1,IFERROR(1/'Smart Search'!H13,0),0)</f>
        <v/>
      </c>
      <c r="X402" s="64">
        <f>IF('Smart Search'!C13=1,IFERROR(1/'Smart Search'!H13,0),0)</f>
        <v/>
      </c>
      <c r="Y402" s="64">
        <f>IF('Smart Search'!C13=1,IFERROR(1/'Smart Search'!H13,0),0)</f>
        <v/>
      </c>
      <c r="Z402" s="64">
        <f>IF('Smart Search'!D13=1,IFERROR(1/'Smart Search'!H13,0),0)</f>
        <v/>
      </c>
      <c r="AA402" s="64">
        <f>IF('Smart Search'!D13=1,IFERROR(1/'Smart Search'!H13,0),0)</f>
        <v/>
      </c>
      <c r="AB402" s="64">
        <f>IF('Smart Search'!E13=1,IFERROR(1/'Smart Search'!H13,0),0)</f>
        <v/>
      </c>
      <c r="AC402" s="64">
        <f>IF('Smart Search'!E13=1,IFERROR(1/'Smart Search'!H13,0),0)</f>
        <v/>
      </c>
      <c r="AD402" s="64">
        <f>IF('Smart Search'!F13=1,IFERROR(1/'Smart Search'!H13,0),0)</f>
        <v/>
      </c>
      <c r="AE402" s="64">
        <f>IF('Smart Search'!F13=1,IFERROR(1/'Smart Search'!H13,0),0)</f>
        <v/>
      </c>
      <c r="AF402" s="64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4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4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4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4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4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4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4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4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4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4">
        <f>AF402*V402</f>
        <v/>
      </c>
      <c r="AQ402" s="64">
        <f>AG402*W402</f>
        <v/>
      </c>
      <c r="AR402" s="64">
        <f>AH402*X402</f>
        <v/>
      </c>
      <c r="AS402" s="64">
        <f>AI402*Y402</f>
        <v/>
      </c>
      <c r="AT402" s="64">
        <f>AJ402*Z402</f>
        <v/>
      </c>
      <c r="AU402" s="64">
        <f>AK402*AA402</f>
        <v/>
      </c>
      <c r="AV402" s="64">
        <f>AL402*AB402</f>
        <v/>
      </c>
      <c r="AW402" s="64">
        <f>AM402*AC402</f>
        <v/>
      </c>
      <c r="AX402" s="64">
        <f>AN402*AD402</f>
        <v/>
      </c>
      <c r="AY402" s="64">
        <f>AO402*AE402</f>
        <v/>
      </c>
      <c r="AZ402" s="64">
        <f>INDEX(Projects[Automation Equipment],401)&amp;""</f>
        <v/>
      </c>
      <c r="BA402" s="64">
        <f>IF(OR(A402="",'Smart Search'!H13=0),"",MAX(0,BE402*BF402*MAX(0,1-BG402)))</f>
        <v/>
      </c>
      <c r="BB402" s="64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4">
        <f>IF('Smart Search'!G13=1,IFERROR(1/'Smart Search'!H13,0),0)</f>
        <v/>
      </c>
      <c r="BD402" s="64">
        <f>BB402*BC402</f>
        <v/>
      </c>
      <c r="BE402" s="64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IF(A402="","",N(INDEX(Projects[Act Mech Inst],401)))</f>
        <v/>
      </c>
      <c r="BK402" s="5">
        <f>IF(A402="","",N(INDEX(Projects[Act Elec Inst],401)))</f>
        <v/>
      </c>
      <c r="BL402" s="5">
        <f>IF(A402="","",N(INDEX(Projects[Act Project Management],401)))</f>
        <v/>
      </c>
      <c r="BM402" s="5">
        <f>IF(A402="","",N(INDEX(Projects[Act Systems Eng],401)))</f>
        <v/>
      </c>
      <c r="BN402" s="5">
        <f>IF(A402="","",N(INDEX(Projects[Act Mechanical Eng],401)))</f>
        <v/>
      </c>
      <c r="BO402" s="5">
        <f>IF(A402="","",N(INDEX(Projects[Act Structural Engineering],401)))</f>
        <v/>
      </c>
      <c r="BP402" s="5">
        <f>IF(A402="","",N(INDEX(Projects[Act Site Sup],401)))</f>
        <v/>
      </c>
      <c r="BQ402" s="5">
        <f>IF(A402="","",N(INDEX(Projects[Act Controls Commissioning],401)))</f>
        <v/>
      </c>
      <c r="BR402" s="5">
        <f>IF(A402="","",N(INDEX(Projects[Act Systems Commissioning],401)))</f>
        <v/>
      </c>
      <c r="BS402" s="5">
        <f>IF(A402="","",N(INDEX(Projects[Act Service Commissioning],401)))</f>
        <v/>
      </c>
      <c r="BT402" s="5">
        <f>IF(A402="","",N(INDEX(Projects[Act Controls Eng],401)))</f>
        <v/>
      </c>
      <c r="BU402" s="5">
        <f>IF(A402="","",N(INDEX(Projects[Act Controls Purchase],401)))</f>
        <v/>
      </c>
      <c r="BV402" s="5">
        <f>IF(A402="","",N(INDEX(Projects[Act Software Eng],401)))</f>
        <v/>
      </c>
      <c r="BW402" s="5">
        <f>IF(A402="","",N(INDEX(Projects[Act 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INDEX(Projects[Sold Value (USD M)],401)</f>
        <v/>
      </c>
      <c r="CE402" s="5" t="n"/>
      <c r="CF402" s="5">
        <f>IF(A402="","",N(INDEX(Projects[Est Mech Inst],401)))</f>
        <v/>
      </c>
      <c r="CG402" s="5">
        <f>IF(A402="","",N(INDEX(Projects[Est Elec Inst],401)))</f>
        <v/>
      </c>
      <c r="CH402" s="5">
        <f>IF(A402="","",N(INDEX(Projects[Est Project Management],401)))</f>
        <v/>
      </c>
      <c r="CI402" s="5">
        <f>IF(A402="","",N(INDEX(Projects[Est Systems Eng],401)))</f>
        <v/>
      </c>
      <c r="CJ402" s="5">
        <f>IF(A402="","",N(INDEX(Projects[Est Mechanical Eng],401)))</f>
        <v/>
      </c>
      <c r="CK402" s="5">
        <f>IF(A402="","",N(INDEX(Projects[Est Structural Engineering],401)))</f>
        <v/>
      </c>
      <c r="CL402" s="5">
        <f>IF(A402="","",N(INDEX(Projects[Est Site Sup],401)))</f>
        <v/>
      </c>
      <c r="CM402" s="5">
        <f>IF(A402="","",N(INDEX(Projects[Est Controls Commissioning],401)))</f>
        <v/>
      </c>
      <c r="CN402" s="5">
        <f>IF(A402="","",N(INDEX(Projects[Est Systems Commissioning],401)))</f>
        <v/>
      </c>
      <c r="CO402" s="5">
        <f>IF(A402="","",N(INDEX(Projects[Est Service Commissioning],401)))</f>
        <v/>
      </c>
      <c r="CP402" s="5">
        <f>IF(A402="","",N(INDEX(Projects[Est Controls Eng],401)))</f>
        <v/>
      </c>
      <c r="CQ402" s="5">
        <f>IF(A402="","",N(INDEX(Projects[Est Controls Purchase],401)))</f>
        <v/>
      </c>
      <c r="CR402" s="5">
        <f>IF(A402="","",N(INDEX(Projects[Est Software Eng],401)))</f>
        <v/>
      </c>
      <c r="CS402" s="5">
        <f>IF(A402="","",N(INDEX(Projects[Est Misc],401)))</f>
        <v/>
      </c>
      <c r="CT402" s="5">
        <f>IF(A402="","",SUM(CF402:CS402))</f>
        <v/>
      </c>
      <c r="CU402" s="5">
        <f>INDEX(Projects[Est Cost (M)],401)</f>
        <v/>
      </c>
      <c r="CV402" s="5">
        <f>INDEX(Projects[Act Cost (M)],401)</f>
        <v/>
      </c>
      <c r="CW402" s="5">
        <f>INDEX(Projects[Plan Mech Eng (wks)],401)</f>
        <v/>
      </c>
      <c r="CX402" s="5">
        <f>INDEX(Projects[Plan Controls Eng (wks)],401)</f>
        <v/>
      </c>
      <c r="CY402" s="5">
        <f>INDEX(Projects[Plan Systems Eng (wks)],401)</f>
        <v/>
      </c>
      <c r="CZ402" s="5">
        <f>INDEX(Projects[Plan Software Eng (wks)],401)</f>
        <v/>
      </c>
      <c r="DA402" s="5">
        <f>INDEX(Projects[Plan M&amp;E Installation (wks)],401)</f>
        <v/>
      </c>
      <c r="DB402" s="5">
        <f>INDEX(Projects[Plan Commissioning (wks)],401)</f>
        <v/>
      </c>
      <c r="DC402" s="5">
        <f>INDEX(Projects[Plan Total (wks)],401)</f>
        <v/>
      </c>
      <c r="DD402" s="5">
        <f>INDEX(Projects[Act Mech Eng (wks)],401)</f>
        <v/>
      </c>
      <c r="DE402" s="5">
        <f>INDEX(Projects[Act Controls Eng (wks)],401)</f>
        <v/>
      </c>
      <c r="DF402" s="5">
        <f>INDEX(Projects[Act Systems Eng (wks)],401)</f>
        <v/>
      </c>
      <c r="DG402" s="5">
        <f>INDEX(Projects[Act Software Eng (wks)],401)</f>
        <v/>
      </c>
      <c r="DH402" s="5">
        <f>INDEX(Projects[Act M&amp;E Installation (wks)],401)</f>
        <v/>
      </c>
      <c r="DI402" s="5">
        <f>INDEX(Projects[Act Commissioning (wks)],401)</f>
        <v/>
      </c>
      <c r="DJ402" s="5">
        <f>INDEX(Projects[Act Total (wks)],401)</f>
        <v/>
      </c>
    </row>
    <row r="403" ht="15" customHeight="1" s="82">
      <c r="A403" s="64">
        <f>INDEX(Projects[Project ID *],402)&amp;""</f>
        <v/>
      </c>
      <c r="B403" s="64">
        <f>INDEX(Projects[Project Name *],402)&amp;""</f>
        <v/>
      </c>
      <c r="C403" s="64">
        <f>INDEX(Projects[MS Shuttles],402)</f>
        <v/>
      </c>
      <c r="D403" s="64">
        <f>INDEX(Projects[MS Tote Locations],402)</f>
        <v/>
      </c>
      <c r="E403" s="64">
        <f>INDEX(Projects[AS Robots],402)</f>
        <v/>
      </c>
      <c r="F403" s="64">
        <f>INDEX(Projects[AS Tote Locations],402)</f>
        <v/>
      </c>
      <c r="G403" s="64">
        <f>INDEX(Projects[PS Shuttles],402)</f>
        <v/>
      </c>
      <c r="H403" s="64">
        <f>INDEX(Projects[PS Pallet Locations],402)</f>
        <v/>
      </c>
      <c r="I403" s="64">
        <f>INDEX(Projects[SRM Cranes],402)</f>
        <v/>
      </c>
      <c r="J403" s="64">
        <f>INDEX(Projects[SRM Pallet Locations],402)</f>
        <v/>
      </c>
      <c r="K403" s="64">
        <f>INDEX(Projects[Case Conv (m)],402)</f>
        <v/>
      </c>
      <c r="L403" s="64">
        <f>INDEX(Projects[Pallet Conv (m)],402)</f>
        <v/>
      </c>
      <c r="M403" s="64">
        <f>IF(N(DJ403)&gt;0,DD403,CW403)</f>
        <v/>
      </c>
      <c r="N403" s="64">
        <f>IF(N(DJ403)&gt;0,DE403,CX403)</f>
        <v/>
      </c>
      <c r="O403" s="64">
        <f>IF(N(DJ403)&gt;0,DF403,CY403)</f>
        <v/>
      </c>
      <c r="P403" s="64">
        <f>IF(N(DJ403)&gt;0,DG403,CZ403)</f>
        <v/>
      </c>
      <c r="Q403" s="64">
        <f>IF(N(DJ403)&gt;0,DH403,DA403)</f>
        <v/>
      </c>
      <c r="R403" s="64">
        <f>IF(N(DJ403)&gt;0,DI403,DB403)</f>
        <v/>
      </c>
      <c r="S403" s="64">
        <f>IF(N(DJ403)&gt;0,DJ403,DC403)</f>
        <v/>
      </c>
      <c r="T403" s="64">
        <f>INDEX(Projects[Currency],402)&amp;""</f>
        <v/>
      </c>
      <c r="U403" s="65">
        <f>INDEX(Projects[Sold Value (M)],402)</f>
        <v/>
      </c>
      <c r="V403" s="64">
        <f>IF('Smart Search'!B13=1,IFERROR(1/'Smart Search'!H13,0),0)</f>
        <v/>
      </c>
      <c r="W403" s="64">
        <f>IF('Smart Search'!B13=1,IFERROR(1/'Smart Search'!H13,0),0)</f>
        <v/>
      </c>
      <c r="X403" s="64">
        <f>IF('Smart Search'!C13=1,IFERROR(1/'Smart Search'!H13,0),0)</f>
        <v/>
      </c>
      <c r="Y403" s="64">
        <f>IF('Smart Search'!C13=1,IFERROR(1/'Smart Search'!H13,0),0)</f>
        <v/>
      </c>
      <c r="Z403" s="64">
        <f>IF('Smart Search'!D13=1,IFERROR(1/'Smart Search'!H13,0),0)</f>
        <v/>
      </c>
      <c r="AA403" s="64">
        <f>IF('Smart Search'!D13=1,IFERROR(1/'Smart Search'!H13,0),0)</f>
        <v/>
      </c>
      <c r="AB403" s="64">
        <f>IF('Smart Search'!E13=1,IFERROR(1/'Smart Search'!H13,0),0)</f>
        <v/>
      </c>
      <c r="AC403" s="64">
        <f>IF('Smart Search'!E13=1,IFERROR(1/'Smart Search'!H13,0),0)</f>
        <v/>
      </c>
      <c r="AD403" s="64">
        <f>IF('Smart Search'!F13=1,IFERROR(1/'Smart Search'!H13,0),0)</f>
        <v/>
      </c>
      <c r="AE403" s="64">
        <f>IF('Smart Search'!F13=1,IFERROR(1/'Smart Search'!H13,0),0)</f>
        <v/>
      </c>
      <c r="AF403" s="64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4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4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4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4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4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4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4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4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4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4">
        <f>AF403*V403</f>
        <v/>
      </c>
      <c r="AQ403" s="64">
        <f>AG403*W403</f>
        <v/>
      </c>
      <c r="AR403" s="64">
        <f>AH403*X403</f>
        <v/>
      </c>
      <c r="AS403" s="64">
        <f>AI403*Y403</f>
        <v/>
      </c>
      <c r="AT403" s="64">
        <f>AJ403*Z403</f>
        <v/>
      </c>
      <c r="AU403" s="64">
        <f>AK403*AA403</f>
        <v/>
      </c>
      <c r="AV403" s="64">
        <f>AL403*AB403</f>
        <v/>
      </c>
      <c r="AW403" s="64">
        <f>AM403*AC403</f>
        <v/>
      </c>
      <c r="AX403" s="64">
        <f>AN403*AD403</f>
        <v/>
      </c>
      <c r="AY403" s="64">
        <f>AO403*AE403</f>
        <v/>
      </c>
      <c r="AZ403" s="64">
        <f>INDEX(Projects[Automation Equipment],402)&amp;""</f>
        <v/>
      </c>
      <c r="BA403" s="64">
        <f>IF(OR(A403="",'Smart Search'!H13=0),"",MAX(0,BE403*BF403*MAX(0,1-BG403)))</f>
        <v/>
      </c>
      <c r="BB403" s="64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4">
        <f>IF('Smart Search'!G13=1,IFERROR(1/'Smart Search'!H13,0),0)</f>
        <v/>
      </c>
      <c r="BD403" s="64">
        <f>BB403*BC403</f>
        <v/>
      </c>
      <c r="BE403" s="64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IF(A403="","",N(INDEX(Projects[Act Mech Inst],402)))</f>
        <v/>
      </c>
      <c r="BK403" s="5">
        <f>IF(A403="","",N(INDEX(Projects[Act Elec Inst],402)))</f>
        <v/>
      </c>
      <c r="BL403" s="5">
        <f>IF(A403="","",N(INDEX(Projects[Act Project Management],402)))</f>
        <v/>
      </c>
      <c r="BM403" s="5">
        <f>IF(A403="","",N(INDEX(Projects[Act Systems Eng],402)))</f>
        <v/>
      </c>
      <c r="BN403" s="5">
        <f>IF(A403="","",N(INDEX(Projects[Act Mechanical Eng],402)))</f>
        <v/>
      </c>
      <c r="BO403" s="5">
        <f>IF(A403="","",N(INDEX(Projects[Act Structural Engineering],402)))</f>
        <v/>
      </c>
      <c r="BP403" s="5">
        <f>IF(A403="","",N(INDEX(Projects[Act Site Sup],402)))</f>
        <v/>
      </c>
      <c r="BQ403" s="5">
        <f>IF(A403="","",N(INDEX(Projects[Act Controls Commissioning],402)))</f>
        <v/>
      </c>
      <c r="BR403" s="5">
        <f>IF(A403="","",N(INDEX(Projects[Act Systems Commissioning],402)))</f>
        <v/>
      </c>
      <c r="BS403" s="5">
        <f>IF(A403="","",N(INDEX(Projects[Act Service Commissioning],402)))</f>
        <v/>
      </c>
      <c r="BT403" s="5">
        <f>IF(A403="","",N(INDEX(Projects[Act Controls Eng],402)))</f>
        <v/>
      </c>
      <c r="BU403" s="5">
        <f>IF(A403="","",N(INDEX(Projects[Act Controls Purchase],402)))</f>
        <v/>
      </c>
      <c r="BV403" s="5">
        <f>IF(A403="","",N(INDEX(Projects[Act Software Eng],402)))</f>
        <v/>
      </c>
      <c r="BW403" s="5">
        <f>IF(A403="","",N(INDEX(Projects[Act 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INDEX(Projects[Sold Value (USD M)],402)</f>
        <v/>
      </c>
      <c r="CE403" s="5" t="n"/>
      <c r="CF403" s="5">
        <f>IF(A403="","",N(INDEX(Projects[Est Mech Inst],402)))</f>
        <v/>
      </c>
      <c r="CG403" s="5">
        <f>IF(A403="","",N(INDEX(Projects[Est Elec Inst],402)))</f>
        <v/>
      </c>
      <c r="CH403" s="5">
        <f>IF(A403="","",N(INDEX(Projects[Est Project Management],402)))</f>
        <v/>
      </c>
      <c r="CI403" s="5">
        <f>IF(A403="","",N(INDEX(Projects[Est Systems Eng],402)))</f>
        <v/>
      </c>
      <c r="CJ403" s="5">
        <f>IF(A403="","",N(INDEX(Projects[Est Mechanical Eng],402)))</f>
        <v/>
      </c>
      <c r="CK403" s="5">
        <f>IF(A403="","",N(INDEX(Projects[Est Structural Engineering],402)))</f>
        <v/>
      </c>
      <c r="CL403" s="5">
        <f>IF(A403="","",N(INDEX(Projects[Est Site Sup],402)))</f>
        <v/>
      </c>
      <c r="CM403" s="5">
        <f>IF(A403="","",N(INDEX(Projects[Est Controls Commissioning],402)))</f>
        <v/>
      </c>
      <c r="CN403" s="5">
        <f>IF(A403="","",N(INDEX(Projects[Est Systems Commissioning],402)))</f>
        <v/>
      </c>
      <c r="CO403" s="5">
        <f>IF(A403="","",N(INDEX(Projects[Est Service Commissioning],402)))</f>
        <v/>
      </c>
      <c r="CP403" s="5">
        <f>IF(A403="","",N(INDEX(Projects[Est Controls Eng],402)))</f>
        <v/>
      </c>
      <c r="CQ403" s="5">
        <f>IF(A403="","",N(INDEX(Projects[Est Controls Purchase],402)))</f>
        <v/>
      </c>
      <c r="CR403" s="5">
        <f>IF(A403="","",N(INDEX(Projects[Est Software Eng],402)))</f>
        <v/>
      </c>
      <c r="CS403" s="5">
        <f>IF(A403="","",N(INDEX(Projects[Est Misc],402)))</f>
        <v/>
      </c>
      <c r="CT403" s="5">
        <f>IF(A403="","",SUM(CF403:CS403))</f>
        <v/>
      </c>
      <c r="CU403" s="5">
        <f>INDEX(Projects[Est Cost (M)],402)</f>
        <v/>
      </c>
      <c r="CV403" s="5">
        <f>INDEX(Projects[Act Cost (M)],402)</f>
        <v/>
      </c>
      <c r="CW403" s="5">
        <f>INDEX(Projects[Plan Mech Eng (wks)],402)</f>
        <v/>
      </c>
      <c r="CX403" s="5">
        <f>INDEX(Projects[Plan Controls Eng (wks)],402)</f>
        <v/>
      </c>
      <c r="CY403" s="5">
        <f>INDEX(Projects[Plan Systems Eng (wks)],402)</f>
        <v/>
      </c>
      <c r="CZ403" s="5">
        <f>INDEX(Projects[Plan Software Eng (wks)],402)</f>
        <v/>
      </c>
      <c r="DA403" s="5">
        <f>INDEX(Projects[Plan M&amp;E Installation (wks)],402)</f>
        <v/>
      </c>
      <c r="DB403" s="5">
        <f>INDEX(Projects[Plan Commissioning (wks)],402)</f>
        <v/>
      </c>
      <c r="DC403" s="5">
        <f>INDEX(Projects[Plan Total (wks)],402)</f>
        <v/>
      </c>
      <c r="DD403" s="5">
        <f>INDEX(Projects[Act Mech Eng (wks)],402)</f>
        <v/>
      </c>
      <c r="DE403" s="5">
        <f>INDEX(Projects[Act Controls Eng (wks)],402)</f>
        <v/>
      </c>
      <c r="DF403" s="5">
        <f>INDEX(Projects[Act Systems Eng (wks)],402)</f>
        <v/>
      </c>
      <c r="DG403" s="5">
        <f>INDEX(Projects[Act Software Eng (wks)],402)</f>
        <v/>
      </c>
      <c r="DH403" s="5">
        <f>INDEX(Projects[Act M&amp;E Installation (wks)],402)</f>
        <v/>
      </c>
      <c r="DI403" s="5">
        <f>INDEX(Projects[Act Commissioning (wks)],402)</f>
        <v/>
      </c>
      <c r="DJ403" s="5">
        <f>INDEX(Projects[Act Total (wks)],402)</f>
        <v/>
      </c>
    </row>
    <row r="404" ht="15" customHeight="1" s="82">
      <c r="A404" s="64">
        <f>INDEX(Projects[Project ID *],403)&amp;""</f>
        <v/>
      </c>
      <c r="B404" s="64">
        <f>INDEX(Projects[Project Name *],403)&amp;""</f>
        <v/>
      </c>
      <c r="C404" s="64">
        <f>INDEX(Projects[MS Shuttles],403)</f>
        <v/>
      </c>
      <c r="D404" s="64">
        <f>INDEX(Projects[MS Tote Locations],403)</f>
        <v/>
      </c>
      <c r="E404" s="64">
        <f>INDEX(Projects[AS Robots],403)</f>
        <v/>
      </c>
      <c r="F404" s="64">
        <f>INDEX(Projects[AS Tote Locations],403)</f>
        <v/>
      </c>
      <c r="G404" s="64">
        <f>INDEX(Projects[PS Shuttles],403)</f>
        <v/>
      </c>
      <c r="H404" s="64">
        <f>INDEX(Projects[PS Pallet Locations],403)</f>
        <v/>
      </c>
      <c r="I404" s="64">
        <f>INDEX(Projects[SRM Cranes],403)</f>
        <v/>
      </c>
      <c r="J404" s="64">
        <f>INDEX(Projects[SRM Pallet Locations],403)</f>
        <v/>
      </c>
      <c r="K404" s="64">
        <f>INDEX(Projects[Case Conv (m)],403)</f>
        <v/>
      </c>
      <c r="L404" s="64">
        <f>INDEX(Projects[Pallet Conv (m)],403)</f>
        <v/>
      </c>
      <c r="M404" s="64">
        <f>IF(N(DJ404)&gt;0,DD404,CW404)</f>
        <v/>
      </c>
      <c r="N404" s="64">
        <f>IF(N(DJ404)&gt;0,DE404,CX404)</f>
        <v/>
      </c>
      <c r="O404" s="64">
        <f>IF(N(DJ404)&gt;0,DF404,CY404)</f>
        <v/>
      </c>
      <c r="P404" s="64">
        <f>IF(N(DJ404)&gt;0,DG404,CZ404)</f>
        <v/>
      </c>
      <c r="Q404" s="64">
        <f>IF(N(DJ404)&gt;0,DH404,DA404)</f>
        <v/>
      </c>
      <c r="R404" s="64">
        <f>IF(N(DJ404)&gt;0,DI404,DB404)</f>
        <v/>
      </c>
      <c r="S404" s="64">
        <f>IF(N(DJ404)&gt;0,DJ404,DC404)</f>
        <v/>
      </c>
      <c r="T404" s="64">
        <f>INDEX(Projects[Currency],403)&amp;""</f>
        <v/>
      </c>
      <c r="U404" s="65">
        <f>INDEX(Projects[Sold Value (M)],403)</f>
        <v/>
      </c>
      <c r="V404" s="64">
        <f>IF('Smart Search'!B13=1,IFERROR(1/'Smart Search'!H13,0),0)</f>
        <v/>
      </c>
      <c r="W404" s="64">
        <f>IF('Smart Search'!B13=1,IFERROR(1/'Smart Search'!H13,0),0)</f>
        <v/>
      </c>
      <c r="X404" s="64">
        <f>IF('Smart Search'!C13=1,IFERROR(1/'Smart Search'!H13,0),0)</f>
        <v/>
      </c>
      <c r="Y404" s="64">
        <f>IF('Smart Search'!C13=1,IFERROR(1/'Smart Search'!H13,0),0)</f>
        <v/>
      </c>
      <c r="Z404" s="64">
        <f>IF('Smart Search'!D13=1,IFERROR(1/'Smart Search'!H13,0),0)</f>
        <v/>
      </c>
      <c r="AA404" s="64">
        <f>IF('Smart Search'!D13=1,IFERROR(1/'Smart Search'!H13,0),0)</f>
        <v/>
      </c>
      <c r="AB404" s="64">
        <f>IF('Smart Search'!E13=1,IFERROR(1/'Smart Search'!H13,0),0)</f>
        <v/>
      </c>
      <c r="AC404" s="64">
        <f>IF('Smart Search'!E13=1,IFERROR(1/'Smart Search'!H13,0),0)</f>
        <v/>
      </c>
      <c r="AD404" s="64">
        <f>IF('Smart Search'!F13=1,IFERROR(1/'Smart Search'!H13,0),0)</f>
        <v/>
      </c>
      <c r="AE404" s="64">
        <f>IF('Smart Search'!F13=1,IFERROR(1/'Smart Search'!H13,0),0)</f>
        <v/>
      </c>
      <c r="AF404" s="64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4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4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4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4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4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4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4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4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4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4">
        <f>AF404*V404</f>
        <v/>
      </c>
      <c r="AQ404" s="64">
        <f>AG404*W404</f>
        <v/>
      </c>
      <c r="AR404" s="64">
        <f>AH404*X404</f>
        <v/>
      </c>
      <c r="AS404" s="64">
        <f>AI404*Y404</f>
        <v/>
      </c>
      <c r="AT404" s="64">
        <f>AJ404*Z404</f>
        <v/>
      </c>
      <c r="AU404" s="64">
        <f>AK404*AA404</f>
        <v/>
      </c>
      <c r="AV404" s="64">
        <f>AL404*AB404</f>
        <v/>
      </c>
      <c r="AW404" s="64">
        <f>AM404*AC404</f>
        <v/>
      </c>
      <c r="AX404" s="64">
        <f>AN404*AD404</f>
        <v/>
      </c>
      <c r="AY404" s="64">
        <f>AO404*AE404</f>
        <v/>
      </c>
      <c r="AZ404" s="64">
        <f>INDEX(Projects[Automation Equipment],403)&amp;""</f>
        <v/>
      </c>
      <c r="BA404" s="64">
        <f>IF(OR(A404="",'Smart Search'!H13=0),"",MAX(0,BE404*BF404*MAX(0,1-BG404)))</f>
        <v/>
      </c>
      <c r="BB404" s="64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4">
        <f>IF('Smart Search'!G13=1,IFERROR(1/'Smart Search'!H13,0),0)</f>
        <v/>
      </c>
      <c r="BD404" s="64">
        <f>BB404*BC404</f>
        <v/>
      </c>
      <c r="BE404" s="64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IF(A404="","",N(INDEX(Projects[Act Mech Inst],403)))</f>
        <v/>
      </c>
      <c r="BK404" s="5">
        <f>IF(A404="","",N(INDEX(Projects[Act Elec Inst],403)))</f>
        <v/>
      </c>
      <c r="BL404" s="5">
        <f>IF(A404="","",N(INDEX(Projects[Act Project Management],403)))</f>
        <v/>
      </c>
      <c r="BM404" s="5">
        <f>IF(A404="","",N(INDEX(Projects[Act Systems Eng],403)))</f>
        <v/>
      </c>
      <c r="BN404" s="5">
        <f>IF(A404="","",N(INDEX(Projects[Act Mechanical Eng],403)))</f>
        <v/>
      </c>
      <c r="BO404" s="5">
        <f>IF(A404="","",N(INDEX(Projects[Act Structural Engineering],403)))</f>
        <v/>
      </c>
      <c r="BP404" s="5">
        <f>IF(A404="","",N(INDEX(Projects[Act Site Sup],403)))</f>
        <v/>
      </c>
      <c r="BQ404" s="5">
        <f>IF(A404="","",N(INDEX(Projects[Act Controls Commissioning],403)))</f>
        <v/>
      </c>
      <c r="BR404" s="5">
        <f>IF(A404="","",N(INDEX(Projects[Act Systems Commissioning],403)))</f>
        <v/>
      </c>
      <c r="BS404" s="5">
        <f>IF(A404="","",N(INDEX(Projects[Act Service Commissioning],403)))</f>
        <v/>
      </c>
      <c r="BT404" s="5">
        <f>IF(A404="","",N(INDEX(Projects[Act Controls Eng],403)))</f>
        <v/>
      </c>
      <c r="BU404" s="5">
        <f>IF(A404="","",N(INDEX(Projects[Act Controls Purchase],403)))</f>
        <v/>
      </c>
      <c r="BV404" s="5">
        <f>IF(A404="","",N(INDEX(Projects[Act Software Eng],403)))</f>
        <v/>
      </c>
      <c r="BW404" s="5">
        <f>IF(A404="","",N(INDEX(Projects[Act 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INDEX(Projects[Sold Value (USD M)],403)</f>
        <v/>
      </c>
      <c r="CE404" s="5" t="n"/>
      <c r="CF404" s="5">
        <f>IF(A404="","",N(INDEX(Projects[Est Mech Inst],403)))</f>
        <v/>
      </c>
      <c r="CG404" s="5">
        <f>IF(A404="","",N(INDEX(Projects[Est Elec Inst],403)))</f>
        <v/>
      </c>
      <c r="CH404" s="5">
        <f>IF(A404="","",N(INDEX(Projects[Est Project Management],403)))</f>
        <v/>
      </c>
      <c r="CI404" s="5">
        <f>IF(A404="","",N(INDEX(Projects[Est Systems Eng],403)))</f>
        <v/>
      </c>
      <c r="CJ404" s="5">
        <f>IF(A404="","",N(INDEX(Projects[Est Mechanical Eng],403)))</f>
        <v/>
      </c>
      <c r="CK404" s="5">
        <f>IF(A404="","",N(INDEX(Projects[Est Structural Engineering],403)))</f>
        <v/>
      </c>
      <c r="CL404" s="5">
        <f>IF(A404="","",N(INDEX(Projects[Est Site Sup],403)))</f>
        <v/>
      </c>
      <c r="CM404" s="5">
        <f>IF(A404="","",N(INDEX(Projects[Est Controls Commissioning],403)))</f>
        <v/>
      </c>
      <c r="CN404" s="5">
        <f>IF(A404="","",N(INDEX(Projects[Est Systems Commissioning],403)))</f>
        <v/>
      </c>
      <c r="CO404" s="5">
        <f>IF(A404="","",N(INDEX(Projects[Est Service Commissioning],403)))</f>
        <v/>
      </c>
      <c r="CP404" s="5">
        <f>IF(A404="","",N(INDEX(Projects[Est Controls Eng],403)))</f>
        <v/>
      </c>
      <c r="CQ404" s="5">
        <f>IF(A404="","",N(INDEX(Projects[Est Controls Purchase],403)))</f>
        <v/>
      </c>
      <c r="CR404" s="5">
        <f>IF(A404="","",N(INDEX(Projects[Est Software Eng],403)))</f>
        <v/>
      </c>
      <c r="CS404" s="5">
        <f>IF(A404="","",N(INDEX(Projects[Est Misc],403)))</f>
        <v/>
      </c>
      <c r="CT404" s="5">
        <f>IF(A404="","",SUM(CF404:CS404))</f>
        <v/>
      </c>
      <c r="CU404" s="5">
        <f>INDEX(Projects[Est Cost (M)],403)</f>
        <v/>
      </c>
      <c r="CV404" s="5">
        <f>INDEX(Projects[Act Cost (M)],403)</f>
        <v/>
      </c>
      <c r="CW404" s="5">
        <f>INDEX(Projects[Plan Mech Eng (wks)],403)</f>
        <v/>
      </c>
      <c r="CX404" s="5">
        <f>INDEX(Projects[Plan Controls Eng (wks)],403)</f>
        <v/>
      </c>
      <c r="CY404" s="5">
        <f>INDEX(Projects[Plan Systems Eng (wks)],403)</f>
        <v/>
      </c>
      <c r="CZ404" s="5">
        <f>INDEX(Projects[Plan Software Eng (wks)],403)</f>
        <v/>
      </c>
      <c r="DA404" s="5">
        <f>INDEX(Projects[Plan M&amp;E Installation (wks)],403)</f>
        <v/>
      </c>
      <c r="DB404" s="5">
        <f>INDEX(Projects[Plan Commissioning (wks)],403)</f>
        <v/>
      </c>
      <c r="DC404" s="5">
        <f>INDEX(Projects[Plan Total (wks)],403)</f>
        <v/>
      </c>
      <c r="DD404" s="5">
        <f>INDEX(Projects[Act Mech Eng (wks)],403)</f>
        <v/>
      </c>
      <c r="DE404" s="5">
        <f>INDEX(Projects[Act Controls Eng (wks)],403)</f>
        <v/>
      </c>
      <c r="DF404" s="5">
        <f>INDEX(Projects[Act Systems Eng (wks)],403)</f>
        <v/>
      </c>
      <c r="DG404" s="5">
        <f>INDEX(Projects[Act Software Eng (wks)],403)</f>
        <v/>
      </c>
      <c r="DH404" s="5">
        <f>INDEX(Projects[Act M&amp;E Installation (wks)],403)</f>
        <v/>
      </c>
      <c r="DI404" s="5">
        <f>INDEX(Projects[Act Commissioning (wks)],403)</f>
        <v/>
      </c>
      <c r="DJ404" s="5">
        <f>INDEX(Projects[Act Total (wks)],403)</f>
        <v/>
      </c>
    </row>
    <row r="405" ht="15" customHeight="1" s="82">
      <c r="A405" s="64">
        <f>INDEX(Projects[Project ID *],404)&amp;""</f>
        <v/>
      </c>
      <c r="B405" s="64">
        <f>INDEX(Projects[Project Name *],404)&amp;""</f>
        <v/>
      </c>
      <c r="C405" s="64">
        <f>INDEX(Projects[MS Shuttles],404)</f>
        <v/>
      </c>
      <c r="D405" s="64">
        <f>INDEX(Projects[MS Tote Locations],404)</f>
        <v/>
      </c>
      <c r="E405" s="64">
        <f>INDEX(Projects[AS Robots],404)</f>
        <v/>
      </c>
      <c r="F405" s="64">
        <f>INDEX(Projects[AS Tote Locations],404)</f>
        <v/>
      </c>
      <c r="G405" s="64">
        <f>INDEX(Projects[PS Shuttles],404)</f>
        <v/>
      </c>
      <c r="H405" s="64">
        <f>INDEX(Projects[PS Pallet Locations],404)</f>
        <v/>
      </c>
      <c r="I405" s="64">
        <f>INDEX(Projects[SRM Cranes],404)</f>
        <v/>
      </c>
      <c r="J405" s="64">
        <f>INDEX(Projects[SRM Pallet Locations],404)</f>
        <v/>
      </c>
      <c r="K405" s="64">
        <f>INDEX(Projects[Case Conv (m)],404)</f>
        <v/>
      </c>
      <c r="L405" s="64">
        <f>INDEX(Projects[Pallet Conv (m)],404)</f>
        <v/>
      </c>
      <c r="M405" s="64">
        <f>IF(N(DJ405)&gt;0,DD405,CW405)</f>
        <v/>
      </c>
      <c r="N405" s="64">
        <f>IF(N(DJ405)&gt;0,DE405,CX405)</f>
        <v/>
      </c>
      <c r="O405" s="64">
        <f>IF(N(DJ405)&gt;0,DF405,CY405)</f>
        <v/>
      </c>
      <c r="P405" s="64">
        <f>IF(N(DJ405)&gt;0,DG405,CZ405)</f>
        <v/>
      </c>
      <c r="Q405" s="64">
        <f>IF(N(DJ405)&gt;0,DH405,DA405)</f>
        <v/>
      </c>
      <c r="R405" s="64">
        <f>IF(N(DJ405)&gt;0,DI405,DB405)</f>
        <v/>
      </c>
      <c r="S405" s="64">
        <f>IF(N(DJ405)&gt;0,DJ405,DC405)</f>
        <v/>
      </c>
      <c r="T405" s="64">
        <f>INDEX(Projects[Currency],404)&amp;""</f>
        <v/>
      </c>
      <c r="U405" s="65">
        <f>INDEX(Projects[Sold Value (M)],404)</f>
        <v/>
      </c>
      <c r="V405" s="64">
        <f>IF('Smart Search'!B13=1,IFERROR(1/'Smart Search'!H13,0),0)</f>
        <v/>
      </c>
      <c r="W405" s="64">
        <f>IF('Smart Search'!B13=1,IFERROR(1/'Smart Search'!H13,0),0)</f>
        <v/>
      </c>
      <c r="X405" s="64">
        <f>IF('Smart Search'!C13=1,IFERROR(1/'Smart Search'!H13,0),0)</f>
        <v/>
      </c>
      <c r="Y405" s="64">
        <f>IF('Smart Search'!C13=1,IFERROR(1/'Smart Search'!H13,0),0)</f>
        <v/>
      </c>
      <c r="Z405" s="64">
        <f>IF('Smart Search'!D13=1,IFERROR(1/'Smart Search'!H13,0),0)</f>
        <v/>
      </c>
      <c r="AA405" s="64">
        <f>IF('Smart Search'!D13=1,IFERROR(1/'Smart Search'!H13,0),0)</f>
        <v/>
      </c>
      <c r="AB405" s="64">
        <f>IF('Smart Search'!E13=1,IFERROR(1/'Smart Search'!H13,0),0)</f>
        <v/>
      </c>
      <c r="AC405" s="64">
        <f>IF('Smart Search'!E13=1,IFERROR(1/'Smart Search'!H13,0),0)</f>
        <v/>
      </c>
      <c r="AD405" s="64">
        <f>IF('Smart Search'!F13=1,IFERROR(1/'Smart Search'!H13,0),0)</f>
        <v/>
      </c>
      <c r="AE405" s="64">
        <f>IF('Smart Search'!F13=1,IFERROR(1/'Smart Search'!H13,0),0)</f>
        <v/>
      </c>
      <c r="AF405" s="64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4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4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4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4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4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4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4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4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4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4">
        <f>AF405*V405</f>
        <v/>
      </c>
      <c r="AQ405" s="64">
        <f>AG405*W405</f>
        <v/>
      </c>
      <c r="AR405" s="64">
        <f>AH405*X405</f>
        <v/>
      </c>
      <c r="AS405" s="64">
        <f>AI405*Y405</f>
        <v/>
      </c>
      <c r="AT405" s="64">
        <f>AJ405*Z405</f>
        <v/>
      </c>
      <c r="AU405" s="64">
        <f>AK405*AA405</f>
        <v/>
      </c>
      <c r="AV405" s="64">
        <f>AL405*AB405</f>
        <v/>
      </c>
      <c r="AW405" s="64">
        <f>AM405*AC405</f>
        <v/>
      </c>
      <c r="AX405" s="64">
        <f>AN405*AD405</f>
        <v/>
      </c>
      <c r="AY405" s="64">
        <f>AO405*AE405</f>
        <v/>
      </c>
      <c r="AZ405" s="64">
        <f>INDEX(Projects[Automation Equipment],404)&amp;""</f>
        <v/>
      </c>
      <c r="BA405" s="64">
        <f>IF(OR(A405="",'Smart Search'!H13=0),"",MAX(0,BE405*BF405*MAX(0,1-BG405)))</f>
        <v/>
      </c>
      <c r="BB405" s="64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4">
        <f>IF('Smart Search'!G13=1,IFERROR(1/'Smart Search'!H13,0),0)</f>
        <v/>
      </c>
      <c r="BD405" s="64">
        <f>BB405*BC405</f>
        <v/>
      </c>
      <c r="BE405" s="64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IF(A405="","",N(INDEX(Projects[Act Mech Inst],404)))</f>
        <v/>
      </c>
      <c r="BK405" s="5">
        <f>IF(A405="","",N(INDEX(Projects[Act Elec Inst],404)))</f>
        <v/>
      </c>
      <c r="BL405" s="5">
        <f>IF(A405="","",N(INDEX(Projects[Act Project Management],404)))</f>
        <v/>
      </c>
      <c r="BM405" s="5">
        <f>IF(A405="","",N(INDEX(Projects[Act Systems Eng],404)))</f>
        <v/>
      </c>
      <c r="BN405" s="5">
        <f>IF(A405="","",N(INDEX(Projects[Act Mechanical Eng],404)))</f>
        <v/>
      </c>
      <c r="BO405" s="5">
        <f>IF(A405="","",N(INDEX(Projects[Act Structural Engineering],404)))</f>
        <v/>
      </c>
      <c r="BP405" s="5">
        <f>IF(A405="","",N(INDEX(Projects[Act Site Sup],404)))</f>
        <v/>
      </c>
      <c r="BQ405" s="5">
        <f>IF(A405="","",N(INDEX(Projects[Act Controls Commissioning],404)))</f>
        <v/>
      </c>
      <c r="BR405" s="5">
        <f>IF(A405="","",N(INDEX(Projects[Act Systems Commissioning],404)))</f>
        <v/>
      </c>
      <c r="BS405" s="5">
        <f>IF(A405="","",N(INDEX(Projects[Act Service Commissioning],404)))</f>
        <v/>
      </c>
      <c r="BT405" s="5">
        <f>IF(A405="","",N(INDEX(Projects[Act Controls Eng],404)))</f>
        <v/>
      </c>
      <c r="BU405" s="5">
        <f>IF(A405="","",N(INDEX(Projects[Act Controls Purchase],404)))</f>
        <v/>
      </c>
      <c r="BV405" s="5">
        <f>IF(A405="","",N(INDEX(Projects[Act Software Eng],404)))</f>
        <v/>
      </c>
      <c r="BW405" s="5">
        <f>IF(A405="","",N(INDEX(Projects[Act 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INDEX(Projects[Sold Value (USD M)],404)</f>
        <v/>
      </c>
      <c r="CE405" s="5" t="n"/>
      <c r="CF405" s="5">
        <f>IF(A405="","",N(INDEX(Projects[Est Mech Inst],404)))</f>
        <v/>
      </c>
      <c r="CG405" s="5">
        <f>IF(A405="","",N(INDEX(Projects[Est Elec Inst],404)))</f>
        <v/>
      </c>
      <c r="CH405" s="5">
        <f>IF(A405="","",N(INDEX(Projects[Est Project Management],404)))</f>
        <v/>
      </c>
      <c r="CI405" s="5">
        <f>IF(A405="","",N(INDEX(Projects[Est Systems Eng],404)))</f>
        <v/>
      </c>
      <c r="CJ405" s="5">
        <f>IF(A405="","",N(INDEX(Projects[Est Mechanical Eng],404)))</f>
        <v/>
      </c>
      <c r="CK405" s="5">
        <f>IF(A405="","",N(INDEX(Projects[Est Structural Engineering],404)))</f>
        <v/>
      </c>
      <c r="CL405" s="5">
        <f>IF(A405="","",N(INDEX(Projects[Est Site Sup],404)))</f>
        <v/>
      </c>
      <c r="CM405" s="5">
        <f>IF(A405="","",N(INDEX(Projects[Est Controls Commissioning],404)))</f>
        <v/>
      </c>
      <c r="CN405" s="5">
        <f>IF(A405="","",N(INDEX(Projects[Est Systems Commissioning],404)))</f>
        <v/>
      </c>
      <c r="CO405" s="5">
        <f>IF(A405="","",N(INDEX(Projects[Est Service Commissioning],404)))</f>
        <v/>
      </c>
      <c r="CP405" s="5">
        <f>IF(A405="","",N(INDEX(Projects[Est Controls Eng],404)))</f>
        <v/>
      </c>
      <c r="CQ405" s="5">
        <f>IF(A405="","",N(INDEX(Projects[Est Controls Purchase],404)))</f>
        <v/>
      </c>
      <c r="CR405" s="5">
        <f>IF(A405="","",N(INDEX(Projects[Est Software Eng],404)))</f>
        <v/>
      </c>
      <c r="CS405" s="5">
        <f>IF(A405="","",N(INDEX(Projects[Est Misc],404)))</f>
        <v/>
      </c>
      <c r="CT405" s="5">
        <f>IF(A405="","",SUM(CF405:CS405))</f>
        <v/>
      </c>
      <c r="CU405" s="5">
        <f>INDEX(Projects[Est Cost (M)],404)</f>
        <v/>
      </c>
      <c r="CV405" s="5">
        <f>INDEX(Projects[Act Cost (M)],404)</f>
        <v/>
      </c>
      <c r="CW405" s="5">
        <f>INDEX(Projects[Plan Mech Eng (wks)],404)</f>
        <v/>
      </c>
      <c r="CX405" s="5">
        <f>INDEX(Projects[Plan Controls Eng (wks)],404)</f>
        <v/>
      </c>
      <c r="CY405" s="5">
        <f>INDEX(Projects[Plan Systems Eng (wks)],404)</f>
        <v/>
      </c>
      <c r="CZ405" s="5">
        <f>INDEX(Projects[Plan Software Eng (wks)],404)</f>
        <v/>
      </c>
      <c r="DA405" s="5">
        <f>INDEX(Projects[Plan M&amp;E Installation (wks)],404)</f>
        <v/>
      </c>
      <c r="DB405" s="5">
        <f>INDEX(Projects[Plan Commissioning (wks)],404)</f>
        <v/>
      </c>
      <c r="DC405" s="5">
        <f>INDEX(Projects[Plan Total (wks)],404)</f>
        <v/>
      </c>
      <c r="DD405" s="5">
        <f>INDEX(Projects[Act Mech Eng (wks)],404)</f>
        <v/>
      </c>
      <c r="DE405" s="5">
        <f>INDEX(Projects[Act Controls Eng (wks)],404)</f>
        <v/>
      </c>
      <c r="DF405" s="5">
        <f>INDEX(Projects[Act Systems Eng (wks)],404)</f>
        <v/>
      </c>
      <c r="DG405" s="5">
        <f>INDEX(Projects[Act Software Eng (wks)],404)</f>
        <v/>
      </c>
      <c r="DH405" s="5">
        <f>INDEX(Projects[Act M&amp;E Installation (wks)],404)</f>
        <v/>
      </c>
      <c r="DI405" s="5">
        <f>INDEX(Projects[Act Commissioning (wks)],404)</f>
        <v/>
      </c>
      <c r="DJ405" s="5">
        <f>INDEX(Projects[Act Total (wks)],404)</f>
        <v/>
      </c>
    </row>
    <row r="406" ht="15" customHeight="1" s="82">
      <c r="A406" s="64">
        <f>INDEX(Projects[Project ID *],405)&amp;""</f>
        <v/>
      </c>
      <c r="B406" s="64">
        <f>INDEX(Projects[Project Name *],405)&amp;""</f>
        <v/>
      </c>
      <c r="C406" s="64">
        <f>INDEX(Projects[MS Shuttles],405)</f>
        <v/>
      </c>
      <c r="D406" s="64">
        <f>INDEX(Projects[MS Tote Locations],405)</f>
        <v/>
      </c>
      <c r="E406" s="64">
        <f>INDEX(Projects[AS Robots],405)</f>
        <v/>
      </c>
      <c r="F406" s="64">
        <f>INDEX(Projects[AS Tote Locations],405)</f>
        <v/>
      </c>
      <c r="G406" s="64">
        <f>INDEX(Projects[PS Shuttles],405)</f>
        <v/>
      </c>
      <c r="H406" s="64">
        <f>INDEX(Projects[PS Pallet Locations],405)</f>
        <v/>
      </c>
      <c r="I406" s="64">
        <f>INDEX(Projects[SRM Cranes],405)</f>
        <v/>
      </c>
      <c r="J406" s="64">
        <f>INDEX(Projects[SRM Pallet Locations],405)</f>
        <v/>
      </c>
      <c r="K406" s="64">
        <f>INDEX(Projects[Case Conv (m)],405)</f>
        <v/>
      </c>
      <c r="L406" s="64">
        <f>INDEX(Projects[Pallet Conv (m)],405)</f>
        <v/>
      </c>
      <c r="M406" s="64">
        <f>IF(N(DJ406)&gt;0,DD406,CW406)</f>
        <v/>
      </c>
      <c r="N406" s="64">
        <f>IF(N(DJ406)&gt;0,DE406,CX406)</f>
        <v/>
      </c>
      <c r="O406" s="64">
        <f>IF(N(DJ406)&gt;0,DF406,CY406)</f>
        <v/>
      </c>
      <c r="P406" s="64">
        <f>IF(N(DJ406)&gt;0,DG406,CZ406)</f>
        <v/>
      </c>
      <c r="Q406" s="64">
        <f>IF(N(DJ406)&gt;0,DH406,DA406)</f>
        <v/>
      </c>
      <c r="R406" s="64">
        <f>IF(N(DJ406)&gt;0,DI406,DB406)</f>
        <v/>
      </c>
      <c r="S406" s="64">
        <f>IF(N(DJ406)&gt;0,DJ406,DC406)</f>
        <v/>
      </c>
      <c r="T406" s="64">
        <f>INDEX(Projects[Currency],405)&amp;""</f>
        <v/>
      </c>
      <c r="U406" s="65">
        <f>INDEX(Projects[Sold Value (M)],405)</f>
        <v/>
      </c>
      <c r="V406" s="64">
        <f>IF('Smart Search'!B13=1,IFERROR(1/'Smart Search'!H13,0),0)</f>
        <v/>
      </c>
      <c r="W406" s="64">
        <f>IF('Smart Search'!B13=1,IFERROR(1/'Smart Search'!H13,0),0)</f>
        <v/>
      </c>
      <c r="X406" s="64">
        <f>IF('Smart Search'!C13=1,IFERROR(1/'Smart Search'!H13,0),0)</f>
        <v/>
      </c>
      <c r="Y406" s="64">
        <f>IF('Smart Search'!C13=1,IFERROR(1/'Smart Search'!H13,0),0)</f>
        <v/>
      </c>
      <c r="Z406" s="64">
        <f>IF('Smart Search'!D13=1,IFERROR(1/'Smart Search'!H13,0),0)</f>
        <v/>
      </c>
      <c r="AA406" s="64">
        <f>IF('Smart Search'!D13=1,IFERROR(1/'Smart Search'!H13,0),0)</f>
        <v/>
      </c>
      <c r="AB406" s="64">
        <f>IF('Smart Search'!E13=1,IFERROR(1/'Smart Search'!H13,0),0)</f>
        <v/>
      </c>
      <c r="AC406" s="64">
        <f>IF('Smart Search'!E13=1,IFERROR(1/'Smart Search'!H13,0),0)</f>
        <v/>
      </c>
      <c r="AD406" s="64">
        <f>IF('Smart Search'!F13=1,IFERROR(1/'Smart Search'!H13,0),0)</f>
        <v/>
      </c>
      <c r="AE406" s="64">
        <f>IF('Smart Search'!F13=1,IFERROR(1/'Smart Search'!H13,0),0)</f>
        <v/>
      </c>
      <c r="AF406" s="64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4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4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4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4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4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4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4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4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4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4">
        <f>AF406*V406</f>
        <v/>
      </c>
      <c r="AQ406" s="64">
        <f>AG406*W406</f>
        <v/>
      </c>
      <c r="AR406" s="64">
        <f>AH406*X406</f>
        <v/>
      </c>
      <c r="AS406" s="64">
        <f>AI406*Y406</f>
        <v/>
      </c>
      <c r="AT406" s="64">
        <f>AJ406*Z406</f>
        <v/>
      </c>
      <c r="AU406" s="64">
        <f>AK406*AA406</f>
        <v/>
      </c>
      <c r="AV406" s="64">
        <f>AL406*AB406</f>
        <v/>
      </c>
      <c r="AW406" s="64">
        <f>AM406*AC406</f>
        <v/>
      </c>
      <c r="AX406" s="64">
        <f>AN406*AD406</f>
        <v/>
      </c>
      <c r="AY406" s="64">
        <f>AO406*AE406</f>
        <v/>
      </c>
      <c r="AZ406" s="64">
        <f>INDEX(Projects[Automation Equipment],405)&amp;""</f>
        <v/>
      </c>
      <c r="BA406" s="64">
        <f>IF(OR(A406="",'Smart Search'!H13=0),"",MAX(0,BE406*BF406*MAX(0,1-BG406)))</f>
        <v/>
      </c>
      <c r="BB406" s="64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4">
        <f>IF('Smart Search'!G13=1,IFERROR(1/'Smart Search'!H13,0),0)</f>
        <v/>
      </c>
      <c r="BD406" s="64">
        <f>BB406*BC406</f>
        <v/>
      </c>
      <c r="BE406" s="64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IF(A406="","",N(INDEX(Projects[Act Mech Inst],405)))</f>
        <v/>
      </c>
      <c r="BK406" s="5">
        <f>IF(A406="","",N(INDEX(Projects[Act Elec Inst],405)))</f>
        <v/>
      </c>
      <c r="BL406" s="5">
        <f>IF(A406="","",N(INDEX(Projects[Act Project Management],405)))</f>
        <v/>
      </c>
      <c r="BM406" s="5">
        <f>IF(A406="","",N(INDEX(Projects[Act Systems Eng],405)))</f>
        <v/>
      </c>
      <c r="BN406" s="5">
        <f>IF(A406="","",N(INDEX(Projects[Act Mechanical Eng],405)))</f>
        <v/>
      </c>
      <c r="BO406" s="5">
        <f>IF(A406="","",N(INDEX(Projects[Act Structural Engineering],405)))</f>
        <v/>
      </c>
      <c r="BP406" s="5">
        <f>IF(A406="","",N(INDEX(Projects[Act Site Sup],405)))</f>
        <v/>
      </c>
      <c r="BQ406" s="5">
        <f>IF(A406="","",N(INDEX(Projects[Act Controls Commissioning],405)))</f>
        <v/>
      </c>
      <c r="BR406" s="5">
        <f>IF(A406="","",N(INDEX(Projects[Act Systems Commissioning],405)))</f>
        <v/>
      </c>
      <c r="BS406" s="5">
        <f>IF(A406="","",N(INDEX(Projects[Act Service Commissioning],405)))</f>
        <v/>
      </c>
      <c r="BT406" s="5">
        <f>IF(A406="","",N(INDEX(Projects[Act Controls Eng],405)))</f>
        <v/>
      </c>
      <c r="BU406" s="5">
        <f>IF(A406="","",N(INDEX(Projects[Act Controls Purchase],405)))</f>
        <v/>
      </c>
      <c r="BV406" s="5">
        <f>IF(A406="","",N(INDEX(Projects[Act Software Eng],405)))</f>
        <v/>
      </c>
      <c r="BW406" s="5">
        <f>IF(A406="","",N(INDEX(Projects[Act 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INDEX(Projects[Sold Value (USD M)],405)</f>
        <v/>
      </c>
      <c r="CE406" s="5" t="n"/>
      <c r="CF406" s="5">
        <f>IF(A406="","",N(INDEX(Projects[Est Mech Inst],405)))</f>
        <v/>
      </c>
      <c r="CG406" s="5">
        <f>IF(A406="","",N(INDEX(Projects[Est Elec Inst],405)))</f>
        <v/>
      </c>
      <c r="CH406" s="5">
        <f>IF(A406="","",N(INDEX(Projects[Est Project Management],405)))</f>
        <v/>
      </c>
      <c r="CI406" s="5">
        <f>IF(A406="","",N(INDEX(Projects[Est Systems Eng],405)))</f>
        <v/>
      </c>
      <c r="CJ406" s="5">
        <f>IF(A406="","",N(INDEX(Projects[Est Mechanical Eng],405)))</f>
        <v/>
      </c>
      <c r="CK406" s="5">
        <f>IF(A406="","",N(INDEX(Projects[Est Structural Engineering],405)))</f>
        <v/>
      </c>
      <c r="CL406" s="5">
        <f>IF(A406="","",N(INDEX(Projects[Est Site Sup],405)))</f>
        <v/>
      </c>
      <c r="CM406" s="5">
        <f>IF(A406="","",N(INDEX(Projects[Est Controls Commissioning],405)))</f>
        <v/>
      </c>
      <c r="CN406" s="5">
        <f>IF(A406="","",N(INDEX(Projects[Est Systems Commissioning],405)))</f>
        <v/>
      </c>
      <c r="CO406" s="5">
        <f>IF(A406="","",N(INDEX(Projects[Est Service Commissioning],405)))</f>
        <v/>
      </c>
      <c r="CP406" s="5">
        <f>IF(A406="","",N(INDEX(Projects[Est Controls Eng],405)))</f>
        <v/>
      </c>
      <c r="CQ406" s="5">
        <f>IF(A406="","",N(INDEX(Projects[Est Controls Purchase],405)))</f>
        <v/>
      </c>
      <c r="CR406" s="5">
        <f>IF(A406="","",N(INDEX(Projects[Est Software Eng],405)))</f>
        <v/>
      </c>
      <c r="CS406" s="5">
        <f>IF(A406="","",N(INDEX(Projects[Est Misc],405)))</f>
        <v/>
      </c>
      <c r="CT406" s="5">
        <f>IF(A406="","",SUM(CF406:CS406))</f>
        <v/>
      </c>
      <c r="CU406" s="5">
        <f>INDEX(Projects[Est Cost (M)],405)</f>
        <v/>
      </c>
      <c r="CV406" s="5">
        <f>INDEX(Projects[Act Cost (M)],405)</f>
        <v/>
      </c>
      <c r="CW406" s="5">
        <f>INDEX(Projects[Plan Mech Eng (wks)],405)</f>
        <v/>
      </c>
      <c r="CX406" s="5">
        <f>INDEX(Projects[Plan Controls Eng (wks)],405)</f>
        <v/>
      </c>
      <c r="CY406" s="5">
        <f>INDEX(Projects[Plan Systems Eng (wks)],405)</f>
        <v/>
      </c>
      <c r="CZ406" s="5">
        <f>INDEX(Projects[Plan Software Eng (wks)],405)</f>
        <v/>
      </c>
      <c r="DA406" s="5">
        <f>INDEX(Projects[Plan M&amp;E Installation (wks)],405)</f>
        <v/>
      </c>
      <c r="DB406" s="5">
        <f>INDEX(Projects[Plan Commissioning (wks)],405)</f>
        <v/>
      </c>
      <c r="DC406" s="5">
        <f>INDEX(Projects[Plan Total (wks)],405)</f>
        <v/>
      </c>
      <c r="DD406" s="5">
        <f>INDEX(Projects[Act Mech Eng (wks)],405)</f>
        <v/>
      </c>
      <c r="DE406" s="5">
        <f>INDEX(Projects[Act Controls Eng (wks)],405)</f>
        <v/>
      </c>
      <c r="DF406" s="5">
        <f>INDEX(Projects[Act Systems Eng (wks)],405)</f>
        <v/>
      </c>
      <c r="DG406" s="5">
        <f>INDEX(Projects[Act Software Eng (wks)],405)</f>
        <v/>
      </c>
      <c r="DH406" s="5">
        <f>INDEX(Projects[Act M&amp;E Installation (wks)],405)</f>
        <v/>
      </c>
      <c r="DI406" s="5">
        <f>INDEX(Projects[Act Commissioning (wks)],405)</f>
        <v/>
      </c>
      <c r="DJ406" s="5">
        <f>INDEX(Projects[Act Total (wks)],405)</f>
        <v/>
      </c>
    </row>
    <row r="407" ht="15" customHeight="1" s="82">
      <c r="A407" s="64">
        <f>INDEX(Projects[Project ID *],406)&amp;""</f>
        <v/>
      </c>
      <c r="B407" s="64">
        <f>INDEX(Projects[Project Name *],406)&amp;""</f>
        <v/>
      </c>
      <c r="C407" s="64">
        <f>INDEX(Projects[MS Shuttles],406)</f>
        <v/>
      </c>
      <c r="D407" s="64">
        <f>INDEX(Projects[MS Tote Locations],406)</f>
        <v/>
      </c>
      <c r="E407" s="64">
        <f>INDEX(Projects[AS Robots],406)</f>
        <v/>
      </c>
      <c r="F407" s="64">
        <f>INDEX(Projects[AS Tote Locations],406)</f>
        <v/>
      </c>
      <c r="G407" s="64">
        <f>INDEX(Projects[PS Shuttles],406)</f>
        <v/>
      </c>
      <c r="H407" s="64">
        <f>INDEX(Projects[PS Pallet Locations],406)</f>
        <v/>
      </c>
      <c r="I407" s="64">
        <f>INDEX(Projects[SRM Cranes],406)</f>
        <v/>
      </c>
      <c r="J407" s="64">
        <f>INDEX(Projects[SRM Pallet Locations],406)</f>
        <v/>
      </c>
      <c r="K407" s="64">
        <f>INDEX(Projects[Case Conv (m)],406)</f>
        <v/>
      </c>
      <c r="L407" s="64">
        <f>INDEX(Projects[Pallet Conv (m)],406)</f>
        <v/>
      </c>
      <c r="M407" s="64">
        <f>IF(N(DJ407)&gt;0,DD407,CW407)</f>
        <v/>
      </c>
      <c r="N407" s="64">
        <f>IF(N(DJ407)&gt;0,DE407,CX407)</f>
        <v/>
      </c>
      <c r="O407" s="64">
        <f>IF(N(DJ407)&gt;0,DF407,CY407)</f>
        <v/>
      </c>
      <c r="P407" s="64">
        <f>IF(N(DJ407)&gt;0,DG407,CZ407)</f>
        <v/>
      </c>
      <c r="Q407" s="64">
        <f>IF(N(DJ407)&gt;0,DH407,DA407)</f>
        <v/>
      </c>
      <c r="R407" s="64">
        <f>IF(N(DJ407)&gt;0,DI407,DB407)</f>
        <v/>
      </c>
      <c r="S407" s="64">
        <f>IF(N(DJ407)&gt;0,DJ407,DC407)</f>
        <v/>
      </c>
      <c r="T407" s="64">
        <f>INDEX(Projects[Currency],406)&amp;""</f>
        <v/>
      </c>
      <c r="U407" s="65">
        <f>INDEX(Projects[Sold Value (M)],406)</f>
        <v/>
      </c>
      <c r="V407" s="64">
        <f>IF('Smart Search'!B13=1,IFERROR(1/'Smart Search'!H13,0),0)</f>
        <v/>
      </c>
      <c r="W407" s="64">
        <f>IF('Smart Search'!B13=1,IFERROR(1/'Smart Search'!H13,0),0)</f>
        <v/>
      </c>
      <c r="X407" s="64">
        <f>IF('Smart Search'!C13=1,IFERROR(1/'Smart Search'!H13,0),0)</f>
        <v/>
      </c>
      <c r="Y407" s="64">
        <f>IF('Smart Search'!C13=1,IFERROR(1/'Smart Search'!H13,0),0)</f>
        <v/>
      </c>
      <c r="Z407" s="64">
        <f>IF('Smart Search'!D13=1,IFERROR(1/'Smart Search'!H13,0),0)</f>
        <v/>
      </c>
      <c r="AA407" s="64">
        <f>IF('Smart Search'!D13=1,IFERROR(1/'Smart Search'!H13,0),0)</f>
        <v/>
      </c>
      <c r="AB407" s="64">
        <f>IF('Smart Search'!E13=1,IFERROR(1/'Smart Search'!H13,0),0)</f>
        <v/>
      </c>
      <c r="AC407" s="64">
        <f>IF('Smart Search'!E13=1,IFERROR(1/'Smart Search'!H13,0),0)</f>
        <v/>
      </c>
      <c r="AD407" s="64">
        <f>IF('Smart Search'!F13=1,IFERROR(1/'Smart Search'!H13,0),0)</f>
        <v/>
      </c>
      <c r="AE407" s="64">
        <f>IF('Smart Search'!F13=1,IFERROR(1/'Smart Search'!H13,0),0)</f>
        <v/>
      </c>
      <c r="AF407" s="64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4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4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4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4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4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4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4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4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4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4">
        <f>AF407*V407</f>
        <v/>
      </c>
      <c r="AQ407" s="64">
        <f>AG407*W407</f>
        <v/>
      </c>
      <c r="AR407" s="64">
        <f>AH407*X407</f>
        <v/>
      </c>
      <c r="AS407" s="64">
        <f>AI407*Y407</f>
        <v/>
      </c>
      <c r="AT407" s="64">
        <f>AJ407*Z407</f>
        <v/>
      </c>
      <c r="AU407" s="64">
        <f>AK407*AA407</f>
        <v/>
      </c>
      <c r="AV407" s="64">
        <f>AL407*AB407</f>
        <v/>
      </c>
      <c r="AW407" s="64">
        <f>AM407*AC407</f>
        <v/>
      </c>
      <c r="AX407" s="64">
        <f>AN407*AD407</f>
        <v/>
      </c>
      <c r="AY407" s="64">
        <f>AO407*AE407</f>
        <v/>
      </c>
      <c r="AZ407" s="64">
        <f>INDEX(Projects[Automation Equipment],406)&amp;""</f>
        <v/>
      </c>
      <c r="BA407" s="64">
        <f>IF(OR(A407="",'Smart Search'!H13=0),"",MAX(0,BE407*BF407*MAX(0,1-BG407)))</f>
        <v/>
      </c>
      <c r="BB407" s="64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4">
        <f>IF('Smart Search'!G13=1,IFERROR(1/'Smart Search'!H13,0),0)</f>
        <v/>
      </c>
      <c r="BD407" s="64">
        <f>BB407*BC407</f>
        <v/>
      </c>
      <c r="BE407" s="64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IF(A407="","",N(INDEX(Projects[Act Mech Inst],406)))</f>
        <v/>
      </c>
      <c r="BK407" s="5">
        <f>IF(A407="","",N(INDEX(Projects[Act Elec Inst],406)))</f>
        <v/>
      </c>
      <c r="BL407" s="5">
        <f>IF(A407="","",N(INDEX(Projects[Act Project Management],406)))</f>
        <v/>
      </c>
      <c r="BM407" s="5">
        <f>IF(A407="","",N(INDEX(Projects[Act Systems Eng],406)))</f>
        <v/>
      </c>
      <c r="BN407" s="5">
        <f>IF(A407="","",N(INDEX(Projects[Act Mechanical Eng],406)))</f>
        <v/>
      </c>
      <c r="BO407" s="5">
        <f>IF(A407="","",N(INDEX(Projects[Act Structural Engineering],406)))</f>
        <v/>
      </c>
      <c r="BP407" s="5">
        <f>IF(A407="","",N(INDEX(Projects[Act Site Sup],406)))</f>
        <v/>
      </c>
      <c r="BQ407" s="5">
        <f>IF(A407="","",N(INDEX(Projects[Act Controls Commissioning],406)))</f>
        <v/>
      </c>
      <c r="BR407" s="5">
        <f>IF(A407="","",N(INDEX(Projects[Act Systems Commissioning],406)))</f>
        <v/>
      </c>
      <c r="BS407" s="5">
        <f>IF(A407="","",N(INDEX(Projects[Act Service Commissioning],406)))</f>
        <v/>
      </c>
      <c r="BT407" s="5">
        <f>IF(A407="","",N(INDEX(Projects[Act Controls Eng],406)))</f>
        <v/>
      </c>
      <c r="BU407" s="5">
        <f>IF(A407="","",N(INDEX(Projects[Act Controls Purchase],406)))</f>
        <v/>
      </c>
      <c r="BV407" s="5">
        <f>IF(A407="","",N(INDEX(Projects[Act Software Eng],406)))</f>
        <v/>
      </c>
      <c r="BW407" s="5">
        <f>IF(A407="","",N(INDEX(Projects[Act 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INDEX(Projects[Sold Value (USD M)],406)</f>
        <v/>
      </c>
      <c r="CE407" s="5" t="n"/>
      <c r="CF407" s="5">
        <f>IF(A407="","",N(INDEX(Projects[Est Mech Inst],406)))</f>
        <v/>
      </c>
      <c r="CG407" s="5">
        <f>IF(A407="","",N(INDEX(Projects[Est Elec Inst],406)))</f>
        <v/>
      </c>
      <c r="CH407" s="5">
        <f>IF(A407="","",N(INDEX(Projects[Est Project Management],406)))</f>
        <v/>
      </c>
      <c r="CI407" s="5">
        <f>IF(A407="","",N(INDEX(Projects[Est Systems Eng],406)))</f>
        <v/>
      </c>
      <c r="CJ407" s="5">
        <f>IF(A407="","",N(INDEX(Projects[Est Mechanical Eng],406)))</f>
        <v/>
      </c>
      <c r="CK407" s="5">
        <f>IF(A407="","",N(INDEX(Projects[Est Structural Engineering],406)))</f>
        <v/>
      </c>
      <c r="CL407" s="5">
        <f>IF(A407="","",N(INDEX(Projects[Est Site Sup],406)))</f>
        <v/>
      </c>
      <c r="CM407" s="5">
        <f>IF(A407="","",N(INDEX(Projects[Est Controls Commissioning],406)))</f>
        <v/>
      </c>
      <c r="CN407" s="5">
        <f>IF(A407="","",N(INDEX(Projects[Est Systems Commissioning],406)))</f>
        <v/>
      </c>
      <c r="CO407" s="5">
        <f>IF(A407="","",N(INDEX(Projects[Est Service Commissioning],406)))</f>
        <v/>
      </c>
      <c r="CP407" s="5">
        <f>IF(A407="","",N(INDEX(Projects[Est Controls Eng],406)))</f>
        <v/>
      </c>
      <c r="CQ407" s="5">
        <f>IF(A407="","",N(INDEX(Projects[Est Controls Purchase],406)))</f>
        <v/>
      </c>
      <c r="CR407" s="5">
        <f>IF(A407="","",N(INDEX(Projects[Est Software Eng],406)))</f>
        <v/>
      </c>
      <c r="CS407" s="5">
        <f>IF(A407="","",N(INDEX(Projects[Est Misc],406)))</f>
        <v/>
      </c>
      <c r="CT407" s="5">
        <f>IF(A407="","",SUM(CF407:CS407))</f>
        <v/>
      </c>
      <c r="CU407" s="5">
        <f>INDEX(Projects[Est Cost (M)],406)</f>
        <v/>
      </c>
      <c r="CV407" s="5">
        <f>INDEX(Projects[Act Cost (M)],406)</f>
        <v/>
      </c>
      <c r="CW407" s="5">
        <f>INDEX(Projects[Plan Mech Eng (wks)],406)</f>
        <v/>
      </c>
      <c r="CX407" s="5">
        <f>INDEX(Projects[Plan Controls Eng (wks)],406)</f>
        <v/>
      </c>
      <c r="CY407" s="5">
        <f>INDEX(Projects[Plan Systems Eng (wks)],406)</f>
        <v/>
      </c>
      <c r="CZ407" s="5">
        <f>INDEX(Projects[Plan Software Eng (wks)],406)</f>
        <v/>
      </c>
      <c r="DA407" s="5">
        <f>INDEX(Projects[Plan M&amp;E Installation (wks)],406)</f>
        <v/>
      </c>
      <c r="DB407" s="5">
        <f>INDEX(Projects[Plan Commissioning (wks)],406)</f>
        <v/>
      </c>
      <c r="DC407" s="5">
        <f>INDEX(Projects[Plan Total (wks)],406)</f>
        <v/>
      </c>
      <c r="DD407" s="5">
        <f>INDEX(Projects[Act Mech Eng (wks)],406)</f>
        <v/>
      </c>
      <c r="DE407" s="5">
        <f>INDEX(Projects[Act Controls Eng (wks)],406)</f>
        <v/>
      </c>
      <c r="DF407" s="5">
        <f>INDEX(Projects[Act Systems Eng (wks)],406)</f>
        <v/>
      </c>
      <c r="DG407" s="5">
        <f>INDEX(Projects[Act Software Eng (wks)],406)</f>
        <v/>
      </c>
      <c r="DH407" s="5">
        <f>INDEX(Projects[Act M&amp;E Installation (wks)],406)</f>
        <v/>
      </c>
      <c r="DI407" s="5">
        <f>INDEX(Projects[Act Commissioning (wks)],406)</f>
        <v/>
      </c>
      <c r="DJ407" s="5">
        <f>INDEX(Projects[Act Total (wks)],406)</f>
        <v/>
      </c>
    </row>
    <row r="408" ht="15" customHeight="1" s="82">
      <c r="A408" s="64">
        <f>INDEX(Projects[Project ID *],407)&amp;""</f>
        <v/>
      </c>
      <c r="B408" s="64">
        <f>INDEX(Projects[Project Name *],407)&amp;""</f>
        <v/>
      </c>
      <c r="C408" s="64">
        <f>INDEX(Projects[MS Shuttles],407)</f>
        <v/>
      </c>
      <c r="D408" s="64">
        <f>INDEX(Projects[MS Tote Locations],407)</f>
        <v/>
      </c>
      <c r="E408" s="64">
        <f>INDEX(Projects[AS Robots],407)</f>
        <v/>
      </c>
      <c r="F408" s="64">
        <f>INDEX(Projects[AS Tote Locations],407)</f>
        <v/>
      </c>
      <c r="G408" s="64">
        <f>INDEX(Projects[PS Shuttles],407)</f>
        <v/>
      </c>
      <c r="H408" s="64">
        <f>INDEX(Projects[PS Pallet Locations],407)</f>
        <v/>
      </c>
      <c r="I408" s="64">
        <f>INDEX(Projects[SRM Cranes],407)</f>
        <v/>
      </c>
      <c r="J408" s="64">
        <f>INDEX(Projects[SRM Pallet Locations],407)</f>
        <v/>
      </c>
      <c r="K408" s="64">
        <f>INDEX(Projects[Case Conv (m)],407)</f>
        <v/>
      </c>
      <c r="L408" s="64">
        <f>INDEX(Projects[Pallet Conv (m)],407)</f>
        <v/>
      </c>
      <c r="M408" s="64">
        <f>IF(N(DJ408)&gt;0,DD408,CW408)</f>
        <v/>
      </c>
      <c r="N408" s="64">
        <f>IF(N(DJ408)&gt;0,DE408,CX408)</f>
        <v/>
      </c>
      <c r="O408" s="64">
        <f>IF(N(DJ408)&gt;0,DF408,CY408)</f>
        <v/>
      </c>
      <c r="P408" s="64">
        <f>IF(N(DJ408)&gt;0,DG408,CZ408)</f>
        <v/>
      </c>
      <c r="Q408" s="64">
        <f>IF(N(DJ408)&gt;0,DH408,DA408)</f>
        <v/>
      </c>
      <c r="R408" s="64">
        <f>IF(N(DJ408)&gt;0,DI408,DB408)</f>
        <v/>
      </c>
      <c r="S408" s="64">
        <f>IF(N(DJ408)&gt;0,DJ408,DC408)</f>
        <v/>
      </c>
      <c r="T408" s="64">
        <f>INDEX(Projects[Currency],407)&amp;""</f>
        <v/>
      </c>
      <c r="U408" s="65">
        <f>INDEX(Projects[Sold Value (M)],407)</f>
        <v/>
      </c>
      <c r="V408" s="64">
        <f>IF('Smart Search'!B13=1,IFERROR(1/'Smart Search'!H13,0),0)</f>
        <v/>
      </c>
      <c r="W408" s="64">
        <f>IF('Smart Search'!B13=1,IFERROR(1/'Smart Search'!H13,0),0)</f>
        <v/>
      </c>
      <c r="X408" s="64">
        <f>IF('Smart Search'!C13=1,IFERROR(1/'Smart Search'!H13,0),0)</f>
        <v/>
      </c>
      <c r="Y408" s="64">
        <f>IF('Smart Search'!C13=1,IFERROR(1/'Smart Search'!H13,0),0)</f>
        <v/>
      </c>
      <c r="Z408" s="64">
        <f>IF('Smart Search'!D13=1,IFERROR(1/'Smart Search'!H13,0),0)</f>
        <v/>
      </c>
      <c r="AA408" s="64">
        <f>IF('Smart Search'!D13=1,IFERROR(1/'Smart Search'!H13,0),0)</f>
        <v/>
      </c>
      <c r="AB408" s="64">
        <f>IF('Smart Search'!E13=1,IFERROR(1/'Smart Search'!H13,0),0)</f>
        <v/>
      </c>
      <c r="AC408" s="64">
        <f>IF('Smart Search'!E13=1,IFERROR(1/'Smart Search'!H13,0),0)</f>
        <v/>
      </c>
      <c r="AD408" s="64">
        <f>IF('Smart Search'!F13=1,IFERROR(1/'Smart Search'!H13,0),0)</f>
        <v/>
      </c>
      <c r="AE408" s="64">
        <f>IF('Smart Search'!F13=1,IFERROR(1/'Smart Search'!H13,0),0)</f>
        <v/>
      </c>
      <c r="AF408" s="64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4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4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4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4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4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4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4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4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4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4">
        <f>AF408*V408</f>
        <v/>
      </c>
      <c r="AQ408" s="64">
        <f>AG408*W408</f>
        <v/>
      </c>
      <c r="AR408" s="64">
        <f>AH408*X408</f>
        <v/>
      </c>
      <c r="AS408" s="64">
        <f>AI408*Y408</f>
        <v/>
      </c>
      <c r="AT408" s="64">
        <f>AJ408*Z408</f>
        <v/>
      </c>
      <c r="AU408" s="64">
        <f>AK408*AA408</f>
        <v/>
      </c>
      <c r="AV408" s="64">
        <f>AL408*AB408</f>
        <v/>
      </c>
      <c r="AW408" s="64">
        <f>AM408*AC408</f>
        <v/>
      </c>
      <c r="AX408" s="64">
        <f>AN408*AD408</f>
        <v/>
      </c>
      <c r="AY408" s="64">
        <f>AO408*AE408</f>
        <v/>
      </c>
      <c r="AZ408" s="64">
        <f>INDEX(Projects[Automation Equipment],407)&amp;""</f>
        <v/>
      </c>
      <c r="BA408" s="64">
        <f>IF(OR(A408="",'Smart Search'!H13=0),"",MAX(0,BE408*BF408*MAX(0,1-BG408)))</f>
        <v/>
      </c>
      <c r="BB408" s="64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4">
        <f>IF('Smart Search'!G13=1,IFERROR(1/'Smart Search'!H13,0),0)</f>
        <v/>
      </c>
      <c r="BD408" s="64">
        <f>BB408*BC408</f>
        <v/>
      </c>
      <c r="BE408" s="64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IF(A408="","",N(INDEX(Projects[Act Mech Inst],407)))</f>
        <v/>
      </c>
      <c r="BK408" s="5">
        <f>IF(A408="","",N(INDEX(Projects[Act Elec Inst],407)))</f>
        <v/>
      </c>
      <c r="BL408" s="5">
        <f>IF(A408="","",N(INDEX(Projects[Act Project Management],407)))</f>
        <v/>
      </c>
      <c r="BM408" s="5">
        <f>IF(A408="","",N(INDEX(Projects[Act Systems Eng],407)))</f>
        <v/>
      </c>
      <c r="BN408" s="5">
        <f>IF(A408="","",N(INDEX(Projects[Act Mechanical Eng],407)))</f>
        <v/>
      </c>
      <c r="BO408" s="5">
        <f>IF(A408="","",N(INDEX(Projects[Act Structural Engineering],407)))</f>
        <v/>
      </c>
      <c r="BP408" s="5">
        <f>IF(A408="","",N(INDEX(Projects[Act Site Sup],407)))</f>
        <v/>
      </c>
      <c r="BQ408" s="5">
        <f>IF(A408="","",N(INDEX(Projects[Act Controls Commissioning],407)))</f>
        <v/>
      </c>
      <c r="BR408" s="5">
        <f>IF(A408="","",N(INDEX(Projects[Act Systems Commissioning],407)))</f>
        <v/>
      </c>
      <c r="BS408" s="5">
        <f>IF(A408="","",N(INDEX(Projects[Act Service Commissioning],407)))</f>
        <v/>
      </c>
      <c r="BT408" s="5">
        <f>IF(A408="","",N(INDEX(Projects[Act Controls Eng],407)))</f>
        <v/>
      </c>
      <c r="BU408" s="5">
        <f>IF(A408="","",N(INDEX(Projects[Act Controls Purchase],407)))</f>
        <v/>
      </c>
      <c r="BV408" s="5">
        <f>IF(A408="","",N(INDEX(Projects[Act Software Eng],407)))</f>
        <v/>
      </c>
      <c r="BW408" s="5">
        <f>IF(A408="","",N(INDEX(Projects[Act 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INDEX(Projects[Sold Value (USD M)],407)</f>
        <v/>
      </c>
      <c r="CE408" s="5" t="n"/>
      <c r="CF408" s="5">
        <f>IF(A408="","",N(INDEX(Projects[Est Mech Inst],407)))</f>
        <v/>
      </c>
      <c r="CG408" s="5">
        <f>IF(A408="","",N(INDEX(Projects[Est Elec Inst],407)))</f>
        <v/>
      </c>
      <c r="CH408" s="5">
        <f>IF(A408="","",N(INDEX(Projects[Est Project Management],407)))</f>
        <v/>
      </c>
      <c r="CI408" s="5">
        <f>IF(A408="","",N(INDEX(Projects[Est Systems Eng],407)))</f>
        <v/>
      </c>
      <c r="CJ408" s="5">
        <f>IF(A408="","",N(INDEX(Projects[Est Mechanical Eng],407)))</f>
        <v/>
      </c>
      <c r="CK408" s="5">
        <f>IF(A408="","",N(INDEX(Projects[Est Structural Engineering],407)))</f>
        <v/>
      </c>
      <c r="CL408" s="5">
        <f>IF(A408="","",N(INDEX(Projects[Est Site Sup],407)))</f>
        <v/>
      </c>
      <c r="CM408" s="5">
        <f>IF(A408="","",N(INDEX(Projects[Est Controls Commissioning],407)))</f>
        <v/>
      </c>
      <c r="CN408" s="5">
        <f>IF(A408="","",N(INDEX(Projects[Est Systems Commissioning],407)))</f>
        <v/>
      </c>
      <c r="CO408" s="5">
        <f>IF(A408="","",N(INDEX(Projects[Est Service Commissioning],407)))</f>
        <v/>
      </c>
      <c r="CP408" s="5">
        <f>IF(A408="","",N(INDEX(Projects[Est Controls Eng],407)))</f>
        <v/>
      </c>
      <c r="CQ408" s="5">
        <f>IF(A408="","",N(INDEX(Projects[Est Controls Purchase],407)))</f>
        <v/>
      </c>
      <c r="CR408" s="5">
        <f>IF(A408="","",N(INDEX(Projects[Est Software Eng],407)))</f>
        <v/>
      </c>
      <c r="CS408" s="5">
        <f>IF(A408="","",N(INDEX(Projects[Est Misc],407)))</f>
        <v/>
      </c>
      <c r="CT408" s="5">
        <f>IF(A408="","",SUM(CF408:CS408))</f>
        <v/>
      </c>
      <c r="CU408" s="5">
        <f>INDEX(Projects[Est Cost (M)],407)</f>
        <v/>
      </c>
      <c r="CV408" s="5">
        <f>INDEX(Projects[Act Cost (M)],407)</f>
        <v/>
      </c>
      <c r="CW408" s="5">
        <f>INDEX(Projects[Plan Mech Eng (wks)],407)</f>
        <v/>
      </c>
      <c r="CX408" s="5">
        <f>INDEX(Projects[Plan Controls Eng (wks)],407)</f>
        <v/>
      </c>
      <c r="CY408" s="5">
        <f>INDEX(Projects[Plan Systems Eng (wks)],407)</f>
        <v/>
      </c>
      <c r="CZ408" s="5">
        <f>INDEX(Projects[Plan Software Eng (wks)],407)</f>
        <v/>
      </c>
      <c r="DA408" s="5">
        <f>INDEX(Projects[Plan M&amp;E Installation (wks)],407)</f>
        <v/>
      </c>
      <c r="DB408" s="5">
        <f>INDEX(Projects[Plan Commissioning (wks)],407)</f>
        <v/>
      </c>
      <c r="DC408" s="5">
        <f>INDEX(Projects[Plan Total (wks)],407)</f>
        <v/>
      </c>
      <c r="DD408" s="5">
        <f>INDEX(Projects[Act Mech Eng (wks)],407)</f>
        <v/>
      </c>
      <c r="DE408" s="5">
        <f>INDEX(Projects[Act Controls Eng (wks)],407)</f>
        <v/>
      </c>
      <c r="DF408" s="5">
        <f>INDEX(Projects[Act Systems Eng (wks)],407)</f>
        <v/>
      </c>
      <c r="DG408" s="5">
        <f>INDEX(Projects[Act Software Eng (wks)],407)</f>
        <v/>
      </c>
      <c r="DH408" s="5">
        <f>INDEX(Projects[Act M&amp;E Installation (wks)],407)</f>
        <v/>
      </c>
      <c r="DI408" s="5">
        <f>INDEX(Projects[Act Commissioning (wks)],407)</f>
        <v/>
      </c>
      <c r="DJ408" s="5">
        <f>INDEX(Projects[Act Total (wks)],407)</f>
        <v/>
      </c>
    </row>
    <row r="409" ht="15" customHeight="1" s="82">
      <c r="A409" s="64">
        <f>INDEX(Projects[Project ID *],408)&amp;""</f>
        <v/>
      </c>
      <c r="B409" s="64">
        <f>INDEX(Projects[Project Name *],408)&amp;""</f>
        <v/>
      </c>
      <c r="C409" s="64">
        <f>INDEX(Projects[MS Shuttles],408)</f>
        <v/>
      </c>
      <c r="D409" s="64">
        <f>INDEX(Projects[MS Tote Locations],408)</f>
        <v/>
      </c>
      <c r="E409" s="64">
        <f>INDEX(Projects[AS Robots],408)</f>
        <v/>
      </c>
      <c r="F409" s="64">
        <f>INDEX(Projects[AS Tote Locations],408)</f>
        <v/>
      </c>
      <c r="G409" s="64">
        <f>INDEX(Projects[PS Shuttles],408)</f>
        <v/>
      </c>
      <c r="H409" s="64">
        <f>INDEX(Projects[PS Pallet Locations],408)</f>
        <v/>
      </c>
      <c r="I409" s="64">
        <f>INDEX(Projects[SRM Cranes],408)</f>
        <v/>
      </c>
      <c r="J409" s="64">
        <f>INDEX(Projects[SRM Pallet Locations],408)</f>
        <v/>
      </c>
      <c r="K409" s="64">
        <f>INDEX(Projects[Case Conv (m)],408)</f>
        <v/>
      </c>
      <c r="L409" s="64">
        <f>INDEX(Projects[Pallet Conv (m)],408)</f>
        <v/>
      </c>
      <c r="M409" s="64">
        <f>IF(N(DJ409)&gt;0,DD409,CW409)</f>
        <v/>
      </c>
      <c r="N409" s="64">
        <f>IF(N(DJ409)&gt;0,DE409,CX409)</f>
        <v/>
      </c>
      <c r="O409" s="64">
        <f>IF(N(DJ409)&gt;0,DF409,CY409)</f>
        <v/>
      </c>
      <c r="P409" s="64">
        <f>IF(N(DJ409)&gt;0,DG409,CZ409)</f>
        <v/>
      </c>
      <c r="Q409" s="64">
        <f>IF(N(DJ409)&gt;0,DH409,DA409)</f>
        <v/>
      </c>
      <c r="R409" s="64">
        <f>IF(N(DJ409)&gt;0,DI409,DB409)</f>
        <v/>
      </c>
      <c r="S409" s="64">
        <f>IF(N(DJ409)&gt;0,DJ409,DC409)</f>
        <v/>
      </c>
      <c r="T409" s="64">
        <f>INDEX(Projects[Currency],408)&amp;""</f>
        <v/>
      </c>
      <c r="U409" s="65">
        <f>INDEX(Projects[Sold Value (M)],408)</f>
        <v/>
      </c>
      <c r="V409" s="64">
        <f>IF('Smart Search'!B13=1,IFERROR(1/'Smart Search'!H13,0),0)</f>
        <v/>
      </c>
      <c r="W409" s="64">
        <f>IF('Smart Search'!B13=1,IFERROR(1/'Smart Search'!H13,0),0)</f>
        <v/>
      </c>
      <c r="X409" s="64">
        <f>IF('Smart Search'!C13=1,IFERROR(1/'Smart Search'!H13,0),0)</f>
        <v/>
      </c>
      <c r="Y409" s="64">
        <f>IF('Smart Search'!C13=1,IFERROR(1/'Smart Search'!H13,0),0)</f>
        <v/>
      </c>
      <c r="Z409" s="64">
        <f>IF('Smart Search'!D13=1,IFERROR(1/'Smart Search'!H13,0),0)</f>
        <v/>
      </c>
      <c r="AA409" s="64">
        <f>IF('Smart Search'!D13=1,IFERROR(1/'Smart Search'!H13,0),0)</f>
        <v/>
      </c>
      <c r="AB409" s="64">
        <f>IF('Smart Search'!E13=1,IFERROR(1/'Smart Search'!H13,0),0)</f>
        <v/>
      </c>
      <c r="AC409" s="64">
        <f>IF('Smart Search'!E13=1,IFERROR(1/'Smart Search'!H13,0),0)</f>
        <v/>
      </c>
      <c r="AD409" s="64">
        <f>IF('Smart Search'!F13=1,IFERROR(1/'Smart Search'!H13,0),0)</f>
        <v/>
      </c>
      <c r="AE409" s="64">
        <f>IF('Smart Search'!F13=1,IFERROR(1/'Smart Search'!H13,0),0)</f>
        <v/>
      </c>
      <c r="AF409" s="64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4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4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4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4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4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4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4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4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4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4">
        <f>AF409*V409</f>
        <v/>
      </c>
      <c r="AQ409" s="64">
        <f>AG409*W409</f>
        <v/>
      </c>
      <c r="AR409" s="64">
        <f>AH409*X409</f>
        <v/>
      </c>
      <c r="AS409" s="64">
        <f>AI409*Y409</f>
        <v/>
      </c>
      <c r="AT409" s="64">
        <f>AJ409*Z409</f>
        <v/>
      </c>
      <c r="AU409" s="64">
        <f>AK409*AA409</f>
        <v/>
      </c>
      <c r="AV409" s="64">
        <f>AL409*AB409</f>
        <v/>
      </c>
      <c r="AW409" s="64">
        <f>AM409*AC409</f>
        <v/>
      </c>
      <c r="AX409" s="64">
        <f>AN409*AD409</f>
        <v/>
      </c>
      <c r="AY409" s="64">
        <f>AO409*AE409</f>
        <v/>
      </c>
      <c r="AZ409" s="64">
        <f>INDEX(Projects[Automation Equipment],408)&amp;""</f>
        <v/>
      </c>
      <c r="BA409" s="64">
        <f>IF(OR(A409="",'Smart Search'!H13=0),"",MAX(0,BE409*BF409*MAX(0,1-BG409)))</f>
        <v/>
      </c>
      <c r="BB409" s="64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4">
        <f>IF('Smart Search'!G13=1,IFERROR(1/'Smart Search'!H13,0),0)</f>
        <v/>
      </c>
      <c r="BD409" s="64">
        <f>BB409*BC409</f>
        <v/>
      </c>
      <c r="BE409" s="64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IF(A409="","",N(INDEX(Projects[Act Mech Inst],408)))</f>
        <v/>
      </c>
      <c r="BK409" s="5">
        <f>IF(A409="","",N(INDEX(Projects[Act Elec Inst],408)))</f>
        <v/>
      </c>
      <c r="BL409" s="5">
        <f>IF(A409="","",N(INDEX(Projects[Act Project Management],408)))</f>
        <v/>
      </c>
      <c r="BM409" s="5">
        <f>IF(A409="","",N(INDEX(Projects[Act Systems Eng],408)))</f>
        <v/>
      </c>
      <c r="BN409" s="5">
        <f>IF(A409="","",N(INDEX(Projects[Act Mechanical Eng],408)))</f>
        <v/>
      </c>
      <c r="BO409" s="5">
        <f>IF(A409="","",N(INDEX(Projects[Act Structural Engineering],408)))</f>
        <v/>
      </c>
      <c r="BP409" s="5">
        <f>IF(A409="","",N(INDEX(Projects[Act Site Sup],408)))</f>
        <v/>
      </c>
      <c r="BQ409" s="5">
        <f>IF(A409="","",N(INDEX(Projects[Act Controls Commissioning],408)))</f>
        <v/>
      </c>
      <c r="BR409" s="5">
        <f>IF(A409="","",N(INDEX(Projects[Act Systems Commissioning],408)))</f>
        <v/>
      </c>
      <c r="BS409" s="5">
        <f>IF(A409="","",N(INDEX(Projects[Act Service Commissioning],408)))</f>
        <v/>
      </c>
      <c r="BT409" s="5">
        <f>IF(A409="","",N(INDEX(Projects[Act Controls Eng],408)))</f>
        <v/>
      </c>
      <c r="BU409" s="5">
        <f>IF(A409="","",N(INDEX(Projects[Act Controls Purchase],408)))</f>
        <v/>
      </c>
      <c r="BV409" s="5">
        <f>IF(A409="","",N(INDEX(Projects[Act Software Eng],408)))</f>
        <v/>
      </c>
      <c r="BW409" s="5">
        <f>IF(A409="","",N(INDEX(Projects[Act 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INDEX(Projects[Sold Value (USD M)],408)</f>
        <v/>
      </c>
      <c r="CE409" s="5" t="n"/>
      <c r="CF409" s="5">
        <f>IF(A409="","",N(INDEX(Projects[Est Mech Inst],408)))</f>
        <v/>
      </c>
      <c r="CG409" s="5">
        <f>IF(A409="","",N(INDEX(Projects[Est Elec Inst],408)))</f>
        <v/>
      </c>
      <c r="CH409" s="5">
        <f>IF(A409="","",N(INDEX(Projects[Est Project Management],408)))</f>
        <v/>
      </c>
      <c r="CI409" s="5">
        <f>IF(A409="","",N(INDEX(Projects[Est Systems Eng],408)))</f>
        <v/>
      </c>
      <c r="CJ409" s="5">
        <f>IF(A409="","",N(INDEX(Projects[Est Mechanical Eng],408)))</f>
        <v/>
      </c>
      <c r="CK409" s="5">
        <f>IF(A409="","",N(INDEX(Projects[Est Structural Engineering],408)))</f>
        <v/>
      </c>
      <c r="CL409" s="5">
        <f>IF(A409="","",N(INDEX(Projects[Est Site Sup],408)))</f>
        <v/>
      </c>
      <c r="CM409" s="5">
        <f>IF(A409="","",N(INDEX(Projects[Est Controls Commissioning],408)))</f>
        <v/>
      </c>
      <c r="CN409" s="5">
        <f>IF(A409="","",N(INDEX(Projects[Est Systems Commissioning],408)))</f>
        <v/>
      </c>
      <c r="CO409" s="5">
        <f>IF(A409="","",N(INDEX(Projects[Est Service Commissioning],408)))</f>
        <v/>
      </c>
      <c r="CP409" s="5">
        <f>IF(A409="","",N(INDEX(Projects[Est Controls Eng],408)))</f>
        <v/>
      </c>
      <c r="CQ409" s="5">
        <f>IF(A409="","",N(INDEX(Projects[Est Controls Purchase],408)))</f>
        <v/>
      </c>
      <c r="CR409" s="5">
        <f>IF(A409="","",N(INDEX(Projects[Est Software Eng],408)))</f>
        <v/>
      </c>
      <c r="CS409" s="5">
        <f>IF(A409="","",N(INDEX(Projects[Est Misc],408)))</f>
        <v/>
      </c>
      <c r="CT409" s="5">
        <f>IF(A409="","",SUM(CF409:CS409))</f>
        <v/>
      </c>
      <c r="CU409" s="5">
        <f>INDEX(Projects[Est Cost (M)],408)</f>
        <v/>
      </c>
      <c r="CV409" s="5">
        <f>INDEX(Projects[Act Cost (M)],408)</f>
        <v/>
      </c>
      <c r="CW409" s="5">
        <f>INDEX(Projects[Plan Mech Eng (wks)],408)</f>
        <v/>
      </c>
      <c r="CX409" s="5">
        <f>INDEX(Projects[Plan Controls Eng (wks)],408)</f>
        <v/>
      </c>
      <c r="CY409" s="5">
        <f>INDEX(Projects[Plan Systems Eng (wks)],408)</f>
        <v/>
      </c>
      <c r="CZ409" s="5">
        <f>INDEX(Projects[Plan Software Eng (wks)],408)</f>
        <v/>
      </c>
      <c r="DA409" s="5">
        <f>INDEX(Projects[Plan M&amp;E Installation (wks)],408)</f>
        <v/>
      </c>
      <c r="DB409" s="5">
        <f>INDEX(Projects[Plan Commissioning (wks)],408)</f>
        <v/>
      </c>
      <c r="DC409" s="5">
        <f>INDEX(Projects[Plan Total (wks)],408)</f>
        <v/>
      </c>
      <c r="DD409" s="5">
        <f>INDEX(Projects[Act Mech Eng (wks)],408)</f>
        <v/>
      </c>
      <c r="DE409" s="5">
        <f>INDEX(Projects[Act Controls Eng (wks)],408)</f>
        <v/>
      </c>
      <c r="DF409" s="5">
        <f>INDEX(Projects[Act Systems Eng (wks)],408)</f>
        <v/>
      </c>
      <c r="DG409" s="5">
        <f>INDEX(Projects[Act Software Eng (wks)],408)</f>
        <v/>
      </c>
      <c r="DH409" s="5">
        <f>INDEX(Projects[Act M&amp;E Installation (wks)],408)</f>
        <v/>
      </c>
      <c r="DI409" s="5">
        <f>INDEX(Projects[Act Commissioning (wks)],408)</f>
        <v/>
      </c>
      <c r="DJ409" s="5">
        <f>INDEX(Projects[Act Total (wks)],408)</f>
        <v/>
      </c>
    </row>
    <row r="410" ht="15" customHeight="1" s="82">
      <c r="A410" s="64">
        <f>INDEX(Projects[Project ID *],409)&amp;""</f>
        <v/>
      </c>
      <c r="B410" s="64">
        <f>INDEX(Projects[Project Name *],409)&amp;""</f>
        <v/>
      </c>
      <c r="C410" s="64">
        <f>INDEX(Projects[MS Shuttles],409)</f>
        <v/>
      </c>
      <c r="D410" s="64">
        <f>INDEX(Projects[MS Tote Locations],409)</f>
        <v/>
      </c>
      <c r="E410" s="64">
        <f>INDEX(Projects[AS Robots],409)</f>
        <v/>
      </c>
      <c r="F410" s="64">
        <f>INDEX(Projects[AS Tote Locations],409)</f>
        <v/>
      </c>
      <c r="G410" s="64">
        <f>INDEX(Projects[PS Shuttles],409)</f>
        <v/>
      </c>
      <c r="H410" s="64">
        <f>INDEX(Projects[PS Pallet Locations],409)</f>
        <v/>
      </c>
      <c r="I410" s="64">
        <f>INDEX(Projects[SRM Cranes],409)</f>
        <v/>
      </c>
      <c r="J410" s="64">
        <f>INDEX(Projects[SRM Pallet Locations],409)</f>
        <v/>
      </c>
      <c r="K410" s="64">
        <f>INDEX(Projects[Case Conv (m)],409)</f>
        <v/>
      </c>
      <c r="L410" s="64">
        <f>INDEX(Projects[Pallet Conv (m)],409)</f>
        <v/>
      </c>
      <c r="M410" s="64">
        <f>IF(N(DJ410)&gt;0,DD410,CW410)</f>
        <v/>
      </c>
      <c r="N410" s="64">
        <f>IF(N(DJ410)&gt;0,DE410,CX410)</f>
        <v/>
      </c>
      <c r="O410" s="64">
        <f>IF(N(DJ410)&gt;0,DF410,CY410)</f>
        <v/>
      </c>
      <c r="P410" s="64">
        <f>IF(N(DJ410)&gt;0,DG410,CZ410)</f>
        <v/>
      </c>
      <c r="Q410" s="64">
        <f>IF(N(DJ410)&gt;0,DH410,DA410)</f>
        <v/>
      </c>
      <c r="R410" s="64">
        <f>IF(N(DJ410)&gt;0,DI410,DB410)</f>
        <v/>
      </c>
      <c r="S410" s="64">
        <f>IF(N(DJ410)&gt;0,DJ410,DC410)</f>
        <v/>
      </c>
      <c r="T410" s="64">
        <f>INDEX(Projects[Currency],409)&amp;""</f>
        <v/>
      </c>
      <c r="U410" s="65">
        <f>INDEX(Projects[Sold Value (M)],409)</f>
        <v/>
      </c>
      <c r="V410" s="64">
        <f>IF('Smart Search'!B13=1,IFERROR(1/'Smart Search'!H13,0),0)</f>
        <v/>
      </c>
      <c r="W410" s="64">
        <f>IF('Smart Search'!B13=1,IFERROR(1/'Smart Search'!H13,0),0)</f>
        <v/>
      </c>
      <c r="X410" s="64">
        <f>IF('Smart Search'!C13=1,IFERROR(1/'Smart Search'!H13,0),0)</f>
        <v/>
      </c>
      <c r="Y410" s="64">
        <f>IF('Smart Search'!C13=1,IFERROR(1/'Smart Search'!H13,0),0)</f>
        <v/>
      </c>
      <c r="Z410" s="64">
        <f>IF('Smart Search'!D13=1,IFERROR(1/'Smart Search'!H13,0),0)</f>
        <v/>
      </c>
      <c r="AA410" s="64">
        <f>IF('Smart Search'!D13=1,IFERROR(1/'Smart Search'!H13,0),0)</f>
        <v/>
      </c>
      <c r="AB410" s="64">
        <f>IF('Smart Search'!E13=1,IFERROR(1/'Smart Search'!H13,0),0)</f>
        <v/>
      </c>
      <c r="AC410" s="64">
        <f>IF('Smart Search'!E13=1,IFERROR(1/'Smart Search'!H13,0),0)</f>
        <v/>
      </c>
      <c r="AD410" s="64">
        <f>IF('Smart Search'!F13=1,IFERROR(1/'Smart Search'!H13,0),0)</f>
        <v/>
      </c>
      <c r="AE410" s="64">
        <f>IF('Smart Search'!F13=1,IFERROR(1/'Smart Search'!H13,0),0)</f>
        <v/>
      </c>
      <c r="AF410" s="64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4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4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4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4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4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4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4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4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4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4">
        <f>AF410*V410</f>
        <v/>
      </c>
      <c r="AQ410" s="64">
        <f>AG410*W410</f>
        <v/>
      </c>
      <c r="AR410" s="64">
        <f>AH410*X410</f>
        <v/>
      </c>
      <c r="AS410" s="64">
        <f>AI410*Y410</f>
        <v/>
      </c>
      <c r="AT410" s="64">
        <f>AJ410*Z410</f>
        <v/>
      </c>
      <c r="AU410" s="64">
        <f>AK410*AA410</f>
        <v/>
      </c>
      <c r="AV410" s="64">
        <f>AL410*AB410</f>
        <v/>
      </c>
      <c r="AW410" s="64">
        <f>AM410*AC410</f>
        <v/>
      </c>
      <c r="AX410" s="64">
        <f>AN410*AD410</f>
        <v/>
      </c>
      <c r="AY410" s="64">
        <f>AO410*AE410</f>
        <v/>
      </c>
      <c r="AZ410" s="64">
        <f>INDEX(Projects[Automation Equipment],409)&amp;""</f>
        <v/>
      </c>
      <c r="BA410" s="64">
        <f>IF(OR(A410="",'Smart Search'!H13=0),"",MAX(0,BE410*BF410*MAX(0,1-BG410)))</f>
        <v/>
      </c>
      <c r="BB410" s="64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4">
        <f>IF('Smart Search'!G13=1,IFERROR(1/'Smart Search'!H13,0),0)</f>
        <v/>
      </c>
      <c r="BD410" s="64">
        <f>BB410*BC410</f>
        <v/>
      </c>
      <c r="BE410" s="64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IF(A410="","",N(INDEX(Projects[Act Mech Inst],409)))</f>
        <v/>
      </c>
      <c r="BK410" s="5">
        <f>IF(A410="","",N(INDEX(Projects[Act Elec Inst],409)))</f>
        <v/>
      </c>
      <c r="BL410" s="5">
        <f>IF(A410="","",N(INDEX(Projects[Act Project Management],409)))</f>
        <v/>
      </c>
      <c r="BM410" s="5">
        <f>IF(A410="","",N(INDEX(Projects[Act Systems Eng],409)))</f>
        <v/>
      </c>
      <c r="BN410" s="5">
        <f>IF(A410="","",N(INDEX(Projects[Act Mechanical Eng],409)))</f>
        <v/>
      </c>
      <c r="BO410" s="5">
        <f>IF(A410="","",N(INDEX(Projects[Act Structural Engineering],409)))</f>
        <v/>
      </c>
      <c r="BP410" s="5">
        <f>IF(A410="","",N(INDEX(Projects[Act Site Sup],409)))</f>
        <v/>
      </c>
      <c r="BQ410" s="5">
        <f>IF(A410="","",N(INDEX(Projects[Act Controls Commissioning],409)))</f>
        <v/>
      </c>
      <c r="BR410" s="5">
        <f>IF(A410="","",N(INDEX(Projects[Act Systems Commissioning],409)))</f>
        <v/>
      </c>
      <c r="BS410" s="5">
        <f>IF(A410="","",N(INDEX(Projects[Act Service Commissioning],409)))</f>
        <v/>
      </c>
      <c r="BT410" s="5">
        <f>IF(A410="","",N(INDEX(Projects[Act Controls Eng],409)))</f>
        <v/>
      </c>
      <c r="BU410" s="5">
        <f>IF(A410="","",N(INDEX(Projects[Act Controls Purchase],409)))</f>
        <v/>
      </c>
      <c r="BV410" s="5">
        <f>IF(A410="","",N(INDEX(Projects[Act Software Eng],409)))</f>
        <v/>
      </c>
      <c r="BW410" s="5">
        <f>IF(A410="","",N(INDEX(Projects[Act 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INDEX(Projects[Sold Value (USD M)],409)</f>
        <v/>
      </c>
      <c r="CE410" s="5" t="n"/>
      <c r="CF410" s="5">
        <f>IF(A410="","",N(INDEX(Projects[Est Mech Inst],409)))</f>
        <v/>
      </c>
      <c r="CG410" s="5">
        <f>IF(A410="","",N(INDEX(Projects[Est Elec Inst],409)))</f>
        <v/>
      </c>
      <c r="CH410" s="5">
        <f>IF(A410="","",N(INDEX(Projects[Est Project Management],409)))</f>
        <v/>
      </c>
      <c r="CI410" s="5">
        <f>IF(A410="","",N(INDEX(Projects[Est Systems Eng],409)))</f>
        <v/>
      </c>
      <c r="CJ410" s="5">
        <f>IF(A410="","",N(INDEX(Projects[Est Mechanical Eng],409)))</f>
        <v/>
      </c>
      <c r="CK410" s="5">
        <f>IF(A410="","",N(INDEX(Projects[Est Structural Engineering],409)))</f>
        <v/>
      </c>
      <c r="CL410" s="5">
        <f>IF(A410="","",N(INDEX(Projects[Est Site Sup],409)))</f>
        <v/>
      </c>
      <c r="CM410" s="5">
        <f>IF(A410="","",N(INDEX(Projects[Est Controls Commissioning],409)))</f>
        <v/>
      </c>
      <c r="CN410" s="5">
        <f>IF(A410="","",N(INDEX(Projects[Est Systems Commissioning],409)))</f>
        <v/>
      </c>
      <c r="CO410" s="5">
        <f>IF(A410="","",N(INDEX(Projects[Est Service Commissioning],409)))</f>
        <v/>
      </c>
      <c r="CP410" s="5">
        <f>IF(A410="","",N(INDEX(Projects[Est Controls Eng],409)))</f>
        <v/>
      </c>
      <c r="CQ410" s="5">
        <f>IF(A410="","",N(INDEX(Projects[Est Controls Purchase],409)))</f>
        <v/>
      </c>
      <c r="CR410" s="5">
        <f>IF(A410="","",N(INDEX(Projects[Est Software Eng],409)))</f>
        <v/>
      </c>
      <c r="CS410" s="5">
        <f>IF(A410="","",N(INDEX(Projects[Est Misc],409)))</f>
        <v/>
      </c>
      <c r="CT410" s="5">
        <f>IF(A410="","",SUM(CF410:CS410))</f>
        <v/>
      </c>
      <c r="CU410" s="5">
        <f>INDEX(Projects[Est Cost (M)],409)</f>
        <v/>
      </c>
      <c r="CV410" s="5">
        <f>INDEX(Projects[Act Cost (M)],409)</f>
        <v/>
      </c>
      <c r="CW410" s="5">
        <f>INDEX(Projects[Plan Mech Eng (wks)],409)</f>
        <v/>
      </c>
      <c r="CX410" s="5">
        <f>INDEX(Projects[Plan Controls Eng (wks)],409)</f>
        <v/>
      </c>
      <c r="CY410" s="5">
        <f>INDEX(Projects[Plan Systems Eng (wks)],409)</f>
        <v/>
      </c>
      <c r="CZ410" s="5">
        <f>INDEX(Projects[Plan Software Eng (wks)],409)</f>
        <v/>
      </c>
      <c r="DA410" s="5">
        <f>INDEX(Projects[Plan M&amp;E Installation (wks)],409)</f>
        <v/>
      </c>
      <c r="DB410" s="5">
        <f>INDEX(Projects[Plan Commissioning (wks)],409)</f>
        <v/>
      </c>
      <c r="DC410" s="5">
        <f>INDEX(Projects[Plan Total (wks)],409)</f>
        <v/>
      </c>
      <c r="DD410" s="5">
        <f>INDEX(Projects[Act Mech Eng (wks)],409)</f>
        <v/>
      </c>
      <c r="DE410" s="5">
        <f>INDEX(Projects[Act Controls Eng (wks)],409)</f>
        <v/>
      </c>
      <c r="DF410" s="5">
        <f>INDEX(Projects[Act Systems Eng (wks)],409)</f>
        <v/>
      </c>
      <c r="DG410" s="5">
        <f>INDEX(Projects[Act Software Eng (wks)],409)</f>
        <v/>
      </c>
      <c r="DH410" s="5">
        <f>INDEX(Projects[Act M&amp;E Installation (wks)],409)</f>
        <v/>
      </c>
      <c r="DI410" s="5">
        <f>INDEX(Projects[Act Commissioning (wks)],409)</f>
        <v/>
      </c>
      <c r="DJ410" s="5">
        <f>INDEX(Projects[Act Total (wks)],409)</f>
        <v/>
      </c>
    </row>
    <row r="411" ht="15" customHeight="1" s="82">
      <c r="A411" s="64">
        <f>INDEX(Projects[Project ID *],410)&amp;""</f>
        <v/>
      </c>
      <c r="B411" s="64">
        <f>INDEX(Projects[Project Name *],410)&amp;""</f>
        <v/>
      </c>
      <c r="C411" s="64">
        <f>INDEX(Projects[MS Shuttles],410)</f>
        <v/>
      </c>
      <c r="D411" s="64">
        <f>INDEX(Projects[MS Tote Locations],410)</f>
        <v/>
      </c>
      <c r="E411" s="64">
        <f>INDEX(Projects[AS Robots],410)</f>
        <v/>
      </c>
      <c r="F411" s="64">
        <f>INDEX(Projects[AS Tote Locations],410)</f>
        <v/>
      </c>
      <c r="G411" s="64">
        <f>INDEX(Projects[PS Shuttles],410)</f>
        <v/>
      </c>
      <c r="H411" s="64">
        <f>INDEX(Projects[PS Pallet Locations],410)</f>
        <v/>
      </c>
      <c r="I411" s="64">
        <f>INDEX(Projects[SRM Cranes],410)</f>
        <v/>
      </c>
      <c r="J411" s="64">
        <f>INDEX(Projects[SRM Pallet Locations],410)</f>
        <v/>
      </c>
      <c r="K411" s="64">
        <f>INDEX(Projects[Case Conv (m)],410)</f>
        <v/>
      </c>
      <c r="L411" s="64">
        <f>INDEX(Projects[Pallet Conv (m)],410)</f>
        <v/>
      </c>
      <c r="M411" s="64">
        <f>IF(N(DJ411)&gt;0,DD411,CW411)</f>
        <v/>
      </c>
      <c r="N411" s="64">
        <f>IF(N(DJ411)&gt;0,DE411,CX411)</f>
        <v/>
      </c>
      <c r="O411" s="64">
        <f>IF(N(DJ411)&gt;0,DF411,CY411)</f>
        <v/>
      </c>
      <c r="P411" s="64">
        <f>IF(N(DJ411)&gt;0,DG411,CZ411)</f>
        <v/>
      </c>
      <c r="Q411" s="64">
        <f>IF(N(DJ411)&gt;0,DH411,DA411)</f>
        <v/>
      </c>
      <c r="R411" s="64">
        <f>IF(N(DJ411)&gt;0,DI411,DB411)</f>
        <v/>
      </c>
      <c r="S411" s="64">
        <f>IF(N(DJ411)&gt;0,DJ411,DC411)</f>
        <v/>
      </c>
      <c r="T411" s="64">
        <f>INDEX(Projects[Currency],410)&amp;""</f>
        <v/>
      </c>
      <c r="U411" s="65">
        <f>INDEX(Projects[Sold Value (M)],410)</f>
        <v/>
      </c>
      <c r="V411" s="64">
        <f>IF('Smart Search'!B13=1,IFERROR(1/'Smart Search'!H13,0),0)</f>
        <v/>
      </c>
      <c r="W411" s="64">
        <f>IF('Smart Search'!B13=1,IFERROR(1/'Smart Search'!H13,0),0)</f>
        <v/>
      </c>
      <c r="X411" s="64">
        <f>IF('Smart Search'!C13=1,IFERROR(1/'Smart Search'!H13,0),0)</f>
        <v/>
      </c>
      <c r="Y411" s="64">
        <f>IF('Smart Search'!C13=1,IFERROR(1/'Smart Search'!H13,0),0)</f>
        <v/>
      </c>
      <c r="Z411" s="64">
        <f>IF('Smart Search'!D13=1,IFERROR(1/'Smart Search'!H13,0),0)</f>
        <v/>
      </c>
      <c r="AA411" s="64">
        <f>IF('Smart Search'!D13=1,IFERROR(1/'Smart Search'!H13,0),0)</f>
        <v/>
      </c>
      <c r="AB411" s="64">
        <f>IF('Smart Search'!E13=1,IFERROR(1/'Smart Search'!H13,0),0)</f>
        <v/>
      </c>
      <c r="AC411" s="64">
        <f>IF('Smart Search'!E13=1,IFERROR(1/'Smart Search'!H13,0),0)</f>
        <v/>
      </c>
      <c r="AD411" s="64">
        <f>IF('Smart Search'!F13=1,IFERROR(1/'Smart Search'!H13,0),0)</f>
        <v/>
      </c>
      <c r="AE411" s="64">
        <f>IF('Smart Search'!F13=1,IFERROR(1/'Smart Search'!H13,0),0)</f>
        <v/>
      </c>
      <c r="AF411" s="64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4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4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4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4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4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4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4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4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4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4">
        <f>AF411*V411</f>
        <v/>
      </c>
      <c r="AQ411" s="64">
        <f>AG411*W411</f>
        <v/>
      </c>
      <c r="AR411" s="64">
        <f>AH411*X411</f>
        <v/>
      </c>
      <c r="AS411" s="64">
        <f>AI411*Y411</f>
        <v/>
      </c>
      <c r="AT411" s="64">
        <f>AJ411*Z411</f>
        <v/>
      </c>
      <c r="AU411" s="64">
        <f>AK411*AA411</f>
        <v/>
      </c>
      <c r="AV411" s="64">
        <f>AL411*AB411</f>
        <v/>
      </c>
      <c r="AW411" s="64">
        <f>AM411*AC411</f>
        <v/>
      </c>
      <c r="AX411" s="64">
        <f>AN411*AD411</f>
        <v/>
      </c>
      <c r="AY411" s="64">
        <f>AO411*AE411</f>
        <v/>
      </c>
      <c r="AZ411" s="64">
        <f>INDEX(Projects[Automation Equipment],410)&amp;""</f>
        <v/>
      </c>
      <c r="BA411" s="64">
        <f>IF(OR(A411="",'Smart Search'!H13=0),"",MAX(0,BE411*BF411*MAX(0,1-BG411)))</f>
        <v/>
      </c>
      <c r="BB411" s="64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4">
        <f>IF('Smart Search'!G13=1,IFERROR(1/'Smart Search'!H13,0),0)</f>
        <v/>
      </c>
      <c r="BD411" s="64">
        <f>BB411*BC411</f>
        <v/>
      </c>
      <c r="BE411" s="64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IF(A411="","",N(INDEX(Projects[Act Mech Inst],410)))</f>
        <v/>
      </c>
      <c r="BK411" s="5">
        <f>IF(A411="","",N(INDEX(Projects[Act Elec Inst],410)))</f>
        <v/>
      </c>
      <c r="BL411" s="5">
        <f>IF(A411="","",N(INDEX(Projects[Act Project Management],410)))</f>
        <v/>
      </c>
      <c r="BM411" s="5">
        <f>IF(A411="","",N(INDEX(Projects[Act Systems Eng],410)))</f>
        <v/>
      </c>
      <c r="BN411" s="5">
        <f>IF(A411="","",N(INDEX(Projects[Act Mechanical Eng],410)))</f>
        <v/>
      </c>
      <c r="BO411" s="5">
        <f>IF(A411="","",N(INDEX(Projects[Act Structural Engineering],410)))</f>
        <v/>
      </c>
      <c r="BP411" s="5">
        <f>IF(A411="","",N(INDEX(Projects[Act Site Sup],410)))</f>
        <v/>
      </c>
      <c r="BQ411" s="5">
        <f>IF(A411="","",N(INDEX(Projects[Act Controls Commissioning],410)))</f>
        <v/>
      </c>
      <c r="BR411" s="5">
        <f>IF(A411="","",N(INDEX(Projects[Act Systems Commissioning],410)))</f>
        <v/>
      </c>
      <c r="BS411" s="5">
        <f>IF(A411="","",N(INDEX(Projects[Act Service Commissioning],410)))</f>
        <v/>
      </c>
      <c r="BT411" s="5">
        <f>IF(A411="","",N(INDEX(Projects[Act Controls Eng],410)))</f>
        <v/>
      </c>
      <c r="BU411" s="5">
        <f>IF(A411="","",N(INDEX(Projects[Act Controls Purchase],410)))</f>
        <v/>
      </c>
      <c r="BV411" s="5">
        <f>IF(A411="","",N(INDEX(Projects[Act Software Eng],410)))</f>
        <v/>
      </c>
      <c r="BW411" s="5">
        <f>IF(A411="","",N(INDEX(Projects[Act 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INDEX(Projects[Sold Value (USD M)],410)</f>
        <v/>
      </c>
      <c r="CE411" s="5" t="n"/>
      <c r="CF411" s="5">
        <f>IF(A411="","",N(INDEX(Projects[Est Mech Inst],410)))</f>
        <v/>
      </c>
      <c r="CG411" s="5">
        <f>IF(A411="","",N(INDEX(Projects[Est Elec Inst],410)))</f>
        <v/>
      </c>
      <c r="CH411" s="5">
        <f>IF(A411="","",N(INDEX(Projects[Est Project Management],410)))</f>
        <v/>
      </c>
      <c r="CI411" s="5">
        <f>IF(A411="","",N(INDEX(Projects[Est Systems Eng],410)))</f>
        <v/>
      </c>
      <c r="CJ411" s="5">
        <f>IF(A411="","",N(INDEX(Projects[Est Mechanical Eng],410)))</f>
        <v/>
      </c>
      <c r="CK411" s="5">
        <f>IF(A411="","",N(INDEX(Projects[Est Structural Engineering],410)))</f>
        <v/>
      </c>
      <c r="CL411" s="5">
        <f>IF(A411="","",N(INDEX(Projects[Est Site Sup],410)))</f>
        <v/>
      </c>
      <c r="CM411" s="5">
        <f>IF(A411="","",N(INDEX(Projects[Est Controls Commissioning],410)))</f>
        <v/>
      </c>
      <c r="CN411" s="5">
        <f>IF(A411="","",N(INDEX(Projects[Est Systems Commissioning],410)))</f>
        <v/>
      </c>
      <c r="CO411" s="5">
        <f>IF(A411="","",N(INDEX(Projects[Est Service Commissioning],410)))</f>
        <v/>
      </c>
      <c r="CP411" s="5">
        <f>IF(A411="","",N(INDEX(Projects[Est Controls Eng],410)))</f>
        <v/>
      </c>
      <c r="CQ411" s="5">
        <f>IF(A411="","",N(INDEX(Projects[Est Controls Purchase],410)))</f>
        <v/>
      </c>
      <c r="CR411" s="5">
        <f>IF(A411="","",N(INDEX(Projects[Est Software Eng],410)))</f>
        <v/>
      </c>
      <c r="CS411" s="5">
        <f>IF(A411="","",N(INDEX(Projects[Est Misc],410)))</f>
        <v/>
      </c>
      <c r="CT411" s="5">
        <f>IF(A411="","",SUM(CF411:CS411))</f>
        <v/>
      </c>
      <c r="CU411" s="5">
        <f>INDEX(Projects[Est Cost (M)],410)</f>
        <v/>
      </c>
      <c r="CV411" s="5">
        <f>INDEX(Projects[Act Cost (M)],410)</f>
        <v/>
      </c>
      <c r="CW411" s="5">
        <f>INDEX(Projects[Plan Mech Eng (wks)],410)</f>
        <v/>
      </c>
      <c r="CX411" s="5">
        <f>INDEX(Projects[Plan Controls Eng (wks)],410)</f>
        <v/>
      </c>
      <c r="CY411" s="5">
        <f>INDEX(Projects[Plan Systems Eng (wks)],410)</f>
        <v/>
      </c>
      <c r="CZ411" s="5">
        <f>INDEX(Projects[Plan Software Eng (wks)],410)</f>
        <v/>
      </c>
      <c r="DA411" s="5">
        <f>INDEX(Projects[Plan M&amp;E Installation (wks)],410)</f>
        <v/>
      </c>
      <c r="DB411" s="5">
        <f>INDEX(Projects[Plan Commissioning (wks)],410)</f>
        <v/>
      </c>
      <c r="DC411" s="5">
        <f>INDEX(Projects[Plan Total (wks)],410)</f>
        <v/>
      </c>
      <c r="DD411" s="5">
        <f>INDEX(Projects[Act Mech Eng (wks)],410)</f>
        <v/>
      </c>
      <c r="DE411" s="5">
        <f>INDEX(Projects[Act Controls Eng (wks)],410)</f>
        <v/>
      </c>
      <c r="DF411" s="5">
        <f>INDEX(Projects[Act Systems Eng (wks)],410)</f>
        <v/>
      </c>
      <c r="DG411" s="5">
        <f>INDEX(Projects[Act Software Eng (wks)],410)</f>
        <v/>
      </c>
      <c r="DH411" s="5">
        <f>INDEX(Projects[Act M&amp;E Installation (wks)],410)</f>
        <v/>
      </c>
      <c r="DI411" s="5">
        <f>INDEX(Projects[Act Commissioning (wks)],410)</f>
        <v/>
      </c>
      <c r="DJ411" s="5">
        <f>INDEX(Projects[Act Total (wks)],410)</f>
        <v/>
      </c>
    </row>
    <row r="412" ht="15" customHeight="1" s="82">
      <c r="A412" s="64">
        <f>INDEX(Projects[Project ID *],411)&amp;""</f>
        <v/>
      </c>
      <c r="B412" s="64">
        <f>INDEX(Projects[Project Name *],411)&amp;""</f>
        <v/>
      </c>
      <c r="C412" s="64">
        <f>INDEX(Projects[MS Shuttles],411)</f>
        <v/>
      </c>
      <c r="D412" s="64">
        <f>INDEX(Projects[MS Tote Locations],411)</f>
        <v/>
      </c>
      <c r="E412" s="64">
        <f>INDEX(Projects[AS Robots],411)</f>
        <v/>
      </c>
      <c r="F412" s="64">
        <f>INDEX(Projects[AS Tote Locations],411)</f>
        <v/>
      </c>
      <c r="G412" s="64">
        <f>INDEX(Projects[PS Shuttles],411)</f>
        <v/>
      </c>
      <c r="H412" s="64">
        <f>INDEX(Projects[PS Pallet Locations],411)</f>
        <v/>
      </c>
      <c r="I412" s="64">
        <f>INDEX(Projects[SRM Cranes],411)</f>
        <v/>
      </c>
      <c r="J412" s="64">
        <f>INDEX(Projects[SRM Pallet Locations],411)</f>
        <v/>
      </c>
      <c r="K412" s="64">
        <f>INDEX(Projects[Case Conv (m)],411)</f>
        <v/>
      </c>
      <c r="L412" s="64">
        <f>INDEX(Projects[Pallet Conv (m)],411)</f>
        <v/>
      </c>
      <c r="M412" s="64">
        <f>IF(N(DJ412)&gt;0,DD412,CW412)</f>
        <v/>
      </c>
      <c r="N412" s="64">
        <f>IF(N(DJ412)&gt;0,DE412,CX412)</f>
        <v/>
      </c>
      <c r="O412" s="64">
        <f>IF(N(DJ412)&gt;0,DF412,CY412)</f>
        <v/>
      </c>
      <c r="P412" s="64">
        <f>IF(N(DJ412)&gt;0,DG412,CZ412)</f>
        <v/>
      </c>
      <c r="Q412" s="64">
        <f>IF(N(DJ412)&gt;0,DH412,DA412)</f>
        <v/>
      </c>
      <c r="R412" s="64">
        <f>IF(N(DJ412)&gt;0,DI412,DB412)</f>
        <v/>
      </c>
      <c r="S412" s="64">
        <f>IF(N(DJ412)&gt;0,DJ412,DC412)</f>
        <v/>
      </c>
      <c r="T412" s="64">
        <f>INDEX(Projects[Currency],411)&amp;""</f>
        <v/>
      </c>
      <c r="U412" s="65">
        <f>INDEX(Projects[Sold Value (M)],411)</f>
        <v/>
      </c>
      <c r="V412" s="64">
        <f>IF('Smart Search'!B13=1,IFERROR(1/'Smart Search'!H13,0),0)</f>
        <v/>
      </c>
      <c r="W412" s="64">
        <f>IF('Smart Search'!B13=1,IFERROR(1/'Smart Search'!H13,0),0)</f>
        <v/>
      </c>
      <c r="X412" s="64">
        <f>IF('Smart Search'!C13=1,IFERROR(1/'Smart Search'!H13,0),0)</f>
        <v/>
      </c>
      <c r="Y412" s="64">
        <f>IF('Smart Search'!C13=1,IFERROR(1/'Smart Search'!H13,0),0)</f>
        <v/>
      </c>
      <c r="Z412" s="64">
        <f>IF('Smart Search'!D13=1,IFERROR(1/'Smart Search'!H13,0),0)</f>
        <v/>
      </c>
      <c r="AA412" s="64">
        <f>IF('Smart Search'!D13=1,IFERROR(1/'Smart Search'!H13,0),0)</f>
        <v/>
      </c>
      <c r="AB412" s="64">
        <f>IF('Smart Search'!E13=1,IFERROR(1/'Smart Search'!H13,0),0)</f>
        <v/>
      </c>
      <c r="AC412" s="64">
        <f>IF('Smart Search'!E13=1,IFERROR(1/'Smart Search'!H13,0),0)</f>
        <v/>
      </c>
      <c r="AD412" s="64">
        <f>IF('Smart Search'!F13=1,IFERROR(1/'Smart Search'!H13,0),0)</f>
        <v/>
      </c>
      <c r="AE412" s="64">
        <f>IF('Smart Search'!F13=1,IFERROR(1/'Smart Search'!H13,0),0)</f>
        <v/>
      </c>
      <c r="AF412" s="64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4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4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4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4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4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4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4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4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4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4">
        <f>AF412*V412</f>
        <v/>
      </c>
      <c r="AQ412" s="64">
        <f>AG412*W412</f>
        <v/>
      </c>
      <c r="AR412" s="64">
        <f>AH412*X412</f>
        <v/>
      </c>
      <c r="AS412" s="64">
        <f>AI412*Y412</f>
        <v/>
      </c>
      <c r="AT412" s="64">
        <f>AJ412*Z412</f>
        <v/>
      </c>
      <c r="AU412" s="64">
        <f>AK412*AA412</f>
        <v/>
      </c>
      <c r="AV412" s="64">
        <f>AL412*AB412</f>
        <v/>
      </c>
      <c r="AW412" s="64">
        <f>AM412*AC412</f>
        <v/>
      </c>
      <c r="AX412" s="64">
        <f>AN412*AD412</f>
        <v/>
      </c>
      <c r="AY412" s="64">
        <f>AO412*AE412</f>
        <v/>
      </c>
      <c r="AZ412" s="64">
        <f>INDEX(Projects[Automation Equipment],411)&amp;""</f>
        <v/>
      </c>
      <c r="BA412" s="64">
        <f>IF(OR(A412="",'Smart Search'!H13=0),"",MAX(0,BE412*BF412*MAX(0,1-BG412)))</f>
        <v/>
      </c>
      <c r="BB412" s="64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4">
        <f>IF('Smart Search'!G13=1,IFERROR(1/'Smart Search'!H13,0),0)</f>
        <v/>
      </c>
      <c r="BD412" s="64">
        <f>BB412*BC412</f>
        <v/>
      </c>
      <c r="BE412" s="64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IF(A412="","",N(INDEX(Projects[Act Mech Inst],411)))</f>
        <v/>
      </c>
      <c r="BK412" s="5">
        <f>IF(A412="","",N(INDEX(Projects[Act Elec Inst],411)))</f>
        <v/>
      </c>
      <c r="BL412" s="5">
        <f>IF(A412="","",N(INDEX(Projects[Act Project Management],411)))</f>
        <v/>
      </c>
      <c r="BM412" s="5">
        <f>IF(A412="","",N(INDEX(Projects[Act Systems Eng],411)))</f>
        <v/>
      </c>
      <c r="BN412" s="5">
        <f>IF(A412="","",N(INDEX(Projects[Act Mechanical Eng],411)))</f>
        <v/>
      </c>
      <c r="BO412" s="5">
        <f>IF(A412="","",N(INDEX(Projects[Act Structural Engineering],411)))</f>
        <v/>
      </c>
      <c r="BP412" s="5">
        <f>IF(A412="","",N(INDEX(Projects[Act Site Sup],411)))</f>
        <v/>
      </c>
      <c r="BQ412" s="5">
        <f>IF(A412="","",N(INDEX(Projects[Act Controls Commissioning],411)))</f>
        <v/>
      </c>
      <c r="BR412" s="5">
        <f>IF(A412="","",N(INDEX(Projects[Act Systems Commissioning],411)))</f>
        <v/>
      </c>
      <c r="BS412" s="5">
        <f>IF(A412="","",N(INDEX(Projects[Act Service Commissioning],411)))</f>
        <v/>
      </c>
      <c r="BT412" s="5">
        <f>IF(A412="","",N(INDEX(Projects[Act Controls Eng],411)))</f>
        <v/>
      </c>
      <c r="BU412" s="5">
        <f>IF(A412="","",N(INDEX(Projects[Act Controls Purchase],411)))</f>
        <v/>
      </c>
      <c r="BV412" s="5">
        <f>IF(A412="","",N(INDEX(Projects[Act Software Eng],411)))</f>
        <v/>
      </c>
      <c r="BW412" s="5">
        <f>IF(A412="","",N(INDEX(Projects[Act 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INDEX(Projects[Sold Value (USD M)],411)</f>
        <v/>
      </c>
      <c r="CE412" s="5" t="n"/>
      <c r="CF412" s="5">
        <f>IF(A412="","",N(INDEX(Projects[Est Mech Inst],411)))</f>
        <v/>
      </c>
      <c r="CG412" s="5">
        <f>IF(A412="","",N(INDEX(Projects[Est Elec Inst],411)))</f>
        <v/>
      </c>
      <c r="CH412" s="5">
        <f>IF(A412="","",N(INDEX(Projects[Est Project Management],411)))</f>
        <v/>
      </c>
      <c r="CI412" s="5">
        <f>IF(A412="","",N(INDEX(Projects[Est Systems Eng],411)))</f>
        <v/>
      </c>
      <c r="CJ412" s="5">
        <f>IF(A412="","",N(INDEX(Projects[Est Mechanical Eng],411)))</f>
        <v/>
      </c>
      <c r="CK412" s="5">
        <f>IF(A412="","",N(INDEX(Projects[Est Structural Engineering],411)))</f>
        <v/>
      </c>
      <c r="CL412" s="5">
        <f>IF(A412="","",N(INDEX(Projects[Est Site Sup],411)))</f>
        <v/>
      </c>
      <c r="CM412" s="5">
        <f>IF(A412="","",N(INDEX(Projects[Est Controls Commissioning],411)))</f>
        <v/>
      </c>
      <c r="CN412" s="5">
        <f>IF(A412="","",N(INDEX(Projects[Est Systems Commissioning],411)))</f>
        <v/>
      </c>
      <c r="CO412" s="5">
        <f>IF(A412="","",N(INDEX(Projects[Est Service Commissioning],411)))</f>
        <v/>
      </c>
      <c r="CP412" s="5">
        <f>IF(A412="","",N(INDEX(Projects[Est Controls Eng],411)))</f>
        <v/>
      </c>
      <c r="CQ412" s="5">
        <f>IF(A412="","",N(INDEX(Projects[Est Controls Purchase],411)))</f>
        <v/>
      </c>
      <c r="CR412" s="5">
        <f>IF(A412="","",N(INDEX(Projects[Est Software Eng],411)))</f>
        <v/>
      </c>
      <c r="CS412" s="5">
        <f>IF(A412="","",N(INDEX(Projects[Est Misc],411)))</f>
        <v/>
      </c>
      <c r="CT412" s="5">
        <f>IF(A412="","",SUM(CF412:CS412))</f>
        <v/>
      </c>
      <c r="CU412" s="5">
        <f>INDEX(Projects[Est Cost (M)],411)</f>
        <v/>
      </c>
      <c r="CV412" s="5">
        <f>INDEX(Projects[Act Cost (M)],411)</f>
        <v/>
      </c>
      <c r="CW412" s="5">
        <f>INDEX(Projects[Plan Mech Eng (wks)],411)</f>
        <v/>
      </c>
      <c r="CX412" s="5">
        <f>INDEX(Projects[Plan Controls Eng (wks)],411)</f>
        <v/>
      </c>
      <c r="CY412" s="5">
        <f>INDEX(Projects[Plan Systems Eng (wks)],411)</f>
        <v/>
      </c>
      <c r="CZ412" s="5">
        <f>INDEX(Projects[Plan Software Eng (wks)],411)</f>
        <v/>
      </c>
      <c r="DA412" s="5">
        <f>INDEX(Projects[Plan M&amp;E Installation (wks)],411)</f>
        <v/>
      </c>
      <c r="DB412" s="5">
        <f>INDEX(Projects[Plan Commissioning (wks)],411)</f>
        <v/>
      </c>
      <c r="DC412" s="5">
        <f>INDEX(Projects[Plan Total (wks)],411)</f>
        <v/>
      </c>
      <c r="DD412" s="5">
        <f>INDEX(Projects[Act Mech Eng (wks)],411)</f>
        <v/>
      </c>
      <c r="DE412" s="5">
        <f>INDEX(Projects[Act Controls Eng (wks)],411)</f>
        <v/>
      </c>
      <c r="DF412" s="5">
        <f>INDEX(Projects[Act Systems Eng (wks)],411)</f>
        <v/>
      </c>
      <c r="DG412" s="5">
        <f>INDEX(Projects[Act Software Eng (wks)],411)</f>
        <v/>
      </c>
      <c r="DH412" s="5">
        <f>INDEX(Projects[Act M&amp;E Installation (wks)],411)</f>
        <v/>
      </c>
      <c r="DI412" s="5">
        <f>INDEX(Projects[Act Commissioning (wks)],411)</f>
        <v/>
      </c>
      <c r="DJ412" s="5">
        <f>INDEX(Projects[Act Total (wks)],411)</f>
        <v/>
      </c>
    </row>
    <row r="413" ht="15" customHeight="1" s="82">
      <c r="A413" s="64">
        <f>INDEX(Projects[Project ID *],412)&amp;""</f>
        <v/>
      </c>
      <c r="B413" s="64">
        <f>INDEX(Projects[Project Name *],412)&amp;""</f>
        <v/>
      </c>
      <c r="C413" s="64">
        <f>INDEX(Projects[MS Shuttles],412)</f>
        <v/>
      </c>
      <c r="D413" s="64">
        <f>INDEX(Projects[MS Tote Locations],412)</f>
        <v/>
      </c>
      <c r="E413" s="64">
        <f>INDEX(Projects[AS Robots],412)</f>
        <v/>
      </c>
      <c r="F413" s="64">
        <f>INDEX(Projects[AS Tote Locations],412)</f>
        <v/>
      </c>
      <c r="G413" s="64">
        <f>INDEX(Projects[PS Shuttles],412)</f>
        <v/>
      </c>
      <c r="H413" s="64">
        <f>INDEX(Projects[PS Pallet Locations],412)</f>
        <v/>
      </c>
      <c r="I413" s="64">
        <f>INDEX(Projects[SRM Cranes],412)</f>
        <v/>
      </c>
      <c r="J413" s="64">
        <f>INDEX(Projects[SRM Pallet Locations],412)</f>
        <v/>
      </c>
      <c r="K413" s="64">
        <f>INDEX(Projects[Case Conv (m)],412)</f>
        <v/>
      </c>
      <c r="L413" s="64">
        <f>INDEX(Projects[Pallet Conv (m)],412)</f>
        <v/>
      </c>
      <c r="M413" s="64">
        <f>IF(N(DJ413)&gt;0,DD413,CW413)</f>
        <v/>
      </c>
      <c r="N413" s="64">
        <f>IF(N(DJ413)&gt;0,DE413,CX413)</f>
        <v/>
      </c>
      <c r="O413" s="64">
        <f>IF(N(DJ413)&gt;0,DF413,CY413)</f>
        <v/>
      </c>
      <c r="P413" s="64">
        <f>IF(N(DJ413)&gt;0,DG413,CZ413)</f>
        <v/>
      </c>
      <c r="Q413" s="64">
        <f>IF(N(DJ413)&gt;0,DH413,DA413)</f>
        <v/>
      </c>
      <c r="R413" s="64">
        <f>IF(N(DJ413)&gt;0,DI413,DB413)</f>
        <v/>
      </c>
      <c r="S413" s="64">
        <f>IF(N(DJ413)&gt;0,DJ413,DC413)</f>
        <v/>
      </c>
      <c r="T413" s="64">
        <f>INDEX(Projects[Currency],412)&amp;""</f>
        <v/>
      </c>
      <c r="U413" s="65">
        <f>INDEX(Projects[Sold Value (M)],412)</f>
        <v/>
      </c>
      <c r="V413" s="64">
        <f>IF('Smart Search'!B13=1,IFERROR(1/'Smart Search'!H13,0),0)</f>
        <v/>
      </c>
      <c r="W413" s="64">
        <f>IF('Smart Search'!B13=1,IFERROR(1/'Smart Search'!H13,0),0)</f>
        <v/>
      </c>
      <c r="X413" s="64">
        <f>IF('Smart Search'!C13=1,IFERROR(1/'Smart Search'!H13,0),0)</f>
        <v/>
      </c>
      <c r="Y413" s="64">
        <f>IF('Smart Search'!C13=1,IFERROR(1/'Smart Search'!H13,0),0)</f>
        <v/>
      </c>
      <c r="Z413" s="64">
        <f>IF('Smart Search'!D13=1,IFERROR(1/'Smart Search'!H13,0),0)</f>
        <v/>
      </c>
      <c r="AA413" s="64">
        <f>IF('Smart Search'!D13=1,IFERROR(1/'Smart Search'!H13,0),0)</f>
        <v/>
      </c>
      <c r="AB413" s="64">
        <f>IF('Smart Search'!E13=1,IFERROR(1/'Smart Search'!H13,0),0)</f>
        <v/>
      </c>
      <c r="AC413" s="64">
        <f>IF('Smart Search'!E13=1,IFERROR(1/'Smart Search'!H13,0),0)</f>
        <v/>
      </c>
      <c r="AD413" s="64">
        <f>IF('Smart Search'!F13=1,IFERROR(1/'Smart Search'!H13,0),0)</f>
        <v/>
      </c>
      <c r="AE413" s="64">
        <f>IF('Smart Search'!F13=1,IFERROR(1/'Smart Search'!H13,0),0)</f>
        <v/>
      </c>
      <c r="AF413" s="64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4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4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4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4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4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4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4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4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4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4">
        <f>AF413*V413</f>
        <v/>
      </c>
      <c r="AQ413" s="64">
        <f>AG413*W413</f>
        <v/>
      </c>
      <c r="AR413" s="64">
        <f>AH413*X413</f>
        <v/>
      </c>
      <c r="AS413" s="64">
        <f>AI413*Y413</f>
        <v/>
      </c>
      <c r="AT413" s="64">
        <f>AJ413*Z413</f>
        <v/>
      </c>
      <c r="AU413" s="64">
        <f>AK413*AA413</f>
        <v/>
      </c>
      <c r="AV413" s="64">
        <f>AL413*AB413</f>
        <v/>
      </c>
      <c r="AW413" s="64">
        <f>AM413*AC413</f>
        <v/>
      </c>
      <c r="AX413" s="64">
        <f>AN413*AD413</f>
        <v/>
      </c>
      <c r="AY413" s="64">
        <f>AO413*AE413</f>
        <v/>
      </c>
      <c r="AZ413" s="64">
        <f>INDEX(Projects[Automation Equipment],412)&amp;""</f>
        <v/>
      </c>
      <c r="BA413" s="64">
        <f>IF(OR(A413="",'Smart Search'!H13=0),"",MAX(0,BE413*BF413*MAX(0,1-BG413)))</f>
        <v/>
      </c>
      <c r="BB413" s="64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4">
        <f>IF('Smart Search'!G13=1,IFERROR(1/'Smart Search'!H13,0),0)</f>
        <v/>
      </c>
      <c r="BD413" s="64">
        <f>BB413*BC413</f>
        <v/>
      </c>
      <c r="BE413" s="64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IF(A413="","",N(INDEX(Projects[Act Mech Inst],412)))</f>
        <v/>
      </c>
      <c r="BK413" s="5">
        <f>IF(A413="","",N(INDEX(Projects[Act Elec Inst],412)))</f>
        <v/>
      </c>
      <c r="BL413" s="5">
        <f>IF(A413="","",N(INDEX(Projects[Act Project Management],412)))</f>
        <v/>
      </c>
      <c r="BM413" s="5">
        <f>IF(A413="","",N(INDEX(Projects[Act Systems Eng],412)))</f>
        <v/>
      </c>
      <c r="BN413" s="5">
        <f>IF(A413="","",N(INDEX(Projects[Act Mechanical Eng],412)))</f>
        <v/>
      </c>
      <c r="BO413" s="5">
        <f>IF(A413="","",N(INDEX(Projects[Act Structural Engineering],412)))</f>
        <v/>
      </c>
      <c r="BP413" s="5">
        <f>IF(A413="","",N(INDEX(Projects[Act Site Sup],412)))</f>
        <v/>
      </c>
      <c r="BQ413" s="5">
        <f>IF(A413="","",N(INDEX(Projects[Act Controls Commissioning],412)))</f>
        <v/>
      </c>
      <c r="BR413" s="5">
        <f>IF(A413="","",N(INDEX(Projects[Act Systems Commissioning],412)))</f>
        <v/>
      </c>
      <c r="BS413" s="5">
        <f>IF(A413="","",N(INDEX(Projects[Act Service Commissioning],412)))</f>
        <v/>
      </c>
      <c r="BT413" s="5">
        <f>IF(A413="","",N(INDEX(Projects[Act Controls Eng],412)))</f>
        <v/>
      </c>
      <c r="BU413" s="5">
        <f>IF(A413="","",N(INDEX(Projects[Act Controls Purchase],412)))</f>
        <v/>
      </c>
      <c r="BV413" s="5">
        <f>IF(A413="","",N(INDEX(Projects[Act Software Eng],412)))</f>
        <v/>
      </c>
      <c r="BW413" s="5">
        <f>IF(A413="","",N(INDEX(Projects[Act 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INDEX(Projects[Sold Value (USD M)],412)</f>
        <v/>
      </c>
      <c r="CE413" s="5" t="n"/>
      <c r="CF413" s="5">
        <f>IF(A413="","",N(INDEX(Projects[Est Mech Inst],412)))</f>
        <v/>
      </c>
      <c r="CG413" s="5">
        <f>IF(A413="","",N(INDEX(Projects[Est Elec Inst],412)))</f>
        <v/>
      </c>
      <c r="CH413" s="5">
        <f>IF(A413="","",N(INDEX(Projects[Est Project Management],412)))</f>
        <v/>
      </c>
      <c r="CI413" s="5">
        <f>IF(A413="","",N(INDEX(Projects[Est Systems Eng],412)))</f>
        <v/>
      </c>
      <c r="CJ413" s="5">
        <f>IF(A413="","",N(INDEX(Projects[Est Mechanical Eng],412)))</f>
        <v/>
      </c>
      <c r="CK413" s="5">
        <f>IF(A413="","",N(INDEX(Projects[Est Structural Engineering],412)))</f>
        <v/>
      </c>
      <c r="CL413" s="5">
        <f>IF(A413="","",N(INDEX(Projects[Est Site Sup],412)))</f>
        <v/>
      </c>
      <c r="CM413" s="5">
        <f>IF(A413="","",N(INDEX(Projects[Est Controls Commissioning],412)))</f>
        <v/>
      </c>
      <c r="CN413" s="5">
        <f>IF(A413="","",N(INDEX(Projects[Est Systems Commissioning],412)))</f>
        <v/>
      </c>
      <c r="CO413" s="5">
        <f>IF(A413="","",N(INDEX(Projects[Est Service Commissioning],412)))</f>
        <v/>
      </c>
      <c r="CP413" s="5">
        <f>IF(A413="","",N(INDEX(Projects[Est Controls Eng],412)))</f>
        <v/>
      </c>
      <c r="CQ413" s="5">
        <f>IF(A413="","",N(INDEX(Projects[Est Controls Purchase],412)))</f>
        <v/>
      </c>
      <c r="CR413" s="5">
        <f>IF(A413="","",N(INDEX(Projects[Est Software Eng],412)))</f>
        <v/>
      </c>
      <c r="CS413" s="5">
        <f>IF(A413="","",N(INDEX(Projects[Est Misc],412)))</f>
        <v/>
      </c>
      <c r="CT413" s="5">
        <f>IF(A413="","",SUM(CF413:CS413))</f>
        <v/>
      </c>
      <c r="CU413" s="5">
        <f>INDEX(Projects[Est Cost (M)],412)</f>
        <v/>
      </c>
      <c r="CV413" s="5">
        <f>INDEX(Projects[Act Cost (M)],412)</f>
        <v/>
      </c>
      <c r="CW413" s="5">
        <f>INDEX(Projects[Plan Mech Eng (wks)],412)</f>
        <v/>
      </c>
      <c r="CX413" s="5">
        <f>INDEX(Projects[Plan Controls Eng (wks)],412)</f>
        <v/>
      </c>
      <c r="CY413" s="5">
        <f>INDEX(Projects[Plan Systems Eng (wks)],412)</f>
        <v/>
      </c>
      <c r="CZ413" s="5">
        <f>INDEX(Projects[Plan Software Eng (wks)],412)</f>
        <v/>
      </c>
      <c r="DA413" s="5">
        <f>INDEX(Projects[Plan M&amp;E Installation (wks)],412)</f>
        <v/>
      </c>
      <c r="DB413" s="5">
        <f>INDEX(Projects[Plan Commissioning (wks)],412)</f>
        <v/>
      </c>
      <c r="DC413" s="5">
        <f>INDEX(Projects[Plan Total (wks)],412)</f>
        <v/>
      </c>
      <c r="DD413" s="5">
        <f>INDEX(Projects[Act Mech Eng (wks)],412)</f>
        <v/>
      </c>
      <c r="DE413" s="5">
        <f>INDEX(Projects[Act Controls Eng (wks)],412)</f>
        <v/>
      </c>
      <c r="DF413" s="5">
        <f>INDEX(Projects[Act Systems Eng (wks)],412)</f>
        <v/>
      </c>
      <c r="DG413" s="5">
        <f>INDEX(Projects[Act Software Eng (wks)],412)</f>
        <v/>
      </c>
      <c r="DH413" s="5">
        <f>INDEX(Projects[Act M&amp;E Installation (wks)],412)</f>
        <v/>
      </c>
      <c r="DI413" s="5">
        <f>INDEX(Projects[Act Commissioning (wks)],412)</f>
        <v/>
      </c>
      <c r="DJ413" s="5">
        <f>INDEX(Projects[Act Total (wks)],412)</f>
        <v/>
      </c>
    </row>
    <row r="414" ht="15" customHeight="1" s="82">
      <c r="A414" s="64">
        <f>INDEX(Projects[Project ID *],413)&amp;""</f>
        <v/>
      </c>
      <c r="B414" s="64">
        <f>INDEX(Projects[Project Name *],413)&amp;""</f>
        <v/>
      </c>
      <c r="C414" s="64">
        <f>INDEX(Projects[MS Shuttles],413)</f>
        <v/>
      </c>
      <c r="D414" s="64">
        <f>INDEX(Projects[MS Tote Locations],413)</f>
        <v/>
      </c>
      <c r="E414" s="64">
        <f>INDEX(Projects[AS Robots],413)</f>
        <v/>
      </c>
      <c r="F414" s="64">
        <f>INDEX(Projects[AS Tote Locations],413)</f>
        <v/>
      </c>
      <c r="G414" s="64">
        <f>INDEX(Projects[PS Shuttles],413)</f>
        <v/>
      </c>
      <c r="H414" s="64">
        <f>INDEX(Projects[PS Pallet Locations],413)</f>
        <v/>
      </c>
      <c r="I414" s="64">
        <f>INDEX(Projects[SRM Cranes],413)</f>
        <v/>
      </c>
      <c r="J414" s="64">
        <f>INDEX(Projects[SRM Pallet Locations],413)</f>
        <v/>
      </c>
      <c r="K414" s="64">
        <f>INDEX(Projects[Case Conv (m)],413)</f>
        <v/>
      </c>
      <c r="L414" s="64">
        <f>INDEX(Projects[Pallet Conv (m)],413)</f>
        <v/>
      </c>
      <c r="M414" s="64">
        <f>IF(N(DJ414)&gt;0,DD414,CW414)</f>
        <v/>
      </c>
      <c r="N414" s="64">
        <f>IF(N(DJ414)&gt;0,DE414,CX414)</f>
        <v/>
      </c>
      <c r="O414" s="64">
        <f>IF(N(DJ414)&gt;0,DF414,CY414)</f>
        <v/>
      </c>
      <c r="P414" s="64">
        <f>IF(N(DJ414)&gt;0,DG414,CZ414)</f>
        <v/>
      </c>
      <c r="Q414" s="64">
        <f>IF(N(DJ414)&gt;0,DH414,DA414)</f>
        <v/>
      </c>
      <c r="R414" s="64">
        <f>IF(N(DJ414)&gt;0,DI414,DB414)</f>
        <v/>
      </c>
      <c r="S414" s="64">
        <f>IF(N(DJ414)&gt;0,DJ414,DC414)</f>
        <v/>
      </c>
      <c r="T414" s="64">
        <f>INDEX(Projects[Currency],413)&amp;""</f>
        <v/>
      </c>
      <c r="U414" s="65">
        <f>INDEX(Projects[Sold Value (M)],413)</f>
        <v/>
      </c>
      <c r="V414" s="64">
        <f>IF('Smart Search'!B13=1,IFERROR(1/'Smart Search'!H13,0),0)</f>
        <v/>
      </c>
      <c r="W414" s="64">
        <f>IF('Smart Search'!B13=1,IFERROR(1/'Smart Search'!H13,0),0)</f>
        <v/>
      </c>
      <c r="X414" s="64">
        <f>IF('Smart Search'!C13=1,IFERROR(1/'Smart Search'!H13,0),0)</f>
        <v/>
      </c>
      <c r="Y414" s="64">
        <f>IF('Smart Search'!C13=1,IFERROR(1/'Smart Search'!H13,0),0)</f>
        <v/>
      </c>
      <c r="Z414" s="64">
        <f>IF('Smart Search'!D13=1,IFERROR(1/'Smart Search'!H13,0),0)</f>
        <v/>
      </c>
      <c r="AA414" s="64">
        <f>IF('Smart Search'!D13=1,IFERROR(1/'Smart Search'!H13,0),0)</f>
        <v/>
      </c>
      <c r="AB414" s="64">
        <f>IF('Smart Search'!E13=1,IFERROR(1/'Smart Search'!H13,0),0)</f>
        <v/>
      </c>
      <c r="AC414" s="64">
        <f>IF('Smart Search'!E13=1,IFERROR(1/'Smart Search'!H13,0),0)</f>
        <v/>
      </c>
      <c r="AD414" s="64">
        <f>IF('Smart Search'!F13=1,IFERROR(1/'Smart Search'!H13,0),0)</f>
        <v/>
      </c>
      <c r="AE414" s="64">
        <f>IF('Smart Search'!F13=1,IFERROR(1/'Smart Search'!H13,0),0)</f>
        <v/>
      </c>
      <c r="AF414" s="64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4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4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4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4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4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4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4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4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4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4">
        <f>AF414*V414</f>
        <v/>
      </c>
      <c r="AQ414" s="64">
        <f>AG414*W414</f>
        <v/>
      </c>
      <c r="AR414" s="64">
        <f>AH414*X414</f>
        <v/>
      </c>
      <c r="AS414" s="64">
        <f>AI414*Y414</f>
        <v/>
      </c>
      <c r="AT414" s="64">
        <f>AJ414*Z414</f>
        <v/>
      </c>
      <c r="AU414" s="64">
        <f>AK414*AA414</f>
        <v/>
      </c>
      <c r="AV414" s="64">
        <f>AL414*AB414</f>
        <v/>
      </c>
      <c r="AW414" s="64">
        <f>AM414*AC414</f>
        <v/>
      </c>
      <c r="AX414" s="64">
        <f>AN414*AD414</f>
        <v/>
      </c>
      <c r="AY414" s="64">
        <f>AO414*AE414</f>
        <v/>
      </c>
      <c r="AZ414" s="64">
        <f>INDEX(Projects[Automation Equipment],413)&amp;""</f>
        <v/>
      </c>
      <c r="BA414" s="64">
        <f>IF(OR(A414="",'Smart Search'!H13=0),"",MAX(0,BE414*BF414*MAX(0,1-BG414)))</f>
        <v/>
      </c>
      <c r="BB414" s="64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4">
        <f>IF('Smart Search'!G13=1,IFERROR(1/'Smart Search'!H13,0),0)</f>
        <v/>
      </c>
      <c r="BD414" s="64">
        <f>BB414*BC414</f>
        <v/>
      </c>
      <c r="BE414" s="64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IF(A414="","",N(INDEX(Projects[Act Mech Inst],413)))</f>
        <v/>
      </c>
      <c r="BK414" s="5">
        <f>IF(A414="","",N(INDEX(Projects[Act Elec Inst],413)))</f>
        <v/>
      </c>
      <c r="BL414" s="5">
        <f>IF(A414="","",N(INDEX(Projects[Act Project Management],413)))</f>
        <v/>
      </c>
      <c r="BM414" s="5">
        <f>IF(A414="","",N(INDEX(Projects[Act Systems Eng],413)))</f>
        <v/>
      </c>
      <c r="BN414" s="5">
        <f>IF(A414="","",N(INDEX(Projects[Act Mechanical Eng],413)))</f>
        <v/>
      </c>
      <c r="BO414" s="5">
        <f>IF(A414="","",N(INDEX(Projects[Act Structural Engineering],413)))</f>
        <v/>
      </c>
      <c r="BP414" s="5">
        <f>IF(A414="","",N(INDEX(Projects[Act Site Sup],413)))</f>
        <v/>
      </c>
      <c r="BQ414" s="5">
        <f>IF(A414="","",N(INDEX(Projects[Act Controls Commissioning],413)))</f>
        <v/>
      </c>
      <c r="BR414" s="5">
        <f>IF(A414="","",N(INDEX(Projects[Act Systems Commissioning],413)))</f>
        <v/>
      </c>
      <c r="BS414" s="5">
        <f>IF(A414="","",N(INDEX(Projects[Act Service Commissioning],413)))</f>
        <v/>
      </c>
      <c r="BT414" s="5">
        <f>IF(A414="","",N(INDEX(Projects[Act Controls Eng],413)))</f>
        <v/>
      </c>
      <c r="BU414" s="5">
        <f>IF(A414="","",N(INDEX(Projects[Act Controls Purchase],413)))</f>
        <v/>
      </c>
      <c r="BV414" s="5">
        <f>IF(A414="","",N(INDEX(Projects[Act Software Eng],413)))</f>
        <v/>
      </c>
      <c r="BW414" s="5">
        <f>IF(A414="","",N(INDEX(Projects[Act 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INDEX(Projects[Sold Value (USD M)],413)</f>
        <v/>
      </c>
      <c r="CE414" s="5" t="n"/>
      <c r="CF414" s="5">
        <f>IF(A414="","",N(INDEX(Projects[Est Mech Inst],413)))</f>
        <v/>
      </c>
      <c r="CG414" s="5">
        <f>IF(A414="","",N(INDEX(Projects[Est Elec Inst],413)))</f>
        <v/>
      </c>
      <c r="CH414" s="5">
        <f>IF(A414="","",N(INDEX(Projects[Est Project Management],413)))</f>
        <v/>
      </c>
      <c r="CI414" s="5">
        <f>IF(A414="","",N(INDEX(Projects[Est Systems Eng],413)))</f>
        <v/>
      </c>
      <c r="CJ414" s="5">
        <f>IF(A414="","",N(INDEX(Projects[Est Mechanical Eng],413)))</f>
        <v/>
      </c>
      <c r="CK414" s="5">
        <f>IF(A414="","",N(INDEX(Projects[Est Structural Engineering],413)))</f>
        <v/>
      </c>
      <c r="CL414" s="5">
        <f>IF(A414="","",N(INDEX(Projects[Est Site Sup],413)))</f>
        <v/>
      </c>
      <c r="CM414" s="5">
        <f>IF(A414="","",N(INDEX(Projects[Est Controls Commissioning],413)))</f>
        <v/>
      </c>
      <c r="CN414" s="5">
        <f>IF(A414="","",N(INDEX(Projects[Est Systems Commissioning],413)))</f>
        <v/>
      </c>
      <c r="CO414" s="5">
        <f>IF(A414="","",N(INDEX(Projects[Est Service Commissioning],413)))</f>
        <v/>
      </c>
      <c r="CP414" s="5">
        <f>IF(A414="","",N(INDEX(Projects[Est Controls Eng],413)))</f>
        <v/>
      </c>
      <c r="CQ414" s="5">
        <f>IF(A414="","",N(INDEX(Projects[Est Controls Purchase],413)))</f>
        <v/>
      </c>
      <c r="CR414" s="5">
        <f>IF(A414="","",N(INDEX(Projects[Est Software Eng],413)))</f>
        <v/>
      </c>
      <c r="CS414" s="5">
        <f>IF(A414="","",N(INDEX(Projects[Est Misc],413)))</f>
        <v/>
      </c>
      <c r="CT414" s="5">
        <f>IF(A414="","",SUM(CF414:CS414))</f>
        <v/>
      </c>
      <c r="CU414" s="5">
        <f>INDEX(Projects[Est Cost (M)],413)</f>
        <v/>
      </c>
      <c r="CV414" s="5">
        <f>INDEX(Projects[Act Cost (M)],413)</f>
        <v/>
      </c>
      <c r="CW414" s="5">
        <f>INDEX(Projects[Plan Mech Eng (wks)],413)</f>
        <v/>
      </c>
      <c r="CX414" s="5">
        <f>INDEX(Projects[Plan Controls Eng (wks)],413)</f>
        <v/>
      </c>
      <c r="CY414" s="5">
        <f>INDEX(Projects[Plan Systems Eng (wks)],413)</f>
        <v/>
      </c>
      <c r="CZ414" s="5">
        <f>INDEX(Projects[Plan Software Eng (wks)],413)</f>
        <v/>
      </c>
      <c r="DA414" s="5">
        <f>INDEX(Projects[Plan M&amp;E Installation (wks)],413)</f>
        <v/>
      </c>
      <c r="DB414" s="5">
        <f>INDEX(Projects[Plan Commissioning (wks)],413)</f>
        <v/>
      </c>
      <c r="DC414" s="5">
        <f>INDEX(Projects[Plan Total (wks)],413)</f>
        <v/>
      </c>
      <c r="DD414" s="5">
        <f>INDEX(Projects[Act Mech Eng (wks)],413)</f>
        <v/>
      </c>
      <c r="DE414" s="5">
        <f>INDEX(Projects[Act Controls Eng (wks)],413)</f>
        <v/>
      </c>
      <c r="DF414" s="5">
        <f>INDEX(Projects[Act Systems Eng (wks)],413)</f>
        <v/>
      </c>
      <c r="DG414" s="5">
        <f>INDEX(Projects[Act Software Eng (wks)],413)</f>
        <v/>
      </c>
      <c r="DH414" s="5">
        <f>INDEX(Projects[Act M&amp;E Installation (wks)],413)</f>
        <v/>
      </c>
      <c r="DI414" s="5">
        <f>INDEX(Projects[Act Commissioning (wks)],413)</f>
        <v/>
      </c>
      <c r="DJ414" s="5">
        <f>INDEX(Projects[Act Total (wks)],413)</f>
        <v/>
      </c>
    </row>
    <row r="415" ht="15" customHeight="1" s="82">
      <c r="A415" s="64">
        <f>INDEX(Projects[Project ID *],414)&amp;""</f>
        <v/>
      </c>
      <c r="B415" s="64">
        <f>INDEX(Projects[Project Name *],414)&amp;""</f>
        <v/>
      </c>
      <c r="C415" s="64">
        <f>INDEX(Projects[MS Shuttles],414)</f>
        <v/>
      </c>
      <c r="D415" s="64">
        <f>INDEX(Projects[MS Tote Locations],414)</f>
        <v/>
      </c>
      <c r="E415" s="64">
        <f>INDEX(Projects[AS Robots],414)</f>
        <v/>
      </c>
      <c r="F415" s="64">
        <f>INDEX(Projects[AS Tote Locations],414)</f>
        <v/>
      </c>
      <c r="G415" s="64">
        <f>INDEX(Projects[PS Shuttles],414)</f>
        <v/>
      </c>
      <c r="H415" s="64">
        <f>INDEX(Projects[PS Pallet Locations],414)</f>
        <v/>
      </c>
      <c r="I415" s="64">
        <f>INDEX(Projects[SRM Cranes],414)</f>
        <v/>
      </c>
      <c r="J415" s="64">
        <f>INDEX(Projects[SRM Pallet Locations],414)</f>
        <v/>
      </c>
      <c r="K415" s="64">
        <f>INDEX(Projects[Case Conv (m)],414)</f>
        <v/>
      </c>
      <c r="L415" s="64">
        <f>INDEX(Projects[Pallet Conv (m)],414)</f>
        <v/>
      </c>
      <c r="M415" s="64">
        <f>IF(N(DJ415)&gt;0,DD415,CW415)</f>
        <v/>
      </c>
      <c r="N415" s="64">
        <f>IF(N(DJ415)&gt;0,DE415,CX415)</f>
        <v/>
      </c>
      <c r="O415" s="64">
        <f>IF(N(DJ415)&gt;0,DF415,CY415)</f>
        <v/>
      </c>
      <c r="P415" s="64">
        <f>IF(N(DJ415)&gt;0,DG415,CZ415)</f>
        <v/>
      </c>
      <c r="Q415" s="64">
        <f>IF(N(DJ415)&gt;0,DH415,DA415)</f>
        <v/>
      </c>
      <c r="R415" s="64">
        <f>IF(N(DJ415)&gt;0,DI415,DB415)</f>
        <v/>
      </c>
      <c r="S415" s="64">
        <f>IF(N(DJ415)&gt;0,DJ415,DC415)</f>
        <v/>
      </c>
      <c r="T415" s="64">
        <f>INDEX(Projects[Currency],414)&amp;""</f>
        <v/>
      </c>
      <c r="U415" s="65">
        <f>INDEX(Projects[Sold Value (M)],414)</f>
        <v/>
      </c>
      <c r="V415" s="64">
        <f>IF('Smart Search'!B13=1,IFERROR(1/'Smart Search'!H13,0),0)</f>
        <v/>
      </c>
      <c r="W415" s="64">
        <f>IF('Smart Search'!B13=1,IFERROR(1/'Smart Search'!H13,0),0)</f>
        <v/>
      </c>
      <c r="X415" s="64">
        <f>IF('Smart Search'!C13=1,IFERROR(1/'Smart Search'!H13,0),0)</f>
        <v/>
      </c>
      <c r="Y415" s="64">
        <f>IF('Smart Search'!C13=1,IFERROR(1/'Smart Search'!H13,0),0)</f>
        <v/>
      </c>
      <c r="Z415" s="64">
        <f>IF('Smart Search'!D13=1,IFERROR(1/'Smart Search'!H13,0),0)</f>
        <v/>
      </c>
      <c r="AA415" s="64">
        <f>IF('Smart Search'!D13=1,IFERROR(1/'Smart Search'!H13,0),0)</f>
        <v/>
      </c>
      <c r="AB415" s="64">
        <f>IF('Smart Search'!E13=1,IFERROR(1/'Smart Search'!H13,0),0)</f>
        <v/>
      </c>
      <c r="AC415" s="64">
        <f>IF('Smart Search'!E13=1,IFERROR(1/'Smart Search'!H13,0),0)</f>
        <v/>
      </c>
      <c r="AD415" s="64">
        <f>IF('Smart Search'!F13=1,IFERROR(1/'Smart Search'!H13,0),0)</f>
        <v/>
      </c>
      <c r="AE415" s="64">
        <f>IF('Smart Search'!F13=1,IFERROR(1/'Smart Search'!H13,0),0)</f>
        <v/>
      </c>
      <c r="AF415" s="64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4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4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4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4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4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4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4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4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4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4">
        <f>AF415*V415</f>
        <v/>
      </c>
      <c r="AQ415" s="64">
        <f>AG415*W415</f>
        <v/>
      </c>
      <c r="AR415" s="64">
        <f>AH415*X415</f>
        <v/>
      </c>
      <c r="AS415" s="64">
        <f>AI415*Y415</f>
        <v/>
      </c>
      <c r="AT415" s="64">
        <f>AJ415*Z415</f>
        <v/>
      </c>
      <c r="AU415" s="64">
        <f>AK415*AA415</f>
        <v/>
      </c>
      <c r="AV415" s="64">
        <f>AL415*AB415</f>
        <v/>
      </c>
      <c r="AW415" s="64">
        <f>AM415*AC415</f>
        <v/>
      </c>
      <c r="AX415" s="64">
        <f>AN415*AD415</f>
        <v/>
      </c>
      <c r="AY415" s="64">
        <f>AO415*AE415</f>
        <v/>
      </c>
      <c r="AZ415" s="64">
        <f>INDEX(Projects[Automation Equipment],414)&amp;""</f>
        <v/>
      </c>
      <c r="BA415" s="64">
        <f>IF(OR(A415="",'Smart Search'!H13=0),"",MAX(0,BE415*BF415*MAX(0,1-BG415)))</f>
        <v/>
      </c>
      <c r="BB415" s="64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4">
        <f>IF('Smart Search'!G13=1,IFERROR(1/'Smart Search'!H13,0),0)</f>
        <v/>
      </c>
      <c r="BD415" s="64">
        <f>BB415*BC415</f>
        <v/>
      </c>
      <c r="BE415" s="64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IF(A415="","",N(INDEX(Projects[Act Mech Inst],414)))</f>
        <v/>
      </c>
      <c r="BK415" s="5">
        <f>IF(A415="","",N(INDEX(Projects[Act Elec Inst],414)))</f>
        <v/>
      </c>
      <c r="BL415" s="5">
        <f>IF(A415="","",N(INDEX(Projects[Act Project Management],414)))</f>
        <v/>
      </c>
      <c r="BM415" s="5">
        <f>IF(A415="","",N(INDEX(Projects[Act Systems Eng],414)))</f>
        <v/>
      </c>
      <c r="BN415" s="5">
        <f>IF(A415="","",N(INDEX(Projects[Act Mechanical Eng],414)))</f>
        <v/>
      </c>
      <c r="BO415" s="5">
        <f>IF(A415="","",N(INDEX(Projects[Act Structural Engineering],414)))</f>
        <v/>
      </c>
      <c r="BP415" s="5">
        <f>IF(A415="","",N(INDEX(Projects[Act Site Sup],414)))</f>
        <v/>
      </c>
      <c r="BQ415" s="5">
        <f>IF(A415="","",N(INDEX(Projects[Act Controls Commissioning],414)))</f>
        <v/>
      </c>
      <c r="BR415" s="5">
        <f>IF(A415="","",N(INDEX(Projects[Act Systems Commissioning],414)))</f>
        <v/>
      </c>
      <c r="BS415" s="5">
        <f>IF(A415="","",N(INDEX(Projects[Act Service Commissioning],414)))</f>
        <v/>
      </c>
      <c r="BT415" s="5">
        <f>IF(A415="","",N(INDEX(Projects[Act Controls Eng],414)))</f>
        <v/>
      </c>
      <c r="BU415" s="5">
        <f>IF(A415="","",N(INDEX(Projects[Act Controls Purchase],414)))</f>
        <v/>
      </c>
      <c r="BV415" s="5">
        <f>IF(A415="","",N(INDEX(Projects[Act Software Eng],414)))</f>
        <v/>
      </c>
      <c r="BW415" s="5">
        <f>IF(A415="","",N(INDEX(Projects[Act 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INDEX(Projects[Sold Value (USD M)],414)</f>
        <v/>
      </c>
      <c r="CE415" s="5" t="n"/>
      <c r="CF415" s="5">
        <f>IF(A415="","",N(INDEX(Projects[Est Mech Inst],414)))</f>
        <v/>
      </c>
      <c r="CG415" s="5">
        <f>IF(A415="","",N(INDEX(Projects[Est Elec Inst],414)))</f>
        <v/>
      </c>
      <c r="CH415" s="5">
        <f>IF(A415="","",N(INDEX(Projects[Est Project Management],414)))</f>
        <v/>
      </c>
      <c r="CI415" s="5">
        <f>IF(A415="","",N(INDEX(Projects[Est Systems Eng],414)))</f>
        <v/>
      </c>
      <c r="CJ415" s="5">
        <f>IF(A415="","",N(INDEX(Projects[Est Mechanical Eng],414)))</f>
        <v/>
      </c>
      <c r="CK415" s="5">
        <f>IF(A415="","",N(INDEX(Projects[Est Structural Engineering],414)))</f>
        <v/>
      </c>
      <c r="CL415" s="5">
        <f>IF(A415="","",N(INDEX(Projects[Est Site Sup],414)))</f>
        <v/>
      </c>
      <c r="CM415" s="5">
        <f>IF(A415="","",N(INDEX(Projects[Est Controls Commissioning],414)))</f>
        <v/>
      </c>
      <c r="CN415" s="5">
        <f>IF(A415="","",N(INDEX(Projects[Est Systems Commissioning],414)))</f>
        <v/>
      </c>
      <c r="CO415" s="5">
        <f>IF(A415="","",N(INDEX(Projects[Est Service Commissioning],414)))</f>
        <v/>
      </c>
      <c r="CP415" s="5">
        <f>IF(A415="","",N(INDEX(Projects[Est Controls Eng],414)))</f>
        <v/>
      </c>
      <c r="CQ415" s="5">
        <f>IF(A415="","",N(INDEX(Projects[Est Controls Purchase],414)))</f>
        <v/>
      </c>
      <c r="CR415" s="5">
        <f>IF(A415="","",N(INDEX(Projects[Est Software Eng],414)))</f>
        <v/>
      </c>
      <c r="CS415" s="5">
        <f>IF(A415="","",N(INDEX(Projects[Est Misc],414)))</f>
        <v/>
      </c>
      <c r="CT415" s="5">
        <f>IF(A415="","",SUM(CF415:CS415))</f>
        <v/>
      </c>
      <c r="CU415" s="5">
        <f>INDEX(Projects[Est Cost (M)],414)</f>
        <v/>
      </c>
      <c r="CV415" s="5">
        <f>INDEX(Projects[Act Cost (M)],414)</f>
        <v/>
      </c>
      <c r="CW415" s="5">
        <f>INDEX(Projects[Plan Mech Eng (wks)],414)</f>
        <v/>
      </c>
      <c r="CX415" s="5">
        <f>INDEX(Projects[Plan Controls Eng (wks)],414)</f>
        <v/>
      </c>
      <c r="CY415" s="5">
        <f>INDEX(Projects[Plan Systems Eng (wks)],414)</f>
        <v/>
      </c>
      <c r="CZ415" s="5">
        <f>INDEX(Projects[Plan Software Eng (wks)],414)</f>
        <v/>
      </c>
      <c r="DA415" s="5">
        <f>INDEX(Projects[Plan M&amp;E Installation (wks)],414)</f>
        <v/>
      </c>
      <c r="DB415" s="5">
        <f>INDEX(Projects[Plan Commissioning (wks)],414)</f>
        <v/>
      </c>
      <c r="DC415" s="5">
        <f>INDEX(Projects[Plan Total (wks)],414)</f>
        <v/>
      </c>
      <c r="DD415" s="5">
        <f>INDEX(Projects[Act Mech Eng (wks)],414)</f>
        <v/>
      </c>
      <c r="DE415" s="5">
        <f>INDEX(Projects[Act Controls Eng (wks)],414)</f>
        <v/>
      </c>
      <c r="DF415" s="5">
        <f>INDEX(Projects[Act Systems Eng (wks)],414)</f>
        <v/>
      </c>
      <c r="DG415" s="5">
        <f>INDEX(Projects[Act Software Eng (wks)],414)</f>
        <v/>
      </c>
      <c r="DH415" s="5">
        <f>INDEX(Projects[Act M&amp;E Installation (wks)],414)</f>
        <v/>
      </c>
      <c r="DI415" s="5">
        <f>INDEX(Projects[Act Commissioning (wks)],414)</f>
        <v/>
      </c>
      <c r="DJ415" s="5">
        <f>INDEX(Projects[Act Total (wks)],414)</f>
        <v/>
      </c>
    </row>
    <row r="416" ht="15" customHeight="1" s="82">
      <c r="A416" s="64">
        <f>INDEX(Projects[Project ID *],415)&amp;""</f>
        <v/>
      </c>
      <c r="B416" s="64">
        <f>INDEX(Projects[Project Name *],415)&amp;""</f>
        <v/>
      </c>
      <c r="C416" s="64">
        <f>INDEX(Projects[MS Shuttles],415)</f>
        <v/>
      </c>
      <c r="D416" s="64">
        <f>INDEX(Projects[MS Tote Locations],415)</f>
        <v/>
      </c>
      <c r="E416" s="64">
        <f>INDEX(Projects[AS Robots],415)</f>
        <v/>
      </c>
      <c r="F416" s="64">
        <f>INDEX(Projects[AS Tote Locations],415)</f>
        <v/>
      </c>
      <c r="G416" s="64">
        <f>INDEX(Projects[PS Shuttles],415)</f>
        <v/>
      </c>
      <c r="H416" s="64">
        <f>INDEX(Projects[PS Pallet Locations],415)</f>
        <v/>
      </c>
      <c r="I416" s="64">
        <f>INDEX(Projects[SRM Cranes],415)</f>
        <v/>
      </c>
      <c r="J416" s="64">
        <f>INDEX(Projects[SRM Pallet Locations],415)</f>
        <v/>
      </c>
      <c r="K416" s="64">
        <f>INDEX(Projects[Case Conv (m)],415)</f>
        <v/>
      </c>
      <c r="L416" s="64">
        <f>INDEX(Projects[Pallet Conv (m)],415)</f>
        <v/>
      </c>
      <c r="M416" s="64">
        <f>IF(N(DJ416)&gt;0,DD416,CW416)</f>
        <v/>
      </c>
      <c r="N416" s="64">
        <f>IF(N(DJ416)&gt;0,DE416,CX416)</f>
        <v/>
      </c>
      <c r="O416" s="64">
        <f>IF(N(DJ416)&gt;0,DF416,CY416)</f>
        <v/>
      </c>
      <c r="P416" s="64">
        <f>IF(N(DJ416)&gt;0,DG416,CZ416)</f>
        <v/>
      </c>
      <c r="Q416" s="64">
        <f>IF(N(DJ416)&gt;0,DH416,DA416)</f>
        <v/>
      </c>
      <c r="R416" s="64">
        <f>IF(N(DJ416)&gt;0,DI416,DB416)</f>
        <v/>
      </c>
      <c r="S416" s="64">
        <f>IF(N(DJ416)&gt;0,DJ416,DC416)</f>
        <v/>
      </c>
      <c r="T416" s="64">
        <f>INDEX(Projects[Currency],415)&amp;""</f>
        <v/>
      </c>
      <c r="U416" s="65">
        <f>INDEX(Projects[Sold Value (M)],415)</f>
        <v/>
      </c>
      <c r="V416" s="64">
        <f>IF('Smart Search'!B13=1,IFERROR(1/'Smart Search'!H13,0),0)</f>
        <v/>
      </c>
      <c r="W416" s="64">
        <f>IF('Smart Search'!B13=1,IFERROR(1/'Smart Search'!H13,0),0)</f>
        <v/>
      </c>
      <c r="X416" s="64">
        <f>IF('Smart Search'!C13=1,IFERROR(1/'Smart Search'!H13,0),0)</f>
        <v/>
      </c>
      <c r="Y416" s="64">
        <f>IF('Smart Search'!C13=1,IFERROR(1/'Smart Search'!H13,0),0)</f>
        <v/>
      </c>
      <c r="Z416" s="64">
        <f>IF('Smart Search'!D13=1,IFERROR(1/'Smart Search'!H13,0),0)</f>
        <v/>
      </c>
      <c r="AA416" s="64">
        <f>IF('Smart Search'!D13=1,IFERROR(1/'Smart Search'!H13,0),0)</f>
        <v/>
      </c>
      <c r="AB416" s="64">
        <f>IF('Smart Search'!E13=1,IFERROR(1/'Smart Search'!H13,0),0)</f>
        <v/>
      </c>
      <c r="AC416" s="64">
        <f>IF('Smart Search'!E13=1,IFERROR(1/'Smart Search'!H13,0),0)</f>
        <v/>
      </c>
      <c r="AD416" s="64">
        <f>IF('Smart Search'!F13=1,IFERROR(1/'Smart Search'!H13,0),0)</f>
        <v/>
      </c>
      <c r="AE416" s="64">
        <f>IF('Smart Search'!F13=1,IFERROR(1/'Smart Search'!H13,0),0)</f>
        <v/>
      </c>
      <c r="AF416" s="64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4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4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4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4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4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4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4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4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4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4">
        <f>AF416*V416</f>
        <v/>
      </c>
      <c r="AQ416" s="64">
        <f>AG416*W416</f>
        <v/>
      </c>
      <c r="AR416" s="64">
        <f>AH416*X416</f>
        <v/>
      </c>
      <c r="AS416" s="64">
        <f>AI416*Y416</f>
        <v/>
      </c>
      <c r="AT416" s="64">
        <f>AJ416*Z416</f>
        <v/>
      </c>
      <c r="AU416" s="64">
        <f>AK416*AA416</f>
        <v/>
      </c>
      <c r="AV416" s="64">
        <f>AL416*AB416</f>
        <v/>
      </c>
      <c r="AW416" s="64">
        <f>AM416*AC416</f>
        <v/>
      </c>
      <c r="AX416" s="64">
        <f>AN416*AD416</f>
        <v/>
      </c>
      <c r="AY416" s="64">
        <f>AO416*AE416</f>
        <v/>
      </c>
      <c r="AZ416" s="64">
        <f>INDEX(Projects[Automation Equipment],415)&amp;""</f>
        <v/>
      </c>
      <c r="BA416" s="64">
        <f>IF(OR(A416="",'Smart Search'!H13=0),"",MAX(0,BE416*BF416*MAX(0,1-BG416)))</f>
        <v/>
      </c>
      <c r="BB416" s="64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4">
        <f>IF('Smart Search'!G13=1,IFERROR(1/'Smart Search'!H13,0),0)</f>
        <v/>
      </c>
      <c r="BD416" s="64">
        <f>BB416*BC416</f>
        <v/>
      </c>
      <c r="BE416" s="64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IF(A416="","",N(INDEX(Projects[Act Mech Inst],415)))</f>
        <v/>
      </c>
      <c r="BK416" s="5">
        <f>IF(A416="","",N(INDEX(Projects[Act Elec Inst],415)))</f>
        <v/>
      </c>
      <c r="BL416" s="5">
        <f>IF(A416="","",N(INDEX(Projects[Act Project Management],415)))</f>
        <v/>
      </c>
      <c r="BM416" s="5">
        <f>IF(A416="","",N(INDEX(Projects[Act Systems Eng],415)))</f>
        <v/>
      </c>
      <c r="BN416" s="5">
        <f>IF(A416="","",N(INDEX(Projects[Act Mechanical Eng],415)))</f>
        <v/>
      </c>
      <c r="BO416" s="5">
        <f>IF(A416="","",N(INDEX(Projects[Act Structural Engineering],415)))</f>
        <v/>
      </c>
      <c r="BP416" s="5">
        <f>IF(A416="","",N(INDEX(Projects[Act Site Sup],415)))</f>
        <v/>
      </c>
      <c r="BQ416" s="5">
        <f>IF(A416="","",N(INDEX(Projects[Act Controls Commissioning],415)))</f>
        <v/>
      </c>
      <c r="BR416" s="5">
        <f>IF(A416="","",N(INDEX(Projects[Act Systems Commissioning],415)))</f>
        <v/>
      </c>
      <c r="BS416" s="5">
        <f>IF(A416="","",N(INDEX(Projects[Act Service Commissioning],415)))</f>
        <v/>
      </c>
      <c r="BT416" s="5">
        <f>IF(A416="","",N(INDEX(Projects[Act Controls Eng],415)))</f>
        <v/>
      </c>
      <c r="BU416" s="5">
        <f>IF(A416="","",N(INDEX(Projects[Act Controls Purchase],415)))</f>
        <v/>
      </c>
      <c r="BV416" s="5">
        <f>IF(A416="","",N(INDEX(Projects[Act Software Eng],415)))</f>
        <v/>
      </c>
      <c r="BW416" s="5">
        <f>IF(A416="","",N(INDEX(Projects[Act 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INDEX(Projects[Sold Value (USD M)],415)</f>
        <v/>
      </c>
      <c r="CE416" s="5" t="n"/>
      <c r="CF416" s="5">
        <f>IF(A416="","",N(INDEX(Projects[Est Mech Inst],415)))</f>
        <v/>
      </c>
      <c r="CG416" s="5">
        <f>IF(A416="","",N(INDEX(Projects[Est Elec Inst],415)))</f>
        <v/>
      </c>
      <c r="CH416" s="5">
        <f>IF(A416="","",N(INDEX(Projects[Est Project Management],415)))</f>
        <v/>
      </c>
      <c r="CI416" s="5">
        <f>IF(A416="","",N(INDEX(Projects[Est Systems Eng],415)))</f>
        <v/>
      </c>
      <c r="CJ416" s="5">
        <f>IF(A416="","",N(INDEX(Projects[Est Mechanical Eng],415)))</f>
        <v/>
      </c>
      <c r="CK416" s="5">
        <f>IF(A416="","",N(INDEX(Projects[Est Structural Engineering],415)))</f>
        <v/>
      </c>
      <c r="CL416" s="5">
        <f>IF(A416="","",N(INDEX(Projects[Est Site Sup],415)))</f>
        <v/>
      </c>
      <c r="CM416" s="5">
        <f>IF(A416="","",N(INDEX(Projects[Est Controls Commissioning],415)))</f>
        <v/>
      </c>
      <c r="CN416" s="5">
        <f>IF(A416="","",N(INDEX(Projects[Est Systems Commissioning],415)))</f>
        <v/>
      </c>
      <c r="CO416" s="5">
        <f>IF(A416="","",N(INDEX(Projects[Est Service Commissioning],415)))</f>
        <v/>
      </c>
      <c r="CP416" s="5">
        <f>IF(A416="","",N(INDEX(Projects[Est Controls Eng],415)))</f>
        <v/>
      </c>
      <c r="CQ416" s="5">
        <f>IF(A416="","",N(INDEX(Projects[Est Controls Purchase],415)))</f>
        <v/>
      </c>
      <c r="CR416" s="5">
        <f>IF(A416="","",N(INDEX(Projects[Est Software Eng],415)))</f>
        <v/>
      </c>
      <c r="CS416" s="5">
        <f>IF(A416="","",N(INDEX(Projects[Est Misc],415)))</f>
        <v/>
      </c>
      <c r="CT416" s="5">
        <f>IF(A416="","",SUM(CF416:CS416))</f>
        <v/>
      </c>
      <c r="CU416" s="5">
        <f>INDEX(Projects[Est Cost (M)],415)</f>
        <v/>
      </c>
      <c r="CV416" s="5">
        <f>INDEX(Projects[Act Cost (M)],415)</f>
        <v/>
      </c>
      <c r="CW416" s="5">
        <f>INDEX(Projects[Plan Mech Eng (wks)],415)</f>
        <v/>
      </c>
      <c r="CX416" s="5">
        <f>INDEX(Projects[Plan Controls Eng (wks)],415)</f>
        <v/>
      </c>
      <c r="CY416" s="5">
        <f>INDEX(Projects[Plan Systems Eng (wks)],415)</f>
        <v/>
      </c>
      <c r="CZ416" s="5">
        <f>INDEX(Projects[Plan Software Eng (wks)],415)</f>
        <v/>
      </c>
      <c r="DA416" s="5">
        <f>INDEX(Projects[Plan M&amp;E Installation (wks)],415)</f>
        <v/>
      </c>
      <c r="DB416" s="5">
        <f>INDEX(Projects[Plan Commissioning (wks)],415)</f>
        <v/>
      </c>
      <c r="DC416" s="5">
        <f>INDEX(Projects[Plan Total (wks)],415)</f>
        <v/>
      </c>
      <c r="DD416" s="5">
        <f>INDEX(Projects[Act Mech Eng (wks)],415)</f>
        <v/>
      </c>
      <c r="DE416" s="5">
        <f>INDEX(Projects[Act Controls Eng (wks)],415)</f>
        <v/>
      </c>
      <c r="DF416" s="5">
        <f>INDEX(Projects[Act Systems Eng (wks)],415)</f>
        <v/>
      </c>
      <c r="DG416" s="5">
        <f>INDEX(Projects[Act Software Eng (wks)],415)</f>
        <v/>
      </c>
      <c r="DH416" s="5">
        <f>INDEX(Projects[Act M&amp;E Installation (wks)],415)</f>
        <v/>
      </c>
      <c r="DI416" s="5">
        <f>INDEX(Projects[Act Commissioning (wks)],415)</f>
        <v/>
      </c>
      <c r="DJ416" s="5">
        <f>INDEX(Projects[Act Total (wks)],415)</f>
        <v/>
      </c>
    </row>
    <row r="417" ht="15" customHeight="1" s="82">
      <c r="A417" s="64">
        <f>INDEX(Projects[Project ID *],416)&amp;""</f>
        <v/>
      </c>
      <c r="B417" s="64">
        <f>INDEX(Projects[Project Name *],416)&amp;""</f>
        <v/>
      </c>
      <c r="C417" s="64">
        <f>INDEX(Projects[MS Shuttles],416)</f>
        <v/>
      </c>
      <c r="D417" s="64">
        <f>INDEX(Projects[MS Tote Locations],416)</f>
        <v/>
      </c>
      <c r="E417" s="64">
        <f>INDEX(Projects[AS Robots],416)</f>
        <v/>
      </c>
      <c r="F417" s="64">
        <f>INDEX(Projects[AS Tote Locations],416)</f>
        <v/>
      </c>
      <c r="G417" s="64">
        <f>INDEX(Projects[PS Shuttles],416)</f>
        <v/>
      </c>
      <c r="H417" s="64">
        <f>INDEX(Projects[PS Pallet Locations],416)</f>
        <v/>
      </c>
      <c r="I417" s="64">
        <f>INDEX(Projects[SRM Cranes],416)</f>
        <v/>
      </c>
      <c r="J417" s="64">
        <f>INDEX(Projects[SRM Pallet Locations],416)</f>
        <v/>
      </c>
      <c r="K417" s="64">
        <f>INDEX(Projects[Case Conv (m)],416)</f>
        <v/>
      </c>
      <c r="L417" s="64">
        <f>INDEX(Projects[Pallet Conv (m)],416)</f>
        <v/>
      </c>
      <c r="M417" s="64">
        <f>IF(N(DJ417)&gt;0,DD417,CW417)</f>
        <v/>
      </c>
      <c r="N417" s="64">
        <f>IF(N(DJ417)&gt;0,DE417,CX417)</f>
        <v/>
      </c>
      <c r="O417" s="64">
        <f>IF(N(DJ417)&gt;0,DF417,CY417)</f>
        <v/>
      </c>
      <c r="P417" s="64">
        <f>IF(N(DJ417)&gt;0,DG417,CZ417)</f>
        <v/>
      </c>
      <c r="Q417" s="64">
        <f>IF(N(DJ417)&gt;0,DH417,DA417)</f>
        <v/>
      </c>
      <c r="R417" s="64">
        <f>IF(N(DJ417)&gt;0,DI417,DB417)</f>
        <v/>
      </c>
      <c r="S417" s="64">
        <f>IF(N(DJ417)&gt;0,DJ417,DC417)</f>
        <v/>
      </c>
      <c r="T417" s="64">
        <f>INDEX(Projects[Currency],416)&amp;""</f>
        <v/>
      </c>
      <c r="U417" s="65">
        <f>INDEX(Projects[Sold Value (M)],416)</f>
        <v/>
      </c>
      <c r="V417" s="64">
        <f>IF('Smart Search'!B13=1,IFERROR(1/'Smart Search'!H13,0),0)</f>
        <v/>
      </c>
      <c r="W417" s="64">
        <f>IF('Smart Search'!B13=1,IFERROR(1/'Smart Search'!H13,0),0)</f>
        <v/>
      </c>
      <c r="X417" s="64">
        <f>IF('Smart Search'!C13=1,IFERROR(1/'Smart Search'!H13,0),0)</f>
        <v/>
      </c>
      <c r="Y417" s="64">
        <f>IF('Smart Search'!C13=1,IFERROR(1/'Smart Search'!H13,0),0)</f>
        <v/>
      </c>
      <c r="Z417" s="64">
        <f>IF('Smart Search'!D13=1,IFERROR(1/'Smart Search'!H13,0),0)</f>
        <v/>
      </c>
      <c r="AA417" s="64">
        <f>IF('Smart Search'!D13=1,IFERROR(1/'Smart Search'!H13,0),0)</f>
        <v/>
      </c>
      <c r="AB417" s="64">
        <f>IF('Smart Search'!E13=1,IFERROR(1/'Smart Search'!H13,0),0)</f>
        <v/>
      </c>
      <c r="AC417" s="64">
        <f>IF('Smart Search'!E13=1,IFERROR(1/'Smart Search'!H13,0),0)</f>
        <v/>
      </c>
      <c r="AD417" s="64">
        <f>IF('Smart Search'!F13=1,IFERROR(1/'Smart Search'!H13,0),0)</f>
        <v/>
      </c>
      <c r="AE417" s="64">
        <f>IF('Smart Search'!F13=1,IFERROR(1/'Smart Search'!H13,0),0)</f>
        <v/>
      </c>
      <c r="AF417" s="64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4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4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4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4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4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4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4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4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4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4">
        <f>AF417*V417</f>
        <v/>
      </c>
      <c r="AQ417" s="64">
        <f>AG417*W417</f>
        <v/>
      </c>
      <c r="AR417" s="64">
        <f>AH417*X417</f>
        <v/>
      </c>
      <c r="AS417" s="64">
        <f>AI417*Y417</f>
        <v/>
      </c>
      <c r="AT417" s="64">
        <f>AJ417*Z417</f>
        <v/>
      </c>
      <c r="AU417" s="64">
        <f>AK417*AA417</f>
        <v/>
      </c>
      <c r="AV417" s="64">
        <f>AL417*AB417</f>
        <v/>
      </c>
      <c r="AW417" s="64">
        <f>AM417*AC417</f>
        <v/>
      </c>
      <c r="AX417" s="64">
        <f>AN417*AD417</f>
        <v/>
      </c>
      <c r="AY417" s="64">
        <f>AO417*AE417</f>
        <v/>
      </c>
      <c r="AZ417" s="64">
        <f>INDEX(Projects[Automation Equipment],416)&amp;""</f>
        <v/>
      </c>
      <c r="BA417" s="64">
        <f>IF(OR(A417="",'Smart Search'!H13=0),"",MAX(0,BE417*BF417*MAX(0,1-BG417)))</f>
        <v/>
      </c>
      <c r="BB417" s="64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4">
        <f>IF('Smart Search'!G13=1,IFERROR(1/'Smart Search'!H13,0),0)</f>
        <v/>
      </c>
      <c r="BD417" s="64">
        <f>BB417*BC417</f>
        <v/>
      </c>
      <c r="BE417" s="64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IF(A417="","",N(INDEX(Projects[Act Mech Inst],416)))</f>
        <v/>
      </c>
      <c r="BK417" s="5">
        <f>IF(A417="","",N(INDEX(Projects[Act Elec Inst],416)))</f>
        <v/>
      </c>
      <c r="BL417" s="5">
        <f>IF(A417="","",N(INDEX(Projects[Act Project Management],416)))</f>
        <v/>
      </c>
      <c r="BM417" s="5">
        <f>IF(A417="","",N(INDEX(Projects[Act Systems Eng],416)))</f>
        <v/>
      </c>
      <c r="BN417" s="5">
        <f>IF(A417="","",N(INDEX(Projects[Act Mechanical Eng],416)))</f>
        <v/>
      </c>
      <c r="BO417" s="5">
        <f>IF(A417="","",N(INDEX(Projects[Act Structural Engineering],416)))</f>
        <v/>
      </c>
      <c r="BP417" s="5">
        <f>IF(A417="","",N(INDEX(Projects[Act Site Sup],416)))</f>
        <v/>
      </c>
      <c r="BQ417" s="5">
        <f>IF(A417="","",N(INDEX(Projects[Act Controls Commissioning],416)))</f>
        <v/>
      </c>
      <c r="BR417" s="5">
        <f>IF(A417="","",N(INDEX(Projects[Act Systems Commissioning],416)))</f>
        <v/>
      </c>
      <c r="BS417" s="5">
        <f>IF(A417="","",N(INDEX(Projects[Act Service Commissioning],416)))</f>
        <v/>
      </c>
      <c r="BT417" s="5">
        <f>IF(A417="","",N(INDEX(Projects[Act Controls Eng],416)))</f>
        <v/>
      </c>
      <c r="BU417" s="5">
        <f>IF(A417="","",N(INDEX(Projects[Act Controls Purchase],416)))</f>
        <v/>
      </c>
      <c r="BV417" s="5">
        <f>IF(A417="","",N(INDEX(Projects[Act Software Eng],416)))</f>
        <v/>
      </c>
      <c r="BW417" s="5">
        <f>IF(A417="","",N(INDEX(Projects[Act 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INDEX(Projects[Sold Value (USD M)],416)</f>
        <v/>
      </c>
      <c r="CE417" s="5" t="n"/>
      <c r="CF417" s="5">
        <f>IF(A417="","",N(INDEX(Projects[Est Mech Inst],416)))</f>
        <v/>
      </c>
      <c r="CG417" s="5">
        <f>IF(A417="","",N(INDEX(Projects[Est Elec Inst],416)))</f>
        <v/>
      </c>
      <c r="CH417" s="5">
        <f>IF(A417="","",N(INDEX(Projects[Est Project Management],416)))</f>
        <v/>
      </c>
      <c r="CI417" s="5">
        <f>IF(A417="","",N(INDEX(Projects[Est Systems Eng],416)))</f>
        <v/>
      </c>
      <c r="CJ417" s="5">
        <f>IF(A417="","",N(INDEX(Projects[Est Mechanical Eng],416)))</f>
        <v/>
      </c>
      <c r="CK417" s="5">
        <f>IF(A417="","",N(INDEX(Projects[Est Structural Engineering],416)))</f>
        <v/>
      </c>
      <c r="CL417" s="5">
        <f>IF(A417="","",N(INDEX(Projects[Est Site Sup],416)))</f>
        <v/>
      </c>
      <c r="CM417" s="5">
        <f>IF(A417="","",N(INDEX(Projects[Est Controls Commissioning],416)))</f>
        <v/>
      </c>
      <c r="CN417" s="5">
        <f>IF(A417="","",N(INDEX(Projects[Est Systems Commissioning],416)))</f>
        <v/>
      </c>
      <c r="CO417" s="5">
        <f>IF(A417="","",N(INDEX(Projects[Est Service Commissioning],416)))</f>
        <v/>
      </c>
      <c r="CP417" s="5">
        <f>IF(A417="","",N(INDEX(Projects[Est Controls Eng],416)))</f>
        <v/>
      </c>
      <c r="CQ417" s="5">
        <f>IF(A417="","",N(INDEX(Projects[Est Controls Purchase],416)))</f>
        <v/>
      </c>
      <c r="CR417" s="5">
        <f>IF(A417="","",N(INDEX(Projects[Est Software Eng],416)))</f>
        <v/>
      </c>
      <c r="CS417" s="5">
        <f>IF(A417="","",N(INDEX(Projects[Est Misc],416)))</f>
        <v/>
      </c>
      <c r="CT417" s="5">
        <f>IF(A417="","",SUM(CF417:CS417))</f>
        <v/>
      </c>
      <c r="CU417" s="5">
        <f>INDEX(Projects[Est Cost (M)],416)</f>
        <v/>
      </c>
      <c r="CV417" s="5">
        <f>INDEX(Projects[Act Cost (M)],416)</f>
        <v/>
      </c>
      <c r="CW417" s="5">
        <f>INDEX(Projects[Plan Mech Eng (wks)],416)</f>
        <v/>
      </c>
      <c r="CX417" s="5">
        <f>INDEX(Projects[Plan Controls Eng (wks)],416)</f>
        <v/>
      </c>
      <c r="CY417" s="5">
        <f>INDEX(Projects[Plan Systems Eng (wks)],416)</f>
        <v/>
      </c>
      <c r="CZ417" s="5">
        <f>INDEX(Projects[Plan Software Eng (wks)],416)</f>
        <v/>
      </c>
      <c r="DA417" s="5">
        <f>INDEX(Projects[Plan M&amp;E Installation (wks)],416)</f>
        <v/>
      </c>
      <c r="DB417" s="5">
        <f>INDEX(Projects[Plan Commissioning (wks)],416)</f>
        <v/>
      </c>
      <c r="DC417" s="5">
        <f>INDEX(Projects[Plan Total (wks)],416)</f>
        <v/>
      </c>
      <c r="DD417" s="5">
        <f>INDEX(Projects[Act Mech Eng (wks)],416)</f>
        <v/>
      </c>
      <c r="DE417" s="5">
        <f>INDEX(Projects[Act Controls Eng (wks)],416)</f>
        <v/>
      </c>
      <c r="DF417" s="5">
        <f>INDEX(Projects[Act Systems Eng (wks)],416)</f>
        <v/>
      </c>
      <c r="DG417" s="5">
        <f>INDEX(Projects[Act Software Eng (wks)],416)</f>
        <v/>
      </c>
      <c r="DH417" s="5">
        <f>INDEX(Projects[Act M&amp;E Installation (wks)],416)</f>
        <v/>
      </c>
      <c r="DI417" s="5">
        <f>INDEX(Projects[Act Commissioning (wks)],416)</f>
        <v/>
      </c>
      <c r="DJ417" s="5">
        <f>INDEX(Projects[Act Total (wks)],416)</f>
        <v/>
      </c>
    </row>
    <row r="418" ht="15" customHeight="1" s="82">
      <c r="A418" s="64">
        <f>INDEX(Projects[Project ID *],417)&amp;""</f>
        <v/>
      </c>
      <c r="B418" s="64">
        <f>INDEX(Projects[Project Name *],417)&amp;""</f>
        <v/>
      </c>
      <c r="C418" s="64">
        <f>INDEX(Projects[MS Shuttles],417)</f>
        <v/>
      </c>
      <c r="D418" s="64">
        <f>INDEX(Projects[MS Tote Locations],417)</f>
        <v/>
      </c>
      <c r="E418" s="64">
        <f>INDEX(Projects[AS Robots],417)</f>
        <v/>
      </c>
      <c r="F418" s="64">
        <f>INDEX(Projects[AS Tote Locations],417)</f>
        <v/>
      </c>
      <c r="G418" s="64">
        <f>INDEX(Projects[PS Shuttles],417)</f>
        <v/>
      </c>
      <c r="H418" s="64">
        <f>INDEX(Projects[PS Pallet Locations],417)</f>
        <v/>
      </c>
      <c r="I418" s="64">
        <f>INDEX(Projects[SRM Cranes],417)</f>
        <v/>
      </c>
      <c r="J418" s="64">
        <f>INDEX(Projects[SRM Pallet Locations],417)</f>
        <v/>
      </c>
      <c r="K418" s="64">
        <f>INDEX(Projects[Case Conv (m)],417)</f>
        <v/>
      </c>
      <c r="L418" s="64">
        <f>INDEX(Projects[Pallet Conv (m)],417)</f>
        <v/>
      </c>
      <c r="M418" s="64">
        <f>IF(N(DJ418)&gt;0,DD418,CW418)</f>
        <v/>
      </c>
      <c r="N418" s="64">
        <f>IF(N(DJ418)&gt;0,DE418,CX418)</f>
        <v/>
      </c>
      <c r="O418" s="64">
        <f>IF(N(DJ418)&gt;0,DF418,CY418)</f>
        <v/>
      </c>
      <c r="P418" s="64">
        <f>IF(N(DJ418)&gt;0,DG418,CZ418)</f>
        <v/>
      </c>
      <c r="Q418" s="64">
        <f>IF(N(DJ418)&gt;0,DH418,DA418)</f>
        <v/>
      </c>
      <c r="R418" s="64">
        <f>IF(N(DJ418)&gt;0,DI418,DB418)</f>
        <v/>
      </c>
      <c r="S418" s="64">
        <f>IF(N(DJ418)&gt;0,DJ418,DC418)</f>
        <v/>
      </c>
      <c r="T418" s="64">
        <f>INDEX(Projects[Currency],417)&amp;""</f>
        <v/>
      </c>
      <c r="U418" s="65">
        <f>INDEX(Projects[Sold Value (M)],417)</f>
        <v/>
      </c>
      <c r="V418" s="64">
        <f>IF('Smart Search'!B13=1,IFERROR(1/'Smart Search'!H13,0),0)</f>
        <v/>
      </c>
      <c r="W418" s="64">
        <f>IF('Smart Search'!B13=1,IFERROR(1/'Smart Search'!H13,0),0)</f>
        <v/>
      </c>
      <c r="X418" s="64">
        <f>IF('Smart Search'!C13=1,IFERROR(1/'Smart Search'!H13,0),0)</f>
        <v/>
      </c>
      <c r="Y418" s="64">
        <f>IF('Smart Search'!C13=1,IFERROR(1/'Smart Search'!H13,0),0)</f>
        <v/>
      </c>
      <c r="Z418" s="64">
        <f>IF('Smart Search'!D13=1,IFERROR(1/'Smart Search'!H13,0),0)</f>
        <v/>
      </c>
      <c r="AA418" s="64">
        <f>IF('Smart Search'!D13=1,IFERROR(1/'Smart Search'!H13,0),0)</f>
        <v/>
      </c>
      <c r="AB418" s="64">
        <f>IF('Smart Search'!E13=1,IFERROR(1/'Smart Search'!H13,0),0)</f>
        <v/>
      </c>
      <c r="AC418" s="64">
        <f>IF('Smart Search'!E13=1,IFERROR(1/'Smart Search'!H13,0),0)</f>
        <v/>
      </c>
      <c r="AD418" s="64">
        <f>IF('Smart Search'!F13=1,IFERROR(1/'Smart Search'!H13,0),0)</f>
        <v/>
      </c>
      <c r="AE418" s="64">
        <f>IF('Smart Search'!F13=1,IFERROR(1/'Smart Search'!H13,0),0)</f>
        <v/>
      </c>
      <c r="AF418" s="64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4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4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4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4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4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4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4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4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4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4">
        <f>AF418*V418</f>
        <v/>
      </c>
      <c r="AQ418" s="64">
        <f>AG418*W418</f>
        <v/>
      </c>
      <c r="AR418" s="64">
        <f>AH418*X418</f>
        <v/>
      </c>
      <c r="AS418" s="64">
        <f>AI418*Y418</f>
        <v/>
      </c>
      <c r="AT418" s="64">
        <f>AJ418*Z418</f>
        <v/>
      </c>
      <c r="AU418" s="64">
        <f>AK418*AA418</f>
        <v/>
      </c>
      <c r="AV418" s="64">
        <f>AL418*AB418</f>
        <v/>
      </c>
      <c r="AW418" s="64">
        <f>AM418*AC418</f>
        <v/>
      </c>
      <c r="AX418" s="64">
        <f>AN418*AD418</f>
        <v/>
      </c>
      <c r="AY418" s="64">
        <f>AO418*AE418</f>
        <v/>
      </c>
      <c r="AZ418" s="64">
        <f>INDEX(Projects[Automation Equipment],417)&amp;""</f>
        <v/>
      </c>
      <c r="BA418" s="64">
        <f>IF(OR(A418="",'Smart Search'!H13=0),"",MAX(0,BE418*BF418*MAX(0,1-BG418)))</f>
        <v/>
      </c>
      <c r="BB418" s="64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4">
        <f>IF('Smart Search'!G13=1,IFERROR(1/'Smart Search'!H13,0),0)</f>
        <v/>
      </c>
      <c r="BD418" s="64">
        <f>BB418*BC418</f>
        <v/>
      </c>
      <c r="BE418" s="64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IF(A418="","",N(INDEX(Projects[Act Mech Inst],417)))</f>
        <v/>
      </c>
      <c r="BK418" s="5">
        <f>IF(A418="","",N(INDEX(Projects[Act Elec Inst],417)))</f>
        <v/>
      </c>
      <c r="BL418" s="5">
        <f>IF(A418="","",N(INDEX(Projects[Act Project Management],417)))</f>
        <v/>
      </c>
      <c r="BM418" s="5">
        <f>IF(A418="","",N(INDEX(Projects[Act Systems Eng],417)))</f>
        <v/>
      </c>
      <c r="BN418" s="5">
        <f>IF(A418="","",N(INDEX(Projects[Act Mechanical Eng],417)))</f>
        <v/>
      </c>
      <c r="BO418" s="5">
        <f>IF(A418="","",N(INDEX(Projects[Act Structural Engineering],417)))</f>
        <v/>
      </c>
      <c r="BP418" s="5">
        <f>IF(A418="","",N(INDEX(Projects[Act Site Sup],417)))</f>
        <v/>
      </c>
      <c r="BQ418" s="5">
        <f>IF(A418="","",N(INDEX(Projects[Act Controls Commissioning],417)))</f>
        <v/>
      </c>
      <c r="BR418" s="5">
        <f>IF(A418="","",N(INDEX(Projects[Act Systems Commissioning],417)))</f>
        <v/>
      </c>
      <c r="BS418" s="5">
        <f>IF(A418="","",N(INDEX(Projects[Act Service Commissioning],417)))</f>
        <v/>
      </c>
      <c r="BT418" s="5">
        <f>IF(A418="","",N(INDEX(Projects[Act Controls Eng],417)))</f>
        <v/>
      </c>
      <c r="BU418" s="5">
        <f>IF(A418="","",N(INDEX(Projects[Act Controls Purchase],417)))</f>
        <v/>
      </c>
      <c r="BV418" s="5">
        <f>IF(A418="","",N(INDEX(Projects[Act Software Eng],417)))</f>
        <v/>
      </c>
      <c r="BW418" s="5">
        <f>IF(A418="","",N(INDEX(Projects[Act 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INDEX(Projects[Sold Value (USD M)],417)</f>
        <v/>
      </c>
      <c r="CE418" s="5" t="n"/>
      <c r="CF418" s="5">
        <f>IF(A418="","",N(INDEX(Projects[Est Mech Inst],417)))</f>
        <v/>
      </c>
      <c r="CG418" s="5">
        <f>IF(A418="","",N(INDEX(Projects[Est Elec Inst],417)))</f>
        <v/>
      </c>
      <c r="CH418" s="5">
        <f>IF(A418="","",N(INDEX(Projects[Est Project Management],417)))</f>
        <v/>
      </c>
      <c r="CI418" s="5">
        <f>IF(A418="","",N(INDEX(Projects[Est Systems Eng],417)))</f>
        <v/>
      </c>
      <c r="CJ418" s="5">
        <f>IF(A418="","",N(INDEX(Projects[Est Mechanical Eng],417)))</f>
        <v/>
      </c>
      <c r="CK418" s="5">
        <f>IF(A418="","",N(INDEX(Projects[Est Structural Engineering],417)))</f>
        <v/>
      </c>
      <c r="CL418" s="5">
        <f>IF(A418="","",N(INDEX(Projects[Est Site Sup],417)))</f>
        <v/>
      </c>
      <c r="CM418" s="5">
        <f>IF(A418="","",N(INDEX(Projects[Est Controls Commissioning],417)))</f>
        <v/>
      </c>
      <c r="CN418" s="5">
        <f>IF(A418="","",N(INDEX(Projects[Est Systems Commissioning],417)))</f>
        <v/>
      </c>
      <c r="CO418" s="5">
        <f>IF(A418="","",N(INDEX(Projects[Est Service Commissioning],417)))</f>
        <v/>
      </c>
      <c r="CP418" s="5">
        <f>IF(A418="","",N(INDEX(Projects[Est Controls Eng],417)))</f>
        <v/>
      </c>
      <c r="CQ418" s="5">
        <f>IF(A418="","",N(INDEX(Projects[Est Controls Purchase],417)))</f>
        <v/>
      </c>
      <c r="CR418" s="5">
        <f>IF(A418="","",N(INDEX(Projects[Est Software Eng],417)))</f>
        <v/>
      </c>
      <c r="CS418" s="5">
        <f>IF(A418="","",N(INDEX(Projects[Est Misc],417)))</f>
        <v/>
      </c>
      <c r="CT418" s="5">
        <f>IF(A418="","",SUM(CF418:CS418))</f>
        <v/>
      </c>
      <c r="CU418" s="5">
        <f>INDEX(Projects[Est Cost (M)],417)</f>
        <v/>
      </c>
      <c r="CV418" s="5">
        <f>INDEX(Projects[Act Cost (M)],417)</f>
        <v/>
      </c>
      <c r="CW418" s="5">
        <f>INDEX(Projects[Plan Mech Eng (wks)],417)</f>
        <v/>
      </c>
      <c r="CX418" s="5">
        <f>INDEX(Projects[Plan Controls Eng (wks)],417)</f>
        <v/>
      </c>
      <c r="CY418" s="5">
        <f>INDEX(Projects[Plan Systems Eng (wks)],417)</f>
        <v/>
      </c>
      <c r="CZ418" s="5">
        <f>INDEX(Projects[Plan Software Eng (wks)],417)</f>
        <v/>
      </c>
      <c r="DA418" s="5">
        <f>INDEX(Projects[Plan M&amp;E Installation (wks)],417)</f>
        <v/>
      </c>
      <c r="DB418" s="5">
        <f>INDEX(Projects[Plan Commissioning (wks)],417)</f>
        <v/>
      </c>
      <c r="DC418" s="5">
        <f>INDEX(Projects[Plan Total (wks)],417)</f>
        <v/>
      </c>
      <c r="DD418" s="5">
        <f>INDEX(Projects[Act Mech Eng (wks)],417)</f>
        <v/>
      </c>
      <c r="DE418" s="5">
        <f>INDEX(Projects[Act Controls Eng (wks)],417)</f>
        <v/>
      </c>
      <c r="DF418" s="5">
        <f>INDEX(Projects[Act Systems Eng (wks)],417)</f>
        <v/>
      </c>
      <c r="DG418" s="5">
        <f>INDEX(Projects[Act Software Eng (wks)],417)</f>
        <v/>
      </c>
      <c r="DH418" s="5">
        <f>INDEX(Projects[Act M&amp;E Installation (wks)],417)</f>
        <v/>
      </c>
      <c r="DI418" s="5">
        <f>INDEX(Projects[Act Commissioning (wks)],417)</f>
        <v/>
      </c>
      <c r="DJ418" s="5">
        <f>INDEX(Projects[Act Total (wks)],417)</f>
        <v/>
      </c>
    </row>
    <row r="419" ht="15" customHeight="1" s="82">
      <c r="A419" s="64">
        <f>INDEX(Projects[Project ID *],418)&amp;""</f>
        <v/>
      </c>
      <c r="B419" s="64">
        <f>INDEX(Projects[Project Name *],418)&amp;""</f>
        <v/>
      </c>
      <c r="C419" s="64">
        <f>INDEX(Projects[MS Shuttles],418)</f>
        <v/>
      </c>
      <c r="D419" s="64">
        <f>INDEX(Projects[MS Tote Locations],418)</f>
        <v/>
      </c>
      <c r="E419" s="64">
        <f>INDEX(Projects[AS Robots],418)</f>
        <v/>
      </c>
      <c r="F419" s="64">
        <f>INDEX(Projects[AS Tote Locations],418)</f>
        <v/>
      </c>
      <c r="G419" s="64">
        <f>INDEX(Projects[PS Shuttles],418)</f>
        <v/>
      </c>
      <c r="H419" s="64">
        <f>INDEX(Projects[PS Pallet Locations],418)</f>
        <v/>
      </c>
      <c r="I419" s="64">
        <f>INDEX(Projects[SRM Cranes],418)</f>
        <v/>
      </c>
      <c r="J419" s="64">
        <f>INDEX(Projects[SRM Pallet Locations],418)</f>
        <v/>
      </c>
      <c r="K419" s="64">
        <f>INDEX(Projects[Case Conv (m)],418)</f>
        <v/>
      </c>
      <c r="L419" s="64">
        <f>INDEX(Projects[Pallet Conv (m)],418)</f>
        <v/>
      </c>
      <c r="M419" s="64">
        <f>IF(N(DJ419)&gt;0,DD419,CW419)</f>
        <v/>
      </c>
      <c r="N419" s="64">
        <f>IF(N(DJ419)&gt;0,DE419,CX419)</f>
        <v/>
      </c>
      <c r="O419" s="64">
        <f>IF(N(DJ419)&gt;0,DF419,CY419)</f>
        <v/>
      </c>
      <c r="P419" s="64">
        <f>IF(N(DJ419)&gt;0,DG419,CZ419)</f>
        <v/>
      </c>
      <c r="Q419" s="64">
        <f>IF(N(DJ419)&gt;0,DH419,DA419)</f>
        <v/>
      </c>
      <c r="R419" s="64">
        <f>IF(N(DJ419)&gt;0,DI419,DB419)</f>
        <v/>
      </c>
      <c r="S419" s="64">
        <f>IF(N(DJ419)&gt;0,DJ419,DC419)</f>
        <v/>
      </c>
      <c r="T419" s="64">
        <f>INDEX(Projects[Currency],418)&amp;""</f>
        <v/>
      </c>
      <c r="U419" s="65">
        <f>INDEX(Projects[Sold Value (M)],418)</f>
        <v/>
      </c>
      <c r="V419" s="64">
        <f>IF('Smart Search'!B13=1,IFERROR(1/'Smart Search'!H13,0),0)</f>
        <v/>
      </c>
      <c r="W419" s="64">
        <f>IF('Smart Search'!B13=1,IFERROR(1/'Smart Search'!H13,0),0)</f>
        <v/>
      </c>
      <c r="X419" s="64">
        <f>IF('Smart Search'!C13=1,IFERROR(1/'Smart Search'!H13,0),0)</f>
        <v/>
      </c>
      <c r="Y419" s="64">
        <f>IF('Smart Search'!C13=1,IFERROR(1/'Smart Search'!H13,0),0)</f>
        <v/>
      </c>
      <c r="Z419" s="64">
        <f>IF('Smart Search'!D13=1,IFERROR(1/'Smart Search'!H13,0),0)</f>
        <v/>
      </c>
      <c r="AA419" s="64">
        <f>IF('Smart Search'!D13=1,IFERROR(1/'Smart Search'!H13,0),0)</f>
        <v/>
      </c>
      <c r="AB419" s="64">
        <f>IF('Smart Search'!E13=1,IFERROR(1/'Smart Search'!H13,0),0)</f>
        <v/>
      </c>
      <c r="AC419" s="64">
        <f>IF('Smart Search'!E13=1,IFERROR(1/'Smart Search'!H13,0),0)</f>
        <v/>
      </c>
      <c r="AD419" s="64">
        <f>IF('Smart Search'!F13=1,IFERROR(1/'Smart Search'!H13,0),0)</f>
        <v/>
      </c>
      <c r="AE419" s="64">
        <f>IF('Smart Search'!F13=1,IFERROR(1/'Smart Search'!H13,0),0)</f>
        <v/>
      </c>
      <c r="AF419" s="64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4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4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4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4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4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4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4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4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4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4">
        <f>AF419*V419</f>
        <v/>
      </c>
      <c r="AQ419" s="64">
        <f>AG419*W419</f>
        <v/>
      </c>
      <c r="AR419" s="64">
        <f>AH419*X419</f>
        <v/>
      </c>
      <c r="AS419" s="64">
        <f>AI419*Y419</f>
        <v/>
      </c>
      <c r="AT419" s="64">
        <f>AJ419*Z419</f>
        <v/>
      </c>
      <c r="AU419" s="64">
        <f>AK419*AA419</f>
        <v/>
      </c>
      <c r="AV419" s="64">
        <f>AL419*AB419</f>
        <v/>
      </c>
      <c r="AW419" s="64">
        <f>AM419*AC419</f>
        <v/>
      </c>
      <c r="AX419" s="64">
        <f>AN419*AD419</f>
        <v/>
      </c>
      <c r="AY419" s="64">
        <f>AO419*AE419</f>
        <v/>
      </c>
      <c r="AZ419" s="64">
        <f>INDEX(Projects[Automation Equipment],418)&amp;""</f>
        <v/>
      </c>
      <c r="BA419" s="64">
        <f>IF(OR(A419="",'Smart Search'!H13=0),"",MAX(0,BE419*BF419*MAX(0,1-BG419)))</f>
        <v/>
      </c>
      <c r="BB419" s="64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4">
        <f>IF('Smart Search'!G13=1,IFERROR(1/'Smart Search'!H13,0),0)</f>
        <v/>
      </c>
      <c r="BD419" s="64">
        <f>BB419*BC419</f>
        <v/>
      </c>
      <c r="BE419" s="64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IF(A419="","",N(INDEX(Projects[Act Mech Inst],418)))</f>
        <v/>
      </c>
      <c r="BK419" s="5">
        <f>IF(A419="","",N(INDEX(Projects[Act Elec Inst],418)))</f>
        <v/>
      </c>
      <c r="BL419" s="5">
        <f>IF(A419="","",N(INDEX(Projects[Act Project Management],418)))</f>
        <v/>
      </c>
      <c r="BM419" s="5">
        <f>IF(A419="","",N(INDEX(Projects[Act Systems Eng],418)))</f>
        <v/>
      </c>
      <c r="BN419" s="5">
        <f>IF(A419="","",N(INDEX(Projects[Act Mechanical Eng],418)))</f>
        <v/>
      </c>
      <c r="BO419" s="5">
        <f>IF(A419="","",N(INDEX(Projects[Act Structural Engineering],418)))</f>
        <v/>
      </c>
      <c r="BP419" s="5">
        <f>IF(A419="","",N(INDEX(Projects[Act Site Sup],418)))</f>
        <v/>
      </c>
      <c r="BQ419" s="5">
        <f>IF(A419="","",N(INDEX(Projects[Act Controls Commissioning],418)))</f>
        <v/>
      </c>
      <c r="BR419" s="5">
        <f>IF(A419="","",N(INDEX(Projects[Act Systems Commissioning],418)))</f>
        <v/>
      </c>
      <c r="BS419" s="5">
        <f>IF(A419="","",N(INDEX(Projects[Act Service Commissioning],418)))</f>
        <v/>
      </c>
      <c r="BT419" s="5">
        <f>IF(A419="","",N(INDEX(Projects[Act Controls Eng],418)))</f>
        <v/>
      </c>
      <c r="BU419" s="5">
        <f>IF(A419="","",N(INDEX(Projects[Act Controls Purchase],418)))</f>
        <v/>
      </c>
      <c r="BV419" s="5">
        <f>IF(A419="","",N(INDEX(Projects[Act Software Eng],418)))</f>
        <v/>
      </c>
      <c r="BW419" s="5">
        <f>IF(A419="","",N(INDEX(Projects[Act 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INDEX(Projects[Sold Value (USD M)],418)</f>
        <v/>
      </c>
      <c r="CE419" s="5" t="n"/>
      <c r="CF419" s="5">
        <f>IF(A419="","",N(INDEX(Projects[Est Mech Inst],418)))</f>
        <v/>
      </c>
      <c r="CG419" s="5">
        <f>IF(A419="","",N(INDEX(Projects[Est Elec Inst],418)))</f>
        <v/>
      </c>
      <c r="CH419" s="5">
        <f>IF(A419="","",N(INDEX(Projects[Est Project Management],418)))</f>
        <v/>
      </c>
      <c r="CI419" s="5">
        <f>IF(A419="","",N(INDEX(Projects[Est Systems Eng],418)))</f>
        <v/>
      </c>
      <c r="CJ419" s="5">
        <f>IF(A419="","",N(INDEX(Projects[Est Mechanical Eng],418)))</f>
        <v/>
      </c>
      <c r="CK419" s="5">
        <f>IF(A419="","",N(INDEX(Projects[Est Structural Engineering],418)))</f>
        <v/>
      </c>
      <c r="CL419" s="5">
        <f>IF(A419="","",N(INDEX(Projects[Est Site Sup],418)))</f>
        <v/>
      </c>
      <c r="CM419" s="5">
        <f>IF(A419="","",N(INDEX(Projects[Est Controls Commissioning],418)))</f>
        <v/>
      </c>
      <c r="CN419" s="5">
        <f>IF(A419="","",N(INDEX(Projects[Est Systems Commissioning],418)))</f>
        <v/>
      </c>
      <c r="CO419" s="5">
        <f>IF(A419="","",N(INDEX(Projects[Est Service Commissioning],418)))</f>
        <v/>
      </c>
      <c r="CP419" s="5">
        <f>IF(A419="","",N(INDEX(Projects[Est Controls Eng],418)))</f>
        <v/>
      </c>
      <c r="CQ419" s="5">
        <f>IF(A419="","",N(INDEX(Projects[Est Controls Purchase],418)))</f>
        <v/>
      </c>
      <c r="CR419" s="5">
        <f>IF(A419="","",N(INDEX(Projects[Est Software Eng],418)))</f>
        <v/>
      </c>
      <c r="CS419" s="5">
        <f>IF(A419="","",N(INDEX(Projects[Est Misc],418)))</f>
        <v/>
      </c>
      <c r="CT419" s="5">
        <f>IF(A419="","",SUM(CF419:CS419))</f>
        <v/>
      </c>
      <c r="CU419" s="5">
        <f>INDEX(Projects[Est Cost (M)],418)</f>
        <v/>
      </c>
      <c r="CV419" s="5">
        <f>INDEX(Projects[Act Cost (M)],418)</f>
        <v/>
      </c>
      <c r="CW419" s="5">
        <f>INDEX(Projects[Plan Mech Eng (wks)],418)</f>
        <v/>
      </c>
      <c r="CX419" s="5">
        <f>INDEX(Projects[Plan Controls Eng (wks)],418)</f>
        <v/>
      </c>
      <c r="CY419" s="5">
        <f>INDEX(Projects[Plan Systems Eng (wks)],418)</f>
        <v/>
      </c>
      <c r="CZ419" s="5">
        <f>INDEX(Projects[Plan Software Eng (wks)],418)</f>
        <v/>
      </c>
      <c r="DA419" s="5">
        <f>INDEX(Projects[Plan M&amp;E Installation (wks)],418)</f>
        <v/>
      </c>
      <c r="DB419" s="5">
        <f>INDEX(Projects[Plan Commissioning (wks)],418)</f>
        <v/>
      </c>
      <c r="DC419" s="5">
        <f>INDEX(Projects[Plan Total (wks)],418)</f>
        <v/>
      </c>
      <c r="DD419" s="5">
        <f>INDEX(Projects[Act Mech Eng (wks)],418)</f>
        <v/>
      </c>
      <c r="DE419" s="5">
        <f>INDEX(Projects[Act Controls Eng (wks)],418)</f>
        <v/>
      </c>
      <c r="DF419" s="5">
        <f>INDEX(Projects[Act Systems Eng (wks)],418)</f>
        <v/>
      </c>
      <c r="DG419" s="5">
        <f>INDEX(Projects[Act Software Eng (wks)],418)</f>
        <v/>
      </c>
      <c r="DH419" s="5">
        <f>INDEX(Projects[Act M&amp;E Installation (wks)],418)</f>
        <v/>
      </c>
      <c r="DI419" s="5">
        <f>INDEX(Projects[Act Commissioning (wks)],418)</f>
        <v/>
      </c>
      <c r="DJ419" s="5">
        <f>INDEX(Projects[Act Total (wks)],418)</f>
        <v/>
      </c>
    </row>
    <row r="420" ht="15" customHeight="1" s="82">
      <c r="A420" s="64">
        <f>INDEX(Projects[Project ID *],419)&amp;""</f>
        <v/>
      </c>
      <c r="B420" s="64">
        <f>INDEX(Projects[Project Name *],419)&amp;""</f>
        <v/>
      </c>
      <c r="C420" s="64">
        <f>INDEX(Projects[MS Shuttles],419)</f>
        <v/>
      </c>
      <c r="D420" s="64">
        <f>INDEX(Projects[MS Tote Locations],419)</f>
        <v/>
      </c>
      <c r="E420" s="64">
        <f>INDEX(Projects[AS Robots],419)</f>
        <v/>
      </c>
      <c r="F420" s="64">
        <f>INDEX(Projects[AS Tote Locations],419)</f>
        <v/>
      </c>
      <c r="G420" s="64">
        <f>INDEX(Projects[PS Shuttles],419)</f>
        <v/>
      </c>
      <c r="H420" s="64">
        <f>INDEX(Projects[PS Pallet Locations],419)</f>
        <v/>
      </c>
      <c r="I420" s="64">
        <f>INDEX(Projects[SRM Cranes],419)</f>
        <v/>
      </c>
      <c r="J420" s="64">
        <f>INDEX(Projects[SRM Pallet Locations],419)</f>
        <v/>
      </c>
      <c r="K420" s="64">
        <f>INDEX(Projects[Case Conv (m)],419)</f>
        <v/>
      </c>
      <c r="L420" s="64">
        <f>INDEX(Projects[Pallet Conv (m)],419)</f>
        <v/>
      </c>
      <c r="M420" s="64">
        <f>IF(N(DJ420)&gt;0,DD420,CW420)</f>
        <v/>
      </c>
      <c r="N420" s="64">
        <f>IF(N(DJ420)&gt;0,DE420,CX420)</f>
        <v/>
      </c>
      <c r="O420" s="64">
        <f>IF(N(DJ420)&gt;0,DF420,CY420)</f>
        <v/>
      </c>
      <c r="P420" s="64">
        <f>IF(N(DJ420)&gt;0,DG420,CZ420)</f>
        <v/>
      </c>
      <c r="Q420" s="64">
        <f>IF(N(DJ420)&gt;0,DH420,DA420)</f>
        <v/>
      </c>
      <c r="R420" s="64">
        <f>IF(N(DJ420)&gt;0,DI420,DB420)</f>
        <v/>
      </c>
      <c r="S420" s="64">
        <f>IF(N(DJ420)&gt;0,DJ420,DC420)</f>
        <v/>
      </c>
      <c r="T420" s="64">
        <f>INDEX(Projects[Currency],419)&amp;""</f>
        <v/>
      </c>
      <c r="U420" s="65">
        <f>INDEX(Projects[Sold Value (M)],419)</f>
        <v/>
      </c>
      <c r="V420" s="64">
        <f>IF('Smart Search'!B13=1,IFERROR(1/'Smart Search'!H13,0),0)</f>
        <v/>
      </c>
      <c r="W420" s="64">
        <f>IF('Smart Search'!B13=1,IFERROR(1/'Smart Search'!H13,0),0)</f>
        <v/>
      </c>
      <c r="X420" s="64">
        <f>IF('Smart Search'!C13=1,IFERROR(1/'Smart Search'!H13,0),0)</f>
        <v/>
      </c>
      <c r="Y420" s="64">
        <f>IF('Smart Search'!C13=1,IFERROR(1/'Smart Search'!H13,0),0)</f>
        <v/>
      </c>
      <c r="Z420" s="64">
        <f>IF('Smart Search'!D13=1,IFERROR(1/'Smart Search'!H13,0),0)</f>
        <v/>
      </c>
      <c r="AA420" s="64">
        <f>IF('Smart Search'!D13=1,IFERROR(1/'Smart Search'!H13,0),0)</f>
        <v/>
      </c>
      <c r="AB420" s="64">
        <f>IF('Smart Search'!E13=1,IFERROR(1/'Smart Search'!H13,0),0)</f>
        <v/>
      </c>
      <c r="AC420" s="64">
        <f>IF('Smart Search'!E13=1,IFERROR(1/'Smart Search'!H13,0),0)</f>
        <v/>
      </c>
      <c r="AD420" s="64">
        <f>IF('Smart Search'!F13=1,IFERROR(1/'Smart Search'!H13,0),0)</f>
        <v/>
      </c>
      <c r="AE420" s="64">
        <f>IF('Smart Search'!F13=1,IFERROR(1/'Smart Search'!H13,0),0)</f>
        <v/>
      </c>
      <c r="AF420" s="64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4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4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4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4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4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4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4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4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4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4">
        <f>AF420*V420</f>
        <v/>
      </c>
      <c r="AQ420" s="64">
        <f>AG420*W420</f>
        <v/>
      </c>
      <c r="AR420" s="64">
        <f>AH420*X420</f>
        <v/>
      </c>
      <c r="AS420" s="64">
        <f>AI420*Y420</f>
        <v/>
      </c>
      <c r="AT420" s="64">
        <f>AJ420*Z420</f>
        <v/>
      </c>
      <c r="AU420" s="64">
        <f>AK420*AA420</f>
        <v/>
      </c>
      <c r="AV420" s="64">
        <f>AL420*AB420</f>
        <v/>
      </c>
      <c r="AW420" s="64">
        <f>AM420*AC420</f>
        <v/>
      </c>
      <c r="AX420" s="64">
        <f>AN420*AD420</f>
        <v/>
      </c>
      <c r="AY420" s="64">
        <f>AO420*AE420</f>
        <v/>
      </c>
      <c r="AZ420" s="64">
        <f>INDEX(Projects[Automation Equipment],419)&amp;""</f>
        <v/>
      </c>
      <c r="BA420" s="64">
        <f>IF(OR(A420="",'Smart Search'!H13=0),"",MAX(0,BE420*BF420*MAX(0,1-BG420)))</f>
        <v/>
      </c>
      <c r="BB420" s="64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4">
        <f>IF('Smart Search'!G13=1,IFERROR(1/'Smart Search'!H13,0),0)</f>
        <v/>
      </c>
      <c r="BD420" s="64">
        <f>BB420*BC420</f>
        <v/>
      </c>
      <c r="BE420" s="64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IF(A420="","",N(INDEX(Projects[Act Mech Inst],419)))</f>
        <v/>
      </c>
      <c r="BK420" s="5">
        <f>IF(A420="","",N(INDEX(Projects[Act Elec Inst],419)))</f>
        <v/>
      </c>
      <c r="BL420" s="5">
        <f>IF(A420="","",N(INDEX(Projects[Act Project Management],419)))</f>
        <v/>
      </c>
      <c r="BM420" s="5">
        <f>IF(A420="","",N(INDEX(Projects[Act Systems Eng],419)))</f>
        <v/>
      </c>
      <c r="BN420" s="5">
        <f>IF(A420="","",N(INDEX(Projects[Act Mechanical Eng],419)))</f>
        <v/>
      </c>
      <c r="BO420" s="5">
        <f>IF(A420="","",N(INDEX(Projects[Act Structural Engineering],419)))</f>
        <v/>
      </c>
      <c r="BP420" s="5">
        <f>IF(A420="","",N(INDEX(Projects[Act Site Sup],419)))</f>
        <v/>
      </c>
      <c r="BQ420" s="5">
        <f>IF(A420="","",N(INDEX(Projects[Act Controls Commissioning],419)))</f>
        <v/>
      </c>
      <c r="BR420" s="5">
        <f>IF(A420="","",N(INDEX(Projects[Act Systems Commissioning],419)))</f>
        <v/>
      </c>
      <c r="BS420" s="5">
        <f>IF(A420="","",N(INDEX(Projects[Act Service Commissioning],419)))</f>
        <v/>
      </c>
      <c r="BT420" s="5">
        <f>IF(A420="","",N(INDEX(Projects[Act Controls Eng],419)))</f>
        <v/>
      </c>
      <c r="BU420" s="5">
        <f>IF(A420="","",N(INDEX(Projects[Act Controls Purchase],419)))</f>
        <v/>
      </c>
      <c r="BV420" s="5">
        <f>IF(A420="","",N(INDEX(Projects[Act Software Eng],419)))</f>
        <v/>
      </c>
      <c r="BW420" s="5">
        <f>IF(A420="","",N(INDEX(Projects[Act 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INDEX(Projects[Sold Value (USD M)],419)</f>
        <v/>
      </c>
      <c r="CE420" s="5" t="n"/>
      <c r="CF420" s="5">
        <f>IF(A420="","",N(INDEX(Projects[Est Mech Inst],419)))</f>
        <v/>
      </c>
      <c r="CG420" s="5">
        <f>IF(A420="","",N(INDEX(Projects[Est Elec Inst],419)))</f>
        <v/>
      </c>
      <c r="CH420" s="5">
        <f>IF(A420="","",N(INDEX(Projects[Est Project Management],419)))</f>
        <v/>
      </c>
      <c r="CI420" s="5">
        <f>IF(A420="","",N(INDEX(Projects[Est Systems Eng],419)))</f>
        <v/>
      </c>
      <c r="CJ420" s="5">
        <f>IF(A420="","",N(INDEX(Projects[Est Mechanical Eng],419)))</f>
        <v/>
      </c>
      <c r="CK420" s="5">
        <f>IF(A420="","",N(INDEX(Projects[Est Structural Engineering],419)))</f>
        <v/>
      </c>
      <c r="CL420" s="5">
        <f>IF(A420="","",N(INDEX(Projects[Est Site Sup],419)))</f>
        <v/>
      </c>
      <c r="CM420" s="5">
        <f>IF(A420="","",N(INDEX(Projects[Est Controls Commissioning],419)))</f>
        <v/>
      </c>
      <c r="CN420" s="5">
        <f>IF(A420="","",N(INDEX(Projects[Est Systems Commissioning],419)))</f>
        <v/>
      </c>
      <c r="CO420" s="5">
        <f>IF(A420="","",N(INDEX(Projects[Est Service Commissioning],419)))</f>
        <v/>
      </c>
      <c r="CP420" s="5">
        <f>IF(A420="","",N(INDEX(Projects[Est Controls Eng],419)))</f>
        <v/>
      </c>
      <c r="CQ420" s="5">
        <f>IF(A420="","",N(INDEX(Projects[Est Controls Purchase],419)))</f>
        <v/>
      </c>
      <c r="CR420" s="5">
        <f>IF(A420="","",N(INDEX(Projects[Est Software Eng],419)))</f>
        <v/>
      </c>
      <c r="CS420" s="5">
        <f>IF(A420="","",N(INDEX(Projects[Est Misc],419)))</f>
        <v/>
      </c>
      <c r="CT420" s="5">
        <f>IF(A420="","",SUM(CF420:CS420))</f>
        <v/>
      </c>
      <c r="CU420" s="5">
        <f>INDEX(Projects[Est Cost (M)],419)</f>
        <v/>
      </c>
      <c r="CV420" s="5">
        <f>INDEX(Projects[Act Cost (M)],419)</f>
        <v/>
      </c>
      <c r="CW420" s="5">
        <f>INDEX(Projects[Plan Mech Eng (wks)],419)</f>
        <v/>
      </c>
      <c r="CX420" s="5">
        <f>INDEX(Projects[Plan Controls Eng (wks)],419)</f>
        <v/>
      </c>
      <c r="CY420" s="5">
        <f>INDEX(Projects[Plan Systems Eng (wks)],419)</f>
        <v/>
      </c>
      <c r="CZ420" s="5">
        <f>INDEX(Projects[Plan Software Eng (wks)],419)</f>
        <v/>
      </c>
      <c r="DA420" s="5">
        <f>INDEX(Projects[Plan M&amp;E Installation (wks)],419)</f>
        <v/>
      </c>
      <c r="DB420" s="5">
        <f>INDEX(Projects[Plan Commissioning (wks)],419)</f>
        <v/>
      </c>
      <c r="DC420" s="5">
        <f>INDEX(Projects[Plan Total (wks)],419)</f>
        <v/>
      </c>
      <c r="DD420" s="5">
        <f>INDEX(Projects[Act Mech Eng (wks)],419)</f>
        <v/>
      </c>
      <c r="DE420" s="5">
        <f>INDEX(Projects[Act Controls Eng (wks)],419)</f>
        <v/>
      </c>
      <c r="DF420" s="5">
        <f>INDEX(Projects[Act Systems Eng (wks)],419)</f>
        <v/>
      </c>
      <c r="DG420" s="5">
        <f>INDEX(Projects[Act Software Eng (wks)],419)</f>
        <v/>
      </c>
      <c r="DH420" s="5">
        <f>INDEX(Projects[Act M&amp;E Installation (wks)],419)</f>
        <v/>
      </c>
      <c r="DI420" s="5">
        <f>INDEX(Projects[Act Commissioning (wks)],419)</f>
        <v/>
      </c>
      <c r="DJ420" s="5">
        <f>INDEX(Projects[Act Total (wks)],419)</f>
        <v/>
      </c>
    </row>
    <row r="421" ht="15" customHeight="1" s="82">
      <c r="A421" s="64">
        <f>INDEX(Projects[Project ID *],420)&amp;""</f>
        <v/>
      </c>
      <c r="B421" s="64">
        <f>INDEX(Projects[Project Name *],420)&amp;""</f>
        <v/>
      </c>
      <c r="C421" s="64">
        <f>INDEX(Projects[MS Shuttles],420)</f>
        <v/>
      </c>
      <c r="D421" s="64">
        <f>INDEX(Projects[MS Tote Locations],420)</f>
        <v/>
      </c>
      <c r="E421" s="64">
        <f>INDEX(Projects[AS Robots],420)</f>
        <v/>
      </c>
      <c r="F421" s="64">
        <f>INDEX(Projects[AS Tote Locations],420)</f>
        <v/>
      </c>
      <c r="G421" s="64">
        <f>INDEX(Projects[PS Shuttles],420)</f>
        <v/>
      </c>
      <c r="H421" s="64">
        <f>INDEX(Projects[PS Pallet Locations],420)</f>
        <v/>
      </c>
      <c r="I421" s="64">
        <f>INDEX(Projects[SRM Cranes],420)</f>
        <v/>
      </c>
      <c r="J421" s="64">
        <f>INDEX(Projects[SRM Pallet Locations],420)</f>
        <v/>
      </c>
      <c r="K421" s="64">
        <f>INDEX(Projects[Case Conv (m)],420)</f>
        <v/>
      </c>
      <c r="L421" s="64">
        <f>INDEX(Projects[Pallet Conv (m)],420)</f>
        <v/>
      </c>
      <c r="M421" s="64">
        <f>IF(N(DJ421)&gt;0,DD421,CW421)</f>
        <v/>
      </c>
      <c r="N421" s="64">
        <f>IF(N(DJ421)&gt;0,DE421,CX421)</f>
        <v/>
      </c>
      <c r="O421" s="64">
        <f>IF(N(DJ421)&gt;0,DF421,CY421)</f>
        <v/>
      </c>
      <c r="P421" s="64">
        <f>IF(N(DJ421)&gt;0,DG421,CZ421)</f>
        <v/>
      </c>
      <c r="Q421" s="64">
        <f>IF(N(DJ421)&gt;0,DH421,DA421)</f>
        <v/>
      </c>
      <c r="R421" s="64">
        <f>IF(N(DJ421)&gt;0,DI421,DB421)</f>
        <v/>
      </c>
      <c r="S421" s="64">
        <f>IF(N(DJ421)&gt;0,DJ421,DC421)</f>
        <v/>
      </c>
      <c r="T421" s="64">
        <f>INDEX(Projects[Currency],420)&amp;""</f>
        <v/>
      </c>
      <c r="U421" s="65">
        <f>INDEX(Projects[Sold Value (M)],420)</f>
        <v/>
      </c>
      <c r="V421" s="64">
        <f>IF('Smart Search'!B13=1,IFERROR(1/'Smart Search'!H13,0),0)</f>
        <v/>
      </c>
      <c r="W421" s="64">
        <f>IF('Smart Search'!B13=1,IFERROR(1/'Smart Search'!H13,0),0)</f>
        <v/>
      </c>
      <c r="X421" s="64">
        <f>IF('Smart Search'!C13=1,IFERROR(1/'Smart Search'!H13,0),0)</f>
        <v/>
      </c>
      <c r="Y421" s="64">
        <f>IF('Smart Search'!C13=1,IFERROR(1/'Smart Search'!H13,0),0)</f>
        <v/>
      </c>
      <c r="Z421" s="64">
        <f>IF('Smart Search'!D13=1,IFERROR(1/'Smart Search'!H13,0),0)</f>
        <v/>
      </c>
      <c r="AA421" s="64">
        <f>IF('Smart Search'!D13=1,IFERROR(1/'Smart Search'!H13,0),0)</f>
        <v/>
      </c>
      <c r="AB421" s="64">
        <f>IF('Smart Search'!E13=1,IFERROR(1/'Smart Search'!H13,0),0)</f>
        <v/>
      </c>
      <c r="AC421" s="64">
        <f>IF('Smart Search'!E13=1,IFERROR(1/'Smart Search'!H13,0),0)</f>
        <v/>
      </c>
      <c r="AD421" s="64">
        <f>IF('Smart Search'!F13=1,IFERROR(1/'Smart Search'!H13,0),0)</f>
        <v/>
      </c>
      <c r="AE421" s="64">
        <f>IF('Smart Search'!F13=1,IFERROR(1/'Smart Search'!H13,0),0)</f>
        <v/>
      </c>
      <c r="AF421" s="64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4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4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4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4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4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4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4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4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4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4">
        <f>AF421*V421</f>
        <v/>
      </c>
      <c r="AQ421" s="64">
        <f>AG421*W421</f>
        <v/>
      </c>
      <c r="AR421" s="64">
        <f>AH421*X421</f>
        <v/>
      </c>
      <c r="AS421" s="64">
        <f>AI421*Y421</f>
        <v/>
      </c>
      <c r="AT421" s="64">
        <f>AJ421*Z421</f>
        <v/>
      </c>
      <c r="AU421" s="64">
        <f>AK421*AA421</f>
        <v/>
      </c>
      <c r="AV421" s="64">
        <f>AL421*AB421</f>
        <v/>
      </c>
      <c r="AW421" s="64">
        <f>AM421*AC421</f>
        <v/>
      </c>
      <c r="AX421" s="64">
        <f>AN421*AD421</f>
        <v/>
      </c>
      <c r="AY421" s="64">
        <f>AO421*AE421</f>
        <v/>
      </c>
      <c r="AZ421" s="64">
        <f>INDEX(Projects[Automation Equipment],420)&amp;""</f>
        <v/>
      </c>
      <c r="BA421" s="64">
        <f>IF(OR(A421="",'Smart Search'!H13=0),"",MAX(0,BE421*BF421*MAX(0,1-BG421)))</f>
        <v/>
      </c>
      <c r="BB421" s="64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4">
        <f>IF('Smart Search'!G13=1,IFERROR(1/'Smart Search'!H13,0),0)</f>
        <v/>
      </c>
      <c r="BD421" s="64">
        <f>BB421*BC421</f>
        <v/>
      </c>
      <c r="BE421" s="64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IF(A421="","",N(INDEX(Projects[Act Mech Inst],420)))</f>
        <v/>
      </c>
      <c r="BK421" s="5">
        <f>IF(A421="","",N(INDEX(Projects[Act Elec Inst],420)))</f>
        <v/>
      </c>
      <c r="BL421" s="5">
        <f>IF(A421="","",N(INDEX(Projects[Act Project Management],420)))</f>
        <v/>
      </c>
      <c r="BM421" s="5">
        <f>IF(A421="","",N(INDEX(Projects[Act Systems Eng],420)))</f>
        <v/>
      </c>
      <c r="BN421" s="5">
        <f>IF(A421="","",N(INDEX(Projects[Act Mechanical Eng],420)))</f>
        <v/>
      </c>
      <c r="BO421" s="5">
        <f>IF(A421="","",N(INDEX(Projects[Act Structural Engineering],420)))</f>
        <v/>
      </c>
      <c r="BP421" s="5">
        <f>IF(A421="","",N(INDEX(Projects[Act Site Sup],420)))</f>
        <v/>
      </c>
      <c r="BQ421" s="5">
        <f>IF(A421="","",N(INDEX(Projects[Act Controls Commissioning],420)))</f>
        <v/>
      </c>
      <c r="BR421" s="5">
        <f>IF(A421="","",N(INDEX(Projects[Act Systems Commissioning],420)))</f>
        <v/>
      </c>
      <c r="BS421" s="5">
        <f>IF(A421="","",N(INDEX(Projects[Act Service Commissioning],420)))</f>
        <v/>
      </c>
      <c r="BT421" s="5">
        <f>IF(A421="","",N(INDEX(Projects[Act Controls Eng],420)))</f>
        <v/>
      </c>
      <c r="BU421" s="5">
        <f>IF(A421="","",N(INDEX(Projects[Act Controls Purchase],420)))</f>
        <v/>
      </c>
      <c r="BV421" s="5">
        <f>IF(A421="","",N(INDEX(Projects[Act Software Eng],420)))</f>
        <v/>
      </c>
      <c r="BW421" s="5">
        <f>IF(A421="","",N(INDEX(Projects[Act 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INDEX(Projects[Sold Value (USD M)],420)</f>
        <v/>
      </c>
      <c r="CE421" s="5" t="n"/>
      <c r="CF421" s="5">
        <f>IF(A421="","",N(INDEX(Projects[Est Mech Inst],420)))</f>
        <v/>
      </c>
      <c r="CG421" s="5">
        <f>IF(A421="","",N(INDEX(Projects[Est Elec Inst],420)))</f>
        <v/>
      </c>
      <c r="CH421" s="5">
        <f>IF(A421="","",N(INDEX(Projects[Est Project Management],420)))</f>
        <v/>
      </c>
      <c r="CI421" s="5">
        <f>IF(A421="","",N(INDEX(Projects[Est Systems Eng],420)))</f>
        <v/>
      </c>
      <c r="CJ421" s="5">
        <f>IF(A421="","",N(INDEX(Projects[Est Mechanical Eng],420)))</f>
        <v/>
      </c>
      <c r="CK421" s="5">
        <f>IF(A421="","",N(INDEX(Projects[Est Structural Engineering],420)))</f>
        <v/>
      </c>
      <c r="CL421" s="5">
        <f>IF(A421="","",N(INDEX(Projects[Est Site Sup],420)))</f>
        <v/>
      </c>
      <c r="CM421" s="5">
        <f>IF(A421="","",N(INDEX(Projects[Est Controls Commissioning],420)))</f>
        <v/>
      </c>
      <c r="CN421" s="5">
        <f>IF(A421="","",N(INDEX(Projects[Est Systems Commissioning],420)))</f>
        <v/>
      </c>
      <c r="CO421" s="5">
        <f>IF(A421="","",N(INDEX(Projects[Est Service Commissioning],420)))</f>
        <v/>
      </c>
      <c r="CP421" s="5">
        <f>IF(A421="","",N(INDEX(Projects[Est Controls Eng],420)))</f>
        <v/>
      </c>
      <c r="CQ421" s="5">
        <f>IF(A421="","",N(INDEX(Projects[Est Controls Purchase],420)))</f>
        <v/>
      </c>
      <c r="CR421" s="5">
        <f>IF(A421="","",N(INDEX(Projects[Est Software Eng],420)))</f>
        <v/>
      </c>
      <c r="CS421" s="5">
        <f>IF(A421="","",N(INDEX(Projects[Est Misc],420)))</f>
        <v/>
      </c>
      <c r="CT421" s="5">
        <f>IF(A421="","",SUM(CF421:CS421))</f>
        <v/>
      </c>
      <c r="CU421" s="5">
        <f>INDEX(Projects[Est Cost (M)],420)</f>
        <v/>
      </c>
      <c r="CV421" s="5">
        <f>INDEX(Projects[Act Cost (M)],420)</f>
        <v/>
      </c>
      <c r="CW421" s="5">
        <f>INDEX(Projects[Plan Mech Eng (wks)],420)</f>
        <v/>
      </c>
      <c r="CX421" s="5">
        <f>INDEX(Projects[Plan Controls Eng (wks)],420)</f>
        <v/>
      </c>
      <c r="CY421" s="5">
        <f>INDEX(Projects[Plan Systems Eng (wks)],420)</f>
        <v/>
      </c>
      <c r="CZ421" s="5">
        <f>INDEX(Projects[Plan Software Eng (wks)],420)</f>
        <v/>
      </c>
      <c r="DA421" s="5">
        <f>INDEX(Projects[Plan M&amp;E Installation (wks)],420)</f>
        <v/>
      </c>
      <c r="DB421" s="5">
        <f>INDEX(Projects[Plan Commissioning (wks)],420)</f>
        <v/>
      </c>
      <c r="DC421" s="5">
        <f>INDEX(Projects[Plan Total (wks)],420)</f>
        <v/>
      </c>
      <c r="DD421" s="5">
        <f>INDEX(Projects[Act Mech Eng (wks)],420)</f>
        <v/>
      </c>
      <c r="DE421" s="5">
        <f>INDEX(Projects[Act Controls Eng (wks)],420)</f>
        <v/>
      </c>
      <c r="DF421" s="5">
        <f>INDEX(Projects[Act Systems Eng (wks)],420)</f>
        <v/>
      </c>
      <c r="DG421" s="5">
        <f>INDEX(Projects[Act Software Eng (wks)],420)</f>
        <v/>
      </c>
      <c r="DH421" s="5">
        <f>INDEX(Projects[Act M&amp;E Installation (wks)],420)</f>
        <v/>
      </c>
      <c r="DI421" s="5">
        <f>INDEX(Projects[Act Commissioning (wks)],420)</f>
        <v/>
      </c>
      <c r="DJ421" s="5">
        <f>INDEX(Projects[Act Total (wks)],420)</f>
        <v/>
      </c>
    </row>
    <row r="422" ht="15" customHeight="1" s="82">
      <c r="A422" s="64">
        <f>INDEX(Projects[Project ID *],421)&amp;""</f>
        <v/>
      </c>
      <c r="B422" s="64">
        <f>INDEX(Projects[Project Name *],421)&amp;""</f>
        <v/>
      </c>
      <c r="C422" s="64">
        <f>INDEX(Projects[MS Shuttles],421)</f>
        <v/>
      </c>
      <c r="D422" s="64">
        <f>INDEX(Projects[MS Tote Locations],421)</f>
        <v/>
      </c>
      <c r="E422" s="64">
        <f>INDEX(Projects[AS Robots],421)</f>
        <v/>
      </c>
      <c r="F422" s="64">
        <f>INDEX(Projects[AS Tote Locations],421)</f>
        <v/>
      </c>
      <c r="G422" s="64">
        <f>INDEX(Projects[PS Shuttles],421)</f>
        <v/>
      </c>
      <c r="H422" s="64">
        <f>INDEX(Projects[PS Pallet Locations],421)</f>
        <v/>
      </c>
      <c r="I422" s="64">
        <f>INDEX(Projects[SRM Cranes],421)</f>
        <v/>
      </c>
      <c r="J422" s="64">
        <f>INDEX(Projects[SRM Pallet Locations],421)</f>
        <v/>
      </c>
      <c r="K422" s="64">
        <f>INDEX(Projects[Case Conv (m)],421)</f>
        <v/>
      </c>
      <c r="L422" s="64">
        <f>INDEX(Projects[Pallet Conv (m)],421)</f>
        <v/>
      </c>
      <c r="M422" s="64">
        <f>IF(N(DJ422)&gt;0,DD422,CW422)</f>
        <v/>
      </c>
      <c r="N422" s="64">
        <f>IF(N(DJ422)&gt;0,DE422,CX422)</f>
        <v/>
      </c>
      <c r="O422" s="64">
        <f>IF(N(DJ422)&gt;0,DF422,CY422)</f>
        <v/>
      </c>
      <c r="P422" s="64">
        <f>IF(N(DJ422)&gt;0,DG422,CZ422)</f>
        <v/>
      </c>
      <c r="Q422" s="64">
        <f>IF(N(DJ422)&gt;0,DH422,DA422)</f>
        <v/>
      </c>
      <c r="R422" s="64">
        <f>IF(N(DJ422)&gt;0,DI422,DB422)</f>
        <v/>
      </c>
      <c r="S422" s="64">
        <f>IF(N(DJ422)&gt;0,DJ422,DC422)</f>
        <v/>
      </c>
      <c r="T422" s="64">
        <f>INDEX(Projects[Currency],421)&amp;""</f>
        <v/>
      </c>
      <c r="U422" s="65">
        <f>INDEX(Projects[Sold Value (M)],421)</f>
        <v/>
      </c>
      <c r="V422" s="64">
        <f>IF('Smart Search'!B13=1,IFERROR(1/'Smart Search'!H13,0),0)</f>
        <v/>
      </c>
      <c r="W422" s="64">
        <f>IF('Smart Search'!B13=1,IFERROR(1/'Smart Search'!H13,0),0)</f>
        <v/>
      </c>
      <c r="X422" s="64">
        <f>IF('Smart Search'!C13=1,IFERROR(1/'Smart Search'!H13,0),0)</f>
        <v/>
      </c>
      <c r="Y422" s="64">
        <f>IF('Smart Search'!C13=1,IFERROR(1/'Smart Search'!H13,0),0)</f>
        <v/>
      </c>
      <c r="Z422" s="64">
        <f>IF('Smart Search'!D13=1,IFERROR(1/'Smart Search'!H13,0),0)</f>
        <v/>
      </c>
      <c r="AA422" s="64">
        <f>IF('Smart Search'!D13=1,IFERROR(1/'Smart Search'!H13,0),0)</f>
        <v/>
      </c>
      <c r="AB422" s="64">
        <f>IF('Smart Search'!E13=1,IFERROR(1/'Smart Search'!H13,0),0)</f>
        <v/>
      </c>
      <c r="AC422" s="64">
        <f>IF('Smart Search'!E13=1,IFERROR(1/'Smart Search'!H13,0),0)</f>
        <v/>
      </c>
      <c r="AD422" s="64">
        <f>IF('Smart Search'!F13=1,IFERROR(1/'Smart Search'!H13,0),0)</f>
        <v/>
      </c>
      <c r="AE422" s="64">
        <f>IF('Smart Search'!F13=1,IFERROR(1/'Smart Search'!H13,0),0)</f>
        <v/>
      </c>
      <c r="AF422" s="64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4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4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4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4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4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4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4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4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4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4">
        <f>AF422*V422</f>
        <v/>
      </c>
      <c r="AQ422" s="64">
        <f>AG422*W422</f>
        <v/>
      </c>
      <c r="AR422" s="64">
        <f>AH422*X422</f>
        <v/>
      </c>
      <c r="AS422" s="64">
        <f>AI422*Y422</f>
        <v/>
      </c>
      <c r="AT422" s="64">
        <f>AJ422*Z422</f>
        <v/>
      </c>
      <c r="AU422" s="64">
        <f>AK422*AA422</f>
        <v/>
      </c>
      <c r="AV422" s="64">
        <f>AL422*AB422</f>
        <v/>
      </c>
      <c r="AW422" s="64">
        <f>AM422*AC422</f>
        <v/>
      </c>
      <c r="AX422" s="64">
        <f>AN422*AD422</f>
        <v/>
      </c>
      <c r="AY422" s="64">
        <f>AO422*AE422</f>
        <v/>
      </c>
      <c r="AZ422" s="64">
        <f>INDEX(Projects[Automation Equipment],421)&amp;""</f>
        <v/>
      </c>
      <c r="BA422" s="64">
        <f>IF(OR(A422="",'Smart Search'!H13=0),"",MAX(0,BE422*BF422*MAX(0,1-BG422)))</f>
        <v/>
      </c>
      <c r="BB422" s="64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4">
        <f>IF('Smart Search'!G13=1,IFERROR(1/'Smart Search'!H13,0),0)</f>
        <v/>
      </c>
      <c r="BD422" s="64">
        <f>BB422*BC422</f>
        <v/>
      </c>
      <c r="BE422" s="64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IF(A422="","",N(INDEX(Projects[Act Mech Inst],421)))</f>
        <v/>
      </c>
      <c r="BK422" s="5">
        <f>IF(A422="","",N(INDEX(Projects[Act Elec Inst],421)))</f>
        <v/>
      </c>
      <c r="BL422" s="5">
        <f>IF(A422="","",N(INDEX(Projects[Act Project Management],421)))</f>
        <v/>
      </c>
      <c r="BM422" s="5">
        <f>IF(A422="","",N(INDEX(Projects[Act Systems Eng],421)))</f>
        <v/>
      </c>
      <c r="BN422" s="5">
        <f>IF(A422="","",N(INDEX(Projects[Act Mechanical Eng],421)))</f>
        <v/>
      </c>
      <c r="BO422" s="5">
        <f>IF(A422="","",N(INDEX(Projects[Act Structural Engineering],421)))</f>
        <v/>
      </c>
      <c r="BP422" s="5">
        <f>IF(A422="","",N(INDEX(Projects[Act Site Sup],421)))</f>
        <v/>
      </c>
      <c r="BQ422" s="5">
        <f>IF(A422="","",N(INDEX(Projects[Act Controls Commissioning],421)))</f>
        <v/>
      </c>
      <c r="BR422" s="5">
        <f>IF(A422="","",N(INDEX(Projects[Act Systems Commissioning],421)))</f>
        <v/>
      </c>
      <c r="BS422" s="5">
        <f>IF(A422="","",N(INDEX(Projects[Act Service Commissioning],421)))</f>
        <v/>
      </c>
      <c r="BT422" s="5">
        <f>IF(A422="","",N(INDEX(Projects[Act Controls Eng],421)))</f>
        <v/>
      </c>
      <c r="BU422" s="5">
        <f>IF(A422="","",N(INDEX(Projects[Act Controls Purchase],421)))</f>
        <v/>
      </c>
      <c r="BV422" s="5">
        <f>IF(A422="","",N(INDEX(Projects[Act Software Eng],421)))</f>
        <v/>
      </c>
      <c r="BW422" s="5">
        <f>IF(A422="","",N(INDEX(Projects[Act 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INDEX(Projects[Sold Value (USD M)],421)</f>
        <v/>
      </c>
      <c r="CE422" s="5" t="n"/>
      <c r="CF422" s="5">
        <f>IF(A422="","",N(INDEX(Projects[Est Mech Inst],421)))</f>
        <v/>
      </c>
      <c r="CG422" s="5">
        <f>IF(A422="","",N(INDEX(Projects[Est Elec Inst],421)))</f>
        <v/>
      </c>
      <c r="CH422" s="5">
        <f>IF(A422="","",N(INDEX(Projects[Est Project Management],421)))</f>
        <v/>
      </c>
      <c r="CI422" s="5">
        <f>IF(A422="","",N(INDEX(Projects[Est Systems Eng],421)))</f>
        <v/>
      </c>
      <c r="CJ422" s="5">
        <f>IF(A422="","",N(INDEX(Projects[Est Mechanical Eng],421)))</f>
        <v/>
      </c>
      <c r="CK422" s="5">
        <f>IF(A422="","",N(INDEX(Projects[Est Structural Engineering],421)))</f>
        <v/>
      </c>
      <c r="CL422" s="5">
        <f>IF(A422="","",N(INDEX(Projects[Est Site Sup],421)))</f>
        <v/>
      </c>
      <c r="CM422" s="5">
        <f>IF(A422="","",N(INDEX(Projects[Est Controls Commissioning],421)))</f>
        <v/>
      </c>
      <c r="CN422" s="5">
        <f>IF(A422="","",N(INDEX(Projects[Est Systems Commissioning],421)))</f>
        <v/>
      </c>
      <c r="CO422" s="5">
        <f>IF(A422="","",N(INDEX(Projects[Est Service Commissioning],421)))</f>
        <v/>
      </c>
      <c r="CP422" s="5">
        <f>IF(A422="","",N(INDEX(Projects[Est Controls Eng],421)))</f>
        <v/>
      </c>
      <c r="CQ422" s="5">
        <f>IF(A422="","",N(INDEX(Projects[Est Controls Purchase],421)))</f>
        <v/>
      </c>
      <c r="CR422" s="5">
        <f>IF(A422="","",N(INDEX(Projects[Est Software Eng],421)))</f>
        <v/>
      </c>
      <c r="CS422" s="5">
        <f>IF(A422="","",N(INDEX(Projects[Est Misc],421)))</f>
        <v/>
      </c>
      <c r="CT422" s="5">
        <f>IF(A422="","",SUM(CF422:CS422))</f>
        <v/>
      </c>
      <c r="CU422" s="5">
        <f>INDEX(Projects[Est Cost (M)],421)</f>
        <v/>
      </c>
      <c r="CV422" s="5">
        <f>INDEX(Projects[Act Cost (M)],421)</f>
        <v/>
      </c>
      <c r="CW422" s="5">
        <f>INDEX(Projects[Plan Mech Eng (wks)],421)</f>
        <v/>
      </c>
      <c r="CX422" s="5">
        <f>INDEX(Projects[Plan Controls Eng (wks)],421)</f>
        <v/>
      </c>
      <c r="CY422" s="5">
        <f>INDEX(Projects[Plan Systems Eng (wks)],421)</f>
        <v/>
      </c>
      <c r="CZ422" s="5">
        <f>INDEX(Projects[Plan Software Eng (wks)],421)</f>
        <v/>
      </c>
      <c r="DA422" s="5">
        <f>INDEX(Projects[Plan M&amp;E Installation (wks)],421)</f>
        <v/>
      </c>
      <c r="DB422" s="5">
        <f>INDEX(Projects[Plan Commissioning (wks)],421)</f>
        <v/>
      </c>
      <c r="DC422" s="5">
        <f>INDEX(Projects[Plan Total (wks)],421)</f>
        <v/>
      </c>
      <c r="DD422" s="5">
        <f>INDEX(Projects[Act Mech Eng (wks)],421)</f>
        <v/>
      </c>
      <c r="DE422" s="5">
        <f>INDEX(Projects[Act Controls Eng (wks)],421)</f>
        <v/>
      </c>
      <c r="DF422" s="5">
        <f>INDEX(Projects[Act Systems Eng (wks)],421)</f>
        <v/>
      </c>
      <c r="DG422" s="5">
        <f>INDEX(Projects[Act Software Eng (wks)],421)</f>
        <v/>
      </c>
      <c r="DH422" s="5">
        <f>INDEX(Projects[Act M&amp;E Installation (wks)],421)</f>
        <v/>
      </c>
      <c r="DI422" s="5">
        <f>INDEX(Projects[Act Commissioning (wks)],421)</f>
        <v/>
      </c>
      <c r="DJ422" s="5">
        <f>INDEX(Projects[Act Total (wks)],421)</f>
        <v/>
      </c>
    </row>
    <row r="423" ht="15" customHeight="1" s="82">
      <c r="A423" s="64">
        <f>INDEX(Projects[Project ID *],422)&amp;""</f>
        <v/>
      </c>
      <c r="B423" s="64">
        <f>INDEX(Projects[Project Name *],422)&amp;""</f>
        <v/>
      </c>
      <c r="C423" s="64">
        <f>INDEX(Projects[MS Shuttles],422)</f>
        <v/>
      </c>
      <c r="D423" s="64">
        <f>INDEX(Projects[MS Tote Locations],422)</f>
        <v/>
      </c>
      <c r="E423" s="64">
        <f>INDEX(Projects[AS Robots],422)</f>
        <v/>
      </c>
      <c r="F423" s="64">
        <f>INDEX(Projects[AS Tote Locations],422)</f>
        <v/>
      </c>
      <c r="G423" s="64">
        <f>INDEX(Projects[PS Shuttles],422)</f>
        <v/>
      </c>
      <c r="H423" s="64">
        <f>INDEX(Projects[PS Pallet Locations],422)</f>
        <v/>
      </c>
      <c r="I423" s="64">
        <f>INDEX(Projects[SRM Cranes],422)</f>
        <v/>
      </c>
      <c r="J423" s="64">
        <f>INDEX(Projects[SRM Pallet Locations],422)</f>
        <v/>
      </c>
      <c r="K423" s="64">
        <f>INDEX(Projects[Case Conv (m)],422)</f>
        <v/>
      </c>
      <c r="L423" s="64">
        <f>INDEX(Projects[Pallet Conv (m)],422)</f>
        <v/>
      </c>
      <c r="M423" s="64">
        <f>IF(N(DJ423)&gt;0,DD423,CW423)</f>
        <v/>
      </c>
      <c r="N423" s="64">
        <f>IF(N(DJ423)&gt;0,DE423,CX423)</f>
        <v/>
      </c>
      <c r="O423" s="64">
        <f>IF(N(DJ423)&gt;0,DF423,CY423)</f>
        <v/>
      </c>
      <c r="P423" s="64">
        <f>IF(N(DJ423)&gt;0,DG423,CZ423)</f>
        <v/>
      </c>
      <c r="Q423" s="64">
        <f>IF(N(DJ423)&gt;0,DH423,DA423)</f>
        <v/>
      </c>
      <c r="R423" s="64">
        <f>IF(N(DJ423)&gt;0,DI423,DB423)</f>
        <v/>
      </c>
      <c r="S423" s="64">
        <f>IF(N(DJ423)&gt;0,DJ423,DC423)</f>
        <v/>
      </c>
      <c r="T423" s="64">
        <f>INDEX(Projects[Currency],422)&amp;""</f>
        <v/>
      </c>
      <c r="U423" s="65">
        <f>INDEX(Projects[Sold Value (M)],422)</f>
        <v/>
      </c>
      <c r="V423" s="64">
        <f>IF('Smart Search'!B13=1,IFERROR(1/'Smart Search'!H13,0),0)</f>
        <v/>
      </c>
      <c r="W423" s="64">
        <f>IF('Smart Search'!B13=1,IFERROR(1/'Smart Search'!H13,0),0)</f>
        <v/>
      </c>
      <c r="X423" s="64">
        <f>IF('Smart Search'!C13=1,IFERROR(1/'Smart Search'!H13,0),0)</f>
        <v/>
      </c>
      <c r="Y423" s="64">
        <f>IF('Smart Search'!C13=1,IFERROR(1/'Smart Search'!H13,0),0)</f>
        <v/>
      </c>
      <c r="Z423" s="64">
        <f>IF('Smart Search'!D13=1,IFERROR(1/'Smart Search'!H13,0),0)</f>
        <v/>
      </c>
      <c r="AA423" s="64">
        <f>IF('Smart Search'!D13=1,IFERROR(1/'Smart Search'!H13,0),0)</f>
        <v/>
      </c>
      <c r="AB423" s="64">
        <f>IF('Smart Search'!E13=1,IFERROR(1/'Smart Search'!H13,0),0)</f>
        <v/>
      </c>
      <c r="AC423" s="64">
        <f>IF('Smart Search'!E13=1,IFERROR(1/'Smart Search'!H13,0),0)</f>
        <v/>
      </c>
      <c r="AD423" s="64">
        <f>IF('Smart Search'!F13=1,IFERROR(1/'Smart Search'!H13,0),0)</f>
        <v/>
      </c>
      <c r="AE423" s="64">
        <f>IF('Smart Search'!F13=1,IFERROR(1/'Smart Search'!H13,0),0)</f>
        <v/>
      </c>
      <c r="AF423" s="64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4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4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4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4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4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4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4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4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4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4">
        <f>AF423*V423</f>
        <v/>
      </c>
      <c r="AQ423" s="64">
        <f>AG423*W423</f>
        <v/>
      </c>
      <c r="AR423" s="64">
        <f>AH423*X423</f>
        <v/>
      </c>
      <c r="AS423" s="64">
        <f>AI423*Y423</f>
        <v/>
      </c>
      <c r="AT423" s="64">
        <f>AJ423*Z423</f>
        <v/>
      </c>
      <c r="AU423" s="64">
        <f>AK423*AA423</f>
        <v/>
      </c>
      <c r="AV423" s="64">
        <f>AL423*AB423</f>
        <v/>
      </c>
      <c r="AW423" s="64">
        <f>AM423*AC423</f>
        <v/>
      </c>
      <c r="AX423" s="64">
        <f>AN423*AD423</f>
        <v/>
      </c>
      <c r="AY423" s="64">
        <f>AO423*AE423</f>
        <v/>
      </c>
      <c r="AZ423" s="64">
        <f>INDEX(Projects[Automation Equipment],422)&amp;""</f>
        <v/>
      </c>
      <c r="BA423" s="64">
        <f>IF(OR(A423="",'Smart Search'!H13=0),"",MAX(0,BE423*BF423*MAX(0,1-BG423)))</f>
        <v/>
      </c>
      <c r="BB423" s="64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4">
        <f>IF('Smart Search'!G13=1,IFERROR(1/'Smart Search'!H13,0),0)</f>
        <v/>
      </c>
      <c r="BD423" s="64">
        <f>BB423*BC423</f>
        <v/>
      </c>
      <c r="BE423" s="64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IF(A423="","",N(INDEX(Projects[Act Mech Inst],422)))</f>
        <v/>
      </c>
      <c r="BK423" s="5">
        <f>IF(A423="","",N(INDEX(Projects[Act Elec Inst],422)))</f>
        <v/>
      </c>
      <c r="BL423" s="5">
        <f>IF(A423="","",N(INDEX(Projects[Act Project Management],422)))</f>
        <v/>
      </c>
      <c r="BM423" s="5">
        <f>IF(A423="","",N(INDEX(Projects[Act Systems Eng],422)))</f>
        <v/>
      </c>
      <c r="BN423" s="5">
        <f>IF(A423="","",N(INDEX(Projects[Act Mechanical Eng],422)))</f>
        <v/>
      </c>
      <c r="BO423" s="5">
        <f>IF(A423="","",N(INDEX(Projects[Act Structural Engineering],422)))</f>
        <v/>
      </c>
      <c r="BP423" s="5">
        <f>IF(A423="","",N(INDEX(Projects[Act Site Sup],422)))</f>
        <v/>
      </c>
      <c r="BQ423" s="5">
        <f>IF(A423="","",N(INDEX(Projects[Act Controls Commissioning],422)))</f>
        <v/>
      </c>
      <c r="BR423" s="5">
        <f>IF(A423="","",N(INDEX(Projects[Act Systems Commissioning],422)))</f>
        <v/>
      </c>
      <c r="BS423" s="5">
        <f>IF(A423="","",N(INDEX(Projects[Act Service Commissioning],422)))</f>
        <v/>
      </c>
      <c r="BT423" s="5">
        <f>IF(A423="","",N(INDEX(Projects[Act Controls Eng],422)))</f>
        <v/>
      </c>
      <c r="BU423" s="5">
        <f>IF(A423="","",N(INDEX(Projects[Act Controls Purchase],422)))</f>
        <v/>
      </c>
      <c r="BV423" s="5">
        <f>IF(A423="","",N(INDEX(Projects[Act Software Eng],422)))</f>
        <v/>
      </c>
      <c r="BW423" s="5">
        <f>IF(A423="","",N(INDEX(Projects[Act 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INDEX(Projects[Sold Value (USD M)],422)</f>
        <v/>
      </c>
      <c r="CE423" s="5" t="n"/>
      <c r="CF423" s="5">
        <f>IF(A423="","",N(INDEX(Projects[Est Mech Inst],422)))</f>
        <v/>
      </c>
      <c r="CG423" s="5">
        <f>IF(A423="","",N(INDEX(Projects[Est Elec Inst],422)))</f>
        <v/>
      </c>
      <c r="CH423" s="5">
        <f>IF(A423="","",N(INDEX(Projects[Est Project Management],422)))</f>
        <v/>
      </c>
      <c r="CI423" s="5">
        <f>IF(A423="","",N(INDEX(Projects[Est Systems Eng],422)))</f>
        <v/>
      </c>
      <c r="CJ423" s="5">
        <f>IF(A423="","",N(INDEX(Projects[Est Mechanical Eng],422)))</f>
        <v/>
      </c>
      <c r="CK423" s="5">
        <f>IF(A423="","",N(INDEX(Projects[Est Structural Engineering],422)))</f>
        <v/>
      </c>
      <c r="CL423" s="5">
        <f>IF(A423="","",N(INDEX(Projects[Est Site Sup],422)))</f>
        <v/>
      </c>
      <c r="CM423" s="5">
        <f>IF(A423="","",N(INDEX(Projects[Est Controls Commissioning],422)))</f>
        <v/>
      </c>
      <c r="CN423" s="5">
        <f>IF(A423="","",N(INDEX(Projects[Est Systems Commissioning],422)))</f>
        <v/>
      </c>
      <c r="CO423" s="5">
        <f>IF(A423="","",N(INDEX(Projects[Est Service Commissioning],422)))</f>
        <v/>
      </c>
      <c r="CP423" s="5">
        <f>IF(A423="","",N(INDEX(Projects[Est Controls Eng],422)))</f>
        <v/>
      </c>
      <c r="CQ423" s="5">
        <f>IF(A423="","",N(INDEX(Projects[Est Controls Purchase],422)))</f>
        <v/>
      </c>
      <c r="CR423" s="5">
        <f>IF(A423="","",N(INDEX(Projects[Est Software Eng],422)))</f>
        <v/>
      </c>
      <c r="CS423" s="5">
        <f>IF(A423="","",N(INDEX(Projects[Est Misc],422)))</f>
        <v/>
      </c>
      <c r="CT423" s="5">
        <f>IF(A423="","",SUM(CF423:CS423))</f>
        <v/>
      </c>
      <c r="CU423" s="5">
        <f>INDEX(Projects[Est Cost (M)],422)</f>
        <v/>
      </c>
      <c r="CV423" s="5">
        <f>INDEX(Projects[Act Cost (M)],422)</f>
        <v/>
      </c>
      <c r="CW423" s="5">
        <f>INDEX(Projects[Plan Mech Eng (wks)],422)</f>
        <v/>
      </c>
      <c r="CX423" s="5">
        <f>INDEX(Projects[Plan Controls Eng (wks)],422)</f>
        <v/>
      </c>
      <c r="CY423" s="5">
        <f>INDEX(Projects[Plan Systems Eng (wks)],422)</f>
        <v/>
      </c>
      <c r="CZ423" s="5">
        <f>INDEX(Projects[Plan Software Eng (wks)],422)</f>
        <v/>
      </c>
      <c r="DA423" s="5">
        <f>INDEX(Projects[Plan M&amp;E Installation (wks)],422)</f>
        <v/>
      </c>
      <c r="DB423" s="5">
        <f>INDEX(Projects[Plan Commissioning (wks)],422)</f>
        <v/>
      </c>
      <c r="DC423" s="5">
        <f>INDEX(Projects[Plan Total (wks)],422)</f>
        <v/>
      </c>
      <c r="DD423" s="5">
        <f>INDEX(Projects[Act Mech Eng (wks)],422)</f>
        <v/>
      </c>
      <c r="DE423" s="5">
        <f>INDEX(Projects[Act Controls Eng (wks)],422)</f>
        <v/>
      </c>
      <c r="DF423" s="5">
        <f>INDEX(Projects[Act Systems Eng (wks)],422)</f>
        <v/>
      </c>
      <c r="DG423" s="5">
        <f>INDEX(Projects[Act Software Eng (wks)],422)</f>
        <v/>
      </c>
      <c r="DH423" s="5">
        <f>INDEX(Projects[Act M&amp;E Installation (wks)],422)</f>
        <v/>
      </c>
      <c r="DI423" s="5">
        <f>INDEX(Projects[Act Commissioning (wks)],422)</f>
        <v/>
      </c>
      <c r="DJ423" s="5">
        <f>INDEX(Projects[Act Total (wks)],422)</f>
        <v/>
      </c>
    </row>
    <row r="424" ht="15" customHeight="1" s="82">
      <c r="A424" s="64">
        <f>INDEX(Projects[Project ID *],423)&amp;""</f>
        <v/>
      </c>
      <c r="B424" s="64">
        <f>INDEX(Projects[Project Name *],423)&amp;""</f>
        <v/>
      </c>
      <c r="C424" s="64">
        <f>INDEX(Projects[MS Shuttles],423)</f>
        <v/>
      </c>
      <c r="D424" s="64">
        <f>INDEX(Projects[MS Tote Locations],423)</f>
        <v/>
      </c>
      <c r="E424" s="64">
        <f>INDEX(Projects[AS Robots],423)</f>
        <v/>
      </c>
      <c r="F424" s="64">
        <f>INDEX(Projects[AS Tote Locations],423)</f>
        <v/>
      </c>
      <c r="G424" s="64">
        <f>INDEX(Projects[PS Shuttles],423)</f>
        <v/>
      </c>
      <c r="H424" s="64">
        <f>INDEX(Projects[PS Pallet Locations],423)</f>
        <v/>
      </c>
      <c r="I424" s="64">
        <f>INDEX(Projects[SRM Cranes],423)</f>
        <v/>
      </c>
      <c r="J424" s="64">
        <f>INDEX(Projects[SRM Pallet Locations],423)</f>
        <v/>
      </c>
      <c r="K424" s="64">
        <f>INDEX(Projects[Case Conv (m)],423)</f>
        <v/>
      </c>
      <c r="L424" s="64">
        <f>INDEX(Projects[Pallet Conv (m)],423)</f>
        <v/>
      </c>
      <c r="M424" s="64">
        <f>IF(N(DJ424)&gt;0,DD424,CW424)</f>
        <v/>
      </c>
      <c r="N424" s="64">
        <f>IF(N(DJ424)&gt;0,DE424,CX424)</f>
        <v/>
      </c>
      <c r="O424" s="64">
        <f>IF(N(DJ424)&gt;0,DF424,CY424)</f>
        <v/>
      </c>
      <c r="P424" s="64">
        <f>IF(N(DJ424)&gt;0,DG424,CZ424)</f>
        <v/>
      </c>
      <c r="Q424" s="64">
        <f>IF(N(DJ424)&gt;0,DH424,DA424)</f>
        <v/>
      </c>
      <c r="R424" s="64">
        <f>IF(N(DJ424)&gt;0,DI424,DB424)</f>
        <v/>
      </c>
      <c r="S424" s="64">
        <f>IF(N(DJ424)&gt;0,DJ424,DC424)</f>
        <v/>
      </c>
      <c r="T424" s="64">
        <f>INDEX(Projects[Currency],423)&amp;""</f>
        <v/>
      </c>
      <c r="U424" s="65">
        <f>INDEX(Projects[Sold Value (M)],423)</f>
        <v/>
      </c>
      <c r="V424" s="64">
        <f>IF('Smart Search'!B13=1,IFERROR(1/'Smart Search'!H13,0),0)</f>
        <v/>
      </c>
      <c r="W424" s="64">
        <f>IF('Smart Search'!B13=1,IFERROR(1/'Smart Search'!H13,0),0)</f>
        <v/>
      </c>
      <c r="X424" s="64">
        <f>IF('Smart Search'!C13=1,IFERROR(1/'Smart Search'!H13,0),0)</f>
        <v/>
      </c>
      <c r="Y424" s="64">
        <f>IF('Smart Search'!C13=1,IFERROR(1/'Smart Search'!H13,0),0)</f>
        <v/>
      </c>
      <c r="Z424" s="64">
        <f>IF('Smart Search'!D13=1,IFERROR(1/'Smart Search'!H13,0),0)</f>
        <v/>
      </c>
      <c r="AA424" s="64">
        <f>IF('Smart Search'!D13=1,IFERROR(1/'Smart Search'!H13,0),0)</f>
        <v/>
      </c>
      <c r="AB424" s="64">
        <f>IF('Smart Search'!E13=1,IFERROR(1/'Smart Search'!H13,0),0)</f>
        <v/>
      </c>
      <c r="AC424" s="64">
        <f>IF('Smart Search'!E13=1,IFERROR(1/'Smart Search'!H13,0),0)</f>
        <v/>
      </c>
      <c r="AD424" s="64">
        <f>IF('Smart Search'!F13=1,IFERROR(1/'Smart Search'!H13,0),0)</f>
        <v/>
      </c>
      <c r="AE424" s="64">
        <f>IF('Smart Search'!F13=1,IFERROR(1/'Smart Search'!H13,0),0)</f>
        <v/>
      </c>
      <c r="AF424" s="64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4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4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4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4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4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4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4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4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4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4">
        <f>AF424*V424</f>
        <v/>
      </c>
      <c r="AQ424" s="64">
        <f>AG424*W424</f>
        <v/>
      </c>
      <c r="AR424" s="64">
        <f>AH424*X424</f>
        <v/>
      </c>
      <c r="AS424" s="64">
        <f>AI424*Y424</f>
        <v/>
      </c>
      <c r="AT424" s="64">
        <f>AJ424*Z424</f>
        <v/>
      </c>
      <c r="AU424" s="64">
        <f>AK424*AA424</f>
        <v/>
      </c>
      <c r="AV424" s="64">
        <f>AL424*AB424</f>
        <v/>
      </c>
      <c r="AW424" s="64">
        <f>AM424*AC424</f>
        <v/>
      </c>
      <c r="AX424" s="64">
        <f>AN424*AD424</f>
        <v/>
      </c>
      <c r="AY424" s="64">
        <f>AO424*AE424</f>
        <v/>
      </c>
      <c r="AZ424" s="64">
        <f>INDEX(Projects[Automation Equipment],423)&amp;""</f>
        <v/>
      </c>
      <c r="BA424" s="64">
        <f>IF(OR(A424="",'Smart Search'!H13=0),"",MAX(0,BE424*BF424*MAX(0,1-BG424)))</f>
        <v/>
      </c>
      <c r="BB424" s="64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4">
        <f>IF('Smart Search'!G13=1,IFERROR(1/'Smart Search'!H13,0),0)</f>
        <v/>
      </c>
      <c r="BD424" s="64">
        <f>BB424*BC424</f>
        <v/>
      </c>
      <c r="BE424" s="64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IF(A424="","",N(INDEX(Projects[Act Mech Inst],423)))</f>
        <v/>
      </c>
      <c r="BK424" s="5">
        <f>IF(A424="","",N(INDEX(Projects[Act Elec Inst],423)))</f>
        <v/>
      </c>
      <c r="BL424" s="5">
        <f>IF(A424="","",N(INDEX(Projects[Act Project Management],423)))</f>
        <v/>
      </c>
      <c r="BM424" s="5">
        <f>IF(A424="","",N(INDEX(Projects[Act Systems Eng],423)))</f>
        <v/>
      </c>
      <c r="BN424" s="5">
        <f>IF(A424="","",N(INDEX(Projects[Act Mechanical Eng],423)))</f>
        <v/>
      </c>
      <c r="BO424" s="5">
        <f>IF(A424="","",N(INDEX(Projects[Act Structural Engineering],423)))</f>
        <v/>
      </c>
      <c r="BP424" s="5">
        <f>IF(A424="","",N(INDEX(Projects[Act Site Sup],423)))</f>
        <v/>
      </c>
      <c r="BQ424" s="5">
        <f>IF(A424="","",N(INDEX(Projects[Act Controls Commissioning],423)))</f>
        <v/>
      </c>
      <c r="BR424" s="5">
        <f>IF(A424="","",N(INDEX(Projects[Act Systems Commissioning],423)))</f>
        <v/>
      </c>
      <c r="BS424" s="5">
        <f>IF(A424="","",N(INDEX(Projects[Act Service Commissioning],423)))</f>
        <v/>
      </c>
      <c r="BT424" s="5">
        <f>IF(A424="","",N(INDEX(Projects[Act Controls Eng],423)))</f>
        <v/>
      </c>
      <c r="BU424" s="5">
        <f>IF(A424="","",N(INDEX(Projects[Act Controls Purchase],423)))</f>
        <v/>
      </c>
      <c r="BV424" s="5">
        <f>IF(A424="","",N(INDEX(Projects[Act Software Eng],423)))</f>
        <v/>
      </c>
      <c r="BW424" s="5">
        <f>IF(A424="","",N(INDEX(Projects[Act 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INDEX(Projects[Sold Value (USD M)],423)</f>
        <v/>
      </c>
      <c r="CE424" s="5" t="n"/>
      <c r="CF424" s="5">
        <f>IF(A424="","",N(INDEX(Projects[Est Mech Inst],423)))</f>
        <v/>
      </c>
      <c r="CG424" s="5">
        <f>IF(A424="","",N(INDEX(Projects[Est Elec Inst],423)))</f>
        <v/>
      </c>
      <c r="CH424" s="5">
        <f>IF(A424="","",N(INDEX(Projects[Est Project Management],423)))</f>
        <v/>
      </c>
      <c r="CI424" s="5">
        <f>IF(A424="","",N(INDEX(Projects[Est Systems Eng],423)))</f>
        <v/>
      </c>
      <c r="CJ424" s="5">
        <f>IF(A424="","",N(INDEX(Projects[Est Mechanical Eng],423)))</f>
        <v/>
      </c>
      <c r="CK424" s="5">
        <f>IF(A424="","",N(INDEX(Projects[Est Structural Engineering],423)))</f>
        <v/>
      </c>
      <c r="CL424" s="5">
        <f>IF(A424="","",N(INDEX(Projects[Est Site Sup],423)))</f>
        <v/>
      </c>
      <c r="CM424" s="5">
        <f>IF(A424="","",N(INDEX(Projects[Est Controls Commissioning],423)))</f>
        <v/>
      </c>
      <c r="CN424" s="5">
        <f>IF(A424="","",N(INDEX(Projects[Est Systems Commissioning],423)))</f>
        <v/>
      </c>
      <c r="CO424" s="5">
        <f>IF(A424="","",N(INDEX(Projects[Est Service Commissioning],423)))</f>
        <v/>
      </c>
      <c r="CP424" s="5">
        <f>IF(A424="","",N(INDEX(Projects[Est Controls Eng],423)))</f>
        <v/>
      </c>
      <c r="CQ424" s="5">
        <f>IF(A424="","",N(INDEX(Projects[Est Controls Purchase],423)))</f>
        <v/>
      </c>
      <c r="CR424" s="5">
        <f>IF(A424="","",N(INDEX(Projects[Est Software Eng],423)))</f>
        <v/>
      </c>
      <c r="CS424" s="5">
        <f>IF(A424="","",N(INDEX(Projects[Est Misc],423)))</f>
        <v/>
      </c>
      <c r="CT424" s="5">
        <f>IF(A424="","",SUM(CF424:CS424))</f>
        <v/>
      </c>
      <c r="CU424" s="5">
        <f>INDEX(Projects[Est Cost (M)],423)</f>
        <v/>
      </c>
      <c r="CV424" s="5">
        <f>INDEX(Projects[Act Cost (M)],423)</f>
        <v/>
      </c>
      <c r="CW424" s="5">
        <f>INDEX(Projects[Plan Mech Eng (wks)],423)</f>
        <v/>
      </c>
      <c r="CX424" s="5">
        <f>INDEX(Projects[Plan Controls Eng (wks)],423)</f>
        <v/>
      </c>
      <c r="CY424" s="5">
        <f>INDEX(Projects[Plan Systems Eng (wks)],423)</f>
        <v/>
      </c>
      <c r="CZ424" s="5">
        <f>INDEX(Projects[Plan Software Eng (wks)],423)</f>
        <v/>
      </c>
      <c r="DA424" s="5">
        <f>INDEX(Projects[Plan M&amp;E Installation (wks)],423)</f>
        <v/>
      </c>
      <c r="DB424" s="5">
        <f>INDEX(Projects[Plan Commissioning (wks)],423)</f>
        <v/>
      </c>
      <c r="DC424" s="5">
        <f>INDEX(Projects[Plan Total (wks)],423)</f>
        <v/>
      </c>
      <c r="DD424" s="5">
        <f>INDEX(Projects[Act Mech Eng (wks)],423)</f>
        <v/>
      </c>
      <c r="DE424" s="5">
        <f>INDEX(Projects[Act Controls Eng (wks)],423)</f>
        <v/>
      </c>
      <c r="DF424" s="5">
        <f>INDEX(Projects[Act Systems Eng (wks)],423)</f>
        <v/>
      </c>
      <c r="DG424" s="5">
        <f>INDEX(Projects[Act Software Eng (wks)],423)</f>
        <v/>
      </c>
      <c r="DH424" s="5">
        <f>INDEX(Projects[Act M&amp;E Installation (wks)],423)</f>
        <v/>
      </c>
      <c r="DI424" s="5">
        <f>INDEX(Projects[Act Commissioning (wks)],423)</f>
        <v/>
      </c>
      <c r="DJ424" s="5">
        <f>INDEX(Projects[Act Total (wks)],423)</f>
        <v/>
      </c>
    </row>
    <row r="425" ht="15" customHeight="1" s="82">
      <c r="A425" s="64">
        <f>INDEX(Projects[Project ID *],424)&amp;""</f>
        <v/>
      </c>
      <c r="B425" s="64">
        <f>INDEX(Projects[Project Name *],424)&amp;""</f>
        <v/>
      </c>
      <c r="C425" s="64">
        <f>INDEX(Projects[MS Shuttles],424)</f>
        <v/>
      </c>
      <c r="D425" s="64">
        <f>INDEX(Projects[MS Tote Locations],424)</f>
        <v/>
      </c>
      <c r="E425" s="64">
        <f>INDEX(Projects[AS Robots],424)</f>
        <v/>
      </c>
      <c r="F425" s="64">
        <f>INDEX(Projects[AS Tote Locations],424)</f>
        <v/>
      </c>
      <c r="G425" s="64">
        <f>INDEX(Projects[PS Shuttles],424)</f>
        <v/>
      </c>
      <c r="H425" s="64">
        <f>INDEX(Projects[PS Pallet Locations],424)</f>
        <v/>
      </c>
      <c r="I425" s="64">
        <f>INDEX(Projects[SRM Cranes],424)</f>
        <v/>
      </c>
      <c r="J425" s="64">
        <f>INDEX(Projects[SRM Pallet Locations],424)</f>
        <v/>
      </c>
      <c r="K425" s="64">
        <f>INDEX(Projects[Case Conv (m)],424)</f>
        <v/>
      </c>
      <c r="L425" s="64">
        <f>INDEX(Projects[Pallet Conv (m)],424)</f>
        <v/>
      </c>
      <c r="M425" s="64">
        <f>IF(N(DJ425)&gt;0,DD425,CW425)</f>
        <v/>
      </c>
      <c r="N425" s="64">
        <f>IF(N(DJ425)&gt;0,DE425,CX425)</f>
        <v/>
      </c>
      <c r="O425" s="64">
        <f>IF(N(DJ425)&gt;0,DF425,CY425)</f>
        <v/>
      </c>
      <c r="P425" s="64">
        <f>IF(N(DJ425)&gt;0,DG425,CZ425)</f>
        <v/>
      </c>
      <c r="Q425" s="64">
        <f>IF(N(DJ425)&gt;0,DH425,DA425)</f>
        <v/>
      </c>
      <c r="R425" s="64">
        <f>IF(N(DJ425)&gt;0,DI425,DB425)</f>
        <v/>
      </c>
      <c r="S425" s="64">
        <f>IF(N(DJ425)&gt;0,DJ425,DC425)</f>
        <v/>
      </c>
      <c r="T425" s="64">
        <f>INDEX(Projects[Currency],424)&amp;""</f>
        <v/>
      </c>
      <c r="U425" s="65">
        <f>INDEX(Projects[Sold Value (M)],424)</f>
        <v/>
      </c>
      <c r="V425" s="64">
        <f>IF('Smart Search'!B13=1,IFERROR(1/'Smart Search'!H13,0),0)</f>
        <v/>
      </c>
      <c r="W425" s="64">
        <f>IF('Smart Search'!B13=1,IFERROR(1/'Smart Search'!H13,0),0)</f>
        <v/>
      </c>
      <c r="X425" s="64">
        <f>IF('Smart Search'!C13=1,IFERROR(1/'Smart Search'!H13,0),0)</f>
        <v/>
      </c>
      <c r="Y425" s="64">
        <f>IF('Smart Search'!C13=1,IFERROR(1/'Smart Search'!H13,0),0)</f>
        <v/>
      </c>
      <c r="Z425" s="64">
        <f>IF('Smart Search'!D13=1,IFERROR(1/'Smart Search'!H13,0),0)</f>
        <v/>
      </c>
      <c r="AA425" s="64">
        <f>IF('Smart Search'!D13=1,IFERROR(1/'Smart Search'!H13,0),0)</f>
        <v/>
      </c>
      <c r="AB425" s="64">
        <f>IF('Smart Search'!E13=1,IFERROR(1/'Smart Search'!H13,0),0)</f>
        <v/>
      </c>
      <c r="AC425" s="64">
        <f>IF('Smart Search'!E13=1,IFERROR(1/'Smart Search'!H13,0),0)</f>
        <v/>
      </c>
      <c r="AD425" s="64">
        <f>IF('Smart Search'!F13=1,IFERROR(1/'Smart Search'!H13,0),0)</f>
        <v/>
      </c>
      <c r="AE425" s="64">
        <f>IF('Smart Search'!F13=1,IFERROR(1/'Smart Search'!H13,0),0)</f>
        <v/>
      </c>
      <c r="AF425" s="64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4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4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4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4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4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4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4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4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4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4">
        <f>AF425*V425</f>
        <v/>
      </c>
      <c r="AQ425" s="64">
        <f>AG425*W425</f>
        <v/>
      </c>
      <c r="AR425" s="64">
        <f>AH425*X425</f>
        <v/>
      </c>
      <c r="AS425" s="64">
        <f>AI425*Y425</f>
        <v/>
      </c>
      <c r="AT425" s="64">
        <f>AJ425*Z425</f>
        <v/>
      </c>
      <c r="AU425" s="64">
        <f>AK425*AA425</f>
        <v/>
      </c>
      <c r="AV425" s="64">
        <f>AL425*AB425</f>
        <v/>
      </c>
      <c r="AW425" s="64">
        <f>AM425*AC425</f>
        <v/>
      </c>
      <c r="AX425" s="64">
        <f>AN425*AD425</f>
        <v/>
      </c>
      <c r="AY425" s="64">
        <f>AO425*AE425</f>
        <v/>
      </c>
      <c r="AZ425" s="64">
        <f>INDEX(Projects[Automation Equipment],424)&amp;""</f>
        <v/>
      </c>
      <c r="BA425" s="64">
        <f>IF(OR(A425="",'Smart Search'!H13=0),"",MAX(0,BE425*BF425*MAX(0,1-BG425)))</f>
        <v/>
      </c>
      <c r="BB425" s="64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4">
        <f>IF('Smart Search'!G13=1,IFERROR(1/'Smart Search'!H13,0),0)</f>
        <v/>
      </c>
      <c r="BD425" s="64">
        <f>BB425*BC425</f>
        <v/>
      </c>
      <c r="BE425" s="64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IF(A425="","",N(INDEX(Projects[Act Mech Inst],424)))</f>
        <v/>
      </c>
      <c r="BK425" s="5">
        <f>IF(A425="","",N(INDEX(Projects[Act Elec Inst],424)))</f>
        <v/>
      </c>
      <c r="BL425" s="5">
        <f>IF(A425="","",N(INDEX(Projects[Act Project Management],424)))</f>
        <v/>
      </c>
      <c r="BM425" s="5">
        <f>IF(A425="","",N(INDEX(Projects[Act Systems Eng],424)))</f>
        <v/>
      </c>
      <c r="BN425" s="5">
        <f>IF(A425="","",N(INDEX(Projects[Act Mechanical Eng],424)))</f>
        <v/>
      </c>
      <c r="BO425" s="5">
        <f>IF(A425="","",N(INDEX(Projects[Act Structural Engineering],424)))</f>
        <v/>
      </c>
      <c r="BP425" s="5">
        <f>IF(A425="","",N(INDEX(Projects[Act Site Sup],424)))</f>
        <v/>
      </c>
      <c r="BQ425" s="5">
        <f>IF(A425="","",N(INDEX(Projects[Act Controls Commissioning],424)))</f>
        <v/>
      </c>
      <c r="BR425" s="5">
        <f>IF(A425="","",N(INDEX(Projects[Act Systems Commissioning],424)))</f>
        <v/>
      </c>
      <c r="BS425" s="5">
        <f>IF(A425="","",N(INDEX(Projects[Act Service Commissioning],424)))</f>
        <v/>
      </c>
      <c r="BT425" s="5">
        <f>IF(A425="","",N(INDEX(Projects[Act Controls Eng],424)))</f>
        <v/>
      </c>
      <c r="BU425" s="5">
        <f>IF(A425="","",N(INDEX(Projects[Act Controls Purchase],424)))</f>
        <v/>
      </c>
      <c r="BV425" s="5">
        <f>IF(A425="","",N(INDEX(Projects[Act Software Eng],424)))</f>
        <v/>
      </c>
      <c r="BW425" s="5">
        <f>IF(A425="","",N(INDEX(Projects[Act 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INDEX(Projects[Sold Value (USD M)],424)</f>
        <v/>
      </c>
      <c r="CE425" s="5" t="n"/>
      <c r="CF425" s="5">
        <f>IF(A425="","",N(INDEX(Projects[Est Mech Inst],424)))</f>
        <v/>
      </c>
      <c r="CG425" s="5">
        <f>IF(A425="","",N(INDEX(Projects[Est Elec Inst],424)))</f>
        <v/>
      </c>
      <c r="CH425" s="5">
        <f>IF(A425="","",N(INDEX(Projects[Est Project Management],424)))</f>
        <v/>
      </c>
      <c r="CI425" s="5">
        <f>IF(A425="","",N(INDEX(Projects[Est Systems Eng],424)))</f>
        <v/>
      </c>
      <c r="CJ425" s="5">
        <f>IF(A425="","",N(INDEX(Projects[Est Mechanical Eng],424)))</f>
        <v/>
      </c>
      <c r="CK425" s="5">
        <f>IF(A425="","",N(INDEX(Projects[Est Structural Engineering],424)))</f>
        <v/>
      </c>
      <c r="CL425" s="5">
        <f>IF(A425="","",N(INDEX(Projects[Est Site Sup],424)))</f>
        <v/>
      </c>
      <c r="CM425" s="5">
        <f>IF(A425="","",N(INDEX(Projects[Est Controls Commissioning],424)))</f>
        <v/>
      </c>
      <c r="CN425" s="5">
        <f>IF(A425="","",N(INDEX(Projects[Est Systems Commissioning],424)))</f>
        <v/>
      </c>
      <c r="CO425" s="5">
        <f>IF(A425="","",N(INDEX(Projects[Est Service Commissioning],424)))</f>
        <v/>
      </c>
      <c r="CP425" s="5">
        <f>IF(A425="","",N(INDEX(Projects[Est Controls Eng],424)))</f>
        <v/>
      </c>
      <c r="CQ425" s="5">
        <f>IF(A425="","",N(INDEX(Projects[Est Controls Purchase],424)))</f>
        <v/>
      </c>
      <c r="CR425" s="5">
        <f>IF(A425="","",N(INDEX(Projects[Est Software Eng],424)))</f>
        <v/>
      </c>
      <c r="CS425" s="5">
        <f>IF(A425="","",N(INDEX(Projects[Est Misc],424)))</f>
        <v/>
      </c>
      <c r="CT425" s="5">
        <f>IF(A425="","",SUM(CF425:CS425))</f>
        <v/>
      </c>
      <c r="CU425" s="5">
        <f>INDEX(Projects[Est Cost (M)],424)</f>
        <v/>
      </c>
      <c r="CV425" s="5">
        <f>INDEX(Projects[Act Cost (M)],424)</f>
        <v/>
      </c>
      <c r="CW425" s="5">
        <f>INDEX(Projects[Plan Mech Eng (wks)],424)</f>
        <v/>
      </c>
      <c r="CX425" s="5">
        <f>INDEX(Projects[Plan Controls Eng (wks)],424)</f>
        <v/>
      </c>
      <c r="CY425" s="5">
        <f>INDEX(Projects[Plan Systems Eng (wks)],424)</f>
        <v/>
      </c>
      <c r="CZ425" s="5">
        <f>INDEX(Projects[Plan Software Eng (wks)],424)</f>
        <v/>
      </c>
      <c r="DA425" s="5">
        <f>INDEX(Projects[Plan M&amp;E Installation (wks)],424)</f>
        <v/>
      </c>
      <c r="DB425" s="5">
        <f>INDEX(Projects[Plan Commissioning (wks)],424)</f>
        <v/>
      </c>
      <c r="DC425" s="5">
        <f>INDEX(Projects[Plan Total (wks)],424)</f>
        <v/>
      </c>
      <c r="DD425" s="5">
        <f>INDEX(Projects[Act Mech Eng (wks)],424)</f>
        <v/>
      </c>
      <c r="DE425" s="5">
        <f>INDEX(Projects[Act Controls Eng (wks)],424)</f>
        <v/>
      </c>
      <c r="DF425" s="5">
        <f>INDEX(Projects[Act Systems Eng (wks)],424)</f>
        <v/>
      </c>
      <c r="DG425" s="5">
        <f>INDEX(Projects[Act Software Eng (wks)],424)</f>
        <v/>
      </c>
      <c r="DH425" s="5">
        <f>INDEX(Projects[Act M&amp;E Installation (wks)],424)</f>
        <v/>
      </c>
      <c r="DI425" s="5">
        <f>INDEX(Projects[Act Commissioning (wks)],424)</f>
        <v/>
      </c>
      <c r="DJ425" s="5">
        <f>INDEX(Projects[Act Total (wks)],424)</f>
        <v/>
      </c>
    </row>
    <row r="426" ht="15" customHeight="1" s="82">
      <c r="A426" s="64">
        <f>INDEX(Projects[Project ID *],425)&amp;""</f>
        <v/>
      </c>
      <c r="B426" s="64">
        <f>INDEX(Projects[Project Name *],425)&amp;""</f>
        <v/>
      </c>
      <c r="C426" s="64">
        <f>INDEX(Projects[MS Shuttles],425)</f>
        <v/>
      </c>
      <c r="D426" s="64">
        <f>INDEX(Projects[MS Tote Locations],425)</f>
        <v/>
      </c>
      <c r="E426" s="64">
        <f>INDEX(Projects[AS Robots],425)</f>
        <v/>
      </c>
      <c r="F426" s="64">
        <f>INDEX(Projects[AS Tote Locations],425)</f>
        <v/>
      </c>
      <c r="G426" s="64">
        <f>INDEX(Projects[PS Shuttles],425)</f>
        <v/>
      </c>
      <c r="H426" s="64">
        <f>INDEX(Projects[PS Pallet Locations],425)</f>
        <v/>
      </c>
      <c r="I426" s="64">
        <f>INDEX(Projects[SRM Cranes],425)</f>
        <v/>
      </c>
      <c r="J426" s="64">
        <f>INDEX(Projects[SRM Pallet Locations],425)</f>
        <v/>
      </c>
      <c r="K426" s="64">
        <f>INDEX(Projects[Case Conv (m)],425)</f>
        <v/>
      </c>
      <c r="L426" s="64">
        <f>INDEX(Projects[Pallet Conv (m)],425)</f>
        <v/>
      </c>
      <c r="M426" s="64">
        <f>IF(N(DJ426)&gt;0,DD426,CW426)</f>
        <v/>
      </c>
      <c r="N426" s="64">
        <f>IF(N(DJ426)&gt;0,DE426,CX426)</f>
        <v/>
      </c>
      <c r="O426" s="64">
        <f>IF(N(DJ426)&gt;0,DF426,CY426)</f>
        <v/>
      </c>
      <c r="P426" s="64">
        <f>IF(N(DJ426)&gt;0,DG426,CZ426)</f>
        <v/>
      </c>
      <c r="Q426" s="64">
        <f>IF(N(DJ426)&gt;0,DH426,DA426)</f>
        <v/>
      </c>
      <c r="R426" s="64">
        <f>IF(N(DJ426)&gt;0,DI426,DB426)</f>
        <v/>
      </c>
      <c r="S426" s="64">
        <f>IF(N(DJ426)&gt;0,DJ426,DC426)</f>
        <v/>
      </c>
      <c r="T426" s="64">
        <f>INDEX(Projects[Currency],425)&amp;""</f>
        <v/>
      </c>
      <c r="U426" s="65">
        <f>INDEX(Projects[Sold Value (M)],425)</f>
        <v/>
      </c>
      <c r="V426" s="64">
        <f>IF('Smart Search'!B13=1,IFERROR(1/'Smart Search'!H13,0),0)</f>
        <v/>
      </c>
      <c r="W426" s="64">
        <f>IF('Smart Search'!B13=1,IFERROR(1/'Smart Search'!H13,0),0)</f>
        <v/>
      </c>
      <c r="X426" s="64">
        <f>IF('Smart Search'!C13=1,IFERROR(1/'Smart Search'!H13,0),0)</f>
        <v/>
      </c>
      <c r="Y426" s="64">
        <f>IF('Smart Search'!C13=1,IFERROR(1/'Smart Search'!H13,0),0)</f>
        <v/>
      </c>
      <c r="Z426" s="64">
        <f>IF('Smart Search'!D13=1,IFERROR(1/'Smart Search'!H13,0),0)</f>
        <v/>
      </c>
      <c r="AA426" s="64">
        <f>IF('Smart Search'!D13=1,IFERROR(1/'Smart Search'!H13,0),0)</f>
        <v/>
      </c>
      <c r="AB426" s="64">
        <f>IF('Smart Search'!E13=1,IFERROR(1/'Smart Search'!H13,0),0)</f>
        <v/>
      </c>
      <c r="AC426" s="64">
        <f>IF('Smart Search'!E13=1,IFERROR(1/'Smart Search'!H13,0),0)</f>
        <v/>
      </c>
      <c r="AD426" s="64">
        <f>IF('Smart Search'!F13=1,IFERROR(1/'Smart Search'!H13,0),0)</f>
        <v/>
      </c>
      <c r="AE426" s="64">
        <f>IF('Smart Search'!F13=1,IFERROR(1/'Smart Search'!H13,0),0)</f>
        <v/>
      </c>
      <c r="AF426" s="64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4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4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4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4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4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4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4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4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4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4">
        <f>AF426*V426</f>
        <v/>
      </c>
      <c r="AQ426" s="64">
        <f>AG426*W426</f>
        <v/>
      </c>
      <c r="AR426" s="64">
        <f>AH426*X426</f>
        <v/>
      </c>
      <c r="AS426" s="64">
        <f>AI426*Y426</f>
        <v/>
      </c>
      <c r="AT426" s="64">
        <f>AJ426*Z426</f>
        <v/>
      </c>
      <c r="AU426" s="64">
        <f>AK426*AA426</f>
        <v/>
      </c>
      <c r="AV426" s="64">
        <f>AL426*AB426</f>
        <v/>
      </c>
      <c r="AW426" s="64">
        <f>AM426*AC426</f>
        <v/>
      </c>
      <c r="AX426" s="64">
        <f>AN426*AD426</f>
        <v/>
      </c>
      <c r="AY426" s="64">
        <f>AO426*AE426</f>
        <v/>
      </c>
      <c r="AZ426" s="64">
        <f>INDEX(Projects[Automation Equipment],425)&amp;""</f>
        <v/>
      </c>
      <c r="BA426" s="64">
        <f>IF(OR(A426="",'Smart Search'!H13=0),"",MAX(0,BE426*BF426*MAX(0,1-BG426)))</f>
        <v/>
      </c>
      <c r="BB426" s="64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4">
        <f>IF('Smart Search'!G13=1,IFERROR(1/'Smart Search'!H13,0),0)</f>
        <v/>
      </c>
      <c r="BD426" s="64">
        <f>BB426*BC426</f>
        <v/>
      </c>
      <c r="BE426" s="64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IF(A426="","",N(INDEX(Projects[Act Mech Inst],425)))</f>
        <v/>
      </c>
      <c r="BK426" s="5">
        <f>IF(A426="","",N(INDEX(Projects[Act Elec Inst],425)))</f>
        <v/>
      </c>
      <c r="BL426" s="5">
        <f>IF(A426="","",N(INDEX(Projects[Act Project Management],425)))</f>
        <v/>
      </c>
      <c r="BM426" s="5">
        <f>IF(A426="","",N(INDEX(Projects[Act Systems Eng],425)))</f>
        <v/>
      </c>
      <c r="BN426" s="5">
        <f>IF(A426="","",N(INDEX(Projects[Act Mechanical Eng],425)))</f>
        <v/>
      </c>
      <c r="BO426" s="5">
        <f>IF(A426="","",N(INDEX(Projects[Act Structural Engineering],425)))</f>
        <v/>
      </c>
      <c r="BP426" s="5">
        <f>IF(A426="","",N(INDEX(Projects[Act Site Sup],425)))</f>
        <v/>
      </c>
      <c r="BQ426" s="5">
        <f>IF(A426="","",N(INDEX(Projects[Act Controls Commissioning],425)))</f>
        <v/>
      </c>
      <c r="BR426" s="5">
        <f>IF(A426="","",N(INDEX(Projects[Act Systems Commissioning],425)))</f>
        <v/>
      </c>
      <c r="BS426" s="5">
        <f>IF(A426="","",N(INDEX(Projects[Act Service Commissioning],425)))</f>
        <v/>
      </c>
      <c r="BT426" s="5">
        <f>IF(A426="","",N(INDEX(Projects[Act Controls Eng],425)))</f>
        <v/>
      </c>
      <c r="BU426" s="5">
        <f>IF(A426="","",N(INDEX(Projects[Act Controls Purchase],425)))</f>
        <v/>
      </c>
      <c r="BV426" s="5">
        <f>IF(A426="","",N(INDEX(Projects[Act Software Eng],425)))</f>
        <v/>
      </c>
      <c r="BW426" s="5">
        <f>IF(A426="","",N(INDEX(Projects[Act 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INDEX(Projects[Sold Value (USD M)],425)</f>
        <v/>
      </c>
      <c r="CE426" s="5" t="n"/>
      <c r="CF426" s="5">
        <f>IF(A426="","",N(INDEX(Projects[Est Mech Inst],425)))</f>
        <v/>
      </c>
      <c r="CG426" s="5">
        <f>IF(A426="","",N(INDEX(Projects[Est Elec Inst],425)))</f>
        <v/>
      </c>
      <c r="CH426" s="5">
        <f>IF(A426="","",N(INDEX(Projects[Est Project Management],425)))</f>
        <v/>
      </c>
      <c r="CI426" s="5">
        <f>IF(A426="","",N(INDEX(Projects[Est Systems Eng],425)))</f>
        <v/>
      </c>
      <c r="CJ426" s="5">
        <f>IF(A426="","",N(INDEX(Projects[Est Mechanical Eng],425)))</f>
        <v/>
      </c>
      <c r="CK426" s="5">
        <f>IF(A426="","",N(INDEX(Projects[Est Structural Engineering],425)))</f>
        <v/>
      </c>
      <c r="CL426" s="5">
        <f>IF(A426="","",N(INDEX(Projects[Est Site Sup],425)))</f>
        <v/>
      </c>
      <c r="CM426" s="5">
        <f>IF(A426="","",N(INDEX(Projects[Est Controls Commissioning],425)))</f>
        <v/>
      </c>
      <c r="CN426" s="5">
        <f>IF(A426="","",N(INDEX(Projects[Est Systems Commissioning],425)))</f>
        <v/>
      </c>
      <c r="CO426" s="5">
        <f>IF(A426="","",N(INDEX(Projects[Est Service Commissioning],425)))</f>
        <v/>
      </c>
      <c r="CP426" s="5">
        <f>IF(A426="","",N(INDEX(Projects[Est Controls Eng],425)))</f>
        <v/>
      </c>
      <c r="CQ426" s="5">
        <f>IF(A426="","",N(INDEX(Projects[Est Controls Purchase],425)))</f>
        <v/>
      </c>
      <c r="CR426" s="5">
        <f>IF(A426="","",N(INDEX(Projects[Est Software Eng],425)))</f>
        <v/>
      </c>
      <c r="CS426" s="5">
        <f>IF(A426="","",N(INDEX(Projects[Est Misc],425)))</f>
        <v/>
      </c>
      <c r="CT426" s="5">
        <f>IF(A426="","",SUM(CF426:CS426))</f>
        <v/>
      </c>
      <c r="CU426" s="5">
        <f>INDEX(Projects[Est Cost (M)],425)</f>
        <v/>
      </c>
      <c r="CV426" s="5">
        <f>INDEX(Projects[Act Cost (M)],425)</f>
        <v/>
      </c>
      <c r="CW426" s="5">
        <f>INDEX(Projects[Plan Mech Eng (wks)],425)</f>
        <v/>
      </c>
      <c r="CX426" s="5">
        <f>INDEX(Projects[Plan Controls Eng (wks)],425)</f>
        <v/>
      </c>
      <c r="CY426" s="5">
        <f>INDEX(Projects[Plan Systems Eng (wks)],425)</f>
        <v/>
      </c>
      <c r="CZ426" s="5">
        <f>INDEX(Projects[Plan Software Eng (wks)],425)</f>
        <v/>
      </c>
      <c r="DA426" s="5">
        <f>INDEX(Projects[Plan M&amp;E Installation (wks)],425)</f>
        <v/>
      </c>
      <c r="DB426" s="5">
        <f>INDEX(Projects[Plan Commissioning (wks)],425)</f>
        <v/>
      </c>
      <c r="DC426" s="5">
        <f>INDEX(Projects[Plan Total (wks)],425)</f>
        <v/>
      </c>
      <c r="DD426" s="5">
        <f>INDEX(Projects[Act Mech Eng (wks)],425)</f>
        <v/>
      </c>
      <c r="DE426" s="5">
        <f>INDEX(Projects[Act Controls Eng (wks)],425)</f>
        <v/>
      </c>
      <c r="DF426" s="5">
        <f>INDEX(Projects[Act Systems Eng (wks)],425)</f>
        <v/>
      </c>
      <c r="DG426" s="5">
        <f>INDEX(Projects[Act Software Eng (wks)],425)</f>
        <v/>
      </c>
      <c r="DH426" s="5">
        <f>INDEX(Projects[Act M&amp;E Installation (wks)],425)</f>
        <v/>
      </c>
      <c r="DI426" s="5">
        <f>INDEX(Projects[Act Commissioning (wks)],425)</f>
        <v/>
      </c>
      <c r="DJ426" s="5">
        <f>INDEX(Projects[Act Total (wks)],425)</f>
        <v/>
      </c>
    </row>
    <row r="427" ht="15" customHeight="1" s="82">
      <c r="A427" s="64">
        <f>INDEX(Projects[Project ID *],426)&amp;""</f>
        <v/>
      </c>
      <c r="B427" s="64">
        <f>INDEX(Projects[Project Name *],426)&amp;""</f>
        <v/>
      </c>
      <c r="C427" s="64">
        <f>INDEX(Projects[MS Shuttles],426)</f>
        <v/>
      </c>
      <c r="D427" s="64">
        <f>INDEX(Projects[MS Tote Locations],426)</f>
        <v/>
      </c>
      <c r="E427" s="64">
        <f>INDEX(Projects[AS Robots],426)</f>
        <v/>
      </c>
      <c r="F427" s="64">
        <f>INDEX(Projects[AS Tote Locations],426)</f>
        <v/>
      </c>
      <c r="G427" s="64">
        <f>INDEX(Projects[PS Shuttles],426)</f>
        <v/>
      </c>
      <c r="H427" s="64">
        <f>INDEX(Projects[PS Pallet Locations],426)</f>
        <v/>
      </c>
      <c r="I427" s="64">
        <f>INDEX(Projects[SRM Cranes],426)</f>
        <v/>
      </c>
      <c r="J427" s="64">
        <f>INDEX(Projects[SRM Pallet Locations],426)</f>
        <v/>
      </c>
      <c r="K427" s="64">
        <f>INDEX(Projects[Case Conv (m)],426)</f>
        <v/>
      </c>
      <c r="L427" s="64">
        <f>INDEX(Projects[Pallet Conv (m)],426)</f>
        <v/>
      </c>
      <c r="M427" s="64">
        <f>IF(N(DJ427)&gt;0,DD427,CW427)</f>
        <v/>
      </c>
      <c r="N427" s="64">
        <f>IF(N(DJ427)&gt;0,DE427,CX427)</f>
        <v/>
      </c>
      <c r="O427" s="64">
        <f>IF(N(DJ427)&gt;0,DF427,CY427)</f>
        <v/>
      </c>
      <c r="P427" s="64">
        <f>IF(N(DJ427)&gt;0,DG427,CZ427)</f>
        <v/>
      </c>
      <c r="Q427" s="64">
        <f>IF(N(DJ427)&gt;0,DH427,DA427)</f>
        <v/>
      </c>
      <c r="R427" s="64">
        <f>IF(N(DJ427)&gt;0,DI427,DB427)</f>
        <v/>
      </c>
      <c r="S427" s="64">
        <f>IF(N(DJ427)&gt;0,DJ427,DC427)</f>
        <v/>
      </c>
      <c r="T427" s="64">
        <f>INDEX(Projects[Currency],426)&amp;""</f>
        <v/>
      </c>
      <c r="U427" s="65">
        <f>INDEX(Projects[Sold Value (M)],426)</f>
        <v/>
      </c>
      <c r="V427" s="64">
        <f>IF('Smart Search'!B13=1,IFERROR(1/'Smart Search'!H13,0),0)</f>
        <v/>
      </c>
      <c r="W427" s="64">
        <f>IF('Smart Search'!B13=1,IFERROR(1/'Smart Search'!H13,0),0)</f>
        <v/>
      </c>
      <c r="X427" s="64">
        <f>IF('Smart Search'!C13=1,IFERROR(1/'Smart Search'!H13,0),0)</f>
        <v/>
      </c>
      <c r="Y427" s="64">
        <f>IF('Smart Search'!C13=1,IFERROR(1/'Smart Search'!H13,0),0)</f>
        <v/>
      </c>
      <c r="Z427" s="64">
        <f>IF('Smart Search'!D13=1,IFERROR(1/'Smart Search'!H13,0),0)</f>
        <v/>
      </c>
      <c r="AA427" s="64">
        <f>IF('Smart Search'!D13=1,IFERROR(1/'Smart Search'!H13,0),0)</f>
        <v/>
      </c>
      <c r="AB427" s="64">
        <f>IF('Smart Search'!E13=1,IFERROR(1/'Smart Search'!H13,0),0)</f>
        <v/>
      </c>
      <c r="AC427" s="64">
        <f>IF('Smart Search'!E13=1,IFERROR(1/'Smart Search'!H13,0),0)</f>
        <v/>
      </c>
      <c r="AD427" s="64">
        <f>IF('Smart Search'!F13=1,IFERROR(1/'Smart Search'!H13,0),0)</f>
        <v/>
      </c>
      <c r="AE427" s="64">
        <f>IF('Smart Search'!F13=1,IFERROR(1/'Smart Search'!H13,0),0)</f>
        <v/>
      </c>
      <c r="AF427" s="64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4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4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4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4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4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4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4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4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4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4">
        <f>AF427*V427</f>
        <v/>
      </c>
      <c r="AQ427" s="64">
        <f>AG427*W427</f>
        <v/>
      </c>
      <c r="AR427" s="64">
        <f>AH427*X427</f>
        <v/>
      </c>
      <c r="AS427" s="64">
        <f>AI427*Y427</f>
        <v/>
      </c>
      <c r="AT427" s="64">
        <f>AJ427*Z427</f>
        <v/>
      </c>
      <c r="AU427" s="64">
        <f>AK427*AA427</f>
        <v/>
      </c>
      <c r="AV427" s="64">
        <f>AL427*AB427</f>
        <v/>
      </c>
      <c r="AW427" s="64">
        <f>AM427*AC427</f>
        <v/>
      </c>
      <c r="AX427" s="64">
        <f>AN427*AD427</f>
        <v/>
      </c>
      <c r="AY427" s="64">
        <f>AO427*AE427</f>
        <v/>
      </c>
      <c r="AZ427" s="64">
        <f>INDEX(Projects[Automation Equipment],426)&amp;""</f>
        <v/>
      </c>
      <c r="BA427" s="64">
        <f>IF(OR(A427="",'Smart Search'!H13=0),"",MAX(0,BE427*BF427*MAX(0,1-BG427)))</f>
        <v/>
      </c>
      <c r="BB427" s="64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4">
        <f>IF('Smart Search'!G13=1,IFERROR(1/'Smart Search'!H13,0),0)</f>
        <v/>
      </c>
      <c r="BD427" s="64">
        <f>BB427*BC427</f>
        <v/>
      </c>
      <c r="BE427" s="64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IF(A427="","",N(INDEX(Projects[Act Mech Inst],426)))</f>
        <v/>
      </c>
      <c r="BK427" s="5">
        <f>IF(A427="","",N(INDEX(Projects[Act Elec Inst],426)))</f>
        <v/>
      </c>
      <c r="BL427" s="5">
        <f>IF(A427="","",N(INDEX(Projects[Act Project Management],426)))</f>
        <v/>
      </c>
      <c r="BM427" s="5">
        <f>IF(A427="","",N(INDEX(Projects[Act Systems Eng],426)))</f>
        <v/>
      </c>
      <c r="BN427" s="5">
        <f>IF(A427="","",N(INDEX(Projects[Act Mechanical Eng],426)))</f>
        <v/>
      </c>
      <c r="BO427" s="5">
        <f>IF(A427="","",N(INDEX(Projects[Act Structural Engineering],426)))</f>
        <v/>
      </c>
      <c r="BP427" s="5">
        <f>IF(A427="","",N(INDEX(Projects[Act Site Sup],426)))</f>
        <v/>
      </c>
      <c r="BQ427" s="5">
        <f>IF(A427="","",N(INDEX(Projects[Act Controls Commissioning],426)))</f>
        <v/>
      </c>
      <c r="BR427" s="5">
        <f>IF(A427="","",N(INDEX(Projects[Act Systems Commissioning],426)))</f>
        <v/>
      </c>
      <c r="BS427" s="5">
        <f>IF(A427="","",N(INDEX(Projects[Act Service Commissioning],426)))</f>
        <v/>
      </c>
      <c r="BT427" s="5">
        <f>IF(A427="","",N(INDEX(Projects[Act Controls Eng],426)))</f>
        <v/>
      </c>
      <c r="BU427" s="5">
        <f>IF(A427="","",N(INDEX(Projects[Act Controls Purchase],426)))</f>
        <v/>
      </c>
      <c r="BV427" s="5">
        <f>IF(A427="","",N(INDEX(Projects[Act Software Eng],426)))</f>
        <v/>
      </c>
      <c r="BW427" s="5">
        <f>IF(A427="","",N(INDEX(Projects[Act 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INDEX(Projects[Sold Value (USD M)],426)</f>
        <v/>
      </c>
      <c r="CE427" s="5" t="n"/>
      <c r="CF427" s="5">
        <f>IF(A427="","",N(INDEX(Projects[Est Mech Inst],426)))</f>
        <v/>
      </c>
      <c r="CG427" s="5">
        <f>IF(A427="","",N(INDEX(Projects[Est Elec Inst],426)))</f>
        <v/>
      </c>
      <c r="CH427" s="5">
        <f>IF(A427="","",N(INDEX(Projects[Est Project Management],426)))</f>
        <v/>
      </c>
      <c r="CI427" s="5">
        <f>IF(A427="","",N(INDEX(Projects[Est Systems Eng],426)))</f>
        <v/>
      </c>
      <c r="CJ427" s="5">
        <f>IF(A427="","",N(INDEX(Projects[Est Mechanical Eng],426)))</f>
        <v/>
      </c>
      <c r="CK427" s="5">
        <f>IF(A427="","",N(INDEX(Projects[Est Structural Engineering],426)))</f>
        <v/>
      </c>
      <c r="CL427" s="5">
        <f>IF(A427="","",N(INDEX(Projects[Est Site Sup],426)))</f>
        <v/>
      </c>
      <c r="CM427" s="5">
        <f>IF(A427="","",N(INDEX(Projects[Est Controls Commissioning],426)))</f>
        <v/>
      </c>
      <c r="CN427" s="5">
        <f>IF(A427="","",N(INDEX(Projects[Est Systems Commissioning],426)))</f>
        <v/>
      </c>
      <c r="CO427" s="5">
        <f>IF(A427="","",N(INDEX(Projects[Est Service Commissioning],426)))</f>
        <v/>
      </c>
      <c r="CP427" s="5">
        <f>IF(A427="","",N(INDEX(Projects[Est Controls Eng],426)))</f>
        <v/>
      </c>
      <c r="CQ427" s="5">
        <f>IF(A427="","",N(INDEX(Projects[Est Controls Purchase],426)))</f>
        <v/>
      </c>
      <c r="CR427" s="5">
        <f>IF(A427="","",N(INDEX(Projects[Est Software Eng],426)))</f>
        <v/>
      </c>
      <c r="CS427" s="5">
        <f>IF(A427="","",N(INDEX(Projects[Est Misc],426)))</f>
        <v/>
      </c>
      <c r="CT427" s="5">
        <f>IF(A427="","",SUM(CF427:CS427))</f>
        <v/>
      </c>
      <c r="CU427" s="5">
        <f>INDEX(Projects[Est Cost (M)],426)</f>
        <v/>
      </c>
      <c r="CV427" s="5">
        <f>INDEX(Projects[Act Cost (M)],426)</f>
        <v/>
      </c>
      <c r="CW427" s="5">
        <f>INDEX(Projects[Plan Mech Eng (wks)],426)</f>
        <v/>
      </c>
      <c r="CX427" s="5">
        <f>INDEX(Projects[Plan Controls Eng (wks)],426)</f>
        <v/>
      </c>
      <c r="CY427" s="5">
        <f>INDEX(Projects[Plan Systems Eng (wks)],426)</f>
        <v/>
      </c>
      <c r="CZ427" s="5">
        <f>INDEX(Projects[Plan Software Eng (wks)],426)</f>
        <v/>
      </c>
      <c r="DA427" s="5">
        <f>INDEX(Projects[Plan M&amp;E Installation (wks)],426)</f>
        <v/>
      </c>
      <c r="DB427" s="5">
        <f>INDEX(Projects[Plan Commissioning (wks)],426)</f>
        <v/>
      </c>
      <c r="DC427" s="5">
        <f>INDEX(Projects[Plan Total (wks)],426)</f>
        <v/>
      </c>
      <c r="DD427" s="5">
        <f>INDEX(Projects[Act Mech Eng (wks)],426)</f>
        <v/>
      </c>
      <c r="DE427" s="5">
        <f>INDEX(Projects[Act Controls Eng (wks)],426)</f>
        <v/>
      </c>
      <c r="DF427" s="5">
        <f>INDEX(Projects[Act Systems Eng (wks)],426)</f>
        <v/>
      </c>
      <c r="DG427" s="5">
        <f>INDEX(Projects[Act Software Eng (wks)],426)</f>
        <v/>
      </c>
      <c r="DH427" s="5">
        <f>INDEX(Projects[Act M&amp;E Installation (wks)],426)</f>
        <v/>
      </c>
      <c r="DI427" s="5">
        <f>INDEX(Projects[Act Commissioning (wks)],426)</f>
        <v/>
      </c>
      <c r="DJ427" s="5">
        <f>INDEX(Projects[Act Total (wks)],426)</f>
        <v/>
      </c>
    </row>
    <row r="428" ht="15" customHeight="1" s="82">
      <c r="A428" s="64">
        <f>INDEX(Projects[Project ID *],427)&amp;""</f>
        <v/>
      </c>
      <c r="B428" s="64">
        <f>INDEX(Projects[Project Name *],427)&amp;""</f>
        <v/>
      </c>
      <c r="C428" s="64">
        <f>INDEX(Projects[MS Shuttles],427)</f>
        <v/>
      </c>
      <c r="D428" s="64">
        <f>INDEX(Projects[MS Tote Locations],427)</f>
        <v/>
      </c>
      <c r="E428" s="64">
        <f>INDEX(Projects[AS Robots],427)</f>
        <v/>
      </c>
      <c r="F428" s="64">
        <f>INDEX(Projects[AS Tote Locations],427)</f>
        <v/>
      </c>
      <c r="G428" s="64">
        <f>INDEX(Projects[PS Shuttles],427)</f>
        <v/>
      </c>
      <c r="H428" s="64">
        <f>INDEX(Projects[PS Pallet Locations],427)</f>
        <v/>
      </c>
      <c r="I428" s="64">
        <f>INDEX(Projects[SRM Cranes],427)</f>
        <v/>
      </c>
      <c r="J428" s="64">
        <f>INDEX(Projects[SRM Pallet Locations],427)</f>
        <v/>
      </c>
      <c r="K428" s="64">
        <f>INDEX(Projects[Case Conv (m)],427)</f>
        <v/>
      </c>
      <c r="L428" s="64">
        <f>INDEX(Projects[Pallet Conv (m)],427)</f>
        <v/>
      </c>
      <c r="M428" s="64">
        <f>IF(N(DJ428)&gt;0,DD428,CW428)</f>
        <v/>
      </c>
      <c r="N428" s="64">
        <f>IF(N(DJ428)&gt;0,DE428,CX428)</f>
        <v/>
      </c>
      <c r="O428" s="64">
        <f>IF(N(DJ428)&gt;0,DF428,CY428)</f>
        <v/>
      </c>
      <c r="P428" s="64">
        <f>IF(N(DJ428)&gt;0,DG428,CZ428)</f>
        <v/>
      </c>
      <c r="Q428" s="64">
        <f>IF(N(DJ428)&gt;0,DH428,DA428)</f>
        <v/>
      </c>
      <c r="R428" s="64">
        <f>IF(N(DJ428)&gt;0,DI428,DB428)</f>
        <v/>
      </c>
      <c r="S428" s="64">
        <f>IF(N(DJ428)&gt;0,DJ428,DC428)</f>
        <v/>
      </c>
      <c r="T428" s="64">
        <f>INDEX(Projects[Currency],427)&amp;""</f>
        <v/>
      </c>
      <c r="U428" s="65">
        <f>INDEX(Projects[Sold Value (M)],427)</f>
        <v/>
      </c>
      <c r="V428" s="64">
        <f>IF('Smart Search'!B13=1,IFERROR(1/'Smart Search'!H13,0),0)</f>
        <v/>
      </c>
      <c r="W428" s="64">
        <f>IF('Smart Search'!B13=1,IFERROR(1/'Smart Search'!H13,0),0)</f>
        <v/>
      </c>
      <c r="X428" s="64">
        <f>IF('Smart Search'!C13=1,IFERROR(1/'Smart Search'!H13,0),0)</f>
        <v/>
      </c>
      <c r="Y428" s="64">
        <f>IF('Smart Search'!C13=1,IFERROR(1/'Smart Search'!H13,0),0)</f>
        <v/>
      </c>
      <c r="Z428" s="64">
        <f>IF('Smart Search'!D13=1,IFERROR(1/'Smart Search'!H13,0),0)</f>
        <v/>
      </c>
      <c r="AA428" s="64">
        <f>IF('Smart Search'!D13=1,IFERROR(1/'Smart Search'!H13,0),0)</f>
        <v/>
      </c>
      <c r="AB428" s="64">
        <f>IF('Smart Search'!E13=1,IFERROR(1/'Smart Search'!H13,0),0)</f>
        <v/>
      </c>
      <c r="AC428" s="64">
        <f>IF('Smart Search'!E13=1,IFERROR(1/'Smart Search'!H13,0),0)</f>
        <v/>
      </c>
      <c r="AD428" s="64">
        <f>IF('Smart Search'!F13=1,IFERROR(1/'Smart Search'!H13,0),0)</f>
        <v/>
      </c>
      <c r="AE428" s="64">
        <f>IF('Smart Search'!F13=1,IFERROR(1/'Smart Search'!H13,0),0)</f>
        <v/>
      </c>
      <c r="AF428" s="64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4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4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4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4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4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4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4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4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4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4">
        <f>AF428*V428</f>
        <v/>
      </c>
      <c r="AQ428" s="64">
        <f>AG428*W428</f>
        <v/>
      </c>
      <c r="AR428" s="64">
        <f>AH428*X428</f>
        <v/>
      </c>
      <c r="AS428" s="64">
        <f>AI428*Y428</f>
        <v/>
      </c>
      <c r="AT428" s="64">
        <f>AJ428*Z428</f>
        <v/>
      </c>
      <c r="AU428" s="64">
        <f>AK428*AA428</f>
        <v/>
      </c>
      <c r="AV428" s="64">
        <f>AL428*AB428</f>
        <v/>
      </c>
      <c r="AW428" s="64">
        <f>AM428*AC428</f>
        <v/>
      </c>
      <c r="AX428" s="64">
        <f>AN428*AD428</f>
        <v/>
      </c>
      <c r="AY428" s="64">
        <f>AO428*AE428</f>
        <v/>
      </c>
      <c r="AZ428" s="64">
        <f>INDEX(Projects[Automation Equipment],427)&amp;""</f>
        <v/>
      </c>
      <c r="BA428" s="64">
        <f>IF(OR(A428="",'Smart Search'!H13=0),"",MAX(0,BE428*BF428*MAX(0,1-BG428)))</f>
        <v/>
      </c>
      <c r="BB428" s="64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4">
        <f>IF('Smart Search'!G13=1,IFERROR(1/'Smart Search'!H13,0),0)</f>
        <v/>
      </c>
      <c r="BD428" s="64">
        <f>BB428*BC428</f>
        <v/>
      </c>
      <c r="BE428" s="64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IF(A428="","",N(INDEX(Projects[Act Mech Inst],427)))</f>
        <v/>
      </c>
      <c r="BK428" s="5">
        <f>IF(A428="","",N(INDEX(Projects[Act Elec Inst],427)))</f>
        <v/>
      </c>
      <c r="BL428" s="5">
        <f>IF(A428="","",N(INDEX(Projects[Act Project Management],427)))</f>
        <v/>
      </c>
      <c r="BM428" s="5">
        <f>IF(A428="","",N(INDEX(Projects[Act Systems Eng],427)))</f>
        <v/>
      </c>
      <c r="BN428" s="5">
        <f>IF(A428="","",N(INDEX(Projects[Act Mechanical Eng],427)))</f>
        <v/>
      </c>
      <c r="BO428" s="5">
        <f>IF(A428="","",N(INDEX(Projects[Act Structural Engineering],427)))</f>
        <v/>
      </c>
      <c r="BP428" s="5">
        <f>IF(A428="","",N(INDEX(Projects[Act Site Sup],427)))</f>
        <v/>
      </c>
      <c r="BQ428" s="5">
        <f>IF(A428="","",N(INDEX(Projects[Act Controls Commissioning],427)))</f>
        <v/>
      </c>
      <c r="BR428" s="5">
        <f>IF(A428="","",N(INDEX(Projects[Act Systems Commissioning],427)))</f>
        <v/>
      </c>
      <c r="BS428" s="5">
        <f>IF(A428="","",N(INDEX(Projects[Act Service Commissioning],427)))</f>
        <v/>
      </c>
      <c r="BT428" s="5">
        <f>IF(A428="","",N(INDEX(Projects[Act Controls Eng],427)))</f>
        <v/>
      </c>
      <c r="BU428" s="5">
        <f>IF(A428="","",N(INDEX(Projects[Act Controls Purchase],427)))</f>
        <v/>
      </c>
      <c r="BV428" s="5">
        <f>IF(A428="","",N(INDEX(Projects[Act Software Eng],427)))</f>
        <v/>
      </c>
      <c r="BW428" s="5">
        <f>IF(A428="","",N(INDEX(Projects[Act 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INDEX(Projects[Sold Value (USD M)],427)</f>
        <v/>
      </c>
      <c r="CE428" s="5" t="n"/>
      <c r="CF428" s="5">
        <f>IF(A428="","",N(INDEX(Projects[Est Mech Inst],427)))</f>
        <v/>
      </c>
      <c r="CG428" s="5">
        <f>IF(A428="","",N(INDEX(Projects[Est Elec Inst],427)))</f>
        <v/>
      </c>
      <c r="CH428" s="5">
        <f>IF(A428="","",N(INDEX(Projects[Est Project Management],427)))</f>
        <v/>
      </c>
      <c r="CI428" s="5">
        <f>IF(A428="","",N(INDEX(Projects[Est Systems Eng],427)))</f>
        <v/>
      </c>
      <c r="CJ428" s="5">
        <f>IF(A428="","",N(INDEX(Projects[Est Mechanical Eng],427)))</f>
        <v/>
      </c>
      <c r="CK428" s="5">
        <f>IF(A428="","",N(INDEX(Projects[Est Structural Engineering],427)))</f>
        <v/>
      </c>
      <c r="CL428" s="5">
        <f>IF(A428="","",N(INDEX(Projects[Est Site Sup],427)))</f>
        <v/>
      </c>
      <c r="CM428" s="5">
        <f>IF(A428="","",N(INDEX(Projects[Est Controls Commissioning],427)))</f>
        <v/>
      </c>
      <c r="CN428" s="5">
        <f>IF(A428="","",N(INDEX(Projects[Est Systems Commissioning],427)))</f>
        <v/>
      </c>
      <c r="CO428" s="5">
        <f>IF(A428="","",N(INDEX(Projects[Est Service Commissioning],427)))</f>
        <v/>
      </c>
      <c r="CP428" s="5">
        <f>IF(A428="","",N(INDEX(Projects[Est Controls Eng],427)))</f>
        <v/>
      </c>
      <c r="CQ428" s="5">
        <f>IF(A428="","",N(INDEX(Projects[Est Controls Purchase],427)))</f>
        <v/>
      </c>
      <c r="CR428" s="5">
        <f>IF(A428="","",N(INDEX(Projects[Est Software Eng],427)))</f>
        <v/>
      </c>
      <c r="CS428" s="5">
        <f>IF(A428="","",N(INDEX(Projects[Est Misc],427)))</f>
        <v/>
      </c>
      <c r="CT428" s="5">
        <f>IF(A428="","",SUM(CF428:CS428))</f>
        <v/>
      </c>
      <c r="CU428" s="5">
        <f>INDEX(Projects[Est Cost (M)],427)</f>
        <v/>
      </c>
      <c r="CV428" s="5">
        <f>INDEX(Projects[Act Cost (M)],427)</f>
        <v/>
      </c>
      <c r="CW428" s="5">
        <f>INDEX(Projects[Plan Mech Eng (wks)],427)</f>
        <v/>
      </c>
      <c r="CX428" s="5">
        <f>INDEX(Projects[Plan Controls Eng (wks)],427)</f>
        <v/>
      </c>
      <c r="CY428" s="5">
        <f>INDEX(Projects[Plan Systems Eng (wks)],427)</f>
        <v/>
      </c>
      <c r="CZ428" s="5">
        <f>INDEX(Projects[Plan Software Eng (wks)],427)</f>
        <v/>
      </c>
      <c r="DA428" s="5">
        <f>INDEX(Projects[Plan M&amp;E Installation (wks)],427)</f>
        <v/>
      </c>
      <c r="DB428" s="5">
        <f>INDEX(Projects[Plan Commissioning (wks)],427)</f>
        <v/>
      </c>
      <c r="DC428" s="5">
        <f>INDEX(Projects[Plan Total (wks)],427)</f>
        <v/>
      </c>
      <c r="DD428" s="5">
        <f>INDEX(Projects[Act Mech Eng (wks)],427)</f>
        <v/>
      </c>
      <c r="DE428" s="5">
        <f>INDEX(Projects[Act Controls Eng (wks)],427)</f>
        <v/>
      </c>
      <c r="DF428" s="5">
        <f>INDEX(Projects[Act Systems Eng (wks)],427)</f>
        <v/>
      </c>
      <c r="DG428" s="5">
        <f>INDEX(Projects[Act Software Eng (wks)],427)</f>
        <v/>
      </c>
      <c r="DH428" s="5">
        <f>INDEX(Projects[Act M&amp;E Installation (wks)],427)</f>
        <v/>
      </c>
      <c r="DI428" s="5">
        <f>INDEX(Projects[Act Commissioning (wks)],427)</f>
        <v/>
      </c>
      <c r="DJ428" s="5">
        <f>INDEX(Projects[Act Total (wks)],427)</f>
        <v/>
      </c>
    </row>
    <row r="429" ht="15" customHeight="1" s="82">
      <c r="A429" s="64">
        <f>INDEX(Projects[Project ID *],428)&amp;""</f>
        <v/>
      </c>
      <c r="B429" s="64">
        <f>INDEX(Projects[Project Name *],428)&amp;""</f>
        <v/>
      </c>
      <c r="C429" s="64">
        <f>INDEX(Projects[MS Shuttles],428)</f>
        <v/>
      </c>
      <c r="D429" s="64">
        <f>INDEX(Projects[MS Tote Locations],428)</f>
        <v/>
      </c>
      <c r="E429" s="64">
        <f>INDEX(Projects[AS Robots],428)</f>
        <v/>
      </c>
      <c r="F429" s="64">
        <f>INDEX(Projects[AS Tote Locations],428)</f>
        <v/>
      </c>
      <c r="G429" s="64">
        <f>INDEX(Projects[PS Shuttles],428)</f>
        <v/>
      </c>
      <c r="H429" s="64">
        <f>INDEX(Projects[PS Pallet Locations],428)</f>
        <v/>
      </c>
      <c r="I429" s="64">
        <f>INDEX(Projects[SRM Cranes],428)</f>
        <v/>
      </c>
      <c r="J429" s="64">
        <f>INDEX(Projects[SRM Pallet Locations],428)</f>
        <v/>
      </c>
      <c r="K429" s="64">
        <f>INDEX(Projects[Case Conv (m)],428)</f>
        <v/>
      </c>
      <c r="L429" s="64">
        <f>INDEX(Projects[Pallet Conv (m)],428)</f>
        <v/>
      </c>
      <c r="M429" s="64">
        <f>IF(N(DJ429)&gt;0,DD429,CW429)</f>
        <v/>
      </c>
      <c r="N429" s="64">
        <f>IF(N(DJ429)&gt;0,DE429,CX429)</f>
        <v/>
      </c>
      <c r="O429" s="64">
        <f>IF(N(DJ429)&gt;0,DF429,CY429)</f>
        <v/>
      </c>
      <c r="P429" s="64">
        <f>IF(N(DJ429)&gt;0,DG429,CZ429)</f>
        <v/>
      </c>
      <c r="Q429" s="64">
        <f>IF(N(DJ429)&gt;0,DH429,DA429)</f>
        <v/>
      </c>
      <c r="R429" s="64">
        <f>IF(N(DJ429)&gt;0,DI429,DB429)</f>
        <v/>
      </c>
      <c r="S429" s="64">
        <f>IF(N(DJ429)&gt;0,DJ429,DC429)</f>
        <v/>
      </c>
      <c r="T429" s="64">
        <f>INDEX(Projects[Currency],428)&amp;""</f>
        <v/>
      </c>
      <c r="U429" s="65">
        <f>INDEX(Projects[Sold Value (M)],428)</f>
        <v/>
      </c>
      <c r="V429" s="64">
        <f>IF('Smart Search'!B13=1,IFERROR(1/'Smart Search'!H13,0),0)</f>
        <v/>
      </c>
      <c r="W429" s="64">
        <f>IF('Smart Search'!B13=1,IFERROR(1/'Smart Search'!H13,0),0)</f>
        <v/>
      </c>
      <c r="X429" s="64">
        <f>IF('Smart Search'!C13=1,IFERROR(1/'Smart Search'!H13,0),0)</f>
        <v/>
      </c>
      <c r="Y429" s="64">
        <f>IF('Smart Search'!C13=1,IFERROR(1/'Smart Search'!H13,0),0)</f>
        <v/>
      </c>
      <c r="Z429" s="64">
        <f>IF('Smart Search'!D13=1,IFERROR(1/'Smart Search'!H13,0),0)</f>
        <v/>
      </c>
      <c r="AA429" s="64">
        <f>IF('Smart Search'!D13=1,IFERROR(1/'Smart Search'!H13,0),0)</f>
        <v/>
      </c>
      <c r="AB429" s="64">
        <f>IF('Smart Search'!E13=1,IFERROR(1/'Smart Search'!H13,0),0)</f>
        <v/>
      </c>
      <c r="AC429" s="64">
        <f>IF('Smart Search'!E13=1,IFERROR(1/'Smart Search'!H13,0),0)</f>
        <v/>
      </c>
      <c r="AD429" s="64">
        <f>IF('Smart Search'!F13=1,IFERROR(1/'Smart Search'!H13,0),0)</f>
        <v/>
      </c>
      <c r="AE429" s="64">
        <f>IF('Smart Search'!F13=1,IFERROR(1/'Smart Search'!H13,0),0)</f>
        <v/>
      </c>
      <c r="AF429" s="64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4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4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4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4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4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4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4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4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4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4">
        <f>AF429*V429</f>
        <v/>
      </c>
      <c r="AQ429" s="64">
        <f>AG429*W429</f>
        <v/>
      </c>
      <c r="AR429" s="64">
        <f>AH429*X429</f>
        <v/>
      </c>
      <c r="AS429" s="64">
        <f>AI429*Y429</f>
        <v/>
      </c>
      <c r="AT429" s="64">
        <f>AJ429*Z429</f>
        <v/>
      </c>
      <c r="AU429" s="64">
        <f>AK429*AA429</f>
        <v/>
      </c>
      <c r="AV429" s="64">
        <f>AL429*AB429</f>
        <v/>
      </c>
      <c r="AW429" s="64">
        <f>AM429*AC429</f>
        <v/>
      </c>
      <c r="AX429" s="64">
        <f>AN429*AD429</f>
        <v/>
      </c>
      <c r="AY429" s="64">
        <f>AO429*AE429</f>
        <v/>
      </c>
      <c r="AZ429" s="64">
        <f>INDEX(Projects[Automation Equipment],428)&amp;""</f>
        <v/>
      </c>
      <c r="BA429" s="64">
        <f>IF(OR(A429="",'Smart Search'!H13=0),"",MAX(0,BE429*BF429*MAX(0,1-BG429)))</f>
        <v/>
      </c>
      <c r="BB429" s="64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4">
        <f>IF('Smart Search'!G13=1,IFERROR(1/'Smart Search'!H13,0),0)</f>
        <v/>
      </c>
      <c r="BD429" s="64">
        <f>BB429*BC429</f>
        <v/>
      </c>
      <c r="BE429" s="64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IF(A429="","",N(INDEX(Projects[Act Mech Inst],428)))</f>
        <v/>
      </c>
      <c r="BK429" s="5">
        <f>IF(A429="","",N(INDEX(Projects[Act Elec Inst],428)))</f>
        <v/>
      </c>
      <c r="BL429" s="5">
        <f>IF(A429="","",N(INDEX(Projects[Act Project Management],428)))</f>
        <v/>
      </c>
      <c r="BM429" s="5">
        <f>IF(A429="","",N(INDEX(Projects[Act Systems Eng],428)))</f>
        <v/>
      </c>
      <c r="BN429" s="5">
        <f>IF(A429="","",N(INDEX(Projects[Act Mechanical Eng],428)))</f>
        <v/>
      </c>
      <c r="BO429" s="5">
        <f>IF(A429="","",N(INDEX(Projects[Act Structural Engineering],428)))</f>
        <v/>
      </c>
      <c r="BP429" s="5">
        <f>IF(A429="","",N(INDEX(Projects[Act Site Sup],428)))</f>
        <v/>
      </c>
      <c r="BQ429" s="5">
        <f>IF(A429="","",N(INDEX(Projects[Act Controls Commissioning],428)))</f>
        <v/>
      </c>
      <c r="BR429" s="5">
        <f>IF(A429="","",N(INDEX(Projects[Act Systems Commissioning],428)))</f>
        <v/>
      </c>
      <c r="BS429" s="5">
        <f>IF(A429="","",N(INDEX(Projects[Act Service Commissioning],428)))</f>
        <v/>
      </c>
      <c r="BT429" s="5">
        <f>IF(A429="","",N(INDEX(Projects[Act Controls Eng],428)))</f>
        <v/>
      </c>
      <c r="BU429" s="5">
        <f>IF(A429="","",N(INDEX(Projects[Act Controls Purchase],428)))</f>
        <v/>
      </c>
      <c r="BV429" s="5">
        <f>IF(A429="","",N(INDEX(Projects[Act Software Eng],428)))</f>
        <v/>
      </c>
      <c r="BW429" s="5">
        <f>IF(A429="","",N(INDEX(Projects[Act 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INDEX(Projects[Sold Value (USD M)],428)</f>
        <v/>
      </c>
      <c r="CE429" s="5" t="n"/>
      <c r="CF429" s="5">
        <f>IF(A429="","",N(INDEX(Projects[Est Mech Inst],428)))</f>
        <v/>
      </c>
      <c r="CG429" s="5">
        <f>IF(A429="","",N(INDEX(Projects[Est Elec Inst],428)))</f>
        <v/>
      </c>
      <c r="CH429" s="5">
        <f>IF(A429="","",N(INDEX(Projects[Est Project Management],428)))</f>
        <v/>
      </c>
      <c r="CI429" s="5">
        <f>IF(A429="","",N(INDEX(Projects[Est Systems Eng],428)))</f>
        <v/>
      </c>
      <c r="CJ429" s="5">
        <f>IF(A429="","",N(INDEX(Projects[Est Mechanical Eng],428)))</f>
        <v/>
      </c>
      <c r="CK429" s="5">
        <f>IF(A429="","",N(INDEX(Projects[Est Structural Engineering],428)))</f>
        <v/>
      </c>
      <c r="CL429" s="5">
        <f>IF(A429="","",N(INDEX(Projects[Est Site Sup],428)))</f>
        <v/>
      </c>
      <c r="CM429" s="5">
        <f>IF(A429="","",N(INDEX(Projects[Est Controls Commissioning],428)))</f>
        <v/>
      </c>
      <c r="CN429" s="5">
        <f>IF(A429="","",N(INDEX(Projects[Est Systems Commissioning],428)))</f>
        <v/>
      </c>
      <c r="CO429" s="5">
        <f>IF(A429="","",N(INDEX(Projects[Est Service Commissioning],428)))</f>
        <v/>
      </c>
      <c r="CP429" s="5">
        <f>IF(A429="","",N(INDEX(Projects[Est Controls Eng],428)))</f>
        <v/>
      </c>
      <c r="CQ429" s="5">
        <f>IF(A429="","",N(INDEX(Projects[Est Controls Purchase],428)))</f>
        <v/>
      </c>
      <c r="CR429" s="5">
        <f>IF(A429="","",N(INDEX(Projects[Est Software Eng],428)))</f>
        <v/>
      </c>
      <c r="CS429" s="5">
        <f>IF(A429="","",N(INDEX(Projects[Est Misc],428)))</f>
        <v/>
      </c>
      <c r="CT429" s="5">
        <f>IF(A429="","",SUM(CF429:CS429))</f>
        <v/>
      </c>
      <c r="CU429" s="5">
        <f>INDEX(Projects[Est Cost (M)],428)</f>
        <v/>
      </c>
      <c r="CV429" s="5">
        <f>INDEX(Projects[Act Cost (M)],428)</f>
        <v/>
      </c>
      <c r="CW429" s="5">
        <f>INDEX(Projects[Plan Mech Eng (wks)],428)</f>
        <v/>
      </c>
      <c r="CX429" s="5">
        <f>INDEX(Projects[Plan Controls Eng (wks)],428)</f>
        <v/>
      </c>
      <c r="CY429" s="5">
        <f>INDEX(Projects[Plan Systems Eng (wks)],428)</f>
        <v/>
      </c>
      <c r="CZ429" s="5">
        <f>INDEX(Projects[Plan Software Eng (wks)],428)</f>
        <v/>
      </c>
      <c r="DA429" s="5">
        <f>INDEX(Projects[Plan M&amp;E Installation (wks)],428)</f>
        <v/>
      </c>
      <c r="DB429" s="5">
        <f>INDEX(Projects[Plan Commissioning (wks)],428)</f>
        <v/>
      </c>
      <c r="DC429" s="5">
        <f>INDEX(Projects[Plan Total (wks)],428)</f>
        <v/>
      </c>
      <c r="DD429" s="5">
        <f>INDEX(Projects[Act Mech Eng (wks)],428)</f>
        <v/>
      </c>
      <c r="DE429" s="5">
        <f>INDEX(Projects[Act Controls Eng (wks)],428)</f>
        <v/>
      </c>
      <c r="DF429" s="5">
        <f>INDEX(Projects[Act Systems Eng (wks)],428)</f>
        <v/>
      </c>
      <c r="DG429" s="5">
        <f>INDEX(Projects[Act Software Eng (wks)],428)</f>
        <v/>
      </c>
      <c r="DH429" s="5">
        <f>INDEX(Projects[Act M&amp;E Installation (wks)],428)</f>
        <v/>
      </c>
      <c r="DI429" s="5">
        <f>INDEX(Projects[Act Commissioning (wks)],428)</f>
        <v/>
      </c>
      <c r="DJ429" s="5">
        <f>INDEX(Projects[Act Total (wks)],428)</f>
        <v/>
      </c>
    </row>
    <row r="430" ht="15" customHeight="1" s="82">
      <c r="A430" s="64">
        <f>INDEX(Projects[Project ID *],429)&amp;""</f>
        <v/>
      </c>
      <c r="B430" s="64">
        <f>INDEX(Projects[Project Name *],429)&amp;""</f>
        <v/>
      </c>
      <c r="C430" s="64">
        <f>INDEX(Projects[MS Shuttles],429)</f>
        <v/>
      </c>
      <c r="D430" s="64">
        <f>INDEX(Projects[MS Tote Locations],429)</f>
        <v/>
      </c>
      <c r="E430" s="64">
        <f>INDEX(Projects[AS Robots],429)</f>
        <v/>
      </c>
      <c r="F430" s="64">
        <f>INDEX(Projects[AS Tote Locations],429)</f>
        <v/>
      </c>
      <c r="G430" s="64">
        <f>INDEX(Projects[PS Shuttles],429)</f>
        <v/>
      </c>
      <c r="H430" s="64">
        <f>INDEX(Projects[PS Pallet Locations],429)</f>
        <v/>
      </c>
      <c r="I430" s="64">
        <f>INDEX(Projects[SRM Cranes],429)</f>
        <v/>
      </c>
      <c r="J430" s="64">
        <f>INDEX(Projects[SRM Pallet Locations],429)</f>
        <v/>
      </c>
      <c r="K430" s="64">
        <f>INDEX(Projects[Case Conv (m)],429)</f>
        <v/>
      </c>
      <c r="L430" s="64">
        <f>INDEX(Projects[Pallet Conv (m)],429)</f>
        <v/>
      </c>
      <c r="M430" s="64">
        <f>IF(N(DJ430)&gt;0,DD430,CW430)</f>
        <v/>
      </c>
      <c r="N430" s="64">
        <f>IF(N(DJ430)&gt;0,DE430,CX430)</f>
        <v/>
      </c>
      <c r="O430" s="64">
        <f>IF(N(DJ430)&gt;0,DF430,CY430)</f>
        <v/>
      </c>
      <c r="P430" s="64">
        <f>IF(N(DJ430)&gt;0,DG430,CZ430)</f>
        <v/>
      </c>
      <c r="Q430" s="64">
        <f>IF(N(DJ430)&gt;0,DH430,DA430)</f>
        <v/>
      </c>
      <c r="R430" s="64">
        <f>IF(N(DJ430)&gt;0,DI430,DB430)</f>
        <v/>
      </c>
      <c r="S430" s="64">
        <f>IF(N(DJ430)&gt;0,DJ430,DC430)</f>
        <v/>
      </c>
      <c r="T430" s="64">
        <f>INDEX(Projects[Currency],429)&amp;""</f>
        <v/>
      </c>
      <c r="U430" s="65">
        <f>INDEX(Projects[Sold Value (M)],429)</f>
        <v/>
      </c>
      <c r="V430" s="64">
        <f>IF('Smart Search'!B13=1,IFERROR(1/'Smart Search'!H13,0),0)</f>
        <v/>
      </c>
      <c r="W430" s="64">
        <f>IF('Smart Search'!B13=1,IFERROR(1/'Smart Search'!H13,0),0)</f>
        <v/>
      </c>
      <c r="X430" s="64">
        <f>IF('Smart Search'!C13=1,IFERROR(1/'Smart Search'!H13,0),0)</f>
        <v/>
      </c>
      <c r="Y430" s="64">
        <f>IF('Smart Search'!C13=1,IFERROR(1/'Smart Search'!H13,0),0)</f>
        <v/>
      </c>
      <c r="Z430" s="64">
        <f>IF('Smart Search'!D13=1,IFERROR(1/'Smart Search'!H13,0),0)</f>
        <v/>
      </c>
      <c r="AA430" s="64">
        <f>IF('Smart Search'!D13=1,IFERROR(1/'Smart Search'!H13,0),0)</f>
        <v/>
      </c>
      <c r="AB430" s="64">
        <f>IF('Smart Search'!E13=1,IFERROR(1/'Smart Search'!H13,0),0)</f>
        <v/>
      </c>
      <c r="AC430" s="64">
        <f>IF('Smart Search'!E13=1,IFERROR(1/'Smart Search'!H13,0),0)</f>
        <v/>
      </c>
      <c r="AD430" s="64">
        <f>IF('Smart Search'!F13=1,IFERROR(1/'Smart Search'!H13,0),0)</f>
        <v/>
      </c>
      <c r="AE430" s="64">
        <f>IF('Smart Search'!F13=1,IFERROR(1/'Smart Search'!H13,0),0)</f>
        <v/>
      </c>
      <c r="AF430" s="64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4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4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4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4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4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4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4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4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4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4">
        <f>AF430*V430</f>
        <v/>
      </c>
      <c r="AQ430" s="64">
        <f>AG430*W430</f>
        <v/>
      </c>
      <c r="AR430" s="64">
        <f>AH430*X430</f>
        <v/>
      </c>
      <c r="AS430" s="64">
        <f>AI430*Y430</f>
        <v/>
      </c>
      <c r="AT430" s="64">
        <f>AJ430*Z430</f>
        <v/>
      </c>
      <c r="AU430" s="64">
        <f>AK430*AA430</f>
        <v/>
      </c>
      <c r="AV430" s="64">
        <f>AL430*AB430</f>
        <v/>
      </c>
      <c r="AW430" s="64">
        <f>AM430*AC430</f>
        <v/>
      </c>
      <c r="AX430" s="64">
        <f>AN430*AD430</f>
        <v/>
      </c>
      <c r="AY430" s="64">
        <f>AO430*AE430</f>
        <v/>
      </c>
      <c r="AZ430" s="64">
        <f>INDEX(Projects[Automation Equipment],429)&amp;""</f>
        <v/>
      </c>
      <c r="BA430" s="64">
        <f>IF(OR(A430="",'Smart Search'!H13=0),"",MAX(0,BE430*BF430*MAX(0,1-BG430)))</f>
        <v/>
      </c>
      <c r="BB430" s="64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4">
        <f>IF('Smart Search'!G13=1,IFERROR(1/'Smart Search'!H13,0),0)</f>
        <v/>
      </c>
      <c r="BD430" s="64">
        <f>BB430*BC430</f>
        <v/>
      </c>
      <c r="BE430" s="64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IF(A430="","",N(INDEX(Projects[Act Mech Inst],429)))</f>
        <v/>
      </c>
      <c r="BK430" s="5">
        <f>IF(A430="","",N(INDEX(Projects[Act Elec Inst],429)))</f>
        <v/>
      </c>
      <c r="BL430" s="5">
        <f>IF(A430="","",N(INDEX(Projects[Act Project Management],429)))</f>
        <v/>
      </c>
      <c r="BM430" s="5">
        <f>IF(A430="","",N(INDEX(Projects[Act Systems Eng],429)))</f>
        <v/>
      </c>
      <c r="BN430" s="5">
        <f>IF(A430="","",N(INDEX(Projects[Act Mechanical Eng],429)))</f>
        <v/>
      </c>
      <c r="BO430" s="5">
        <f>IF(A430="","",N(INDEX(Projects[Act Structural Engineering],429)))</f>
        <v/>
      </c>
      <c r="BP430" s="5">
        <f>IF(A430="","",N(INDEX(Projects[Act Site Sup],429)))</f>
        <v/>
      </c>
      <c r="BQ430" s="5">
        <f>IF(A430="","",N(INDEX(Projects[Act Controls Commissioning],429)))</f>
        <v/>
      </c>
      <c r="BR430" s="5">
        <f>IF(A430="","",N(INDEX(Projects[Act Systems Commissioning],429)))</f>
        <v/>
      </c>
      <c r="BS430" s="5">
        <f>IF(A430="","",N(INDEX(Projects[Act Service Commissioning],429)))</f>
        <v/>
      </c>
      <c r="BT430" s="5">
        <f>IF(A430="","",N(INDEX(Projects[Act Controls Eng],429)))</f>
        <v/>
      </c>
      <c r="BU430" s="5">
        <f>IF(A430="","",N(INDEX(Projects[Act Controls Purchase],429)))</f>
        <v/>
      </c>
      <c r="BV430" s="5">
        <f>IF(A430="","",N(INDEX(Projects[Act Software Eng],429)))</f>
        <v/>
      </c>
      <c r="BW430" s="5">
        <f>IF(A430="","",N(INDEX(Projects[Act 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INDEX(Projects[Sold Value (USD M)],429)</f>
        <v/>
      </c>
      <c r="CE430" s="5" t="n"/>
      <c r="CF430" s="5">
        <f>IF(A430="","",N(INDEX(Projects[Est Mech Inst],429)))</f>
        <v/>
      </c>
      <c r="CG430" s="5">
        <f>IF(A430="","",N(INDEX(Projects[Est Elec Inst],429)))</f>
        <v/>
      </c>
      <c r="CH430" s="5">
        <f>IF(A430="","",N(INDEX(Projects[Est Project Management],429)))</f>
        <v/>
      </c>
      <c r="CI430" s="5">
        <f>IF(A430="","",N(INDEX(Projects[Est Systems Eng],429)))</f>
        <v/>
      </c>
      <c r="CJ430" s="5">
        <f>IF(A430="","",N(INDEX(Projects[Est Mechanical Eng],429)))</f>
        <v/>
      </c>
      <c r="CK430" s="5">
        <f>IF(A430="","",N(INDEX(Projects[Est Structural Engineering],429)))</f>
        <v/>
      </c>
      <c r="CL430" s="5">
        <f>IF(A430="","",N(INDEX(Projects[Est Site Sup],429)))</f>
        <v/>
      </c>
      <c r="CM430" s="5">
        <f>IF(A430="","",N(INDEX(Projects[Est Controls Commissioning],429)))</f>
        <v/>
      </c>
      <c r="CN430" s="5">
        <f>IF(A430="","",N(INDEX(Projects[Est Systems Commissioning],429)))</f>
        <v/>
      </c>
      <c r="CO430" s="5">
        <f>IF(A430="","",N(INDEX(Projects[Est Service Commissioning],429)))</f>
        <v/>
      </c>
      <c r="CP430" s="5">
        <f>IF(A430="","",N(INDEX(Projects[Est Controls Eng],429)))</f>
        <v/>
      </c>
      <c r="CQ430" s="5">
        <f>IF(A430="","",N(INDEX(Projects[Est Controls Purchase],429)))</f>
        <v/>
      </c>
      <c r="CR430" s="5">
        <f>IF(A430="","",N(INDEX(Projects[Est Software Eng],429)))</f>
        <v/>
      </c>
      <c r="CS430" s="5">
        <f>IF(A430="","",N(INDEX(Projects[Est Misc],429)))</f>
        <v/>
      </c>
      <c r="CT430" s="5">
        <f>IF(A430="","",SUM(CF430:CS430))</f>
        <v/>
      </c>
      <c r="CU430" s="5">
        <f>INDEX(Projects[Est Cost (M)],429)</f>
        <v/>
      </c>
      <c r="CV430" s="5">
        <f>INDEX(Projects[Act Cost (M)],429)</f>
        <v/>
      </c>
      <c r="CW430" s="5">
        <f>INDEX(Projects[Plan Mech Eng (wks)],429)</f>
        <v/>
      </c>
      <c r="CX430" s="5">
        <f>INDEX(Projects[Plan Controls Eng (wks)],429)</f>
        <v/>
      </c>
      <c r="CY430" s="5">
        <f>INDEX(Projects[Plan Systems Eng (wks)],429)</f>
        <v/>
      </c>
      <c r="CZ430" s="5">
        <f>INDEX(Projects[Plan Software Eng (wks)],429)</f>
        <v/>
      </c>
      <c r="DA430" s="5">
        <f>INDEX(Projects[Plan M&amp;E Installation (wks)],429)</f>
        <v/>
      </c>
      <c r="DB430" s="5">
        <f>INDEX(Projects[Plan Commissioning (wks)],429)</f>
        <v/>
      </c>
      <c r="DC430" s="5">
        <f>INDEX(Projects[Plan Total (wks)],429)</f>
        <v/>
      </c>
      <c r="DD430" s="5">
        <f>INDEX(Projects[Act Mech Eng (wks)],429)</f>
        <v/>
      </c>
      <c r="DE430" s="5">
        <f>INDEX(Projects[Act Controls Eng (wks)],429)</f>
        <v/>
      </c>
      <c r="DF430" s="5">
        <f>INDEX(Projects[Act Systems Eng (wks)],429)</f>
        <v/>
      </c>
      <c r="DG430" s="5">
        <f>INDEX(Projects[Act Software Eng (wks)],429)</f>
        <v/>
      </c>
      <c r="DH430" s="5">
        <f>INDEX(Projects[Act M&amp;E Installation (wks)],429)</f>
        <v/>
      </c>
      <c r="DI430" s="5">
        <f>INDEX(Projects[Act Commissioning (wks)],429)</f>
        <v/>
      </c>
      <c r="DJ430" s="5">
        <f>INDEX(Projects[Act Total (wks)],429)</f>
        <v/>
      </c>
    </row>
    <row r="431" ht="15" customHeight="1" s="82">
      <c r="A431" s="64">
        <f>INDEX(Projects[Project ID *],430)&amp;""</f>
        <v/>
      </c>
      <c r="B431" s="64">
        <f>INDEX(Projects[Project Name *],430)&amp;""</f>
        <v/>
      </c>
      <c r="C431" s="64">
        <f>INDEX(Projects[MS Shuttles],430)</f>
        <v/>
      </c>
      <c r="D431" s="64">
        <f>INDEX(Projects[MS Tote Locations],430)</f>
        <v/>
      </c>
      <c r="E431" s="64">
        <f>INDEX(Projects[AS Robots],430)</f>
        <v/>
      </c>
      <c r="F431" s="64">
        <f>INDEX(Projects[AS Tote Locations],430)</f>
        <v/>
      </c>
      <c r="G431" s="64">
        <f>INDEX(Projects[PS Shuttles],430)</f>
        <v/>
      </c>
      <c r="H431" s="64">
        <f>INDEX(Projects[PS Pallet Locations],430)</f>
        <v/>
      </c>
      <c r="I431" s="64">
        <f>INDEX(Projects[SRM Cranes],430)</f>
        <v/>
      </c>
      <c r="J431" s="64">
        <f>INDEX(Projects[SRM Pallet Locations],430)</f>
        <v/>
      </c>
      <c r="K431" s="64">
        <f>INDEX(Projects[Case Conv (m)],430)</f>
        <v/>
      </c>
      <c r="L431" s="64">
        <f>INDEX(Projects[Pallet Conv (m)],430)</f>
        <v/>
      </c>
      <c r="M431" s="64">
        <f>IF(N(DJ431)&gt;0,DD431,CW431)</f>
        <v/>
      </c>
      <c r="N431" s="64">
        <f>IF(N(DJ431)&gt;0,DE431,CX431)</f>
        <v/>
      </c>
      <c r="O431" s="64">
        <f>IF(N(DJ431)&gt;0,DF431,CY431)</f>
        <v/>
      </c>
      <c r="P431" s="64">
        <f>IF(N(DJ431)&gt;0,DG431,CZ431)</f>
        <v/>
      </c>
      <c r="Q431" s="64">
        <f>IF(N(DJ431)&gt;0,DH431,DA431)</f>
        <v/>
      </c>
      <c r="R431" s="64">
        <f>IF(N(DJ431)&gt;0,DI431,DB431)</f>
        <v/>
      </c>
      <c r="S431" s="64">
        <f>IF(N(DJ431)&gt;0,DJ431,DC431)</f>
        <v/>
      </c>
      <c r="T431" s="64">
        <f>INDEX(Projects[Currency],430)&amp;""</f>
        <v/>
      </c>
      <c r="U431" s="65">
        <f>INDEX(Projects[Sold Value (M)],430)</f>
        <v/>
      </c>
      <c r="V431" s="64">
        <f>IF('Smart Search'!B13=1,IFERROR(1/'Smart Search'!H13,0),0)</f>
        <v/>
      </c>
      <c r="W431" s="64">
        <f>IF('Smart Search'!B13=1,IFERROR(1/'Smart Search'!H13,0),0)</f>
        <v/>
      </c>
      <c r="X431" s="64">
        <f>IF('Smart Search'!C13=1,IFERROR(1/'Smart Search'!H13,0),0)</f>
        <v/>
      </c>
      <c r="Y431" s="64">
        <f>IF('Smart Search'!C13=1,IFERROR(1/'Smart Search'!H13,0),0)</f>
        <v/>
      </c>
      <c r="Z431" s="64">
        <f>IF('Smart Search'!D13=1,IFERROR(1/'Smart Search'!H13,0),0)</f>
        <v/>
      </c>
      <c r="AA431" s="64">
        <f>IF('Smart Search'!D13=1,IFERROR(1/'Smart Search'!H13,0),0)</f>
        <v/>
      </c>
      <c r="AB431" s="64">
        <f>IF('Smart Search'!E13=1,IFERROR(1/'Smart Search'!H13,0),0)</f>
        <v/>
      </c>
      <c r="AC431" s="64">
        <f>IF('Smart Search'!E13=1,IFERROR(1/'Smart Search'!H13,0),0)</f>
        <v/>
      </c>
      <c r="AD431" s="64">
        <f>IF('Smart Search'!F13=1,IFERROR(1/'Smart Search'!H13,0),0)</f>
        <v/>
      </c>
      <c r="AE431" s="64">
        <f>IF('Smart Search'!F13=1,IFERROR(1/'Smart Search'!H13,0),0)</f>
        <v/>
      </c>
      <c r="AF431" s="64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4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4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4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4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4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4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4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4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4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4">
        <f>AF431*V431</f>
        <v/>
      </c>
      <c r="AQ431" s="64">
        <f>AG431*W431</f>
        <v/>
      </c>
      <c r="AR431" s="64">
        <f>AH431*X431</f>
        <v/>
      </c>
      <c r="AS431" s="64">
        <f>AI431*Y431</f>
        <v/>
      </c>
      <c r="AT431" s="64">
        <f>AJ431*Z431</f>
        <v/>
      </c>
      <c r="AU431" s="64">
        <f>AK431*AA431</f>
        <v/>
      </c>
      <c r="AV431" s="64">
        <f>AL431*AB431</f>
        <v/>
      </c>
      <c r="AW431" s="64">
        <f>AM431*AC431</f>
        <v/>
      </c>
      <c r="AX431" s="64">
        <f>AN431*AD431</f>
        <v/>
      </c>
      <c r="AY431" s="64">
        <f>AO431*AE431</f>
        <v/>
      </c>
      <c r="AZ431" s="64">
        <f>INDEX(Projects[Automation Equipment],430)&amp;""</f>
        <v/>
      </c>
      <c r="BA431" s="64">
        <f>IF(OR(A431="",'Smart Search'!H13=0),"",MAX(0,BE431*BF431*MAX(0,1-BG431)))</f>
        <v/>
      </c>
      <c r="BB431" s="64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4">
        <f>IF('Smart Search'!G13=1,IFERROR(1/'Smart Search'!H13,0),0)</f>
        <v/>
      </c>
      <c r="BD431" s="64">
        <f>BB431*BC431</f>
        <v/>
      </c>
      <c r="BE431" s="64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IF(A431="","",N(INDEX(Projects[Act Mech Inst],430)))</f>
        <v/>
      </c>
      <c r="BK431" s="5">
        <f>IF(A431="","",N(INDEX(Projects[Act Elec Inst],430)))</f>
        <v/>
      </c>
      <c r="BL431" s="5">
        <f>IF(A431="","",N(INDEX(Projects[Act Project Management],430)))</f>
        <v/>
      </c>
      <c r="BM431" s="5">
        <f>IF(A431="","",N(INDEX(Projects[Act Systems Eng],430)))</f>
        <v/>
      </c>
      <c r="BN431" s="5">
        <f>IF(A431="","",N(INDEX(Projects[Act Mechanical Eng],430)))</f>
        <v/>
      </c>
      <c r="BO431" s="5">
        <f>IF(A431="","",N(INDEX(Projects[Act Structural Engineering],430)))</f>
        <v/>
      </c>
      <c r="BP431" s="5">
        <f>IF(A431="","",N(INDEX(Projects[Act Site Sup],430)))</f>
        <v/>
      </c>
      <c r="BQ431" s="5">
        <f>IF(A431="","",N(INDEX(Projects[Act Controls Commissioning],430)))</f>
        <v/>
      </c>
      <c r="BR431" s="5">
        <f>IF(A431="","",N(INDEX(Projects[Act Systems Commissioning],430)))</f>
        <v/>
      </c>
      <c r="BS431" s="5">
        <f>IF(A431="","",N(INDEX(Projects[Act Service Commissioning],430)))</f>
        <v/>
      </c>
      <c r="BT431" s="5">
        <f>IF(A431="","",N(INDEX(Projects[Act Controls Eng],430)))</f>
        <v/>
      </c>
      <c r="BU431" s="5">
        <f>IF(A431="","",N(INDEX(Projects[Act Controls Purchase],430)))</f>
        <v/>
      </c>
      <c r="BV431" s="5">
        <f>IF(A431="","",N(INDEX(Projects[Act Software Eng],430)))</f>
        <v/>
      </c>
      <c r="BW431" s="5">
        <f>IF(A431="","",N(INDEX(Projects[Act 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INDEX(Projects[Sold Value (USD M)],430)</f>
        <v/>
      </c>
      <c r="CE431" s="5" t="n"/>
      <c r="CF431" s="5">
        <f>IF(A431="","",N(INDEX(Projects[Est Mech Inst],430)))</f>
        <v/>
      </c>
      <c r="CG431" s="5">
        <f>IF(A431="","",N(INDEX(Projects[Est Elec Inst],430)))</f>
        <v/>
      </c>
      <c r="CH431" s="5">
        <f>IF(A431="","",N(INDEX(Projects[Est Project Management],430)))</f>
        <v/>
      </c>
      <c r="CI431" s="5">
        <f>IF(A431="","",N(INDEX(Projects[Est Systems Eng],430)))</f>
        <v/>
      </c>
      <c r="CJ431" s="5">
        <f>IF(A431="","",N(INDEX(Projects[Est Mechanical Eng],430)))</f>
        <v/>
      </c>
      <c r="CK431" s="5">
        <f>IF(A431="","",N(INDEX(Projects[Est Structural Engineering],430)))</f>
        <v/>
      </c>
      <c r="CL431" s="5">
        <f>IF(A431="","",N(INDEX(Projects[Est Site Sup],430)))</f>
        <v/>
      </c>
      <c r="CM431" s="5">
        <f>IF(A431="","",N(INDEX(Projects[Est Controls Commissioning],430)))</f>
        <v/>
      </c>
      <c r="CN431" s="5">
        <f>IF(A431="","",N(INDEX(Projects[Est Systems Commissioning],430)))</f>
        <v/>
      </c>
      <c r="CO431" s="5">
        <f>IF(A431="","",N(INDEX(Projects[Est Service Commissioning],430)))</f>
        <v/>
      </c>
      <c r="CP431" s="5">
        <f>IF(A431="","",N(INDEX(Projects[Est Controls Eng],430)))</f>
        <v/>
      </c>
      <c r="CQ431" s="5">
        <f>IF(A431="","",N(INDEX(Projects[Est Controls Purchase],430)))</f>
        <v/>
      </c>
      <c r="CR431" s="5">
        <f>IF(A431="","",N(INDEX(Projects[Est Software Eng],430)))</f>
        <v/>
      </c>
      <c r="CS431" s="5">
        <f>IF(A431="","",N(INDEX(Projects[Est Misc],430)))</f>
        <v/>
      </c>
      <c r="CT431" s="5">
        <f>IF(A431="","",SUM(CF431:CS431))</f>
        <v/>
      </c>
      <c r="CU431" s="5">
        <f>INDEX(Projects[Est Cost (M)],430)</f>
        <v/>
      </c>
      <c r="CV431" s="5">
        <f>INDEX(Projects[Act Cost (M)],430)</f>
        <v/>
      </c>
      <c r="CW431" s="5">
        <f>INDEX(Projects[Plan Mech Eng (wks)],430)</f>
        <v/>
      </c>
      <c r="CX431" s="5">
        <f>INDEX(Projects[Plan Controls Eng (wks)],430)</f>
        <v/>
      </c>
      <c r="CY431" s="5">
        <f>INDEX(Projects[Plan Systems Eng (wks)],430)</f>
        <v/>
      </c>
      <c r="CZ431" s="5">
        <f>INDEX(Projects[Plan Software Eng (wks)],430)</f>
        <v/>
      </c>
      <c r="DA431" s="5">
        <f>INDEX(Projects[Plan M&amp;E Installation (wks)],430)</f>
        <v/>
      </c>
      <c r="DB431" s="5">
        <f>INDEX(Projects[Plan Commissioning (wks)],430)</f>
        <v/>
      </c>
      <c r="DC431" s="5">
        <f>INDEX(Projects[Plan Total (wks)],430)</f>
        <v/>
      </c>
      <c r="DD431" s="5">
        <f>INDEX(Projects[Act Mech Eng (wks)],430)</f>
        <v/>
      </c>
      <c r="DE431" s="5">
        <f>INDEX(Projects[Act Controls Eng (wks)],430)</f>
        <v/>
      </c>
      <c r="DF431" s="5">
        <f>INDEX(Projects[Act Systems Eng (wks)],430)</f>
        <v/>
      </c>
      <c r="DG431" s="5">
        <f>INDEX(Projects[Act Software Eng (wks)],430)</f>
        <v/>
      </c>
      <c r="DH431" s="5">
        <f>INDEX(Projects[Act M&amp;E Installation (wks)],430)</f>
        <v/>
      </c>
      <c r="DI431" s="5">
        <f>INDEX(Projects[Act Commissioning (wks)],430)</f>
        <v/>
      </c>
      <c r="DJ431" s="5">
        <f>INDEX(Projects[Act Total (wks)],430)</f>
        <v/>
      </c>
    </row>
    <row r="432" ht="15" customHeight="1" s="82">
      <c r="A432" s="64">
        <f>INDEX(Projects[Project ID *],431)&amp;""</f>
        <v/>
      </c>
      <c r="B432" s="64">
        <f>INDEX(Projects[Project Name *],431)&amp;""</f>
        <v/>
      </c>
      <c r="C432" s="64">
        <f>INDEX(Projects[MS Shuttles],431)</f>
        <v/>
      </c>
      <c r="D432" s="64">
        <f>INDEX(Projects[MS Tote Locations],431)</f>
        <v/>
      </c>
      <c r="E432" s="64">
        <f>INDEX(Projects[AS Robots],431)</f>
        <v/>
      </c>
      <c r="F432" s="64">
        <f>INDEX(Projects[AS Tote Locations],431)</f>
        <v/>
      </c>
      <c r="G432" s="64">
        <f>INDEX(Projects[PS Shuttles],431)</f>
        <v/>
      </c>
      <c r="H432" s="64">
        <f>INDEX(Projects[PS Pallet Locations],431)</f>
        <v/>
      </c>
      <c r="I432" s="64">
        <f>INDEX(Projects[SRM Cranes],431)</f>
        <v/>
      </c>
      <c r="J432" s="64">
        <f>INDEX(Projects[SRM Pallet Locations],431)</f>
        <v/>
      </c>
      <c r="K432" s="64">
        <f>INDEX(Projects[Case Conv (m)],431)</f>
        <v/>
      </c>
      <c r="L432" s="64">
        <f>INDEX(Projects[Pallet Conv (m)],431)</f>
        <v/>
      </c>
      <c r="M432" s="64">
        <f>IF(N(DJ432)&gt;0,DD432,CW432)</f>
        <v/>
      </c>
      <c r="N432" s="64">
        <f>IF(N(DJ432)&gt;0,DE432,CX432)</f>
        <v/>
      </c>
      <c r="O432" s="64">
        <f>IF(N(DJ432)&gt;0,DF432,CY432)</f>
        <v/>
      </c>
      <c r="P432" s="64">
        <f>IF(N(DJ432)&gt;0,DG432,CZ432)</f>
        <v/>
      </c>
      <c r="Q432" s="64">
        <f>IF(N(DJ432)&gt;0,DH432,DA432)</f>
        <v/>
      </c>
      <c r="R432" s="64">
        <f>IF(N(DJ432)&gt;0,DI432,DB432)</f>
        <v/>
      </c>
      <c r="S432" s="64">
        <f>IF(N(DJ432)&gt;0,DJ432,DC432)</f>
        <v/>
      </c>
      <c r="T432" s="64">
        <f>INDEX(Projects[Currency],431)&amp;""</f>
        <v/>
      </c>
      <c r="U432" s="65">
        <f>INDEX(Projects[Sold Value (M)],431)</f>
        <v/>
      </c>
      <c r="V432" s="64">
        <f>IF('Smart Search'!B13=1,IFERROR(1/'Smart Search'!H13,0),0)</f>
        <v/>
      </c>
      <c r="W432" s="64">
        <f>IF('Smart Search'!B13=1,IFERROR(1/'Smart Search'!H13,0),0)</f>
        <v/>
      </c>
      <c r="X432" s="64">
        <f>IF('Smart Search'!C13=1,IFERROR(1/'Smart Search'!H13,0),0)</f>
        <v/>
      </c>
      <c r="Y432" s="64">
        <f>IF('Smart Search'!C13=1,IFERROR(1/'Smart Search'!H13,0),0)</f>
        <v/>
      </c>
      <c r="Z432" s="64">
        <f>IF('Smart Search'!D13=1,IFERROR(1/'Smart Search'!H13,0),0)</f>
        <v/>
      </c>
      <c r="AA432" s="64">
        <f>IF('Smart Search'!D13=1,IFERROR(1/'Smart Search'!H13,0),0)</f>
        <v/>
      </c>
      <c r="AB432" s="64">
        <f>IF('Smart Search'!E13=1,IFERROR(1/'Smart Search'!H13,0),0)</f>
        <v/>
      </c>
      <c r="AC432" s="64">
        <f>IF('Smart Search'!E13=1,IFERROR(1/'Smart Search'!H13,0),0)</f>
        <v/>
      </c>
      <c r="AD432" s="64">
        <f>IF('Smart Search'!F13=1,IFERROR(1/'Smart Search'!H13,0),0)</f>
        <v/>
      </c>
      <c r="AE432" s="64">
        <f>IF('Smart Search'!F13=1,IFERROR(1/'Smart Search'!H13,0),0)</f>
        <v/>
      </c>
      <c r="AF432" s="64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4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4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4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4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4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4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4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4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4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4">
        <f>AF432*V432</f>
        <v/>
      </c>
      <c r="AQ432" s="64">
        <f>AG432*W432</f>
        <v/>
      </c>
      <c r="AR432" s="64">
        <f>AH432*X432</f>
        <v/>
      </c>
      <c r="AS432" s="64">
        <f>AI432*Y432</f>
        <v/>
      </c>
      <c r="AT432" s="64">
        <f>AJ432*Z432</f>
        <v/>
      </c>
      <c r="AU432" s="64">
        <f>AK432*AA432</f>
        <v/>
      </c>
      <c r="AV432" s="64">
        <f>AL432*AB432</f>
        <v/>
      </c>
      <c r="AW432" s="64">
        <f>AM432*AC432</f>
        <v/>
      </c>
      <c r="AX432" s="64">
        <f>AN432*AD432</f>
        <v/>
      </c>
      <c r="AY432" s="64">
        <f>AO432*AE432</f>
        <v/>
      </c>
      <c r="AZ432" s="64">
        <f>INDEX(Projects[Automation Equipment],431)&amp;""</f>
        <v/>
      </c>
      <c r="BA432" s="64">
        <f>IF(OR(A432="",'Smart Search'!H13=0),"",MAX(0,BE432*BF432*MAX(0,1-BG432)))</f>
        <v/>
      </c>
      <c r="BB432" s="64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4">
        <f>IF('Smart Search'!G13=1,IFERROR(1/'Smart Search'!H13,0),0)</f>
        <v/>
      </c>
      <c r="BD432" s="64">
        <f>BB432*BC432</f>
        <v/>
      </c>
      <c r="BE432" s="64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IF(A432="","",N(INDEX(Projects[Act Mech Inst],431)))</f>
        <v/>
      </c>
      <c r="BK432" s="5">
        <f>IF(A432="","",N(INDEX(Projects[Act Elec Inst],431)))</f>
        <v/>
      </c>
      <c r="BL432" s="5">
        <f>IF(A432="","",N(INDEX(Projects[Act Project Management],431)))</f>
        <v/>
      </c>
      <c r="BM432" s="5">
        <f>IF(A432="","",N(INDEX(Projects[Act Systems Eng],431)))</f>
        <v/>
      </c>
      <c r="BN432" s="5">
        <f>IF(A432="","",N(INDEX(Projects[Act Mechanical Eng],431)))</f>
        <v/>
      </c>
      <c r="BO432" s="5">
        <f>IF(A432="","",N(INDEX(Projects[Act Structural Engineering],431)))</f>
        <v/>
      </c>
      <c r="BP432" s="5">
        <f>IF(A432="","",N(INDEX(Projects[Act Site Sup],431)))</f>
        <v/>
      </c>
      <c r="BQ432" s="5">
        <f>IF(A432="","",N(INDEX(Projects[Act Controls Commissioning],431)))</f>
        <v/>
      </c>
      <c r="BR432" s="5">
        <f>IF(A432="","",N(INDEX(Projects[Act Systems Commissioning],431)))</f>
        <v/>
      </c>
      <c r="BS432" s="5">
        <f>IF(A432="","",N(INDEX(Projects[Act Service Commissioning],431)))</f>
        <v/>
      </c>
      <c r="BT432" s="5">
        <f>IF(A432="","",N(INDEX(Projects[Act Controls Eng],431)))</f>
        <v/>
      </c>
      <c r="BU432" s="5">
        <f>IF(A432="","",N(INDEX(Projects[Act Controls Purchase],431)))</f>
        <v/>
      </c>
      <c r="BV432" s="5">
        <f>IF(A432="","",N(INDEX(Projects[Act Software Eng],431)))</f>
        <v/>
      </c>
      <c r="BW432" s="5">
        <f>IF(A432="","",N(INDEX(Projects[Act 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INDEX(Projects[Sold Value (USD M)],431)</f>
        <v/>
      </c>
      <c r="CE432" s="5" t="n"/>
      <c r="CF432" s="5">
        <f>IF(A432="","",N(INDEX(Projects[Est Mech Inst],431)))</f>
        <v/>
      </c>
      <c r="CG432" s="5">
        <f>IF(A432="","",N(INDEX(Projects[Est Elec Inst],431)))</f>
        <v/>
      </c>
      <c r="CH432" s="5">
        <f>IF(A432="","",N(INDEX(Projects[Est Project Management],431)))</f>
        <v/>
      </c>
      <c r="CI432" s="5">
        <f>IF(A432="","",N(INDEX(Projects[Est Systems Eng],431)))</f>
        <v/>
      </c>
      <c r="CJ432" s="5">
        <f>IF(A432="","",N(INDEX(Projects[Est Mechanical Eng],431)))</f>
        <v/>
      </c>
      <c r="CK432" s="5">
        <f>IF(A432="","",N(INDEX(Projects[Est Structural Engineering],431)))</f>
        <v/>
      </c>
      <c r="CL432" s="5">
        <f>IF(A432="","",N(INDEX(Projects[Est Site Sup],431)))</f>
        <v/>
      </c>
      <c r="CM432" s="5">
        <f>IF(A432="","",N(INDEX(Projects[Est Controls Commissioning],431)))</f>
        <v/>
      </c>
      <c r="CN432" s="5">
        <f>IF(A432="","",N(INDEX(Projects[Est Systems Commissioning],431)))</f>
        <v/>
      </c>
      <c r="CO432" s="5">
        <f>IF(A432="","",N(INDEX(Projects[Est Service Commissioning],431)))</f>
        <v/>
      </c>
      <c r="CP432" s="5">
        <f>IF(A432="","",N(INDEX(Projects[Est Controls Eng],431)))</f>
        <v/>
      </c>
      <c r="CQ432" s="5">
        <f>IF(A432="","",N(INDEX(Projects[Est Controls Purchase],431)))</f>
        <v/>
      </c>
      <c r="CR432" s="5">
        <f>IF(A432="","",N(INDEX(Projects[Est Software Eng],431)))</f>
        <v/>
      </c>
      <c r="CS432" s="5">
        <f>IF(A432="","",N(INDEX(Projects[Est Misc],431)))</f>
        <v/>
      </c>
      <c r="CT432" s="5">
        <f>IF(A432="","",SUM(CF432:CS432))</f>
        <v/>
      </c>
      <c r="CU432" s="5">
        <f>INDEX(Projects[Est Cost (M)],431)</f>
        <v/>
      </c>
      <c r="CV432" s="5">
        <f>INDEX(Projects[Act Cost (M)],431)</f>
        <v/>
      </c>
      <c r="CW432" s="5">
        <f>INDEX(Projects[Plan Mech Eng (wks)],431)</f>
        <v/>
      </c>
      <c r="CX432" s="5">
        <f>INDEX(Projects[Plan Controls Eng (wks)],431)</f>
        <v/>
      </c>
      <c r="CY432" s="5">
        <f>INDEX(Projects[Plan Systems Eng (wks)],431)</f>
        <v/>
      </c>
      <c r="CZ432" s="5">
        <f>INDEX(Projects[Plan Software Eng (wks)],431)</f>
        <v/>
      </c>
      <c r="DA432" s="5">
        <f>INDEX(Projects[Plan M&amp;E Installation (wks)],431)</f>
        <v/>
      </c>
      <c r="DB432" s="5">
        <f>INDEX(Projects[Plan Commissioning (wks)],431)</f>
        <v/>
      </c>
      <c r="DC432" s="5">
        <f>INDEX(Projects[Plan Total (wks)],431)</f>
        <v/>
      </c>
      <c r="DD432" s="5">
        <f>INDEX(Projects[Act Mech Eng (wks)],431)</f>
        <v/>
      </c>
      <c r="DE432" s="5">
        <f>INDEX(Projects[Act Controls Eng (wks)],431)</f>
        <v/>
      </c>
      <c r="DF432" s="5">
        <f>INDEX(Projects[Act Systems Eng (wks)],431)</f>
        <v/>
      </c>
      <c r="DG432" s="5">
        <f>INDEX(Projects[Act Software Eng (wks)],431)</f>
        <v/>
      </c>
      <c r="DH432" s="5">
        <f>INDEX(Projects[Act M&amp;E Installation (wks)],431)</f>
        <v/>
      </c>
      <c r="DI432" s="5">
        <f>INDEX(Projects[Act Commissioning (wks)],431)</f>
        <v/>
      </c>
      <c r="DJ432" s="5">
        <f>INDEX(Projects[Act Total (wks)],431)</f>
        <v/>
      </c>
    </row>
    <row r="433" ht="15" customHeight="1" s="82">
      <c r="A433" s="64">
        <f>INDEX(Projects[Project ID *],432)&amp;""</f>
        <v/>
      </c>
      <c r="B433" s="64">
        <f>INDEX(Projects[Project Name *],432)&amp;""</f>
        <v/>
      </c>
      <c r="C433" s="64">
        <f>INDEX(Projects[MS Shuttles],432)</f>
        <v/>
      </c>
      <c r="D433" s="64">
        <f>INDEX(Projects[MS Tote Locations],432)</f>
        <v/>
      </c>
      <c r="E433" s="64">
        <f>INDEX(Projects[AS Robots],432)</f>
        <v/>
      </c>
      <c r="F433" s="64">
        <f>INDEX(Projects[AS Tote Locations],432)</f>
        <v/>
      </c>
      <c r="G433" s="64">
        <f>INDEX(Projects[PS Shuttles],432)</f>
        <v/>
      </c>
      <c r="H433" s="64">
        <f>INDEX(Projects[PS Pallet Locations],432)</f>
        <v/>
      </c>
      <c r="I433" s="64">
        <f>INDEX(Projects[SRM Cranes],432)</f>
        <v/>
      </c>
      <c r="J433" s="64">
        <f>INDEX(Projects[SRM Pallet Locations],432)</f>
        <v/>
      </c>
      <c r="K433" s="64">
        <f>INDEX(Projects[Case Conv (m)],432)</f>
        <v/>
      </c>
      <c r="L433" s="64">
        <f>INDEX(Projects[Pallet Conv (m)],432)</f>
        <v/>
      </c>
      <c r="M433" s="64">
        <f>IF(N(DJ433)&gt;0,DD433,CW433)</f>
        <v/>
      </c>
      <c r="N433" s="64">
        <f>IF(N(DJ433)&gt;0,DE433,CX433)</f>
        <v/>
      </c>
      <c r="O433" s="64">
        <f>IF(N(DJ433)&gt;0,DF433,CY433)</f>
        <v/>
      </c>
      <c r="P433" s="64">
        <f>IF(N(DJ433)&gt;0,DG433,CZ433)</f>
        <v/>
      </c>
      <c r="Q433" s="64">
        <f>IF(N(DJ433)&gt;0,DH433,DA433)</f>
        <v/>
      </c>
      <c r="R433" s="64">
        <f>IF(N(DJ433)&gt;0,DI433,DB433)</f>
        <v/>
      </c>
      <c r="S433" s="64">
        <f>IF(N(DJ433)&gt;0,DJ433,DC433)</f>
        <v/>
      </c>
      <c r="T433" s="64">
        <f>INDEX(Projects[Currency],432)&amp;""</f>
        <v/>
      </c>
      <c r="U433" s="65">
        <f>INDEX(Projects[Sold Value (M)],432)</f>
        <v/>
      </c>
      <c r="V433" s="64">
        <f>IF('Smart Search'!B13=1,IFERROR(1/'Smart Search'!H13,0),0)</f>
        <v/>
      </c>
      <c r="W433" s="64">
        <f>IF('Smart Search'!B13=1,IFERROR(1/'Smart Search'!H13,0),0)</f>
        <v/>
      </c>
      <c r="X433" s="64">
        <f>IF('Smart Search'!C13=1,IFERROR(1/'Smart Search'!H13,0),0)</f>
        <v/>
      </c>
      <c r="Y433" s="64">
        <f>IF('Smart Search'!C13=1,IFERROR(1/'Smart Search'!H13,0),0)</f>
        <v/>
      </c>
      <c r="Z433" s="64">
        <f>IF('Smart Search'!D13=1,IFERROR(1/'Smart Search'!H13,0),0)</f>
        <v/>
      </c>
      <c r="AA433" s="64">
        <f>IF('Smart Search'!D13=1,IFERROR(1/'Smart Search'!H13,0),0)</f>
        <v/>
      </c>
      <c r="AB433" s="64">
        <f>IF('Smart Search'!E13=1,IFERROR(1/'Smart Search'!H13,0),0)</f>
        <v/>
      </c>
      <c r="AC433" s="64">
        <f>IF('Smart Search'!E13=1,IFERROR(1/'Smart Search'!H13,0),0)</f>
        <v/>
      </c>
      <c r="AD433" s="64">
        <f>IF('Smart Search'!F13=1,IFERROR(1/'Smart Search'!H13,0),0)</f>
        <v/>
      </c>
      <c r="AE433" s="64">
        <f>IF('Smart Search'!F13=1,IFERROR(1/'Smart Search'!H13,0),0)</f>
        <v/>
      </c>
      <c r="AF433" s="64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4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4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4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4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4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4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4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4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4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4">
        <f>AF433*V433</f>
        <v/>
      </c>
      <c r="AQ433" s="64">
        <f>AG433*W433</f>
        <v/>
      </c>
      <c r="AR433" s="64">
        <f>AH433*X433</f>
        <v/>
      </c>
      <c r="AS433" s="64">
        <f>AI433*Y433</f>
        <v/>
      </c>
      <c r="AT433" s="64">
        <f>AJ433*Z433</f>
        <v/>
      </c>
      <c r="AU433" s="64">
        <f>AK433*AA433</f>
        <v/>
      </c>
      <c r="AV433" s="64">
        <f>AL433*AB433</f>
        <v/>
      </c>
      <c r="AW433" s="64">
        <f>AM433*AC433</f>
        <v/>
      </c>
      <c r="AX433" s="64">
        <f>AN433*AD433</f>
        <v/>
      </c>
      <c r="AY433" s="64">
        <f>AO433*AE433</f>
        <v/>
      </c>
      <c r="AZ433" s="64">
        <f>INDEX(Projects[Automation Equipment],432)&amp;""</f>
        <v/>
      </c>
      <c r="BA433" s="64">
        <f>IF(OR(A433="",'Smart Search'!H13=0),"",MAX(0,BE433*BF433*MAX(0,1-BG433)))</f>
        <v/>
      </c>
      <c r="BB433" s="64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4">
        <f>IF('Smart Search'!G13=1,IFERROR(1/'Smart Search'!H13,0),0)</f>
        <v/>
      </c>
      <c r="BD433" s="64">
        <f>BB433*BC433</f>
        <v/>
      </c>
      <c r="BE433" s="64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IF(A433="","",N(INDEX(Projects[Act Mech Inst],432)))</f>
        <v/>
      </c>
      <c r="BK433" s="5">
        <f>IF(A433="","",N(INDEX(Projects[Act Elec Inst],432)))</f>
        <v/>
      </c>
      <c r="BL433" s="5">
        <f>IF(A433="","",N(INDEX(Projects[Act Project Management],432)))</f>
        <v/>
      </c>
      <c r="BM433" s="5">
        <f>IF(A433="","",N(INDEX(Projects[Act Systems Eng],432)))</f>
        <v/>
      </c>
      <c r="BN433" s="5">
        <f>IF(A433="","",N(INDEX(Projects[Act Mechanical Eng],432)))</f>
        <v/>
      </c>
      <c r="BO433" s="5">
        <f>IF(A433="","",N(INDEX(Projects[Act Structural Engineering],432)))</f>
        <v/>
      </c>
      <c r="BP433" s="5">
        <f>IF(A433="","",N(INDEX(Projects[Act Site Sup],432)))</f>
        <v/>
      </c>
      <c r="BQ433" s="5">
        <f>IF(A433="","",N(INDEX(Projects[Act Controls Commissioning],432)))</f>
        <v/>
      </c>
      <c r="BR433" s="5">
        <f>IF(A433="","",N(INDEX(Projects[Act Systems Commissioning],432)))</f>
        <v/>
      </c>
      <c r="BS433" s="5">
        <f>IF(A433="","",N(INDEX(Projects[Act Service Commissioning],432)))</f>
        <v/>
      </c>
      <c r="BT433" s="5">
        <f>IF(A433="","",N(INDEX(Projects[Act Controls Eng],432)))</f>
        <v/>
      </c>
      <c r="BU433" s="5">
        <f>IF(A433="","",N(INDEX(Projects[Act Controls Purchase],432)))</f>
        <v/>
      </c>
      <c r="BV433" s="5">
        <f>IF(A433="","",N(INDEX(Projects[Act Software Eng],432)))</f>
        <v/>
      </c>
      <c r="BW433" s="5">
        <f>IF(A433="","",N(INDEX(Projects[Act 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INDEX(Projects[Sold Value (USD M)],432)</f>
        <v/>
      </c>
      <c r="CE433" s="5" t="n"/>
      <c r="CF433" s="5">
        <f>IF(A433="","",N(INDEX(Projects[Est Mech Inst],432)))</f>
        <v/>
      </c>
      <c r="CG433" s="5">
        <f>IF(A433="","",N(INDEX(Projects[Est Elec Inst],432)))</f>
        <v/>
      </c>
      <c r="CH433" s="5">
        <f>IF(A433="","",N(INDEX(Projects[Est Project Management],432)))</f>
        <v/>
      </c>
      <c r="CI433" s="5">
        <f>IF(A433="","",N(INDEX(Projects[Est Systems Eng],432)))</f>
        <v/>
      </c>
      <c r="CJ433" s="5">
        <f>IF(A433="","",N(INDEX(Projects[Est Mechanical Eng],432)))</f>
        <v/>
      </c>
      <c r="CK433" s="5">
        <f>IF(A433="","",N(INDEX(Projects[Est Structural Engineering],432)))</f>
        <v/>
      </c>
      <c r="CL433" s="5">
        <f>IF(A433="","",N(INDEX(Projects[Est Site Sup],432)))</f>
        <v/>
      </c>
      <c r="CM433" s="5">
        <f>IF(A433="","",N(INDEX(Projects[Est Controls Commissioning],432)))</f>
        <v/>
      </c>
      <c r="CN433" s="5">
        <f>IF(A433="","",N(INDEX(Projects[Est Systems Commissioning],432)))</f>
        <v/>
      </c>
      <c r="CO433" s="5">
        <f>IF(A433="","",N(INDEX(Projects[Est Service Commissioning],432)))</f>
        <v/>
      </c>
      <c r="CP433" s="5">
        <f>IF(A433="","",N(INDEX(Projects[Est Controls Eng],432)))</f>
        <v/>
      </c>
      <c r="CQ433" s="5">
        <f>IF(A433="","",N(INDEX(Projects[Est Controls Purchase],432)))</f>
        <v/>
      </c>
      <c r="CR433" s="5">
        <f>IF(A433="","",N(INDEX(Projects[Est Software Eng],432)))</f>
        <v/>
      </c>
      <c r="CS433" s="5">
        <f>IF(A433="","",N(INDEX(Projects[Est Misc],432)))</f>
        <v/>
      </c>
      <c r="CT433" s="5">
        <f>IF(A433="","",SUM(CF433:CS433))</f>
        <v/>
      </c>
      <c r="CU433" s="5">
        <f>INDEX(Projects[Est Cost (M)],432)</f>
        <v/>
      </c>
      <c r="CV433" s="5">
        <f>INDEX(Projects[Act Cost (M)],432)</f>
        <v/>
      </c>
      <c r="CW433" s="5">
        <f>INDEX(Projects[Plan Mech Eng (wks)],432)</f>
        <v/>
      </c>
      <c r="CX433" s="5">
        <f>INDEX(Projects[Plan Controls Eng (wks)],432)</f>
        <v/>
      </c>
      <c r="CY433" s="5">
        <f>INDEX(Projects[Plan Systems Eng (wks)],432)</f>
        <v/>
      </c>
      <c r="CZ433" s="5">
        <f>INDEX(Projects[Plan Software Eng (wks)],432)</f>
        <v/>
      </c>
      <c r="DA433" s="5">
        <f>INDEX(Projects[Plan M&amp;E Installation (wks)],432)</f>
        <v/>
      </c>
      <c r="DB433" s="5">
        <f>INDEX(Projects[Plan Commissioning (wks)],432)</f>
        <v/>
      </c>
      <c r="DC433" s="5">
        <f>INDEX(Projects[Plan Total (wks)],432)</f>
        <v/>
      </c>
      <c r="DD433" s="5">
        <f>INDEX(Projects[Act Mech Eng (wks)],432)</f>
        <v/>
      </c>
      <c r="DE433" s="5">
        <f>INDEX(Projects[Act Controls Eng (wks)],432)</f>
        <v/>
      </c>
      <c r="DF433" s="5">
        <f>INDEX(Projects[Act Systems Eng (wks)],432)</f>
        <v/>
      </c>
      <c r="DG433" s="5">
        <f>INDEX(Projects[Act Software Eng (wks)],432)</f>
        <v/>
      </c>
      <c r="DH433" s="5">
        <f>INDEX(Projects[Act M&amp;E Installation (wks)],432)</f>
        <v/>
      </c>
      <c r="DI433" s="5">
        <f>INDEX(Projects[Act Commissioning (wks)],432)</f>
        <v/>
      </c>
      <c r="DJ433" s="5">
        <f>INDEX(Projects[Act Total (wks)],432)</f>
        <v/>
      </c>
    </row>
    <row r="434" ht="15" customHeight="1" s="82">
      <c r="A434" s="64">
        <f>INDEX(Projects[Project ID *],433)&amp;""</f>
        <v/>
      </c>
      <c r="B434" s="64">
        <f>INDEX(Projects[Project Name *],433)&amp;""</f>
        <v/>
      </c>
      <c r="C434" s="64">
        <f>INDEX(Projects[MS Shuttles],433)</f>
        <v/>
      </c>
      <c r="D434" s="64">
        <f>INDEX(Projects[MS Tote Locations],433)</f>
        <v/>
      </c>
      <c r="E434" s="64">
        <f>INDEX(Projects[AS Robots],433)</f>
        <v/>
      </c>
      <c r="F434" s="64">
        <f>INDEX(Projects[AS Tote Locations],433)</f>
        <v/>
      </c>
      <c r="G434" s="64">
        <f>INDEX(Projects[PS Shuttles],433)</f>
        <v/>
      </c>
      <c r="H434" s="64">
        <f>INDEX(Projects[PS Pallet Locations],433)</f>
        <v/>
      </c>
      <c r="I434" s="64">
        <f>INDEX(Projects[SRM Cranes],433)</f>
        <v/>
      </c>
      <c r="J434" s="64">
        <f>INDEX(Projects[SRM Pallet Locations],433)</f>
        <v/>
      </c>
      <c r="K434" s="64">
        <f>INDEX(Projects[Case Conv (m)],433)</f>
        <v/>
      </c>
      <c r="L434" s="64">
        <f>INDEX(Projects[Pallet Conv (m)],433)</f>
        <v/>
      </c>
      <c r="M434" s="64">
        <f>IF(N(DJ434)&gt;0,DD434,CW434)</f>
        <v/>
      </c>
      <c r="N434" s="64">
        <f>IF(N(DJ434)&gt;0,DE434,CX434)</f>
        <v/>
      </c>
      <c r="O434" s="64">
        <f>IF(N(DJ434)&gt;0,DF434,CY434)</f>
        <v/>
      </c>
      <c r="P434" s="64">
        <f>IF(N(DJ434)&gt;0,DG434,CZ434)</f>
        <v/>
      </c>
      <c r="Q434" s="64">
        <f>IF(N(DJ434)&gt;0,DH434,DA434)</f>
        <v/>
      </c>
      <c r="R434" s="64">
        <f>IF(N(DJ434)&gt;0,DI434,DB434)</f>
        <v/>
      </c>
      <c r="S434" s="64">
        <f>IF(N(DJ434)&gt;0,DJ434,DC434)</f>
        <v/>
      </c>
      <c r="T434" s="64">
        <f>INDEX(Projects[Currency],433)&amp;""</f>
        <v/>
      </c>
      <c r="U434" s="65">
        <f>INDEX(Projects[Sold Value (M)],433)</f>
        <v/>
      </c>
      <c r="V434" s="64">
        <f>IF('Smart Search'!B13=1,IFERROR(1/'Smart Search'!H13,0),0)</f>
        <v/>
      </c>
      <c r="W434" s="64">
        <f>IF('Smart Search'!B13=1,IFERROR(1/'Smart Search'!H13,0),0)</f>
        <v/>
      </c>
      <c r="X434" s="64">
        <f>IF('Smart Search'!C13=1,IFERROR(1/'Smart Search'!H13,0),0)</f>
        <v/>
      </c>
      <c r="Y434" s="64">
        <f>IF('Smart Search'!C13=1,IFERROR(1/'Smart Search'!H13,0),0)</f>
        <v/>
      </c>
      <c r="Z434" s="64">
        <f>IF('Smart Search'!D13=1,IFERROR(1/'Smart Search'!H13,0),0)</f>
        <v/>
      </c>
      <c r="AA434" s="64">
        <f>IF('Smart Search'!D13=1,IFERROR(1/'Smart Search'!H13,0),0)</f>
        <v/>
      </c>
      <c r="AB434" s="64">
        <f>IF('Smart Search'!E13=1,IFERROR(1/'Smart Search'!H13,0),0)</f>
        <v/>
      </c>
      <c r="AC434" s="64">
        <f>IF('Smart Search'!E13=1,IFERROR(1/'Smart Search'!H13,0),0)</f>
        <v/>
      </c>
      <c r="AD434" s="64">
        <f>IF('Smart Search'!F13=1,IFERROR(1/'Smart Search'!H13,0),0)</f>
        <v/>
      </c>
      <c r="AE434" s="64">
        <f>IF('Smart Search'!F13=1,IFERROR(1/'Smart Search'!H13,0),0)</f>
        <v/>
      </c>
      <c r="AF434" s="64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4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4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4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4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4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4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4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4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4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4">
        <f>AF434*V434</f>
        <v/>
      </c>
      <c r="AQ434" s="64">
        <f>AG434*W434</f>
        <v/>
      </c>
      <c r="AR434" s="64">
        <f>AH434*X434</f>
        <v/>
      </c>
      <c r="AS434" s="64">
        <f>AI434*Y434</f>
        <v/>
      </c>
      <c r="AT434" s="64">
        <f>AJ434*Z434</f>
        <v/>
      </c>
      <c r="AU434" s="64">
        <f>AK434*AA434</f>
        <v/>
      </c>
      <c r="AV434" s="64">
        <f>AL434*AB434</f>
        <v/>
      </c>
      <c r="AW434" s="64">
        <f>AM434*AC434</f>
        <v/>
      </c>
      <c r="AX434" s="64">
        <f>AN434*AD434</f>
        <v/>
      </c>
      <c r="AY434" s="64">
        <f>AO434*AE434</f>
        <v/>
      </c>
      <c r="AZ434" s="64">
        <f>INDEX(Projects[Automation Equipment],433)&amp;""</f>
        <v/>
      </c>
      <c r="BA434" s="64">
        <f>IF(OR(A434="",'Smart Search'!H13=0),"",MAX(0,BE434*BF434*MAX(0,1-BG434)))</f>
        <v/>
      </c>
      <c r="BB434" s="64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4">
        <f>IF('Smart Search'!G13=1,IFERROR(1/'Smart Search'!H13,0),0)</f>
        <v/>
      </c>
      <c r="BD434" s="64">
        <f>BB434*BC434</f>
        <v/>
      </c>
      <c r="BE434" s="64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IF(A434="","",N(INDEX(Projects[Act Mech Inst],433)))</f>
        <v/>
      </c>
      <c r="BK434" s="5">
        <f>IF(A434="","",N(INDEX(Projects[Act Elec Inst],433)))</f>
        <v/>
      </c>
      <c r="BL434" s="5">
        <f>IF(A434="","",N(INDEX(Projects[Act Project Management],433)))</f>
        <v/>
      </c>
      <c r="BM434" s="5">
        <f>IF(A434="","",N(INDEX(Projects[Act Systems Eng],433)))</f>
        <v/>
      </c>
      <c r="BN434" s="5">
        <f>IF(A434="","",N(INDEX(Projects[Act Mechanical Eng],433)))</f>
        <v/>
      </c>
      <c r="BO434" s="5">
        <f>IF(A434="","",N(INDEX(Projects[Act Structural Engineering],433)))</f>
        <v/>
      </c>
      <c r="BP434" s="5">
        <f>IF(A434="","",N(INDEX(Projects[Act Site Sup],433)))</f>
        <v/>
      </c>
      <c r="BQ434" s="5">
        <f>IF(A434="","",N(INDEX(Projects[Act Controls Commissioning],433)))</f>
        <v/>
      </c>
      <c r="BR434" s="5">
        <f>IF(A434="","",N(INDEX(Projects[Act Systems Commissioning],433)))</f>
        <v/>
      </c>
      <c r="BS434" s="5">
        <f>IF(A434="","",N(INDEX(Projects[Act Service Commissioning],433)))</f>
        <v/>
      </c>
      <c r="BT434" s="5">
        <f>IF(A434="","",N(INDEX(Projects[Act Controls Eng],433)))</f>
        <v/>
      </c>
      <c r="BU434" s="5">
        <f>IF(A434="","",N(INDEX(Projects[Act Controls Purchase],433)))</f>
        <v/>
      </c>
      <c r="BV434" s="5">
        <f>IF(A434="","",N(INDEX(Projects[Act Software Eng],433)))</f>
        <v/>
      </c>
      <c r="BW434" s="5">
        <f>IF(A434="","",N(INDEX(Projects[Act 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INDEX(Projects[Sold Value (USD M)],433)</f>
        <v/>
      </c>
      <c r="CE434" s="5" t="n"/>
      <c r="CF434" s="5">
        <f>IF(A434="","",N(INDEX(Projects[Est Mech Inst],433)))</f>
        <v/>
      </c>
      <c r="CG434" s="5">
        <f>IF(A434="","",N(INDEX(Projects[Est Elec Inst],433)))</f>
        <v/>
      </c>
      <c r="CH434" s="5">
        <f>IF(A434="","",N(INDEX(Projects[Est Project Management],433)))</f>
        <v/>
      </c>
      <c r="CI434" s="5">
        <f>IF(A434="","",N(INDEX(Projects[Est Systems Eng],433)))</f>
        <v/>
      </c>
      <c r="CJ434" s="5">
        <f>IF(A434="","",N(INDEX(Projects[Est Mechanical Eng],433)))</f>
        <v/>
      </c>
      <c r="CK434" s="5">
        <f>IF(A434="","",N(INDEX(Projects[Est Structural Engineering],433)))</f>
        <v/>
      </c>
      <c r="CL434" s="5">
        <f>IF(A434="","",N(INDEX(Projects[Est Site Sup],433)))</f>
        <v/>
      </c>
      <c r="CM434" s="5">
        <f>IF(A434="","",N(INDEX(Projects[Est Controls Commissioning],433)))</f>
        <v/>
      </c>
      <c r="CN434" s="5">
        <f>IF(A434="","",N(INDEX(Projects[Est Systems Commissioning],433)))</f>
        <v/>
      </c>
      <c r="CO434" s="5">
        <f>IF(A434="","",N(INDEX(Projects[Est Service Commissioning],433)))</f>
        <v/>
      </c>
      <c r="CP434" s="5">
        <f>IF(A434="","",N(INDEX(Projects[Est Controls Eng],433)))</f>
        <v/>
      </c>
      <c r="CQ434" s="5">
        <f>IF(A434="","",N(INDEX(Projects[Est Controls Purchase],433)))</f>
        <v/>
      </c>
      <c r="CR434" s="5">
        <f>IF(A434="","",N(INDEX(Projects[Est Software Eng],433)))</f>
        <v/>
      </c>
      <c r="CS434" s="5">
        <f>IF(A434="","",N(INDEX(Projects[Est Misc],433)))</f>
        <v/>
      </c>
      <c r="CT434" s="5">
        <f>IF(A434="","",SUM(CF434:CS434))</f>
        <v/>
      </c>
      <c r="CU434" s="5">
        <f>INDEX(Projects[Est Cost (M)],433)</f>
        <v/>
      </c>
      <c r="CV434" s="5">
        <f>INDEX(Projects[Act Cost (M)],433)</f>
        <v/>
      </c>
      <c r="CW434" s="5">
        <f>INDEX(Projects[Plan Mech Eng (wks)],433)</f>
        <v/>
      </c>
      <c r="CX434" s="5">
        <f>INDEX(Projects[Plan Controls Eng (wks)],433)</f>
        <v/>
      </c>
      <c r="CY434" s="5">
        <f>INDEX(Projects[Plan Systems Eng (wks)],433)</f>
        <v/>
      </c>
      <c r="CZ434" s="5">
        <f>INDEX(Projects[Plan Software Eng (wks)],433)</f>
        <v/>
      </c>
      <c r="DA434" s="5">
        <f>INDEX(Projects[Plan M&amp;E Installation (wks)],433)</f>
        <v/>
      </c>
      <c r="DB434" s="5">
        <f>INDEX(Projects[Plan Commissioning (wks)],433)</f>
        <v/>
      </c>
      <c r="DC434" s="5">
        <f>INDEX(Projects[Plan Total (wks)],433)</f>
        <v/>
      </c>
      <c r="DD434" s="5">
        <f>INDEX(Projects[Act Mech Eng (wks)],433)</f>
        <v/>
      </c>
      <c r="DE434" s="5">
        <f>INDEX(Projects[Act Controls Eng (wks)],433)</f>
        <v/>
      </c>
      <c r="DF434" s="5">
        <f>INDEX(Projects[Act Systems Eng (wks)],433)</f>
        <v/>
      </c>
      <c r="DG434" s="5">
        <f>INDEX(Projects[Act Software Eng (wks)],433)</f>
        <v/>
      </c>
      <c r="DH434" s="5">
        <f>INDEX(Projects[Act M&amp;E Installation (wks)],433)</f>
        <v/>
      </c>
      <c r="DI434" s="5">
        <f>INDEX(Projects[Act Commissioning (wks)],433)</f>
        <v/>
      </c>
      <c r="DJ434" s="5">
        <f>INDEX(Projects[Act Total (wks)],433)</f>
        <v/>
      </c>
    </row>
    <row r="435" ht="15" customHeight="1" s="82">
      <c r="A435" s="64">
        <f>INDEX(Projects[Project ID *],434)&amp;""</f>
        <v/>
      </c>
      <c r="B435" s="64">
        <f>INDEX(Projects[Project Name *],434)&amp;""</f>
        <v/>
      </c>
      <c r="C435" s="64">
        <f>INDEX(Projects[MS Shuttles],434)</f>
        <v/>
      </c>
      <c r="D435" s="64">
        <f>INDEX(Projects[MS Tote Locations],434)</f>
        <v/>
      </c>
      <c r="E435" s="64">
        <f>INDEX(Projects[AS Robots],434)</f>
        <v/>
      </c>
      <c r="F435" s="64">
        <f>INDEX(Projects[AS Tote Locations],434)</f>
        <v/>
      </c>
      <c r="G435" s="64">
        <f>INDEX(Projects[PS Shuttles],434)</f>
        <v/>
      </c>
      <c r="H435" s="64">
        <f>INDEX(Projects[PS Pallet Locations],434)</f>
        <v/>
      </c>
      <c r="I435" s="64">
        <f>INDEX(Projects[SRM Cranes],434)</f>
        <v/>
      </c>
      <c r="J435" s="64">
        <f>INDEX(Projects[SRM Pallet Locations],434)</f>
        <v/>
      </c>
      <c r="K435" s="64">
        <f>INDEX(Projects[Case Conv (m)],434)</f>
        <v/>
      </c>
      <c r="L435" s="64">
        <f>INDEX(Projects[Pallet Conv (m)],434)</f>
        <v/>
      </c>
      <c r="M435" s="64">
        <f>IF(N(DJ435)&gt;0,DD435,CW435)</f>
        <v/>
      </c>
      <c r="N435" s="64">
        <f>IF(N(DJ435)&gt;0,DE435,CX435)</f>
        <v/>
      </c>
      <c r="O435" s="64">
        <f>IF(N(DJ435)&gt;0,DF435,CY435)</f>
        <v/>
      </c>
      <c r="P435" s="64">
        <f>IF(N(DJ435)&gt;0,DG435,CZ435)</f>
        <v/>
      </c>
      <c r="Q435" s="64">
        <f>IF(N(DJ435)&gt;0,DH435,DA435)</f>
        <v/>
      </c>
      <c r="R435" s="64">
        <f>IF(N(DJ435)&gt;0,DI435,DB435)</f>
        <v/>
      </c>
      <c r="S435" s="64">
        <f>IF(N(DJ435)&gt;0,DJ435,DC435)</f>
        <v/>
      </c>
      <c r="T435" s="64">
        <f>INDEX(Projects[Currency],434)&amp;""</f>
        <v/>
      </c>
      <c r="U435" s="65">
        <f>INDEX(Projects[Sold Value (M)],434)</f>
        <v/>
      </c>
      <c r="V435" s="64">
        <f>IF('Smart Search'!B13=1,IFERROR(1/'Smart Search'!H13,0),0)</f>
        <v/>
      </c>
      <c r="W435" s="64">
        <f>IF('Smart Search'!B13=1,IFERROR(1/'Smart Search'!H13,0),0)</f>
        <v/>
      </c>
      <c r="X435" s="64">
        <f>IF('Smart Search'!C13=1,IFERROR(1/'Smart Search'!H13,0),0)</f>
        <v/>
      </c>
      <c r="Y435" s="64">
        <f>IF('Smart Search'!C13=1,IFERROR(1/'Smart Search'!H13,0),0)</f>
        <v/>
      </c>
      <c r="Z435" s="64">
        <f>IF('Smart Search'!D13=1,IFERROR(1/'Smart Search'!H13,0),0)</f>
        <v/>
      </c>
      <c r="AA435" s="64">
        <f>IF('Smart Search'!D13=1,IFERROR(1/'Smart Search'!H13,0),0)</f>
        <v/>
      </c>
      <c r="AB435" s="64">
        <f>IF('Smart Search'!E13=1,IFERROR(1/'Smart Search'!H13,0),0)</f>
        <v/>
      </c>
      <c r="AC435" s="64">
        <f>IF('Smart Search'!E13=1,IFERROR(1/'Smart Search'!H13,0),0)</f>
        <v/>
      </c>
      <c r="AD435" s="64">
        <f>IF('Smart Search'!F13=1,IFERROR(1/'Smart Search'!H13,0),0)</f>
        <v/>
      </c>
      <c r="AE435" s="64">
        <f>IF('Smart Search'!F13=1,IFERROR(1/'Smart Search'!H13,0),0)</f>
        <v/>
      </c>
      <c r="AF435" s="64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4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4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4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4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4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4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4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4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4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4">
        <f>AF435*V435</f>
        <v/>
      </c>
      <c r="AQ435" s="64">
        <f>AG435*W435</f>
        <v/>
      </c>
      <c r="AR435" s="64">
        <f>AH435*X435</f>
        <v/>
      </c>
      <c r="AS435" s="64">
        <f>AI435*Y435</f>
        <v/>
      </c>
      <c r="AT435" s="64">
        <f>AJ435*Z435</f>
        <v/>
      </c>
      <c r="AU435" s="64">
        <f>AK435*AA435</f>
        <v/>
      </c>
      <c r="AV435" s="64">
        <f>AL435*AB435</f>
        <v/>
      </c>
      <c r="AW435" s="64">
        <f>AM435*AC435</f>
        <v/>
      </c>
      <c r="AX435" s="64">
        <f>AN435*AD435</f>
        <v/>
      </c>
      <c r="AY435" s="64">
        <f>AO435*AE435</f>
        <v/>
      </c>
      <c r="AZ435" s="64">
        <f>INDEX(Projects[Automation Equipment],434)&amp;""</f>
        <v/>
      </c>
      <c r="BA435" s="64">
        <f>IF(OR(A435="",'Smart Search'!H13=0),"",MAX(0,BE435*BF435*MAX(0,1-BG435)))</f>
        <v/>
      </c>
      <c r="BB435" s="64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4">
        <f>IF('Smart Search'!G13=1,IFERROR(1/'Smart Search'!H13,0),0)</f>
        <v/>
      </c>
      <c r="BD435" s="64">
        <f>BB435*BC435</f>
        <v/>
      </c>
      <c r="BE435" s="64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IF(A435="","",N(INDEX(Projects[Act Mech Inst],434)))</f>
        <v/>
      </c>
      <c r="BK435" s="5">
        <f>IF(A435="","",N(INDEX(Projects[Act Elec Inst],434)))</f>
        <v/>
      </c>
      <c r="BL435" s="5">
        <f>IF(A435="","",N(INDEX(Projects[Act Project Management],434)))</f>
        <v/>
      </c>
      <c r="BM435" s="5">
        <f>IF(A435="","",N(INDEX(Projects[Act Systems Eng],434)))</f>
        <v/>
      </c>
      <c r="BN435" s="5">
        <f>IF(A435="","",N(INDEX(Projects[Act Mechanical Eng],434)))</f>
        <v/>
      </c>
      <c r="BO435" s="5">
        <f>IF(A435="","",N(INDEX(Projects[Act Structural Engineering],434)))</f>
        <v/>
      </c>
      <c r="BP435" s="5">
        <f>IF(A435="","",N(INDEX(Projects[Act Site Sup],434)))</f>
        <v/>
      </c>
      <c r="BQ435" s="5">
        <f>IF(A435="","",N(INDEX(Projects[Act Controls Commissioning],434)))</f>
        <v/>
      </c>
      <c r="BR435" s="5">
        <f>IF(A435="","",N(INDEX(Projects[Act Systems Commissioning],434)))</f>
        <v/>
      </c>
      <c r="BS435" s="5">
        <f>IF(A435="","",N(INDEX(Projects[Act Service Commissioning],434)))</f>
        <v/>
      </c>
      <c r="BT435" s="5">
        <f>IF(A435="","",N(INDEX(Projects[Act Controls Eng],434)))</f>
        <v/>
      </c>
      <c r="BU435" s="5">
        <f>IF(A435="","",N(INDEX(Projects[Act Controls Purchase],434)))</f>
        <v/>
      </c>
      <c r="BV435" s="5">
        <f>IF(A435="","",N(INDEX(Projects[Act Software Eng],434)))</f>
        <v/>
      </c>
      <c r="BW435" s="5">
        <f>IF(A435="","",N(INDEX(Projects[Act 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INDEX(Projects[Sold Value (USD M)],434)</f>
        <v/>
      </c>
      <c r="CE435" s="5" t="n"/>
      <c r="CF435" s="5">
        <f>IF(A435="","",N(INDEX(Projects[Est Mech Inst],434)))</f>
        <v/>
      </c>
      <c r="CG435" s="5">
        <f>IF(A435="","",N(INDEX(Projects[Est Elec Inst],434)))</f>
        <v/>
      </c>
      <c r="CH435" s="5">
        <f>IF(A435="","",N(INDEX(Projects[Est Project Management],434)))</f>
        <v/>
      </c>
      <c r="CI435" s="5">
        <f>IF(A435="","",N(INDEX(Projects[Est Systems Eng],434)))</f>
        <v/>
      </c>
      <c r="CJ435" s="5">
        <f>IF(A435="","",N(INDEX(Projects[Est Mechanical Eng],434)))</f>
        <v/>
      </c>
      <c r="CK435" s="5">
        <f>IF(A435="","",N(INDEX(Projects[Est Structural Engineering],434)))</f>
        <v/>
      </c>
      <c r="CL435" s="5">
        <f>IF(A435="","",N(INDEX(Projects[Est Site Sup],434)))</f>
        <v/>
      </c>
      <c r="CM435" s="5">
        <f>IF(A435="","",N(INDEX(Projects[Est Controls Commissioning],434)))</f>
        <v/>
      </c>
      <c r="CN435" s="5">
        <f>IF(A435="","",N(INDEX(Projects[Est Systems Commissioning],434)))</f>
        <v/>
      </c>
      <c r="CO435" s="5">
        <f>IF(A435="","",N(INDEX(Projects[Est Service Commissioning],434)))</f>
        <v/>
      </c>
      <c r="CP435" s="5">
        <f>IF(A435="","",N(INDEX(Projects[Est Controls Eng],434)))</f>
        <v/>
      </c>
      <c r="CQ435" s="5">
        <f>IF(A435="","",N(INDEX(Projects[Est Controls Purchase],434)))</f>
        <v/>
      </c>
      <c r="CR435" s="5">
        <f>IF(A435="","",N(INDEX(Projects[Est Software Eng],434)))</f>
        <v/>
      </c>
      <c r="CS435" s="5">
        <f>IF(A435="","",N(INDEX(Projects[Est Misc],434)))</f>
        <v/>
      </c>
      <c r="CT435" s="5">
        <f>IF(A435="","",SUM(CF435:CS435))</f>
        <v/>
      </c>
      <c r="CU435" s="5">
        <f>INDEX(Projects[Est Cost (M)],434)</f>
        <v/>
      </c>
      <c r="CV435" s="5">
        <f>INDEX(Projects[Act Cost (M)],434)</f>
        <v/>
      </c>
      <c r="CW435" s="5">
        <f>INDEX(Projects[Plan Mech Eng (wks)],434)</f>
        <v/>
      </c>
      <c r="CX435" s="5">
        <f>INDEX(Projects[Plan Controls Eng (wks)],434)</f>
        <v/>
      </c>
      <c r="CY435" s="5">
        <f>INDEX(Projects[Plan Systems Eng (wks)],434)</f>
        <v/>
      </c>
      <c r="CZ435" s="5">
        <f>INDEX(Projects[Plan Software Eng (wks)],434)</f>
        <v/>
      </c>
      <c r="DA435" s="5">
        <f>INDEX(Projects[Plan M&amp;E Installation (wks)],434)</f>
        <v/>
      </c>
      <c r="DB435" s="5">
        <f>INDEX(Projects[Plan Commissioning (wks)],434)</f>
        <v/>
      </c>
      <c r="DC435" s="5">
        <f>INDEX(Projects[Plan Total (wks)],434)</f>
        <v/>
      </c>
      <c r="DD435" s="5">
        <f>INDEX(Projects[Act Mech Eng (wks)],434)</f>
        <v/>
      </c>
      <c r="DE435" s="5">
        <f>INDEX(Projects[Act Controls Eng (wks)],434)</f>
        <v/>
      </c>
      <c r="DF435" s="5">
        <f>INDEX(Projects[Act Systems Eng (wks)],434)</f>
        <v/>
      </c>
      <c r="DG435" s="5">
        <f>INDEX(Projects[Act Software Eng (wks)],434)</f>
        <v/>
      </c>
      <c r="DH435" s="5">
        <f>INDEX(Projects[Act M&amp;E Installation (wks)],434)</f>
        <v/>
      </c>
      <c r="DI435" s="5">
        <f>INDEX(Projects[Act Commissioning (wks)],434)</f>
        <v/>
      </c>
      <c r="DJ435" s="5">
        <f>INDEX(Projects[Act Total (wks)],434)</f>
        <v/>
      </c>
    </row>
    <row r="436" ht="15" customHeight="1" s="82">
      <c r="A436" s="64">
        <f>INDEX(Projects[Project ID *],435)&amp;""</f>
        <v/>
      </c>
      <c r="B436" s="64">
        <f>INDEX(Projects[Project Name *],435)&amp;""</f>
        <v/>
      </c>
      <c r="C436" s="64">
        <f>INDEX(Projects[MS Shuttles],435)</f>
        <v/>
      </c>
      <c r="D436" s="64">
        <f>INDEX(Projects[MS Tote Locations],435)</f>
        <v/>
      </c>
      <c r="E436" s="64">
        <f>INDEX(Projects[AS Robots],435)</f>
        <v/>
      </c>
      <c r="F436" s="64">
        <f>INDEX(Projects[AS Tote Locations],435)</f>
        <v/>
      </c>
      <c r="G436" s="64">
        <f>INDEX(Projects[PS Shuttles],435)</f>
        <v/>
      </c>
      <c r="H436" s="64">
        <f>INDEX(Projects[PS Pallet Locations],435)</f>
        <v/>
      </c>
      <c r="I436" s="64">
        <f>INDEX(Projects[SRM Cranes],435)</f>
        <v/>
      </c>
      <c r="J436" s="64">
        <f>INDEX(Projects[SRM Pallet Locations],435)</f>
        <v/>
      </c>
      <c r="K436" s="64">
        <f>INDEX(Projects[Case Conv (m)],435)</f>
        <v/>
      </c>
      <c r="L436" s="64">
        <f>INDEX(Projects[Pallet Conv (m)],435)</f>
        <v/>
      </c>
      <c r="M436" s="64">
        <f>IF(N(DJ436)&gt;0,DD436,CW436)</f>
        <v/>
      </c>
      <c r="N436" s="64">
        <f>IF(N(DJ436)&gt;0,DE436,CX436)</f>
        <v/>
      </c>
      <c r="O436" s="64">
        <f>IF(N(DJ436)&gt;0,DF436,CY436)</f>
        <v/>
      </c>
      <c r="P436" s="64">
        <f>IF(N(DJ436)&gt;0,DG436,CZ436)</f>
        <v/>
      </c>
      <c r="Q436" s="64">
        <f>IF(N(DJ436)&gt;0,DH436,DA436)</f>
        <v/>
      </c>
      <c r="R436" s="64">
        <f>IF(N(DJ436)&gt;0,DI436,DB436)</f>
        <v/>
      </c>
      <c r="S436" s="64">
        <f>IF(N(DJ436)&gt;0,DJ436,DC436)</f>
        <v/>
      </c>
      <c r="T436" s="64">
        <f>INDEX(Projects[Currency],435)&amp;""</f>
        <v/>
      </c>
      <c r="U436" s="65">
        <f>INDEX(Projects[Sold Value (M)],435)</f>
        <v/>
      </c>
      <c r="V436" s="64">
        <f>IF('Smart Search'!B13=1,IFERROR(1/'Smart Search'!H13,0),0)</f>
        <v/>
      </c>
      <c r="W436" s="64">
        <f>IF('Smart Search'!B13=1,IFERROR(1/'Smart Search'!H13,0),0)</f>
        <v/>
      </c>
      <c r="X436" s="64">
        <f>IF('Smart Search'!C13=1,IFERROR(1/'Smart Search'!H13,0),0)</f>
        <v/>
      </c>
      <c r="Y436" s="64">
        <f>IF('Smart Search'!C13=1,IFERROR(1/'Smart Search'!H13,0),0)</f>
        <v/>
      </c>
      <c r="Z436" s="64">
        <f>IF('Smart Search'!D13=1,IFERROR(1/'Smart Search'!H13,0),0)</f>
        <v/>
      </c>
      <c r="AA436" s="64">
        <f>IF('Smart Search'!D13=1,IFERROR(1/'Smart Search'!H13,0),0)</f>
        <v/>
      </c>
      <c r="AB436" s="64">
        <f>IF('Smart Search'!E13=1,IFERROR(1/'Smart Search'!H13,0),0)</f>
        <v/>
      </c>
      <c r="AC436" s="64">
        <f>IF('Smart Search'!E13=1,IFERROR(1/'Smart Search'!H13,0),0)</f>
        <v/>
      </c>
      <c r="AD436" s="64">
        <f>IF('Smart Search'!F13=1,IFERROR(1/'Smart Search'!H13,0),0)</f>
        <v/>
      </c>
      <c r="AE436" s="64">
        <f>IF('Smart Search'!F13=1,IFERROR(1/'Smart Search'!H13,0),0)</f>
        <v/>
      </c>
      <c r="AF436" s="64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4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4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4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4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4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4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4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4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4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4">
        <f>AF436*V436</f>
        <v/>
      </c>
      <c r="AQ436" s="64">
        <f>AG436*W436</f>
        <v/>
      </c>
      <c r="AR436" s="64">
        <f>AH436*X436</f>
        <v/>
      </c>
      <c r="AS436" s="64">
        <f>AI436*Y436</f>
        <v/>
      </c>
      <c r="AT436" s="64">
        <f>AJ436*Z436</f>
        <v/>
      </c>
      <c r="AU436" s="64">
        <f>AK436*AA436</f>
        <v/>
      </c>
      <c r="AV436" s="64">
        <f>AL436*AB436</f>
        <v/>
      </c>
      <c r="AW436" s="64">
        <f>AM436*AC436</f>
        <v/>
      </c>
      <c r="AX436" s="64">
        <f>AN436*AD436</f>
        <v/>
      </c>
      <c r="AY436" s="64">
        <f>AO436*AE436</f>
        <v/>
      </c>
      <c r="AZ436" s="64">
        <f>INDEX(Projects[Automation Equipment],435)&amp;""</f>
        <v/>
      </c>
      <c r="BA436" s="64">
        <f>IF(OR(A436="",'Smart Search'!H13=0),"",MAX(0,BE436*BF436*MAX(0,1-BG436)))</f>
        <v/>
      </c>
      <c r="BB436" s="64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4">
        <f>IF('Smart Search'!G13=1,IFERROR(1/'Smart Search'!H13,0),0)</f>
        <v/>
      </c>
      <c r="BD436" s="64">
        <f>BB436*BC436</f>
        <v/>
      </c>
      <c r="BE436" s="64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IF(A436="","",N(INDEX(Projects[Act Mech Inst],435)))</f>
        <v/>
      </c>
      <c r="BK436" s="5">
        <f>IF(A436="","",N(INDEX(Projects[Act Elec Inst],435)))</f>
        <v/>
      </c>
      <c r="BL436" s="5">
        <f>IF(A436="","",N(INDEX(Projects[Act Project Management],435)))</f>
        <v/>
      </c>
      <c r="BM436" s="5">
        <f>IF(A436="","",N(INDEX(Projects[Act Systems Eng],435)))</f>
        <v/>
      </c>
      <c r="BN436" s="5">
        <f>IF(A436="","",N(INDEX(Projects[Act Mechanical Eng],435)))</f>
        <v/>
      </c>
      <c r="BO436" s="5">
        <f>IF(A436="","",N(INDEX(Projects[Act Structural Engineering],435)))</f>
        <v/>
      </c>
      <c r="BP436" s="5">
        <f>IF(A436="","",N(INDEX(Projects[Act Site Sup],435)))</f>
        <v/>
      </c>
      <c r="BQ436" s="5">
        <f>IF(A436="","",N(INDEX(Projects[Act Controls Commissioning],435)))</f>
        <v/>
      </c>
      <c r="BR436" s="5">
        <f>IF(A436="","",N(INDEX(Projects[Act Systems Commissioning],435)))</f>
        <v/>
      </c>
      <c r="BS436" s="5">
        <f>IF(A436="","",N(INDEX(Projects[Act Service Commissioning],435)))</f>
        <v/>
      </c>
      <c r="BT436" s="5">
        <f>IF(A436="","",N(INDEX(Projects[Act Controls Eng],435)))</f>
        <v/>
      </c>
      <c r="BU436" s="5">
        <f>IF(A436="","",N(INDEX(Projects[Act Controls Purchase],435)))</f>
        <v/>
      </c>
      <c r="BV436" s="5">
        <f>IF(A436="","",N(INDEX(Projects[Act Software Eng],435)))</f>
        <v/>
      </c>
      <c r="BW436" s="5">
        <f>IF(A436="","",N(INDEX(Projects[Act 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INDEX(Projects[Sold Value (USD M)],435)</f>
        <v/>
      </c>
      <c r="CE436" s="5" t="n"/>
      <c r="CF436" s="5">
        <f>IF(A436="","",N(INDEX(Projects[Est Mech Inst],435)))</f>
        <v/>
      </c>
      <c r="CG436" s="5">
        <f>IF(A436="","",N(INDEX(Projects[Est Elec Inst],435)))</f>
        <v/>
      </c>
      <c r="CH436" s="5">
        <f>IF(A436="","",N(INDEX(Projects[Est Project Management],435)))</f>
        <v/>
      </c>
      <c r="CI436" s="5">
        <f>IF(A436="","",N(INDEX(Projects[Est Systems Eng],435)))</f>
        <v/>
      </c>
      <c r="CJ436" s="5">
        <f>IF(A436="","",N(INDEX(Projects[Est Mechanical Eng],435)))</f>
        <v/>
      </c>
      <c r="CK436" s="5">
        <f>IF(A436="","",N(INDEX(Projects[Est Structural Engineering],435)))</f>
        <v/>
      </c>
      <c r="CL436" s="5">
        <f>IF(A436="","",N(INDEX(Projects[Est Site Sup],435)))</f>
        <v/>
      </c>
      <c r="CM436" s="5">
        <f>IF(A436="","",N(INDEX(Projects[Est Controls Commissioning],435)))</f>
        <v/>
      </c>
      <c r="CN436" s="5">
        <f>IF(A436="","",N(INDEX(Projects[Est Systems Commissioning],435)))</f>
        <v/>
      </c>
      <c r="CO436" s="5">
        <f>IF(A436="","",N(INDEX(Projects[Est Service Commissioning],435)))</f>
        <v/>
      </c>
      <c r="CP436" s="5">
        <f>IF(A436="","",N(INDEX(Projects[Est Controls Eng],435)))</f>
        <v/>
      </c>
      <c r="CQ436" s="5">
        <f>IF(A436="","",N(INDEX(Projects[Est Controls Purchase],435)))</f>
        <v/>
      </c>
      <c r="CR436" s="5">
        <f>IF(A436="","",N(INDEX(Projects[Est Software Eng],435)))</f>
        <v/>
      </c>
      <c r="CS436" s="5">
        <f>IF(A436="","",N(INDEX(Projects[Est Misc],435)))</f>
        <v/>
      </c>
      <c r="CT436" s="5">
        <f>IF(A436="","",SUM(CF436:CS436))</f>
        <v/>
      </c>
      <c r="CU436" s="5">
        <f>INDEX(Projects[Est Cost (M)],435)</f>
        <v/>
      </c>
      <c r="CV436" s="5">
        <f>INDEX(Projects[Act Cost (M)],435)</f>
        <v/>
      </c>
      <c r="CW436" s="5">
        <f>INDEX(Projects[Plan Mech Eng (wks)],435)</f>
        <v/>
      </c>
      <c r="CX436" s="5">
        <f>INDEX(Projects[Plan Controls Eng (wks)],435)</f>
        <v/>
      </c>
      <c r="CY436" s="5">
        <f>INDEX(Projects[Plan Systems Eng (wks)],435)</f>
        <v/>
      </c>
      <c r="CZ436" s="5">
        <f>INDEX(Projects[Plan Software Eng (wks)],435)</f>
        <v/>
      </c>
      <c r="DA436" s="5">
        <f>INDEX(Projects[Plan M&amp;E Installation (wks)],435)</f>
        <v/>
      </c>
      <c r="DB436" s="5">
        <f>INDEX(Projects[Plan Commissioning (wks)],435)</f>
        <v/>
      </c>
      <c r="DC436" s="5">
        <f>INDEX(Projects[Plan Total (wks)],435)</f>
        <v/>
      </c>
      <c r="DD436" s="5">
        <f>INDEX(Projects[Act Mech Eng (wks)],435)</f>
        <v/>
      </c>
      <c r="DE436" s="5">
        <f>INDEX(Projects[Act Controls Eng (wks)],435)</f>
        <v/>
      </c>
      <c r="DF436" s="5">
        <f>INDEX(Projects[Act Systems Eng (wks)],435)</f>
        <v/>
      </c>
      <c r="DG436" s="5">
        <f>INDEX(Projects[Act Software Eng (wks)],435)</f>
        <v/>
      </c>
      <c r="DH436" s="5">
        <f>INDEX(Projects[Act M&amp;E Installation (wks)],435)</f>
        <v/>
      </c>
      <c r="DI436" s="5">
        <f>INDEX(Projects[Act Commissioning (wks)],435)</f>
        <v/>
      </c>
      <c r="DJ436" s="5">
        <f>INDEX(Projects[Act Total (wks)],435)</f>
        <v/>
      </c>
    </row>
    <row r="437" ht="15" customHeight="1" s="82">
      <c r="A437" s="64">
        <f>INDEX(Projects[Project ID *],436)&amp;""</f>
        <v/>
      </c>
      <c r="B437" s="64">
        <f>INDEX(Projects[Project Name *],436)&amp;""</f>
        <v/>
      </c>
      <c r="C437" s="64">
        <f>INDEX(Projects[MS Shuttles],436)</f>
        <v/>
      </c>
      <c r="D437" s="64">
        <f>INDEX(Projects[MS Tote Locations],436)</f>
        <v/>
      </c>
      <c r="E437" s="64">
        <f>INDEX(Projects[AS Robots],436)</f>
        <v/>
      </c>
      <c r="F437" s="64">
        <f>INDEX(Projects[AS Tote Locations],436)</f>
        <v/>
      </c>
      <c r="G437" s="64">
        <f>INDEX(Projects[PS Shuttles],436)</f>
        <v/>
      </c>
      <c r="H437" s="64">
        <f>INDEX(Projects[PS Pallet Locations],436)</f>
        <v/>
      </c>
      <c r="I437" s="64">
        <f>INDEX(Projects[SRM Cranes],436)</f>
        <v/>
      </c>
      <c r="J437" s="64">
        <f>INDEX(Projects[SRM Pallet Locations],436)</f>
        <v/>
      </c>
      <c r="K437" s="64">
        <f>INDEX(Projects[Case Conv (m)],436)</f>
        <v/>
      </c>
      <c r="L437" s="64">
        <f>INDEX(Projects[Pallet Conv (m)],436)</f>
        <v/>
      </c>
      <c r="M437" s="64">
        <f>IF(N(DJ437)&gt;0,DD437,CW437)</f>
        <v/>
      </c>
      <c r="N437" s="64">
        <f>IF(N(DJ437)&gt;0,DE437,CX437)</f>
        <v/>
      </c>
      <c r="O437" s="64">
        <f>IF(N(DJ437)&gt;0,DF437,CY437)</f>
        <v/>
      </c>
      <c r="P437" s="64">
        <f>IF(N(DJ437)&gt;0,DG437,CZ437)</f>
        <v/>
      </c>
      <c r="Q437" s="64">
        <f>IF(N(DJ437)&gt;0,DH437,DA437)</f>
        <v/>
      </c>
      <c r="R437" s="64">
        <f>IF(N(DJ437)&gt;0,DI437,DB437)</f>
        <v/>
      </c>
      <c r="S437" s="64">
        <f>IF(N(DJ437)&gt;0,DJ437,DC437)</f>
        <v/>
      </c>
      <c r="T437" s="64">
        <f>INDEX(Projects[Currency],436)&amp;""</f>
        <v/>
      </c>
      <c r="U437" s="65">
        <f>INDEX(Projects[Sold Value (M)],436)</f>
        <v/>
      </c>
      <c r="V437" s="64">
        <f>IF('Smart Search'!B13=1,IFERROR(1/'Smart Search'!H13,0),0)</f>
        <v/>
      </c>
      <c r="W437" s="64">
        <f>IF('Smart Search'!B13=1,IFERROR(1/'Smart Search'!H13,0),0)</f>
        <v/>
      </c>
      <c r="X437" s="64">
        <f>IF('Smart Search'!C13=1,IFERROR(1/'Smart Search'!H13,0),0)</f>
        <v/>
      </c>
      <c r="Y437" s="64">
        <f>IF('Smart Search'!C13=1,IFERROR(1/'Smart Search'!H13,0),0)</f>
        <v/>
      </c>
      <c r="Z437" s="64">
        <f>IF('Smart Search'!D13=1,IFERROR(1/'Smart Search'!H13,0),0)</f>
        <v/>
      </c>
      <c r="AA437" s="64">
        <f>IF('Smart Search'!D13=1,IFERROR(1/'Smart Search'!H13,0),0)</f>
        <v/>
      </c>
      <c r="AB437" s="64">
        <f>IF('Smart Search'!E13=1,IFERROR(1/'Smart Search'!H13,0),0)</f>
        <v/>
      </c>
      <c r="AC437" s="64">
        <f>IF('Smart Search'!E13=1,IFERROR(1/'Smart Search'!H13,0),0)</f>
        <v/>
      </c>
      <c r="AD437" s="64">
        <f>IF('Smart Search'!F13=1,IFERROR(1/'Smart Search'!H13,0),0)</f>
        <v/>
      </c>
      <c r="AE437" s="64">
        <f>IF('Smart Search'!F13=1,IFERROR(1/'Smart Search'!H13,0),0)</f>
        <v/>
      </c>
      <c r="AF437" s="64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4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4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4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4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4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4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4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4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4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4">
        <f>AF437*V437</f>
        <v/>
      </c>
      <c r="AQ437" s="64">
        <f>AG437*W437</f>
        <v/>
      </c>
      <c r="AR437" s="64">
        <f>AH437*X437</f>
        <v/>
      </c>
      <c r="AS437" s="64">
        <f>AI437*Y437</f>
        <v/>
      </c>
      <c r="AT437" s="64">
        <f>AJ437*Z437</f>
        <v/>
      </c>
      <c r="AU437" s="64">
        <f>AK437*AA437</f>
        <v/>
      </c>
      <c r="AV437" s="64">
        <f>AL437*AB437</f>
        <v/>
      </c>
      <c r="AW437" s="64">
        <f>AM437*AC437</f>
        <v/>
      </c>
      <c r="AX437" s="64">
        <f>AN437*AD437</f>
        <v/>
      </c>
      <c r="AY437" s="64">
        <f>AO437*AE437</f>
        <v/>
      </c>
      <c r="AZ437" s="64">
        <f>INDEX(Projects[Automation Equipment],436)&amp;""</f>
        <v/>
      </c>
      <c r="BA437" s="64">
        <f>IF(OR(A437="",'Smart Search'!H13=0),"",MAX(0,BE437*BF437*MAX(0,1-BG437)))</f>
        <v/>
      </c>
      <c r="BB437" s="64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4">
        <f>IF('Smart Search'!G13=1,IFERROR(1/'Smart Search'!H13,0),0)</f>
        <v/>
      </c>
      <c r="BD437" s="64">
        <f>BB437*BC437</f>
        <v/>
      </c>
      <c r="BE437" s="64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IF(A437="","",N(INDEX(Projects[Act Mech Inst],436)))</f>
        <v/>
      </c>
      <c r="BK437" s="5">
        <f>IF(A437="","",N(INDEX(Projects[Act Elec Inst],436)))</f>
        <v/>
      </c>
      <c r="BL437" s="5">
        <f>IF(A437="","",N(INDEX(Projects[Act Project Management],436)))</f>
        <v/>
      </c>
      <c r="BM437" s="5">
        <f>IF(A437="","",N(INDEX(Projects[Act Systems Eng],436)))</f>
        <v/>
      </c>
      <c r="BN437" s="5">
        <f>IF(A437="","",N(INDEX(Projects[Act Mechanical Eng],436)))</f>
        <v/>
      </c>
      <c r="BO437" s="5">
        <f>IF(A437="","",N(INDEX(Projects[Act Structural Engineering],436)))</f>
        <v/>
      </c>
      <c r="BP437" s="5">
        <f>IF(A437="","",N(INDEX(Projects[Act Site Sup],436)))</f>
        <v/>
      </c>
      <c r="BQ437" s="5">
        <f>IF(A437="","",N(INDEX(Projects[Act Controls Commissioning],436)))</f>
        <v/>
      </c>
      <c r="BR437" s="5">
        <f>IF(A437="","",N(INDEX(Projects[Act Systems Commissioning],436)))</f>
        <v/>
      </c>
      <c r="BS437" s="5">
        <f>IF(A437="","",N(INDEX(Projects[Act Service Commissioning],436)))</f>
        <v/>
      </c>
      <c r="BT437" s="5">
        <f>IF(A437="","",N(INDEX(Projects[Act Controls Eng],436)))</f>
        <v/>
      </c>
      <c r="BU437" s="5">
        <f>IF(A437="","",N(INDEX(Projects[Act Controls Purchase],436)))</f>
        <v/>
      </c>
      <c r="BV437" s="5">
        <f>IF(A437="","",N(INDEX(Projects[Act Software Eng],436)))</f>
        <v/>
      </c>
      <c r="BW437" s="5">
        <f>IF(A437="","",N(INDEX(Projects[Act 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INDEX(Projects[Sold Value (USD M)],436)</f>
        <v/>
      </c>
      <c r="CE437" s="5" t="n"/>
      <c r="CF437" s="5">
        <f>IF(A437="","",N(INDEX(Projects[Est Mech Inst],436)))</f>
        <v/>
      </c>
      <c r="CG437" s="5">
        <f>IF(A437="","",N(INDEX(Projects[Est Elec Inst],436)))</f>
        <v/>
      </c>
      <c r="CH437" s="5">
        <f>IF(A437="","",N(INDEX(Projects[Est Project Management],436)))</f>
        <v/>
      </c>
      <c r="CI437" s="5">
        <f>IF(A437="","",N(INDEX(Projects[Est Systems Eng],436)))</f>
        <v/>
      </c>
      <c r="CJ437" s="5">
        <f>IF(A437="","",N(INDEX(Projects[Est Mechanical Eng],436)))</f>
        <v/>
      </c>
      <c r="CK437" s="5">
        <f>IF(A437="","",N(INDEX(Projects[Est Structural Engineering],436)))</f>
        <v/>
      </c>
      <c r="CL437" s="5">
        <f>IF(A437="","",N(INDEX(Projects[Est Site Sup],436)))</f>
        <v/>
      </c>
      <c r="CM437" s="5">
        <f>IF(A437="","",N(INDEX(Projects[Est Controls Commissioning],436)))</f>
        <v/>
      </c>
      <c r="CN437" s="5">
        <f>IF(A437="","",N(INDEX(Projects[Est Systems Commissioning],436)))</f>
        <v/>
      </c>
      <c r="CO437" s="5">
        <f>IF(A437="","",N(INDEX(Projects[Est Service Commissioning],436)))</f>
        <v/>
      </c>
      <c r="CP437" s="5">
        <f>IF(A437="","",N(INDEX(Projects[Est Controls Eng],436)))</f>
        <v/>
      </c>
      <c r="CQ437" s="5">
        <f>IF(A437="","",N(INDEX(Projects[Est Controls Purchase],436)))</f>
        <v/>
      </c>
      <c r="CR437" s="5">
        <f>IF(A437="","",N(INDEX(Projects[Est Software Eng],436)))</f>
        <v/>
      </c>
      <c r="CS437" s="5">
        <f>IF(A437="","",N(INDEX(Projects[Est Misc],436)))</f>
        <v/>
      </c>
      <c r="CT437" s="5">
        <f>IF(A437="","",SUM(CF437:CS437))</f>
        <v/>
      </c>
      <c r="CU437" s="5">
        <f>INDEX(Projects[Est Cost (M)],436)</f>
        <v/>
      </c>
      <c r="CV437" s="5">
        <f>INDEX(Projects[Act Cost (M)],436)</f>
        <v/>
      </c>
      <c r="CW437" s="5">
        <f>INDEX(Projects[Plan Mech Eng (wks)],436)</f>
        <v/>
      </c>
      <c r="CX437" s="5">
        <f>INDEX(Projects[Plan Controls Eng (wks)],436)</f>
        <v/>
      </c>
      <c r="CY437" s="5">
        <f>INDEX(Projects[Plan Systems Eng (wks)],436)</f>
        <v/>
      </c>
      <c r="CZ437" s="5">
        <f>INDEX(Projects[Plan Software Eng (wks)],436)</f>
        <v/>
      </c>
      <c r="DA437" s="5">
        <f>INDEX(Projects[Plan M&amp;E Installation (wks)],436)</f>
        <v/>
      </c>
      <c r="DB437" s="5">
        <f>INDEX(Projects[Plan Commissioning (wks)],436)</f>
        <v/>
      </c>
      <c r="DC437" s="5">
        <f>INDEX(Projects[Plan Total (wks)],436)</f>
        <v/>
      </c>
      <c r="DD437" s="5">
        <f>INDEX(Projects[Act Mech Eng (wks)],436)</f>
        <v/>
      </c>
      <c r="DE437" s="5">
        <f>INDEX(Projects[Act Controls Eng (wks)],436)</f>
        <v/>
      </c>
      <c r="DF437" s="5">
        <f>INDEX(Projects[Act Systems Eng (wks)],436)</f>
        <v/>
      </c>
      <c r="DG437" s="5">
        <f>INDEX(Projects[Act Software Eng (wks)],436)</f>
        <v/>
      </c>
      <c r="DH437" s="5">
        <f>INDEX(Projects[Act M&amp;E Installation (wks)],436)</f>
        <v/>
      </c>
      <c r="DI437" s="5">
        <f>INDEX(Projects[Act Commissioning (wks)],436)</f>
        <v/>
      </c>
      <c r="DJ437" s="5">
        <f>INDEX(Projects[Act Total (wks)],436)</f>
        <v/>
      </c>
    </row>
    <row r="438" ht="15" customHeight="1" s="82">
      <c r="A438" s="64">
        <f>INDEX(Projects[Project ID *],437)&amp;""</f>
        <v/>
      </c>
      <c r="B438" s="64">
        <f>INDEX(Projects[Project Name *],437)&amp;""</f>
        <v/>
      </c>
      <c r="C438" s="64">
        <f>INDEX(Projects[MS Shuttles],437)</f>
        <v/>
      </c>
      <c r="D438" s="64">
        <f>INDEX(Projects[MS Tote Locations],437)</f>
        <v/>
      </c>
      <c r="E438" s="64">
        <f>INDEX(Projects[AS Robots],437)</f>
        <v/>
      </c>
      <c r="F438" s="64">
        <f>INDEX(Projects[AS Tote Locations],437)</f>
        <v/>
      </c>
      <c r="G438" s="64">
        <f>INDEX(Projects[PS Shuttles],437)</f>
        <v/>
      </c>
      <c r="H438" s="64">
        <f>INDEX(Projects[PS Pallet Locations],437)</f>
        <v/>
      </c>
      <c r="I438" s="64">
        <f>INDEX(Projects[SRM Cranes],437)</f>
        <v/>
      </c>
      <c r="J438" s="64">
        <f>INDEX(Projects[SRM Pallet Locations],437)</f>
        <v/>
      </c>
      <c r="K438" s="64">
        <f>INDEX(Projects[Case Conv (m)],437)</f>
        <v/>
      </c>
      <c r="L438" s="64">
        <f>INDEX(Projects[Pallet Conv (m)],437)</f>
        <v/>
      </c>
      <c r="M438" s="64">
        <f>IF(N(DJ438)&gt;0,DD438,CW438)</f>
        <v/>
      </c>
      <c r="N438" s="64">
        <f>IF(N(DJ438)&gt;0,DE438,CX438)</f>
        <v/>
      </c>
      <c r="O438" s="64">
        <f>IF(N(DJ438)&gt;0,DF438,CY438)</f>
        <v/>
      </c>
      <c r="P438" s="64">
        <f>IF(N(DJ438)&gt;0,DG438,CZ438)</f>
        <v/>
      </c>
      <c r="Q438" s="64">
        <f>IF(N(DJ438)&gt;0,DH438,DA438)</f>
        <v/>
      </c>
      <c r="R438" s="64">
        <f>IF(N(DJ438)&gt;0,DI438,DB438)</f>
        <v/>
      </c>
      <c r="S438" s="64">
        <f>IF(N(DJ438)&gt;0,DJ438,DC438)</f>
        <v/>
      </c>
      <c r="T438" s="64">
        <f>INDEX(Projects[Currency],437)&amp;""</f>
        <v/>
      </c>
      <c r="U438" s="65">
        <f>INDEX(Projects[Sold Value (M)],437)</f>
        <v/>
      </c>
      <c r="V438" s="64">
        <f>IF('Smart Search'!B13=1,IFERROR(1/'Smart Search'!H13,0),0)</f>
        <v/>
      </c>
      <c r="W438" s="64">
        <f>IF('Smart Search'!B13=1,IFERROR(1/'Smart Search'!H13,0),0)</f>
        <v/>
      </c>
      <c r="X438" s="64">
        <f>IF('Smart Search'!C13=1,IFERROR(1/'Smart Search'!H13,0),0)</f>
        <v/>
      </c>
      <c r="Y438" s="64">
        <f>IF('Smart Search'!C13=1,IFERROR(1/'Smart Search'!H13,0),0)</f>
        <v/>
      </c>
      <c r="Z438" s="64">
        <f>IF('Smart Search'!D13=1,IFERROR(1/'Smart Search'!H13,0),0)</f>
        <v/>
      </c>
      <c r="AA438" s="64">
        <f>IF('Smart Search'!D13=1,IFERROR(1/'Smart Search'!H13,0),0)</f>
        <v/>
      </c>
      <c r="AB438" s="64">
        <f>IF('Smart Search'!E13=1,IFERROR(1/'Smart Search'!H13,0),0)</f>
        <v/>
      </c>
      <c r="AC438" s="64">
        <f>IF('Smart Search'!E13=1,IFERROR(1/'Smart Search'!H13,0),0)</f>
        <v/>
      </c>
      <c r="AD438" s="64">
        <f>IF('Smart Search'!F13=1,IFERROR(1/'Smart Search'!H13,0),0)</f>
        <v/>
      </c>
      <c r="AE438" s="64">
        <f>IF('Smart Search'!F13=1,IFERROR(1/'Smart Search'!H13,0),0)</f>
        <v/>
      </c>
      <c r="AF438" s="64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4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4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4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4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4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4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4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4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4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4">
        <f>AF438*V438</f>
        <v/>
      </c>
      <c r="AQ438" s="64">
        <f>AG438*W438</f>
        <v/>
      </c>
      <c r="AR438" s="64">
        <f>AH438*X438</f>
        <v/>
      </c>
      <c r="AS438" s="64">
        <f>AI438*Y438</f>
        <v/>
      </c>
      <c r="AT438" s="64">
        <f>AJ438*Z438</f>
        <v/>
      </c>
      <c r="AU438" s="64">
        <f>AK438*AA438</f>
        <v/>
      </c>
      <c r="AV438" s="64">
        <f>AL438*AB438</f>
        <v/>
      </c>
      <c r="AW438" s="64">
        <f>AM438*AC438</f>
        <v/>
      </c>
      <c r="AX438" s="64">
        <f>AN438*AD438</f>
        <v/>
      </c>
      <c r="AY438" s="64">
        <f>AO438*AE438</f>
        <v/>
      </c>
      <c r="AZ438" s="64">
        <f>INDEX(Projects[Automation Equipment],437)&amp;""</f>
        <v/>
      </c>
      <c r="BA438" s="64">
        <f>IF(OR(A438="",'Smart Search'!H13=0),"",MAX(0,BE438*BF438*MAX(0,1-BG438)))</f>
        <v/>
      </c>
      <c r="BB438" s="64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4">
        <f>IF('Smart Search'!G13=1,IFERROR(1/'Smart Search'!H13,0),0)</f>
        <v/>
      </c>
      <c r="BD438" s="64">
        <f>BB438*BC438</f>
        <v/>
      </c>
      <c r="BE438" s="64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IF(A438="","",N(INDEX(Projects[Act Mech Inst],437)))</f>
        <v/>
      </c>
      <c r="BK438" s="5">
        <f>IF(A438="","",N(INDEX(Projects[Act Elec Inst],437)))</f>
        <v/>
      </c>
      <c r="BL438" s="5">
        <f>IF(A438="","",N(INDEX(Projects[Act Project Management],437)))</f>
        <v/>
      </c>
      <c r="BM438" s="5">
        <f>IF(A438="","",N(INDEX(Projects[Act Systems Eng],437)))</f>
        <v/>
      </c>
      <c r="BN438" s="5">
        <f>IF(A438="","",N(INDEX(Projects[Act Mechanical Eng],437)))</f>
        <v/>
      </c>
      <c r="BO438" s="5">
        <f>IF(A438="","",N(INDEX(Projects[Act Structural Engineering],437)))</f>
        <v/>
      </c>
      <c r="BP438" s="5">
        <f>IF(A438="","",N(INDEX(Projects[Act Site Sup],437)))</f>
        <v/>
      </c>
      <c r="BQ438" s="5">
        <f>IF(A438="","",N(INDEX(Projects[Act Controls Commissioning],437)))</f>
        <v/>
      </c>
      <c r="BR438" s="5">
        <f>IF(A438="","",N(INDEX(Projects[Act Systems Commissioning],437)))</f>
        <v/>
      </c>
      <c r="BS438" s="5">
        <f>IF(A438="","",N(INDEX(Projects[Act Service Commissioning],437)))</f>
        <v/>
      </c>
      <c r="BT438" s="5">
        <f>IF(A438="","",N(INDEX(Projects[Act Controls Eng],437)))</f>
        <v/>
      </c>
      <c r="BU438" s="5">
        <f>IF(A438="","",N(INDEX(Projects[Act Controls Purchase],437)))</f>
        <v/>
      </c>
      <c r="BV438" s="5">
        <f>IF(A438="","",N(INDEX(Projects[Act Software Eng],437)))</f>
        <v/>
      </c>
      <c r="BW438" s="5">
        <f>IF(A438="","",N(INDEX(Projects[Act 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INDEX(Projects[Sold Value (USD M)],437)</f>
        <v/>
      </c>
      <c r="CE438" s="5" t="n"/>
      <c r="CF438" s="5">
        <f>IF(A438="","",N(INDEX(Projects[Est Mech Inst],437)))</f>
        <v/>
      </c>
      <c r="CG438" s="5">
        <f>IF(A438="","",N(INDEX(Projects[Est Elec Inst],437)))</f>
        <v/>
      </c>
      <c r="CH438" s="5">
        <f>IF(A438="","",N(INDEX(Projects[Est Project Management],437)))</f>
        <v/>
      </c>
      <c r="CI438" s="5">
        <f>IF(A438="","",N(INDEX(Projects[Est Systems Eng],437)))</f>
        <v/>
      </c>
      <c r="CJ438" s="5">
        <f>IF(A438="","",N(INDEX(Projects[Est Mechanical Eng],437)))</f>
        <v/>
      </c>
      <c r="CK438" s="5">
        <f>IF(A438="","",N(INDEX(Projects[Est Structural Engineering],437)))</f>
        <v/>
      </c>
      <c r="CL438" s="5">
        <f>IF(A438="","",N(INDEX(Projects[Est Site Sup],437)))</f>
        <v/>
      </c>
      <c r="CM438" s="5">
        <f>IF(A438="","",N(INDEX(Projects[Est Controls Commissioning],437)))</f>
        <v/>
      </c>
      <c r="CN438" s="5">
        <f>IF(A438="","",N(INDEX(Projects[Est Systems Commissioning],437)))</f>
        <v/>
      </c>
      <c r="CO438" s="5">
        <f>IF(A438="","",N(INDEX(Projects[Est Service Commissioning],437)))</f>
        <v/>
      </c>
      <c r="CP438" s="5">
        <f>IF(A438="","",N(INDEX(Projects[Est Controls Eng],437)))</f>
        <v/>
      </c>
      <c r="CQ438" s="5">
        <f>IF(A438="","",N(INDEX(Projects[Est Controls Purchase],437)))</f>
        <v/>
      </c>
      <c r="CR438" s="5">
        <f>IF(A438="","",N(INDEX(Projects[Est Software Eng],437)))</f>
        <v/>
      </c>
      <c r="CS438" s="5">
        <f>IF(A438="","",N(INDEX(Projects[Est Misc],437)))</f>
        <v/>
      </c>
      <c r="CT438" s="5">
        <f>IF(A438="","",SUM(CF438:CS438))</f>
        <v/>
      </c>
      <c r="CU438" s="5">
        <f>INDEX(Projects[Est Cost (M)],437)</f>
        <v/>
      </c>
      <c r="CV438" s="5">
        <f>INDEX(Projects[Act Cost (M)],437)</f>
        <v/>
      </c>
      <c r="CW438" s="5">
        <f>INDEX(Projects[Plan Mech Eng (wks)],437)</f>
        <v/>
      </c>
      <c r="CX438" s="5">
        <f>INDEX(Projects[Plan Controls Eng (wks)],437)</f>
        <v/>
      </c>
      <c r="CY438" s="5">
        <f>INDEX(Projects[Plan Systems Eng (wks)],437)</f>
        <v/>
      </c>
      <c r="CZ438" s="5">
        <f>INDEX(Projects[Plan Software Eng (wks)],437)</f>
        <v/>
      </c>
      <c r="DA438" s="5">
        <f>INDEX(Projects[Plan M&amp;E Installation (wks)],437)</f>
        <v/>
      </c>
      <c r="DB438" s="5">
        <f>INDEX(Projects[Plan Commissioning (wks)],437)</f>
        <v/>
      </c>
      <c r="DC438" s="5">
        <f>INDEX(Projects[Plan Total (wks)],437)</f>
        <v/>
      </c>
      <c r="DD438" s="5">
        <f>INDEX(Projects[Act Mech Eng (wks)],437)</f>
        <v/>
      </c>
      <c r="DE438" s="5">
        <f>INDEX(Projects[Act Controls Eng (wks)],437)</f>
        <v/>
      </c>
      <c r="DF438" s="5">
        <f>INDEX(Projects[Act Systems Eng (wks)],437)</f>
        <v/>
      </c>
      <c r="DG438" s="5">
        <f>INDEX(Projects[Act Software Eng (wks)],437)</f>
        <v/>
      </c>
      <c r="DH438" s="5">
        <f>INDEX(Projects[Act M&amp;E Installation (wks)],437)</f>
        <v/>
      </c>
      <c r="DI438" s="5">
        <f>INDEX(Projects[Act Commissioning (wks)],437)</f>
        <v/>
      </c>
      <c r="DJ438" s="5">
        <f>INDEX(Projects[Act Total (wks)],437)</f>
        <v/>
      </c>
    </row>
    <row r="439" ht="15" customHeight="1" s="82">
      <c r="A439" s="64">
        <f>INDEX(Projects[Project ID *],438)&amp;""</f>
        <v/>
      </c>
      <c r="B439" s="64">
        <f>INDEX(Projects[Project Name *],438)&amp;""</f>
        <v/>
      </c>
      <c r="C439" s="64">
        <f>INDEX(Projects[MS Shuttles],438)</f>
        <v/>
      </c>
      <c r="D439" s="64">
        <f>INDEX(Projects[MS Tote Locations],438)</f>
        <v/>
      </c>
      <c r="E439" s="64">
        <f>INDEX(Projects[AS Robots],438)</f>
        <v/>
      </c>
      <c r="F439" s="64">
        <f>INDEX(Projects[AS Tote Locations],438)</f>
        <v/>
      </c>
      <c r="G439" s="64">
        <f>INDEX(Projects[PS Shuttles],438)</f>
        <v/>
      </c>
      <c r="H439" s="64">
        <f>INDEX(Projects[PS Pallet Locations],438)</f>
        <v/>
      </c>
      <c r="I439" s="64">
        <f>INDEX(Projects[SRM Cranes],438)</f>
        <v/>
      </c>
      <c r="J439" s="64">
        <f>INDEX(Projects[SRM Pallet Locations],438)</f>
        <v/>
      </c>
      <c r="K439" s="64">
        <f>INDEX(Projects[Case Conv (m)],438)</f>
        <v/>
      </c>
      <c r="L439" s="64">
        <f>INDEX(Projects[Pallet Conv (m)],438)</f>
        <v/>
      </c>
      <c r="M439" s="64">
        <f>IF(N(DJ439)&gt;0,DD439,CW439)</f>
        <v/>
      </c>
      <c r="N439" s="64">
        <f>IF(N(DJ439)&gt;0,DE439,CX439)</f>
        <v/>
      </c>
      <c r="O439" s="64">
        <f>IF(N(DJ439)&gt;0,DF439,CY439)</f>
        <v/>
      </c>
      <c r="P439" s="64">
        <f>IF(N(DJ439)&gt;0,DG439,CZ439)</f>
        <v/>
      </c>
      <c r="Q439" s="64">
        <f>IF(N(DJ439)&gt;0,DH439,DA439)</f>
        <v/>
      </c>
      <c r="R439" s="64">
        <f>IF(N(DJ439)&gt;0,DI439,DB439)</f>
        <v/>
      </c>
      <c r="S439" s="64">
        <f>IF(N(DJ439)&gt;0,DJ439,DC439)</f>
        <v/>
      </c>
      <c r="T439" s="64">
        <f>INDEX(Projects[Currency],438)&amp;""</f>
        <v/>
      </c>
      <c r="U439" s="65">
        <f>INDEX(Projects[Sold Value (M)],438)</f>
        <v/>
      </c>
      <c r="V439" s="64">
        <f>IF('Smart Search'!B13=1,IFERROR(1/'Smart Search'!H13,0),0)</f>
        <v/>
      </c>
      <c r="W439" s="64">
        <f>IF('Smart Search'!B13=1,IFERROR(1/'Smart Search'!H13,0),0)</f>
        <v/>
      </c>
      <c r="X439" s="64">
        <f>IF('Smart Search'!C13=1,IFERROR(1/'Smart Search'!H13,0),0)</f>
        <v/>
      </c>
      <c r="Y439" s="64">
        <f>IF('Smart Search'!C13=1,IFERROR(1/'Smart Search'!H13,0),0)</f>
        <v/>
      </c>
      <c r="Z439" s="64">
        <f>IF('Smart Search'!D13=1,IFERROR(1/'Smart Search'!H13,0),0)</f>
        <v/>
      </c>
      <c r="AA439" s="64">
        <f>IF('Smart Search'!D13=1,IFERROR(1/'Smart Search'!H13,0),0)</f>
        <v/>
      </c>
      <c r="AB439" s="64">
        <f>IF('Smart Search'!E13=1,IFERROR(1/'Smart Search'!H13,0),0)</f>
        <v/>
      </c>
      <c r="AC439" s="64">
        <f>IF('Smart Search'!E13=1,IFERROR(1/'Smart Search'!H13,0),0)</f>
        <v/>
      </c>
      <c r="AD439" s="64">
        <f>IF('Smart Search'!F13=1,IFERROR(1/'Smart Search'!H13,0),0)</f>
        <v/>
      </c>
      <c r="AE439" s="64">
        <f>IF('Smart Search'!F13=1,IFERROR(1/'Smart Search'!H13,0),0)</f>
        <v/>
      </c>
      <c r="AF439" s="64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4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4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4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4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4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4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4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4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4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4">
        <f>AF439*V439</f>
        <v/>
      </c>
      <c r="AQ439" s="64">
        <f>AG439*W439</f>
        <v/>
      </c>
      <c r="AR439" s="64">
        <f>AH439*X439</f>
        <v/>
      </c>
      <c r="AS439" s="64">
        <f>AI439*Y439</f>
        <v/>
      </c>
      <c r="AT439" s="64">
        <f>AJ439*Z439</f>
        <v/>
      </c>
      <c r="AU439" s="64">
        <f>AK439*AA439</f>
        <v/>
      </c>
      <c r="AV439" s="64">
        <f>AL439*AB439</f>
        <v/>
      </c>
      <c r="AW439" s="64">
        <f>AM439*AC439</f>
        <v/>
      </c>
      <c r="AX439" s="64">
        <f>AN439*AD439</f>
        <v/>
      </c>
      <c r="AY439" s="64">
        <f>AO439*AE439</f>
        <v/>
      </c>
      <c r="AZ439" s="64">
        <f>INDEX(Projects[Automation Equipment],438)&amp;""</f>
        <v/>
      </c>
      <c r="BA439" s="64">
        <f>IF(OR(A439="",'Smart Search'!H13=0),"",MAX(0,BE439*BF439*MAX(0,1-BG439)))</f>
        <v/>
      </c>
      <c r="BB439" s="64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4">
        <f>IF('Smart Search'!G13=1,IFERROR(1/'Smart Search'!H13,0),0)</f>
        <v/>
      </c>
      <c r="BD439" s="64">
        <f>BB439*BC439</f>
        <v/>
      </c>
      <c r="BE439" s="64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IF(A439="","",N(INDEX(Projects[Act Mech Inst],438)))</f>
        <v/>
      </c>
      <c r="BK439" s="5">
        <f>IF(A439="","",N(INDEX(Projects[Act Elec Inst],438)))</f>
        <v/>
      </c>
      <c r="BL439" s="5">
        <f>IF(A439="","",N(INDEX(Projects[Act Project Management],438)))</f>
        <v/>
      </c>
      <c r="BM439" s="5">
        <f>IF(A439="","",N(INDEX(Projects[Act Systems Eng],438)))</f>
        <v/>
      </c>
      <c r="BN439" s="5">
        <f>IF(A439="","",N(INDEX(Projects[Act Mechanical Eng],438)))</f>
        <v/>
      </c>
      <c r="BO439" s="5">
        <f>IF(A439="","",N(INDEX(Projects[Act Structural Engineering],438)))</f>
        <v/>
      </c>
      <c r="BP439" s="5">
        <f>IF(A439="","",N(INDEX(Projects[Act Site Sup],438)))</f>
        <v/>
      </c>
      <c r="BQ439" s="5">
        <f>IF(A439="","",N(INDEX(Projects[Act Controls Commissioning],438)))</f>
        <v/>
      </c>
      <c r="BR439" s="5">
        <f>IF(A439="","",N(INDEX(Projects[Act Systems Commissioning],438)))</f>
        <v/>
      </c>
      <c r="BS439" s="5">
        <f>IF(A439="","",N(INDEX(Projects[Act Service Commissioning],438)))</f>
        <v/>
      </c>
      <c r="BT439" s="5">
        <f>IF(A439="","",N(INDEX(Projects[Act Controls Eng],438)))</f>
        <v/>
      </c>
      <c r="BU439" s="5">
        <f>IF(A439="","",N(INDEX(Projects[Act Controls Purchase],438)))</f>
        <v/>
      </c>
      <c r="BV439" s="5">
        <f>IF(A439="","",N(INDEX(Projects[Act Software Eng],438)))</f>
        <v/>
      </c>
      <c r="BW439" s="5">
        <f>IF(A439="","",N(INDEX(Projects[Act 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INDEX(Projects[Sold Value (USD M)],438)</f>
        <v/>
      </c>
      <c r="CE439" s="5" t="n"/>
      <c r="CF439" s="5">
        <f>IF(A439="","",N(INDEX(Projects[Est Mech Inst],438)))</f>
        <v/>
      </c>
      <c r="CG439" s="5">
        <f>IF(A439="","",N(INDEX(Projects[Est Elec Inst],438)))</f>
        <v/>
      </c>
      <c r="CH439" s="5">
        <f>IF(A439="","",N(INDEX(Projects[Est Project Management],438)))</f>
        <v/>
      </c>
      <c r="CI439" s="5">
        <f>IF(A439="","",N(INDEX(Projects[Est Systems Eng],438)))</f>
        <v/>
      </c>
      <c r="CJ439" s="5">
        <f>IF(A439="","",N(INDEX(Projects[Est Mechanical Eng],438)))</f>
        <v/>
      </c>
      <c r="CK439" s="5">
        <f>IF(A439="","",N(INDEX(Projects[Est Structural Engineering],438)))</f>
        <v/>
      </c>
      <c r="CL439" s="5">
        <f>IF(A439="","",N(INDEX(Projects[Est Site Sup],438)))</f>
        <v/>
      </c>
      <c r="CM439" s="5">
        <f>IF(A439="","",N(INDEX(Projects[Est Controls Commissioning],438)))</f>
        <v/>
      </c>
      <c r="CN439" s="5">
        <f>IF(A439="","",N(INDEX(Projects[Est Systems Commissioning],438)))</f>
        <v/>
      </c>
      <c r="CO439" s="5">
        <f>IF(A439="","",N(INDEX(Projects[Est Service Commissioning],438)))</f>
        <v/>
      </c>
      <c r="CP439" s="5">
        <f>IF(A439="","",N(INDEX(Projects[Est Controls Eng],438)))</f>
        <v/>
      </c>
      <c r="CQ439" s="5">
        <f>IF(A439="","",N(INDEX(Projects[Est Controls Purchase],438)))</f>
        <v/>
      </c>
      <c r="CR439" s="5">
        <f>IF(A439="","",N(INDEX(Projects[Est Software Eng],438)))</f>
        <v/>
      </c>
      <c r="CS439" s="5">
        <f>IF(A439="","",N(INDEX(Projects[Est Misc],438)))</f>
        <v/>
      </c>
      <c r="CT439" s="5">
        <f>IF(A439="","",SUM(CF439:CS439))</f>
        <v/>
      </c>
      <c r="CU439" s="5">
        <f>INDEX(Projects[Est Cost (M)],438)</f>
        <v/>
      </c>
      <c r="CV439" s="5">
        <f>INDEX(Projects[Act Cost (M)],438)</f>
        <v/>
      </c>
      <c r="CW439" s="5">
        <f>INDEX(Projects[Plan Mech Eng (wks)],438)</f>
        <v/>
      </c>
      <c r="CX439" s="5">
        <f>INDEX(Projects[Plan Controls Eng (wks)],438)</f>
        <v/>
      </c>
      <c r="CY439" s="5">
        <f>INDEX(Projects[Plan Systems Eng (wks)],438)</f>
        <v/>
      </c>
      <c r="CZ439" s="5">
        <f>INDEX(Projects[Plan Software Eng (wks)],438)</f>
        <v/>
      </c>
      <c r="DA439" s="5">
        <f>INDEX(Projects[Plan M&amp;E Installation (wks)],438)</f>
        <v/>
      </c>
      <c r="DB439" s="5">
        <f>INDEX(Projects[Plan Commissioning (wks)],438)</f>
        <v/>
      </c>
      <c r="DC439" s="5">
        <f>INDEX(Projects[Plan Total (wks)],438)</f>
        <v/>
      </c>
      <c r="DD439" s="5">
        <f>INDEX(Projects[Act Mech Eng (wks)],438)</f>
        <v/>
      </c>
      <c r="DE439" s="5">
        <f>INDEX(Projects[Act Controls Eng (wks)],438)</f>
        <v/>
      </c>
      <c r="DF439" s="5">
        <f>INDEX(Projects[Act Systems Eng (wks)],438)</f>
        <v/>
      </c>
      <c r="DG439" s="5">
        <f>INDEX(Projects[Act Software Eng (wks)],438)</f>
        <v/>
      </c>
      <c r="DH439" s="5">
        <f>INDEX(Projects[Act M&amp;E Installation (wks)],438)</f>
        <v/>
      </c>
      <c r="DI439" s="5">
        <f>INDEX(Projects[Act Commissioning (wks)],438)</f>
        <v/>
      </c>
      <c r="DJ439" s="5">
        <f>INDEX(Projects[Act Total (wks)],438)</f>
        <v/>
      </c>
    </row>
    <row r="440" ht="15" customHeight="1" s="82">
      <c r="A440" s="64">
        <f>INDEX(Projects[Project ID *],439)&amp;""</f>
        <v/>
      </c>
      <c r="B440" s="64">
        <f>INDEX(Projects[Project Name *],439)&amp;""</f>
        <v/>
      </c>
      <c r="C440" s="64">
        <f>INDEX(Projects[MS Shuttles],439)</f>
        <v/>
      </c>
      <c r="D440" s="64">
        <f>INDEX(Projects[MS Tote Locations],439)</f>
        <v/>
      </c>
      <c r="E440" s="64">
        <f>INDEX(Projects[AS Robots],439)</f>
        <v/>
      </c>
      <c r="F440" s="64">
        <f>INDEX(Projects[AS Tote Locations],439)</f>
        <v/>
      </c>
      <c r="G440" s="64">
        <f>INDEX(Projects[PS Shuttles],439)</f>
        <v/>
      </c>
      <c r="H440" s="64">
        <f>INDEX(Projects[PS Pallet Locations],439)</f>
        <v/>
      </c>
      <c r="I440" s="64">
        <f>INDEX(Projects[SRM Cranes],439)</f>
        <v/>
      </c>
      <c r="J440" s="64">
        <f>INDEX(Projects[SRM Pallet Locations],439)</f>
        <v/>
      </c>
      <c r="K440" s="64">
        <f>INDEX(Projects[Case Conv (m)],439)</f>
        <v/>
      </c>
      <c r="L440" s="64">
        <f>INDEX(Projects[Pallet Conv (m)],439)</f>
        <v/>
      </c>
      <c r="M440" s="64">
        <f>IF(N(DJ440)&gt;0,DD440,CW440)</f>
        <v/>
      </c>
      <c r="N440" s="64">
        <f>IF(N(DJ440)&gt;0,DE440,CX440)</f>
        <v/>
      </c>
      <c r="O440" s="64">
        <f>IF(N(DJ440)&gt;0,DF440,CY440)</f>
        <v/>
      </c>
      <c r="P440" s="64">
        <f>IF(N(DJ440)&gt;0,DG440,CZ440)</f>
        <v/>
      </c>
      <c r="Q440" s="64">
        <f>IF(N(DJ440)&gt;0,DH440,DA440)</f>
        <v/>
      </c>
      <c r="R440" s="64">
        <f>IF(N(DJ440)&gt;0,DI440,DB440)</f>
        <v/>
      </c>
      <c r="S440" s="64">
        <f>IF(N(DJ440)&gt;0,DJ440,DC440)</f>
        <v/>
      </c>
      <c r="T440" s="64">
        <f>INDEX(Projects[Currency],439)&amp;""</f>
        <v/>
      </c>
      <c r="U440" s="65">
        <f>INDEX(Projects[Sold Value (M)],439)</f>
        <v/>
      </c>
      <c r="V440" s="64">
        <f>IF('Smart Search'!B13=1,IFERROR(1/'Smart Search'!H13,0),0)</f>
        <v/>
      </c>
      <c r="W440" s="64">
        <f>IF('Smart Search'!B13=1,IFERROR(1/'Smart Search'!H13,0),0)</f>
        <v/>
      </c>
      <c r="X440" s="64">
        <f>IF('Smart Search'!C13=1,IFERROR(1/'Smart Search'!H13,0),0)</f>
        <v/>
      </c>
      <c r="Y440" s="64">
        <f>IF('Smart Search'!C13=1,IFERROR(1/'Smart Search'!H13,0),0)</f>
        <v/>
      </c>
      <c r="Z440" s="64">
        <f>IF('Smart Search'!D13=1,IFERROR(1/'Smart Search'!H13,0),0)</f>
        <v/>
      </c>
      <c r="AA440" s="64">
        <f>IF('Smart Search'!D13=1,IFERROR(1/'Smart Search'!H13,0),0)</f>
        <v/>
      </c>
      <c r="AB440" s="64">
        <f>IF('Smart Search'!E13=1,IFERROR(1/'Smart Search'!H13,0),0)</f>
        <v/>
      </c>
      <c r="AC440" s="64">
        <f>IF('Smart Search'!E13=1,IFERROR(1/'Smart Search'!H13,0),0)</f>
        <v/>
      </c>
      <c r="AD440" s="64">
        <f>IF('Smart Search'!F13=1,IFERROR(1/'Smart Search'!H13,0),0)</f>
        <v/>
      </c>
      <c r="AE440" s="64">
        <f>IF('Smart Search'!F13=1,IFERROR(1/'Smart Search'!H13,0),0)</f>
        <v/>
      </c>
      <c r="AF440" s="64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4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4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4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4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4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4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4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4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4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4">
        <f>AF440*V440</f>
        <v/>
      </c>
      <c r="AQ440" s="64">
        <f>AG440*W440</f>
        <v/>
      </c>
      <c r="AR440" s="64">
        <f>AH440*X440</f>
        <v/>
      </c>
      <c r="AS440" s="64">
        <f>AI440*Y440</f>
        <v/>
      </c>
      <c r="AT440" s="64">
        <f>AJ440*Z440</f>
        <v/>
      </c>
      <c r="AU440" s="64">
        <f>AK440*AA440</f>
        <v/>
      </c>
      <c r="AV440" s="64">
        <f>AL440*AB440</f>
        <v/>
      </c>
      <c r="AW440" s="64">
        <f>AM440*AC440</f>
        <v/>
      </c>
      <c r="AX440" s="64">
        <f>AN440*AD440</f>
        <v/>
      </c>
      <c r="AY440" s="64">
        <f>AO440*AE440</f>
        <v/>
      </c>
      <c r="AZ440" s="64">
        <f>INDEX(Projects[Automation Equipment],439)&amp;""</f>
        <v/>
      </c>
      <c r="BA440" s="64">
        <f>IF(OR(A440="",'Smart Search'!H13=0),"",MAX(0,BE440*BF440*MAX(0,1-BG440)))</f>
        <v/>
      </c>
      <c r="BB440" s="64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4">
        <f>IF('Smart Search'!G13=1,IFERROR(1/'Smart Search'!H13,0),0)</f>
        <v/>
      </c>
      <c r="BD440" s="64">
        <f>BB440*BC440</f>
        <v/>
      </c>
      <c r="BE440" s="64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IF(A440="","",N(INDEX(Projects[Act Mech Inst],439)))</f>
        <v/>
      </c>
      <c r="BK440" s="5">
        <f>IF(A440="","",N(INDEX(Projects[Act Elec Inst],439)))</f>
        <v/>
      </c>
      <c r="BL440" s="5">
        <f>IF(A440="","",N(INDEX(Projects[Act Project Management],439)))</f>
        <v/>
      </c>
      <c r="BM440" s="5">
        <f>IF(A440="","",N(INDEX(Projects[Act Systems Eng],439)))</f>
        <v/>
      </c>
      <c r="BN440" s="5">
        <f>IF(A440="","",N(INDEX(Projects[Act Mechanical Eng],439)))</f>
        <v/>
      </c>
      <c r="BO440" s="5">
        <f>IF(A440="","",N(INDEX(Projects[Act Structural Engineering],439)))</f>
        <v/>
      </c>
      <c r="BP440" s="5">
        <f>IF(A440="","",N(INDEX(Projects[Act Site Sup],439)))</f>
        <v/>
      </c>
      <c r="BQ440" s="5">
        <f>IF(A440="","",N(INDEX(Projects[Act Controls Commissioning],439)))</f>
        <v/>
      </c>
      <c r="BR440" s="5">
        <f>IF(A440="","",N(INDEX(Projects[Act Systems Commissioning],439)))</f>
        <v/>
      </c>
      <c r="BS440" s="5">
        <f>IF(A440="","",N(INDEX(Projects[Act Service Commissioning],439)))</f>
        <v/>
      </c>
      <c r="BT440" s="5">
        <f>IF(A440="","",N(INDEX(Projects[Act Controls Eng],439)))</f>
        <v/>
      </c>
      <c r="BU440" s="5">
        <f>IF(A440="","",N(INDEX(Projects[Act Controls Purchase],439)))</f>
        <v/>
      </c>
      <c r="BV440" s="5">
        <f>IF(A440="","",N(INDEX(Projects[Act Software Eng],439)))</f>
        <v/>
      </c>
      <c r="BW440" s="5">
        <f>IF(A440="","",N(INDEX(Projects[Act 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INDEX(Projects[Sold Value (USD M)],439)</f>
        <v/>
      </c>
      <c r="CE440" s="5" t="n"/>
      <c r="CF440" s="5">
        <f>IF(A440="","",N(INDEX(Projects[Est Mech Inst],439)))</f>
        <v/>
      </c>
      <c r="CG440" s="5">
        <f>IF(A440="","",N(INDEX(Projects[Est Elec Inst],439)))</f>
        <v/>
      </c>
      <c r="CH440" s="5">
        <f>IF(A440="","",N(INDEX(Projects[Est Project Management],439)))</f>
        <v/>
      </c>
      <c r="CI440" s="5">
        <f>IF(A440="","",N(INDEX(Projects[Est Systems Eng],439)))</f>
        <v/>
      </c>
      <c r="CJ440" s="5">
        <f>IF(A440="","",N(INDEX(Projects[Est Mechanical Eng],439)))</f>
        <v/>
      </c>
      <c r="CK440" s="5">
        <f>IF(A440="","",N(INDEX(Projects[Est Structural Engineering],439)))</f>
        <v/>
      </c>
      <c r="CL440" s="5">
        <f>IF(A440="","",N(INDEX(Projects[Est Site Sup],439)))</f>
        <v/>
      </c>
      <c r="CM440" s="5">
        <f>IF(A440="","",N(INDEX(Projects[Est Controls Commissioning],439)))</f>
        <v/>
      </c>
      <c r="CN440" s="5">
        <f>IF(A440="","",N(INDEX(Projects[Est Systems Commissioning],439)))</f>
        <v/>
      </c>
      <c r="CO440" s="5">
        <f>IF(A440="","",N(INDEX(Projects[Est Service Commissioning],439)))</f>
        <v/>
      </c>
      <c r="CP440" s="5">
        <f>IF(A440="","",N(INDEX(Projects[Est Controls Eng],439)))</f>
        <v/>
      </c>
      <c r="CQ440" s="5">
        <f>IF(A440="","",N(INDEX(Projects[Est Controls Purchase],439)))</f>
        <v/>
      </c>
      <c r="CR440" s="5">
        <f>IF(A440="","",N(INDEX(Projects[Est Software Eng],439)))</f>
        <v/>
      </c>
      <c r="CS440" s="5">
        <f>IF(A440="","",N(INDEX(Projects[Est Misc],439)))</f>
        <v/>
      </c>
      <c r="CT440" s="5">
        <f>IF(A440="","",SUM(CF440:CS440))</f>
        <v/>
      </c>
      <c r="CU440" s="5">
        <f>INDEX(Projects[Est Cost (M)],439)</f>
        <v/>
      </c>
      <c r="CV440" s="5">
        <f>INDEX(Projects[Act Cost (M)],439)</f>
        <v/>
      </c>
      <c r="CW440" s="5">
        <f>INDEX(Projects[Plan Mech Eng (wks)],439)</f>
        <v/>
      </c>
      <c r="CX440" s="5">
        <f>INDEX(Projects[Plan Controls Eng (wks)],439)</f>
        <v/>
      </c>
      <c r="CY440" s="5">
        <f>INDEX(Projects[Plan Systems Eng (wks)],439)</f>
        <v/>
      </c>
      <c r="CZ440" s="5">
        <f>INDEX(Projects[Plan Software Eng (wks)],439)</f>
        <v/>
      </c>
      <c r="DA440" s="5">
        <f>INDEX(Projects[Plan M&amp;E Installation (wks)],439)</f>
        <v/>
      </c>
      <c r="DB440" s="5">
        <f>INDEX(Projects[Plan Commissioning (wks)],439)</f>
        <v/>
      </c>
      <c r="DC440" s="5">
        <f>INDEX(Projects[Plan Total (wks)],439)</f>
        <v/>
      </c>
      <c r="DD440" s="5">
        <f>INDEX(Projects[Act Mech Eng (wks)],439)</f>
        <v/>
      </c>
      <c r="DE440" s="5">
        <f>INDEX(Projects[Act Controls Eng (wks)],439)</f>
        <v/>
      </c>
      <c r="DF440" s="5">
        <f>INDEX(Projects[Act Systems Eng (wks)],439)</f>
        <v/>
      </c>
      <c r="DG440" s="5">
        <f>INDEX(Projects[Act Software Eng (wks)],439)</f>
        <v/>
      </c>
      <c r="DH440" s="5">
        <f>INDEX(Projects[Act M&amp;E Installation (wks)],439)</f>
        <v/>
      </c>
      <c r="DI440" s="5">
        <f>INDEX(Projects[Act Commissioning (wks)],439)</f>
        <v/>
      </c>
      <c r="DJ440" s="5">
        <f>INDEX(Projects[Act Total (wks)],439)</f>
        <v/>
      </c>
    </row>
    <row r="441" ht="15" customHeight="1" s="82">
      <c r="A441" s="64">
        <f>INDEX(Projects[Project ID *],440)&amp;""</f>
        <v/>
      </c>
      <c r="B441" s="64">
        <f>INDEX(Projects[Project Name *],440)&amp;""</f>
        <v/>
      </c>
      <c r="C441" s="64">
        <f>INDEX(Projects[MS Shuttles],440)</f>
        <v/>
      </c>
      <c r="D441" s="64">
        <f>INDEX(Projects[MS Tote Locations],440)</f>
        <v/>
      </c>
      <c r="E441" s="64">
        <f>INDEX(Projects[AS Robots],440)</f>
        <v/>
      </c>
      <c r="F441" s="64">
        <f>INDEX(Projects[AS Tote Locations],440)</f>
        <v/>
      </c>
      <c r="G441" s="64">
        <f>INDEX(Projects[PS Shuttles],440)</f>
        <v/>
      </c>
      <c r="H441" s="64">
        <f>INDEX(Projects[PS Pallet Locations],440)</f>
        <v/>
      </c>
      <c r="I441" s="64">
        <f>INDEX(Projects[SRM Cranes],440)</f>
        <v/>
      </c>
      <c r="J441" s="64">
        <f>INDEX(Projects[SRM Pallet Locations],440)</f>
        <v/>
      </c>
      <c r="K441" s="64">
        <f>INDEX(Projects[Case Conv (m)],440)</f>
        <v/>
      </c>
      <c r="L441" s="64">
        <f>INDEX(Projects[Pallet Conv (m)],440)</f>
        <v/>
      </c>
      <c r="M441" s="64">
        <f>IF(N(DJ441)&gt;0,DD441,CW441)</f>
        <v/>
      </c>
      <c r="N441" s="64">
        <f>IF(N(DJ441)&gt;0,DE441,CX441)</f>
        <v/>
      </c>
      <c r="O441" s="64">
        <f>IF(N(DJ441)&gt;0,DF441,CY441)</f>
        <v/>
      </c>
      <c r="P441" s="64">
        <f>IF(N(DJ441)&gt;0,DG441,CZ441)</f>
        <v/>
      </c>
      <c r="Q441" s="64">
        <f>IF(N(DJ441)&gt;0,DH441,DA441)</f>
        <v/>
      </c>
      <c r="R441" s="64">
        <f>IF(N(DJ441)&gt;0,DI441,DB441)</f>
        <v/>
      </c>
      <c r="S441" s="64">
        <f>IF(N(DJ441)&gt;0,DJ441,DC441)</f>
        <v/>
      </c>
      <c r="T441" s="64">
        <f>INDEX(Projects[Currency],440)&amp;""</f>
        <v/>
      </c>
      <c r="U441" s="65">
        <f>INDEX(Projects[Sold Value (M)],440)</f>
        <v/>
      </c>
      <c r="V441" s="64">
        <f>IF('Smart Search'!B13=1,IFERROR(1/'Smart Search'!H13,0),0)</f>
        <v/>
      </c>
      <c r="W441" s="64">
        <f>IF('Smart Search'!B13=1,IFERROR(1/'Smart Search'!H13,0),0)</f>
        <v/>
      </c>
      <c r="X441" s="64">
        <f>IF('Smart Search'!C13=1,IFERROR(1/'Smart Search'!H13,0),0)</f>
        <v/>
      </c>
      <c r="Y441" s="64">
        <f>IF('Smart Search'!C13=1,IFERROR(1/'Smart Search'!H13,0),0)</f>
        <v/>
      </c>
      <c r="Z441" s="64">
        <f>IF('Smart Search'!D13=1,IFERROR(1/'Smart Search'!H13,0),0)</f>
        <v/>
      </c>
      <c r="AA441" s="64">
        <f>IF('Smart Search'!D13=1,IFERROR(1/'Smart Search'!H13,0),0)</f>
        <v/>
      </c>
      <c r="AB441" s="64">
        <f>IF('Smart Search'!E13=1,IFERROR(1/'Smart Search'!H13,0),0)</f>
        <v/>
      </c>
      <c r="AC441" s="64">
        <f>IF('Smart Search'!E13=1,IFERROR(1/'Smart Search'!H13,0),0)</f>
        <v/>
      </c>
      <c r="AD441" s="64">
        <f>IF('Smart Search'!F13=1,IFERROR(1/'Smart Search'!H13,0),0)</f>
        <v/>
      </c>
      <c r="AE441" s="64">
        <f>IF('Smart Search'!F13=1,IFERROR(1/'Smart Search'!H13,0),0)</f>
        <v/>
      </c>
      <c r="AF441" s="64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4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4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4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4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4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4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4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4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4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4">
        <f>AF441*V441</f>
        <v/>
      </c>
      <c r="AQ441" s="64">
        <f>AG441*W441</f>
        <v/>
      </c>
      <c r="AR441" s="64">
        <f>AH441*X441</f>
        <v/>
      </c>
      <c r="AS441" s="64">
        <f>AI441*Y441</f>
        <v/>
      </c>
      <c r="AT441" s="64">
        <f>AJ441*Z441</f>
        <v/>
      </c>
      <c r="AU441" s="64">
        <f>AK441*AA441</f>
        <v/>
      </c>
      <c r="AV441" s="64">
        <f>AL441*AB441</f>
        <v/>
      </c>
      <c r="AW441" s="64">
        <f>AM441*AC441</f>
        <v/>
      </c>
      <c r="AX441" s="64">
        <f>AN441*AD441</f>
        <v/>
      </c>
      <c r="AY441" s="64">
        <f>AO441*AE441</f>
        <v/>
      </c>
      <c r="AZ441" s="64">
        <f>INDEX(Projects[Automation Equipment],440)&amp;""</f>
        <v/>
      </c>
      <c r="BA441" s="64">
        <f>IF(OR(A441="",'Smart Search'!H13=0),"",MAX(0,BE441*BF441*MAX(0,1-BG441)))</f>
        <v/>
      </c>
      <c r="BB441" s="64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4">
        <f>IF('Smart Search'!G13=1,IFERROR(1/'Smart Search'!H13,0),0)</f>
        <v/>
      </c>
      <c r="BD441" s="64">
        <f>BB441*BC441</f>
        <v/>
      </c>
      <c r="BE441" s="64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IF(A441="","",N(INDEX(Projects[Act Mech Inst],440)))</f>
        <v/>
      </c>
      <c r="BK441" s="5">
        <f>IF(A441="","",N(INDEX(Projects[Act Elec Inst],440)))</f>
        <v/>
      </c>
      <c r="BL441" s="5">
        <f>IF(A441="","",N(INDEX(Projects[Act Project Management],440)))</f>
        <v/>
      </c>
      <c r="BM441" s="5">
        <f>IF(A441="","",N(INDEX(Projects[Act Systems Eng],440)))</f>
        <v/>
      </c>
      <c r="BN441" s="5">
        <f>IF(A441="","",N(INDEX(Projects[Act Mechanical Eng],440)))</f>
        <v/>
      </c>
      <c r="BO441" s="5">
        <f>IF(A441="","",N(INDEX(Projects[Act Structural Engineering],440)))</f>
        <v/>
      </c>
      <c r="BP441" s="5">
        <f>IF(A441="","",N(INDEX(Projects[Act Site Sup],440)))</f>
        <v/>
      </c>
      <c r="BQ441" s="5">
        <f>IF(A441="","",N(INDEX(Projects[Act Controls Commissioning],440)))</f>
        <v/>
      </c>
      <c r="BR441" s="5">
        <f>IF(A441="","",N(INDEX(Projects[Act Systems Commissioning],440)))</f>
        <v/>
      </c>
      <c r="BS441" s="5">
        <f>IF(A441="","",N(INDEX(Projects[Act Service Commissioning],440)))</f>
        <v/>
      </c>
      <c r="BT441" s="5">
        <f>IF(A441="","",N(INDEX(Projects[Act Controls Eng],440)))</f>
        <v/>
      </c>
      <c r="BU441" s="5">
        <f>IF(A441="","",N(INDEX(Projects[Act Controls Purchase],440)))</f>
        <v/>
      </c>
      <c r="BV441" s="5">
        <f>IF(A441="","",N(INDEX(Projects[Act Software Eng],440)))</f>
        <v/>
      </c>
      <c r="BW441" s="5">
        <f>IF(A441="","",N(INDEX(Projects[Act 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INDEX(Projects[Sold Value (USD M)],440)</f>
        <v/>
      </c>
      <c r="CE441" s="5" t="n"/>
      <c r="CF441" s="5">
        <f>IF(A441="","",N(INDEX(Projects[Est Mech Inst],440)))</f>
        <v/>
      </c>
      <c r="CG441" s="5">
        <f>IF(A441="","",N(INDEX(Projects[Est Elec Inst],440)))</f>
        <v/>
      </c>
      <c r="CH441" s="5">
        <f>IF(A441="","",N(INDEX(Projects[Est Project Management],440)))</f>
        <v/>
      </c>
      <c r="CI441" s="5">
        <f>IF(A441="","",N(INDEX(Projects[Est Systems Eng],440)))</f>
        <v/>
      </c>
      <c r="CJ441" s="5">
        <f>IF(A441="","",N(INDEX(Projects[Est Mechanical Eng],440)))</f>
        <v/>
      </c>
      <c r="CK441" s="5">
        <f>IF(A441="","",N(INDEX(Projects[Est Structural Engineering],440)))</f>
        <v/>
      </c>
      <c r="CL441" s="5">
        <f>IF(A441="","",N(INDEX(Projects[Est Site Sup],440)))</f>
        <v/>
      </c>
      <c r="CM441" s="5">
        <f>IF(A441="","",N(INDEX(Projects[Est Controls Commissioning],440)))</f>
        <v/>
      </c>
      <c r="CN441" s="5">
        <f>IF(A441="","",N(INDEX(Projects[Est Systems Commissioning],440)))</f>
        <v/>
      </c>
      <c r="CO441" s="5">
        <f>IF(A441="","",N(INDEX(Projects[Est Service Commissioning],440)))</f>
        <v/>
      </c>
      <c r="CP441" s="5">
        <f>IF(A441="","",N(INDEX(Projects[Est Controls Eng],440)))</f>
        <v/>
      </c>
      <c r="CQ441" s="5">
        <f>IF(A441="","",N(INDEX(Projects[Est Controls Purchase],440)))</f>
        <v/>
      </c>
      <c r="CR441" s="5">
        <f>IF(A441="","",N(INDEX(Projects[Est Software Eng],440)))</f>
        <v/>
      </c>
      <c r="CS441" s="5">
        <f>IF(A441="","",N(INDEX(Projects[Est Misc],440)))</f>
        <v/>
      </c>
      <c r="CT441" s="5">
        <f>IF(A441="","",SUM(CF441:CS441))</f>
        <v/>
      </c>
      <c r="CU441" s="5">
        <f>INDEX(Projects[Est Cost (M)],440)</f>
        <v/>
      </c>
      <c r="CV441" s="5">
        <f>INDEX(Projects[Act Cost (M)],440)</f>
        <v/>
      </c>
      <c r="CW441" s="5">
        <f>INDEX(Projects[Plan Mech Eng (wks)],440)</f>
        <v/>
      </c>
      <c r="CX441" s="5">
        <f>INDEX(Projects[Plan Controls Eng (wks)],440)</f>
        <v/>
      </c>
      <c r="CY441" s="5">
        <f>INDEX(Projects[Plan Systems Eng (wks)],440)</f>
        <v/>
      </c>
      <c r="CZ441" s="5">
        <f>INDEX(Projects[Plan Software Eng (wks)],440)</f>
        <v/>
      </c>
      <c r="DA441" s="5">
        <f>INDEX(Projects[Plan M&amp;E Installation (wks)],440)</f>
        <v/>
      </c>
      <c r="DB441" s="5">
        <f>INDEX(Projects[Plan Commissioning (wks)],440)</f>
        <v/>
      </c>
      <c r="DC441" s="5">
        <f>INDEX(Projects[Plan Total (wks)],440)</f>
        <v/>
      </c>
      <c r="DD441" s="5">
        <f>INDEX(Projects[Act Mech Eng (wks)],440)</f>
        <v/>
      </c>
      <c r="DE441" s="5">
        <f>INDEX(Projects[Act Controls Eng (wks)],440)</f>
        <v/>
      </c>
      <c r="DF441" s="5">
        <f>INDEX(Projects[Act Systems Eng (wks)],440)</f>
        <v/>
      </c>
      <c r="DG441" s="5">
        <f>INDEX(Projects[Act Software Eng (wks)],440)</f>
        <v/>
      </c>
      <c r="DH441" s="5">
        <f>INDEX(Projects[Act M&amp;E Installation (wks)],440)</f>
        <v/>
      </c>
      <c r="DI441" s="5">
        <f>INDEX(Projects[Act Commissioning (wks)],440)</f>
        <v/>
      </c>
      <c r="DJ441" s="5">
        <f>INDEX(Projects[Act Total (wks)],440)</f>
        <v/>
      </c>
    </row>
    <row r="442" ht="15" customHeight="1" s="82">
      <c r="A442" s="64">
        <f>INDEX(Projects[Project ID *],441)&amp;""</f>
        <v/>
      </c>
      <c r="B442" s="64">
        <f>INDEX(Projects[Project Name *],441)&amp;""</f>
        <v/>
      </c>
      <c r="C442" s="64">
        <f>INDEX(Projects[MS Shuttles],441)</f>
        <v/>
      </c>
      <c r="D442" s="64">
        <f>INDEX(Projects[MS Tote Locations],441)</f>
        <v/>
      </c>
      <c r="E442" s="64">
        <f>INDEX(Projects[AS Robots],441)</f>
        <v/>
      </c>
      <c r="F442" s="64">
        <f>INDEX(Projects[AS Tote Locations],441)</f>
        <v/>
      </c>
      <c r="G442" s="64">
        <f>INDEX(Projects[PS Shuttles],441)</f>
        <v/>
      </c>
      <c r="H442" s="64">
        <f>INDEX(Projects[PS Pallet Locations],441)</f>
        <v/>
      </c>
      <c r="I442" s="64">
        <f>INDEX(Projects[SRM Cranes],441)</f>
        <v/>
      </c>
      <c r="J442" s="64">
        <f>INDEX(Projects[SRM Pallet Locations],441)</f>
        <v/>
      </c>
      <c r="K442" s="64">
        <f>INDEX(Projects[Case Conv (m)],441)</f>
        <v/>
      </c>
      <c r="L442" s="64">
        <f>INDEX(Projects[Pallet Conv (m)],441)</f>
        <v/>
      </c>
      <c r="M442" s="64">
        <f>IF(N(DJ442)&gt;0,DD442,CW442)</f>
        <v/>
      </c>
      <c r="N442" s="64">
        <f>IF(N(DJ442)&gt;0,DE442,CX442)</f>
        <v/>
      </c>
      <c r="O442" s="64">
        <f>IF(N(DJ442)&gt;0,DF442,CY442)</f>
        <v/>
      </c>
      <c r="P442" s="64">
        <f>IF(N(DJ442)&gt;0,DG442,CZ442)</f>
        <v/>
      </c>
      <c r="Q442" s="64">
        <f>IF(N(DJ442)&gt;0,DH442,DA442)</f>
        <v/>
      </c>
      <c r="R442" s="64">
        <f>IF(N(DJ442)&gt;0,DI442,DB442)</f>
        <v/>
      </c>
      <c r="S442" s="64">
        <f>IF(N(DJ442)&gt;0,DJ442,DC442)</f>
        <v/>
      </c>
      <c r="T442" s="64">
        <f>INDEX(Projects[Currency],441)&amp;""</f>
        <v/>
      </c>
      <c r="U442" s="65">
        <f>INDEX(Projects[Sold Value (M)],441)</f>
        <v/>
      </c>
      <c r="V442" s="64">
        <f>IF('Smart Search'!B13=1,IFERROR(1/'Smart Search'!H13,0),0)</f>
        <v/>
      </c>
      <c r="W442" s="64">
        <f>IF('Smart Search'!B13=1,IFERROR(1/'Smart Search'!H13,0),0)</f>
        <v/>
      </c>
      <c r="X442" s="64">
        <f>IF('Smart Search'!C13=1,IFERROR(1/'Smart Search'!H13,0),0)</f>
        <v/>
      </c>
      <c r="Y442" s="64">
        <f>IF('Smart Search'!C13=1,IFERROR(1/'Smart Search'!H13,0),0)</f>
        <v/>
      </c>
      <c r="Z442" s="64">
        <f>IF('Smart Search'!D13=1,IFERROR(1/'Smart Search'!H13,0),0)</f>
        <v/>
      </c>
      <c r="AA442" s="64">
        <f>IF('Smart Search'!D13=1,IFERROR(1/'Smart Search'!H13,0),0)</f>
        <v/>
      </c>
      <c r="AB442" s="64">
        <f>IF('Smart Search'!E13=1,IFERROR(1/'Smart Search'!H13,0),0)</f>
        <v/>
      </c>
      <c r="AC442" s="64">
        <f>IF('Smart Search'!E13=1,IFERROR(1/'Smart Search'!H13,0),0)</f>
        <v/>
      </c>
      <c r="AD442" s="64">
        <f>IF('Smart Search'!F13=1,IFERROR(1/'Smart Search'!H13,0),0)</f>
        <v/>
      </c>
      <c r="AE442" s="64">
        <f>IF('Smart Search'!F13=1,IFERROR(1/'Smart Search'!H13,0),0)</f>
        <v/>
      </c>
      <c r="AF442" s="64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4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4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4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4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4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4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4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4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4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4">
        <f>AF442*V442</f>
        <v/>
      </c>
      <c r="AQ442" s="64">
        <f>AG442*W442</f>
        <v/>
      </c>
      <c r="AR442" s="64">
        <f>AH442*X442</f>
        <v/>
      </c>
      <c r="AS442" s="64">
        <f>AI442*Y442</f>
        <v/>
      </c>
      <c r="AT442" s="64">
        <f>AJ442*Z442</f>
        <v/>
      </c>
      <c r="AU442" s="64">
        <f>AK442*AA442</f>
        <v/>
      </c>
      <c r="AV442" s="64">
        <f>AL442*AB442</f>
        <v/>
      </c>
      <c r="AW442" s="64">
        <f>AM442*AC442</f>
        <v/>
      </c>
      <c r="AX442" s="64">
        <f>AN442*AD442</f>
        <v/>
      </c>
      <c r="AY442" s="64">
        <f>AO442*AE442</f>
        <v/>
      </c>
      <c r="AZ442" s="64">
        <f>INDEX(Projects[Automation Equipment],441)&amp;""</f>
        <v/>
      </c>
      <c r="BA442" s="64">
        <f>IF(OR(A442="",'Smart Search'!H13=0),"",MAX(0,BE442*BF442*MAX(0,1-BG442)))</f>
        <v/>
      </c>
      <c r="BB442" s="64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4">
        <f>IF('Smart Search'!G13=1,IFERROR(1/'Smart Search'!H13,0),0)</f>
        <v/>
      </c>
      <c r="BD442" s="64">
        <f>BB442*BC442</f>
        <v/>
      </c>
      <c r="BE442" s="64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IF(A442="","",N(INDEX(Projects[Act Mech Inst],441)))</f>
        <v/>
      </c>
      <c r="BK442" s="5">
        <f>IF(A442="","",N(INDEX(Projects[Act Elec Inst],441)))</f>
        <v/>
      </c>
      <c r="BL442" s="5">
        <f>IF(A442="","",N(INDEX(Projects[Act Project Management],441)))</f>
        <v/>
      </c>
      <c r="BM442" s="5">
        <f>IF(A442="","",N(INDEX(Projects[Act Systems Eng],441)))</f>
        <v/>
      </c>
      <c r="BN442" s="5">
        <f>IF(A442="","",N(INDEX(Projects[Act Mechanical Eng],441)))</f>
        <v/>
      </c>
      <c r="BO442" s="5">
        <f>IF(A442="","",N(INDEX(Projects[Act Structural Engineering],441)))</f>
        <v/>
      </c>
      <c r="BP442" s="5">
        <f>IF(A442="","",N(INDEX(Projects[Act Site Sup],441)))</f>
        <v/>
      </c>
      <c r="BQ442" s="5">
        <f>IF(A442="","",N(INDEX(Projects[Act Controls Commissioning],441)))</f>
        <v/>
      </c>
      <c r="BR442" s="5">
        <f>IF(A442="","",N(INDEX(Projects[Act Systems Commissioning],441)))</f>
        <v/>
      </c>
      <c r="BS442" s="5">
        <f>IF(A442="","",N(INDEX(Projects[Act Service Commissioning],441)))</f>
        <v/>
      </c>
      <c r="BT442" s="5">
        <f>IF(A442="","",N(INDEX(Projects[Act Controls Eng],441)))</f>
        <v/>
      </c>
      <c r="BU442" s="5">
        <f>IF(A442="","",N(INDEX(Projects[Act Controls Purchase],441)))</f>
        <v/>
      </c>
      <c r="BV442" s="5">
        <f>IF(A442="","",N(INDEX(Projects[Act Software Eng],441)))</f>
        <v/>
      </c>
      <c r="BW442" s="5">
        <f>IF(A442="","",N(INDEX(Projects[Act 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INDEX(Projects[Sold Value (USD M)],441)</f>
        <v/>
      </c>
      <c r="CE442" s="5" t="n"/>
      <c r="CF442" s="5">
        <f>IF(A442="","",N(INDEX(Projects[Est Mech Inst],441)))</f>
        <v/>
      </c>
      <c r="CG442" s="5">
        <f>IF(A442="","",N(INDEX(Projects[Est Elec Inst],441)))</f>
        <v/>
      </c>
      <c r="CH442" s="5">
        <f>IF(A442="","",N(INDEX(Projects[Est Project Management],441)))</f>
        <v/>
      </c>
      <c r="CI442" s="5">
        <f>IF(A442="","",N(INDEX(Projects[Est Systems Eng],441)))</f>
        <v/>
      </c>
      <c r="CJ442" s="5">
        <f>IF(A442="","",N(INDEX(Projects[Est Mechanical Eng],441)))</f>
        <v/>
      </c>
      <c r="CK442" s="5">
        <f>IF(A442="","",N(INDEX(Projects[Est Structural Engineering],441)))</f>
        <v/>
      </c>
      <c r="CL442" s="5">
        <f>IF(A442="","",N(INDEX(Projects[Est Site Sup],441)))</f>
        <v/>
      </c>
      <c r="CM442" s="5">
        <f>IF(A442="","",N(INDEX(Projects[Est Controls Commissioning],441)))</f>
        <v/>
      </c>
      <c r="CN442" s="5">
        <f>IF(A442="","",N(INDEX(Projects[Est Systems Commissioning],441)))</f>
        <v/>
      </c>
      <c r="CO442" s="5">
        <f>IF(A442="","",N(INDEX(Projects[Est Service Commissioning],441)))</f>
        <v/>
      </c>
      <c r="CP442" s="5">
        <f>IF(A442="","",N(INDEX(Projects[Est Controls Eng],441)))</f>
        <v/>
      </c>
      <c r="CQ442" s="5">
        <f>IF(A442="","",N(INDEX(Projects[Est Controls Purchase],441)))</f>
        <v/>
      </c>
      <c r="CR442" s="5">
        <f>IF(A442="","",N(INDEX(Projects[Est Software Eng],441)))</f>
        <v/>
      </c>
      <c r="CS442" s="5">
        <f>IF(A442="","",N(INDEX(Projects[Est Misc],441)))</f>
        <v/>
      </c>
      <c r="CT442" s="5">
        <f>IF(A442="","",SUM(CF442:CS442))</f>
        <v/>
      </c>
      <c r="CU442" s="5">
        <f>INDEX(Projects[Est Cost (M)],441)</f>
        <v/>
      </c>
      <c r="CV442" s="5">
        <f>INDEX(Projects[Act Cost (M)],441)</f>
        <v/>
      </c>
      <c r="CW442" s="5">
        <f>INDEX(Projects[Plan Mech Eng (wks)],441)</f>
        <v/>
      </c>
      <c r="CX442" s="5">
        <f>INDEX(Projects[Plan Controls Eng (wks)],441)</f>
        <v/>
      </c>
      <c r="CY442" s="5">
        <f>INDEX(Projects[Plan Systems Eng (wks)],441)</f>
        <v/>
      </c>
      <c r="CZ442" s="5">
        <f>INDEX(Projects[Plan Software Eng (wks)],441)</f>
        <v/>
      </c>
      <c r="DA442" s="5">
        <f>INDEX(Projects[Plan M&amp;E Installation (wks)],441)</f>
        <v/>
      </c>
      <c r="DB442" s="5">
        <f>INDEX(Projects[Plan Commissioning (wks)],441)</f>
        <v/>
      </c>
      <c r="DC442" s="5">
        <f>INDEX(Projects[Plan Total (wks)],441)</f>
        <v/>
      </c>
      <c r="DD442" s="5">
        <f>INDEX(Projects[Act Mech Eng (wks)],441)</f>
        <v/>
      </c>
      <c r="DE442" s="5">
        <f>INDEX(Projects[Act Controls Eng (wks)],441)</f>
        <v/>
      </c>
      <c r="DF442" s="5">
        <f>INDEX(Projects[Act Systems Eng (wks)],441)</f>
        <v/>
      </c>
      <c r="DG442" s="5">
        <f>INDEX(Projects[Act Software Eng (wks)],441)</f>
        <v/>
      </c>
      <c r="DH442" s="5">
        <f>INDEX(Projects[Act M&amp;E Installation (wks)],441)</f>
        <v/>
      </c>
      <c r="DI442" s="5">
        <f>INDEX(Projects[Act Commissioning (wks)],441)</f>
        <v/>
      </c>
      <c r="DJ442" s="5">
        <f>INDEX(Projects[Act Total (wks)],441)</f>
        <v/>
      </c>
    </row>
    <row r="443" ht="15" customHeight="1" s="82">
      <c r="A443" s="64">
        <f>INDEX(Projects[Project ID *],442)&amp;""</f>
        <v/>
      </c>
      <c r="B443" s="64">
        <f>INDEX(Projects[Project Name *],442)&amp;""</f>
        <v/>
      </c>
      <c r="C443" s="64">
        <f>INDEX(Projects[MS Shuttles],442)</f>
        <v/>
      </c>
      <c r="D443" s="64">
        <f>INDEX(Projects[MS Tote Locations],442)</f>
        <v/>
      </c>
      <c r="E443" s="64">
        <f>INDEX(Projects[AS Robots],442)</f>
        <v/>
      </c>
      <c r="F443" s="64">
        <f>INDEX(Projects[AS Tote Locations],442)</f>
        <v/>
      </c>
      <c r="G443" s="64">
        <f>INDEX(Projects[PS Shuttles],442)</f>
        <v/>
      </c>
      <c r="H443" s="64">
        <f>INDEX(Projects[PS Pallet Locations],442)</f>
        <v/>
      </c>
      <c r="I443" s="64">
        <f>INDEX(Projects[SRM Cranes],442)</f>
        <v/>
      </c>
      <c r="J443" s="64">
        <f>INDEX(Projects[SRM Pallet Locations],442)</f>
        <v/>
      </c>
      <c r="K443" s="64">
        <f>INDEX(Projects[Case Conv (m)],442)</f>
        <v/>
      </c>
      <c r="L443" s="64">
        <f>INDEX(Projects[Pallet Conv (m)],442)</f>
        <v/>
      </c>
      <c r="M443" s="64">
        <f>IF(N(DJ443)&gt;0,DD443,CW443)</f>
        <v/>
      </c>
      <c r="N443" s="64">
        <f>IF(N(DJ443)&gt;0,DE443,CX443)</f>
        <v/>
      </c>
      <c r="O443" s="64">
        <f>IF(N(DJ443)&gt;0,DF443,CY443)</f>
        <v/>
      </c>
      <c r="P443" s="64">
        <f>IF(N(DJ443)&gt;0,DG443,CZ443)</f>
        <v/>
      </c>
      <c r="Q443" s="64">
        <f>IF(N(DJ443)&gt;0,DH443,DA443)</f>
        <v/>
      </c>
      <c r="R443" s="64">
        <f>IF(N(DJ443)&gt;0,DI443,DB443)</f>
        <v/>
      </c>
      <c r="S443" s="64">
        <f>IF(N(DJ443)&gt;0,DJ443,DC443)</f>
        <v/>
      </c>
      <c r="T443" s="64">
        <f>INDEX(Projects[Currency],442)&amp;""</f>
        <v/>
      </c>
      <c r="U443" s="65">
        <f>INDEX(Projects[Sold Value (M)],442)</f>
        <v/>
      </c>
      <c r="V443" s="64">
        <f>IF('Smart Search'!B13=1,IFERROR(1/'Smart Search'!H13,0),0)</f>
        <v/>
      </c>
      <c r="W443" s="64">
        <f>IF('Smart Search'!B13=1,IFERROR(1/'Smart Search'!H13,0),0)</f>
        <v/>
      </c>
      <c r="X443" s="64">
        <f>IF('Smart Search'!C13=1,IFERROR(1/'Smart Search'!H13,0),0)</f>
        <v/>
      </c>
      <c r="Y443" s="64">
        <f>IF('Smart Search'!C13=1,IFERROR(1/'Smart Search'!H13,0),0)</f>
        <v/>
      </c>
      <c r="Z443" s="64">
        <f>IF('Smart Search'!D13=1,IFERROR(1/'Smart Search'!H13,0),0)</f>
        <v/>
      </c>
      <c r="AA443" s="64">
        <f>IF('Smart Search'!D13=1,IFERROR(1/'Smart Search'!H13,0),0)</f>
        <v/>
      </c>
      <c r="AB443" s="64">
        <f>IF('Smart Search'!E13=1,IFERROR(1/'Smart Search'!H13,0),0)</f>
        <v/>
      </c>
      <c r="AC443" s="64">
        <f>IF('Smart Search'!E13=1,IFERROR(1/'Smart Search'!H13,0),0)</f>
        <v/>
      </c>
      <c r="AD443" s="64">
        <f>IF('Smart Search'!F13=1,IFERROR(1/'Smart Search'!H13,0),0)</f>
        <v/>
      </c>
      <c r="AE443" s="64">
        <f>IF('Smart Search'!F13=1,IFERROR(1/'Smart Search'!H13,0),0)</f>
        <v/>
      </c>
      <c r="AF443" s="64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4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4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4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4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4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4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4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4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4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4">
        <f>AF443*V443</f>
        <v/>
      </c>
      <c r="AQ443" s="64">
        <f>AG443*W443</f>
        <v/>
      </c>
      <c r="AR443" s="64">
        <f>AH443*X443</f>
        <v/>
      </c>
      <c r="AS443" s="64">
        <f>AI443*Y443</f>
        <v/>
      </c>
      <c r="AT443" s="64">
        <f>AJ443*Z443</f>
        <v/>
      </c>
      <c r="AU443" s="64">
        <f>AK443*AA443</f>
        <v/>
      </c>
      <c r="AV443" s="64">
        <f>AL443*AB443</f>
        <v/>
      </c>
      <c r="AW443" s="64">
        <f>AM443*AC443</f>
        <v/>
      </c>
      <c r="AX443" s="64">
        <f>AN443*AD443</f>
        <v/>
      </c>
      <c r="AY443" s="64">
        <f>AO443*AE443</f>
        <v/>
      </c>
      <c r="AZ443" s="64">
        <f>INDEX(Projects[Automation Equipment],442)&amp;""</f>
        <v/>
      </c>
      <c r="BA443" s="64">
        <f>IF(OR(A443="",'Smart Search'!H13=0),"",MAX(0,BE443*BF443*MAX(0,1-BG443)))</f>
        <v/>
      </c>
      <c r="BB443" s="64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4">
        <f>IF('Smart Search'!G13=1,IFERROR(1/'Smart Search'!H13,0),0)</f>
        <v/>
      </c>
      <c r="BD443" s="64">
        <f>BB443*BC443</f>
        <v/>
      </c>
      <c r="BE443" s="64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IF(A443="","",N(INDEX(Projects[Act Mech Inst],442)))</f>
        <v/>
      </c>
      <c r="BK443" s="5">
        <f>IF(A443="","",N(INDEX(Projects[Act Elec Inst],442)))</f>
        <v/>
      </c>
      <c r="BL443" s="5">
        <f>IF(A443="","",N(INDEX(Projects[Act Project Management],442)))</f>
        <v/>
      </c>
      <c r="BM443" s="5">
        <f>IF(A443="","",N(INDEX(Projects[Act Systems Eng],442)))</f>
        <v/>
      </c>
      <c r="BN443" s="5">
        <f>IF(A443="","",N(INDEX(Projects[Act Mechanical Eng],442)))</f>
        <v/>
      </c>
      <c r="BO443" s="5">
        <f>IF(A443="","",N(INDEX(Projects[Act Structural Engineering],442)))</f>
        <v/>
      </c>
      <c r="BP443" s="5">
        <f>IF(A443="","",N(INDEX(Projects[Act Site Sup],442)))</f>
        <v/>
      </c>
      <c r="BQ443" s="5">
        <f>IF(A443="","",N(INDEX(Projects[Act Controls Commissioning],442)))</f>
        <v/>
      </c>
      <c r="BR443" s="5">
        <f>IF(A443="","",N(INDEX(Projects[Act Systems Commissioning],442)))</f>
        <v/>
      </c>
      <c r="BS443" s="5">
        <f>IF(A443="","",N(INDEX(Projects[Act Service Commissioning],442)))</f>
        <v/>
      </c>
      <c r="BT443" s="5">
        <f>IF(A443="","",N(INDEX(Projects[Act Controls Eng],442)))</f>
        <v/>
      </c>
      <c r="BU443" s="5">
        <f>IF(A443="","",N(INDEX(Projects[Act Controls Purchase],442)))</f>
        <v/>
      </c>
      <c r="BV443" s="5">
        <f>IF(A443="","",N(INDEX(Projects[Act Software Eng],442)))</f>
        <v/>
      </c>
      <c r="BW443" s="5">
        <f>IF(A443="","",N(INDEX(Projects[Act 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INDEX(Projects[Sold Value (USD M)],442)</f>
        <v/>
      </c>
      <c r="CE443" s="5" t="n"/>
      <c r="CF443" s="5">
        <f>IF(A443="","",N(INDEX(Projects[Est Mech Inst],442)))</f>
        <v/>
      </c>
      <c r="CG443" s="5">
        <f>IF(A443="","",N(INDEX(Projects[Est Elec Inst],442)))</f>
        <v/>
      </c>
      <c r="CH443" s="5">
        <f>IF(A443="","",N(INDEX(Projects[Est Project Management],442)))</f>
        <v/>
      </c>
      <c r="CI443" s="5">
        <f>IF(A443="","",N(INDEX(Projects[Est Systems Eng],442)))</f>
        <v/>
      </c>
      <c r="CJ443" s="5">
        <f>IF(A443="","",N(INDEX(Projects[Est Mechanical Eng],442)))</f>
        <v/>
      </c>
      <c r="CK443" s="5">
        <f>IF(A443="","",N(INDEX(Projects[Est Structural Engineering],442)))</f>
        <v/>
      </c>
      <c r="CL443" s="5">
        <f>IF(A443="","",N(INDEX(Projects[Est Site Sup],442)))</f>
        <v/>
      </c>
      <c r="CM443" s="5">
        <f>IF(A443="","",N(INDEX(Projects[Est Controls Commissioning],442)))</f>
        <v/>
      </c>
      <c r="CN443" s="5">
        <f>IF(A443="","",N(INDEX(Projects[Est Systems Commissioning],442)))</f>
        <v/>
      </c>
      <c r="CO443" s="5">
        <f>IF(A443="","",N(INDEX(Projects[Est Service Commissioning],442)))</f>
        <v/>
      </c>
      <c r="CP443" s="5">
        <f>IF(A443="","",N(INDEX(Projects[Est Controls Eng],442)))</f>
        <v/>
      </c>
      <c r="CQ443" s="5">
        <f>IF(A443="","",N(INDEX(Projects[Est Controls Purchase],442)))</f>
        <v/>
      </c>
      <c r="CR443" s="5">
        <f>IF(A443="","",N(INDEX(Projects[Est Software Eng],442)))</f>
        <v/>
      </c>
      <c r="CS443" s="5">
        <f>IF(A443="","",N(INDEX(Projects[Est Misc],442)))</f>
        <v/>
      </c>
      <c r="CT443" s="5">
        <f>IF(A443="","",SUM(CF443:CS443))</f>
        <v/>
      </c>
      <c r="CU443" s="5">
        <f>INDEX(Projects[Est Cost (M)],442)</f>
        <v/>
      </c>
      <c r="CV443" s="5">
        <f>INDEX(Projects[Act Cost (M)],442)</f>
        <v/>
      </c>
      <c r="CW443" s="5">
        <f>INDEX(Projects[Plan Mech Eng (wks)],442)</f>
        <v/>
      </c>
      <c r="CX443" s="5">
        <f>INDEX(Projects[Plan Controls Eng (wks)],442)</f>
        <v/>
      </c>
      <c r="CY443" s="5">
        <f>INDEX(Projects[Plan Systems Eng (wks)],442)</f>
        <v/>
      </c>
      <c r="CZ443" s="5">
        <f>INDEX(Projects[Plan Software Eng (wks)],442)</f>
        <v/>
      </c>
      <c r="DA443" s="5">
        <f>INDEX(Projects[Plan M&amp;E Installation (wks)],442)</f>
        <v/>
      </c>
      <c r="DB443" s="5">
        <f>INDEX(Projects[Plan Commissioning (wks)],442)</f>
        <v/>
      </c>
      <c r="DC443" s="5">
        <f>INDEX(Projects[Plan Total (wks)],442)</f>
        <v/>
      </c>
      <c r="DD443" s="5">
        <f>INDEX(Projects[Act Mech Eng (wks)],442)</f>
        <v/>
      </c>
      <c r="DE443" s="5">
        <f>INDEX(Projects[Act Controls Eng (wks)],442)</f>
        <v/>
      </c>
      <c r="DF443" s="5">
        <f>INDEX(Projects[Act Systems Eng (wks)],442)</f>
        <v/>
      </c>
      <c r="DG443" s="5">
        <f>INDEX(Projects[Act Software Eng (wks)],442)</f>
        <v/>
      </c>
      <c r="DH443" s="5">
        <f>INDEX(Projects[Act M&amp;E Installation (wks)],442)</f>
        <v/>
      </c>
      <c r="DI443" s="5">
        <f>INDEX(Projects[Act Commissioning (wks)],442)</f>
        <v/>
      </c>
      <c r="DJ443" s="5">
        <f>INDEX(Projects[Act Total (wks)],442)</f>
        <v/>
      </c>
    </row>
    <row r="444" ht="15" customHeight="1" s="82">
      <c r="A444" s="64">
        <f>INDEX(Projects[Project ID *],443)&amp;""</f>
        <v/>
      </c>
      <c r="B444" s="64">
        <f>INDEX(Projects[Project Name *],443)&amp;""</f>
        <v/>
      </c>
      <c r="C444" s="64">
        <f>INDEX(Projects[MS Shuttles],443)</f>
        <v/>
      </c>
      <c r="D444" s="64">
        <f>INDEX(Projects[MS Tote Locations],443)</f>
        <v/>
      </c>
      <c r="E444" s="64">
        <f>INDEX(Projects[AS Robots],443)</f>
        <v/>
      </c>
      <c r="F444" s="64">
        <f>INDEX(Projects[AS Tote Locations],443)</f>
        <v/>
      </c>
      <c r="G444" s="64">
        <f>INDEX(Projects[PS Shuttles],443)</f>
        <v/>
      </c>
      <c r="H444" s="64">
        <f>INDEX(Projects[PS Pallet Locations],443)</f>
        <v/>
      </c>
      <c r="I444" s="64">
        <f>INDEX(Projects[SRM Cranes],443)</f>
        <v/>
      </c>
      <c r="J444" s="64">
        <f>INDEX(Projects[SRM Pallet Locations],443)</f>
        <v/>
      </c>
      <c r="K444" s="64">
        <f>INDEX(Projects[Case Conv (m)],443)</f>
        <v/>
      </c>
      <c r="L444" s="64">
        <f>INDEX(Projects[Pallet Conv (m)],443)</f>
        <v/>
      </c>
      <c r="M444" s="64">
        <f>IF(N(DJ444)&gt;0,DD444,CW444)</f>
        <v/>
      </c>
      <c r="N444" s="64">
        <f>IF(N(DJ444)&gt;0,DE444,CX444)</f>
        <v/>
      </c>
      <c r="O444" s="64">
        <f>IF(N(DJ444)&gt;0,DF444,CY444)</f>
        <v/>
      </c>
      <c r="P444" s="64">
        <f>IF(N(DJ444)&gt;0,DG444,CZ444)</f>
        <v/>
      </c>
      <c r="Q444" s="64">
        <f>IF(N(DJ444)&gt;0,DH444,DA444)</f>
        <v/>
      </c>
      <c r="R444" s="64">
        <f>IF(N(DJ444)&gt;0,DI444,DB444)</f>
        <v/>
      </c>
      <c r="S444" s="64">
        <f>IF(N(DJ444)&gt;0,DJ444,DC444)</f>
        <v/>
      </c>
      <c r="T444" s="64">
        <f>INDEX(Projects[Currency],443)&amp;""</f>
        <v/>
      </c>
      <c r="U444" s="65">
        <f>INDEX(Projects[Sold Value (M)],443)</f>
        <v/>
      </c>
      <c r="V444" s="64">
        <f>IF('Smart Search'!B13=1,IFERROR(1/'Smart Search'!H13,0),0)</f>
        <v/>
      </c>
      <c r="W444" s="64">
        <f>IF('Smart Search'!B13=1,IFERROR(1/'Smart Search'!H13,0),0)</f>
        <v/>
      </c>
      <c r="X444" s="64">
        <f>IF('Smart Search'!C13=1,IFERROR(1/'Smart Search'!H13,0),0)</f>
        <v/>
      </c>
      <c r="Y444" s="64">
        <f>IF('Smart Search'!C13=1,IFERROR(1/'Smart Search'!H13,0),0)</f>
        <v/>
      </c>
      <c r="Z444" s="64">
        <f>IF('Smart Search'!D13=1,IFERROR(1/'Smart Search'!H13,0),0)</f>
        <v/>
      </c>
      <c r="AA444" s="64">
        <f>IF('Smart Search'!D13=1,IFERROR(1/'Smart Search'!H13,0),0)</f>
        <v/>
      </c>
      <c r="AB444" s="64">
        <f>IF('Smart Search'!E13=1,IFERROR(1/'Smart Search'!H13,0),0)</f>
        <v/>
      </c>
      <c r="AC444" s="64">
        <f>IF('Smart Search'!E13=1,IFERROR(1/'Smart Search'!H13,0),0)</f>
        <v/>
      </c>
      <c r="AD444" s="64">
        <f>IF('Smart Search'!F13=1,IFERROR(1/'Smart Search'!H13,0),0)</f>
        <v/>
      </c>
      <c r="AE444" s="64">
        <f>IF('Smart Search'!F13=1,IFERROR(1/'Smart Search'!H13,0),0)</f>
        <v/>
      </c>
      <c r="AF444" s="64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4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4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4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4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4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4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4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4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4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4">
        <f>AF444*V444</f>
        <v/>
      </c>
      <c r="AQ444" s="64">
        <f>AG444*W444</f>
        <v/>
      </c>
      <c r="AR444" s="64">
        <f>AH444*X444</f>
        <v/>
      </c>
      <c r="AS444" s="64">
        <f>AI444*Y444</f>
        <v/>
      </c>
      <c r="AT444" s="64">
        <f>AJ444*Z444</f>
        <v/>
      </c>
      <c r="AU444" s="64">
        <f>AK444*AA444</f>
        <v/>
      </c>
      <c r="AV444" s="64">
        <f>AL444*AB444</f>
        <v/>
      </c>
      <c r="AW444" s="64">
        <f>AM444*AC444</f>
        <v/>
      </c>
      <c r="AX444" s="64">
        <f>AN444*AD444</f>
        <v/>
      </c>
      <c r="AY444" s="64">
        <f>AO444*AE444</f>
        <v/>
      </c>
      <c r="AZ444" s="64">
        <f>INDEX(Projects[Automation Equipment],443)&amp;""</f>
        <v/>
      </c>
      <c r="BA444" s="64">
        <f>IF(OR(A444="",'Smart Search'!H13=0),"",MAX(0,BE444*BF444*MAX(0,1-BG444)))</f>
        <v/>
      </c>
      <c r="BB444" s="64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4">
        <f>IF('Smart Search'!G13=1,IFERROR(1/'Smart Search'!H13,0),0)</f>
        <v/>
      </c>
      <c r="BD444" s="64">
        <f>BB444*BC444</f>
        <v/>
      </c>
      <c r="BE444" s="64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IF(A444="","",N(INDEX(Projects[Act Mech Inst],443)))</f>
        <v/>
      </c>
      <c r="BK444" s="5">
        <f>IF(A444="","",N(INDEX(Projects[Act Elec Inst],443)))</f>
        <v/>
      </c>
      <c r="BL444" s="5">
        <f>IF(A444="","",N(INDEX(Projects[Act Project Management],443)))</f>
        <v/>
      </c>
      <c r="BM444" s="5">
        <f>IF(A444="","",N(INDEX(Projects[Act Systems Eng],443)))</f>
        <v/>
      </c>
      <c r="BN444" s="5">
        <f>IF(A444="","",N(INDEX(Projects[Act Mechanical Eng],443)))</f>
        <v/>
      </c>
      <c r="BO444" s="5">
        <f>IF(A444="","",N(INDEX(Projects[Act Structural Engineering],443)))</f>
        <v/>
      </c>
      <c r="BP444" s="5">
        <f>IF(A444="","",N(INDEX(Projects[Act Site Sup],443)))</f>
        <v/>
      </c>
      <c r="BQ444" s="5">
        <f>IF(A444="","",N(INDEX(Projects[Act Controls Commissioning],443)))</f>
        <v/>
      </c>
      <c r="BR444" s="5">
        <f>IF(A444="","",N(INDEX(Projects[Act Systems Commissioning],443)))</f>
        <v/>
      </c>
      <c r="BS444" s="5">
        <f>IF(A444="","",N(INDEX(Projects[Act Service Commissioning],443)))</f>
        <v/>
      </c>
      <c r="BT444" s="5">
        <f>IF(A444="","",N(INDEX(Projects[Act Controls Eng],443)))</f>
        <v/>
      </c>
      <c r="BU444" s="5">
        <f>IF(A444="","",N(INDEX(Projects[Act Controls Purchase],443)))</f>
        <v/>
      </c>
      <c r="BV444" s="5">
        <f>IF(A444="","",N(INDEX(Projects[Act Software Eng],443)))</f>
        <v/>
      </c>
      <c r="BW444" s="5">
        <f>IF(A444="","",N(INDEX(Projects[Act 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INDEX(Projects[Sold Value (USD M)],443)</f>
        <v/>
      </c>
      <c r="CE444" s="5" t="n"/>
      <c r="CF444" s="5">
        <f>IF(A444="","",N(INDEX(Projects[Est Mech Inst],443)))</f>
        <v/>
      </c>
      <c r="CG444" s="5">
        <f>IF(A444="","",N(INDEX(Projects[Est Elec Inst],443)))</f>
        <v/>
      </c>
      <c r="CH444" s="5">
        <f>IF(A444="","",N(INDEX(Projects[Est Project Management],443)))</f>
        <v/>
      </c>
      <c r="CI444" s="5">
        <f>IF(A444="","",N(INDEX(Projects[Est Systems Eng],443)))</f>
        <v/>
      </c>
      <c r="CJ444" s="5">
        <f>IF(A444="","",N(INDEX(Projects[Est Mechanical Eng],443)))</f>
        <v/>
      </c>
      <c r="CK444" s="5">
        <f>IF(A444="","",N(INDEX(Projects[Est Structural Engineering],443)))</f>
        <v/>
      </c>
      <c r="CL444" s="5">
        <f>IF(A444="","",N(INDEX(Projects[Est Site Sup],443)))</f>
        <v/>
      </c>
      <c r="CM444" s="5">
        <f>IF(A444="","",N(INDEX(Projects[Est Controls Commissioning],443)))</f>
        <v/>
      </c>
      <c r="CN444" s="5">
        <f>IF(A444="","",N(INDEX(Projects[Est Systems Commissioning],443)))</f>
        <v/>
      </c>
      <c r="CO444" s="5">
        <f>IF(A444="","",N(INDEX(Projects[Est Service Commissioning],443)))</f>
        <v/>
      </c>
      <c r="CP444" s="5">
        <f>IF(A444="","",N(INDEX(Projects[Est Controls Eng],443)))</f>
        <v/>
      </c>
      <c r="CQ444" s="5">
        <f>IF(A444="","",N(INDEX(Projects[Est Controls Purchase],443)))</f>
        <v/>
      </c>
      <c r="CR444" s="5">
        <f>IF(A444="","",N(INDEX(Projects[Est Software Eng],443)))</f>
        <v/>
      </c>
      <c r="CS444" s="5">
        <f>IF(A444="","",N(INDEX(Projects[Est Misc],443)))</f>
        <v/>
      </c>
      <c r="CT444" s="5">
        <f>IF(A444="","",SUM(CF444:CS444))</f>
        <v/>
      </c>
      <c r="CU444" s="5">
        <f>INDEX(Projects[Est Cost (M)],443)</f>
        <v/>
      </c>
      <c r="CV444" s="5">
        <f>INDEX(Projects[Act Cost (M)],443)</f>
        <v/>
      </c>
      <c r="CW444" s="5">
        <f>INDEX(Projects[Plan Mech Eng (wks)],443)</f>
        <v/>
      </c>
      <c r="CX444" s="5">
        <f>INDEX(Projects[Plan Controls Eng (wks)],443)</f>
        <v/>
      </c>
      <c r="CY444" s="5">
        <f>INDEX(Projects[Plan Systems Eng (wks)],443)</f>
        <v/>
      </c>
      <c r="CZ444" s="5">
        <f>INDEX(Projects[Plan Software Eng (wks)],443)</f>
        <v/>
      </c>
      <c r="DA444" s="5">
        <f>INDEX(Projects[Plan M&amp;E Installation (wks)],443)</f>
        <v/>
      </c>
      <c r="DB444" s="5">
        <f>INDEX(Projects[Plan Commissioning (wks)],443)</f>
        <v/>
      </c>
      <c r="DC444" s="5">
        <f>INDEX(Projects[Plan Total (wks)],443)</f>
        <v/>
      </c>
      <c r="DD444" s="5">
        <f>INDEX(Projects[Act Mech Eng (wks)],443)</f>
        <v/>
      </c>
      <c r="DE444" s="5">
        <f>INDEX(Projects[Act Controls Eng (wks)],443)</f>
        <v/>
      </c>
      <c r="DF444" s="5">
        <f>INDEX(Projects[Act Systems Eng (wks)],443)</f>
        <v/>
      </c>
      <c r="DG444" s="5">
        <f>INDEX(Projects[Act Software Eng (wks)],443)</f>
        <v/>
      </c>
      <c r="DH444" s="5">
        <f>INDEX(Projects[Act M&amp;E Installation (wks)],443)</f>
        <v/>
      </c>
      <c r="DI444" s="5">
        <f>INDEX(Projects[Act Commissioning (wks)],443)</f>
        <v/>
      </c>
      <c r="DJ444" s="5">
        <f>INDEX(Projects[Act Total (wks)],443)</f>
        <v/>
      </c>
    </row>
    <row r="445" ht="15" customHeight="1" s="82">
      <c r="A445" s="64">
        <f>INDEX(Projects[Project ID *],444)&amp;""</f>
        <v/>
      </c>
      <c r="B445" s="64">
        <f>INDEX(Projects[Project Name *],444)&amp;""</f>
        <v/>
      </c>
      <c r="C445" s="64">
        <f>INDEX(Projects[MS Shuttles],444)</f>
        <v/>
      </c>
      <c r="D445" s="64">
        <f>INDEX(Projects[MS Tote Locations],444)</f>
        <v/>
      </c>
      <c r="E445" s="64">
        <f>INDEX(Projects[AS Robots],444)</f>
        <v/>
      </c>
      <c r="F445" s="64">
        <f>INDEX(Projects[AS Tote Locations],444)</f>
        <v/>
      </c>
      <c r="G445" s="64">
        <f>INDEX(Projects[PS Shuttles],444)</f>
        <v/>
      </c>
      <c r="H445" s="64">
        <f>INDEX(Projects[PS Pallet Locations],444)</f>
        <v/>
      </c>
      <c r="I445" s="64">
        <f>INDEX(Projects[SRM Cranes],444)</f>
        <v/>
      </c>
      <c r="J445" s="64">
        <f>INDEX(Projects[SRM Pallet Locations],444)</f>
        <v/>
      </c>
      <c r="K445" s="64">
        <f>INDEX(Projects[Case Conv (m)],444)</f>
        <v/>
      </c>
      <c r="L445" s="64">
        <f>INDEX(Projects[Pallet Conv (m)],444)</f>
        <v/>
      </c>
      <c r="M445" s="64">
        <f>IF(N(DJ445)&gt;0,DD445,CW445)</f>
        <v/>
      </c>
      <c r="N445" s="64">
        <f>IF(N(DJ445)&gt;0,DE445,CX445)</f>
        <v/>
      </c>
      <c r="O445" s="64">
        <f>IF(N(DJ445)&gt;0,DF445,CY445)</f>
        <v/>
      </c>
      <c r="P445" s="64">
        <f>IF(N(DJ445)&gt;0,DG445,CZ445)</f>
        <v/>
      </c>
      <c r="Q445" s="64">
        <f>IF(N(DJ445)&gt;0,DH445,DA445)</f>
        <v/>
      </c>
      <c r="R445" s="64">
        <f>IF(N(DJ445)&gt;0,DI445,DB445)</f>
        <v/>
      </c>
      <c r="S445" s="64">
        <f>IF(N(DJ445)&gt;0,DJ445,DC445)</f>
        <v/>
      </c>
      <c r="T445" s="64">
        <f>INDEX(Projects[Currency],444)&amp;""</f>
        <v/>
      </c>
      <c r="U445" s="65">
        <f>INDEX(Projects[Sold Value (M)],444)</f>
        <v/>
      </c>
      <c r="V445" s="64">
        <f>IF('Smart Search'!B13=1,IFERROR(1/'Smart Search'!H13,0),0)</f>
        <v/>
      </c>
      <c r="W445" s="64">
        <f>IF('Smart Search'!B13=1,IFERROR(1/'Smart Search'!H13,0),0)</f>
        <v/>
      </c>
      <c r="X445" s="64">
        <f>IF('Smart Search'!C13=1,IFERROR(1/'Smart Search'!H13,0),0)</f>
        <v/>
      </c>
      <c r="Y445" s="64">
        <f>IF('Smart Search'!C13=1,IFERROR(1/'Smart Search'!H13,0),0)</f>
        <v/>
      </c>
      <c r="Z445" s="64">
        <f>IF('Smart Search'!D13=1,IFERROR(1/'Smart Search'!H13,0),0)</f>
        <v/>
      </c>
      <c r="AA445" s="64">
        <f>IF('Smart Search'!D13=1,IFERROR(1/'Smart Search'!H13,0),0)</f>
        <v/>
      </c>
      <c r="AB445" s="64">
        <f>IF('Smart Search'!E13=1,IFERROR(1/'Smart Search'!H13,0),0)</f>
        <v/>
      </c>
      <c r="AC445" s="64">
        <f>IF('Smart Search'!E13=1,IFERROR(1/'Smart Search'!H13,0),0)</f>
        <v/>
      </c>
      <c r="AD445" s="64">
        <f>IF('Smart Search'!F13=1,IFERROR(1/'Smart Search'!H13,0),0)</f>
        <v/>
      </c>
      <c r="AE445" s="64">
        <f>IF('Smart Search'!F13=1,IFERROR(1/'Smart Search'!H13,0),0)</f>
        <v/>
      </c>
      <c r="AF445" s="64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4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4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4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4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4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4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4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4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4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4">
        <f>AF445*V445</f>
        <v/>
      </c>
      <c r="AQ445" s="64">
        <f>AG445*W445</f>
        <v/>
      </c>
      <c r="AR445" s="64">
        <f>AH445*X445</f>
        <v/>
      </c>
      <c r="AS445" s="64">
        <f>AI445*Y445</f>
        <v/>
      </c>
      <c r="AT445" s="64">
        <f>AJ445*Z445</f>
        <v/>
      </c>
      <c r="AU445" s="64">
        <f>AK445*AA445</f>
        <v/>
      </c>
      <c r="AV445" s="64">
        <f>AL445*AB445</f>
        <v/>
      </c>
      <c r="AW445" s="64">
        <f>AM445*AC445</f>
        <v/>
      </c>
      <c r="AX445" s="64">
        <f>AN445*AD445</f>
        <v/>
      </c>
      <c r="AY445" s="64">
        <f>AO445*AE445</f>
        <v/>
      </c>
      <c r="AZ445" s="64">
        <f>INDEX(Projects[Automation Equipment],444)&amp;""</f>
        <v/>
      </c>
      <c r="BA445" s="64">
        <f>IF(OR(A445="",'Smart Search'!H13=0),"",MAX(0,BE445*BF445*MAX(0,1-BG445)))</f>
        <v/>
      </c>
      <c r="BB445" s="64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4">
        <f>IF('Smart Search'!G13=1,IFERROR(1/'Smart Search'!H13,0),0)</f>
        <v/>
      </c>
      <c r="BD445" s="64">
        <f>BB445*BC445</f>
        <v/>
      </c>
      <c r="BE445" s="64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IF(A445="","",N(INDEX(Projects[Act Mech Inst],444)))</f>
        <v/>
      </c>
      <c r="BK445" s="5">
        <f>IF(A445="","",N(INDEX(Projects[Act Elec Inst],444)))</f>
        <v/>
      </c>
      <c r="BL445" s="5">
        <f>IF(A445="","",N(INDEX(Projects[Act Project Management],444)))</f>
        <v/>
      </c>
      <c r="BM445" s="5">
        <f>IF(A445="","",N(INDEX(Projects[Act Systems Eng],444)))</f>
        <v/>
      </c>
      <c r="BN445" s="5">
        <f>IF(A445="","",N(INDEX(Projects[Act Mechanical Eng],444)))</f>
        <v/>
      </c>
      <c r="BO445" s="5">
        <f>IF(A445="","",N(INDEX(Projects[Act Structural Engineering],444)))</f>
        <v/>
      </c>
      <c r="BP445" s="5">
        <f>IF(A445="","",N(INDEX(Projects[Act Site Sup],444)))</f>
        <v/>
      </c>
      <c r="BQ445" s="5">
        <f>IF(A445="","",N(INDEX(Projects[Act Controls Commissioning],444)))</f>
        <v/>
      </c>
      <c r="BR445" s="5">
        <f>IF(A445="","",N(INDEX(Projects[Act Systems Commissioning],444)))</f>
        <v/>
      </c>
      <c r="BS445" s="5">
        <f>IF(A445="","",N(INDEX(Projects[Act Service Commissioning],444)))</f>
        <v/>
      </c>
      <c r="BT445" s="5">
        <f>IF(A445="","",N(INDEX(Projects[Act Controls Eng],444)))</f>
        <v/>
      </c>
      <c r="BU445" s="5">
        <f>IF(A445="","",N(INDEX(Projects[Act Controls Purchase],444)))</f>
        <v/>
      </c>
      <c r="BV445" s="5">
        <f>IF(A445="","",N(INDEX(Projects[Act Software Eng],444)))</f>
        <v/>
      </c>
      <c r="BW445" s="5">
        <f>IF(A445="","",N(INDEX(Projects[Act 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INDEX(Projects[Sold Value (USD M)],444)</f>
        <v/>
      </c>
      <c r="CE445" s="5" t="n"/>
      <c r="CF445" s="5">
        <f>IF(A445="","",N(INDEX(Projects[Est Mech Inst],444)))</f>
        <v/>
      </c>
      <c r="CG445" s="5">
        <f>IF(A445="","",N(INDEX(Projects[Est Elec Inst],444)))</f>
        <v/>
      </c>
      <c r="CH445" s="5">
        <f>IF(A445="","",N(INDEX(Projects[Est Project Management],444)))</f>
        <v/>
      </c>
      <c r="CI445" s="5">
        <f>IF(A445="","",N(INDEX(Projects[Est Systems Eng],444)))</f>
        <v/>
      </c>
      <c r="CJ445" s="5">
        <f>IF(A445="","",N(INDEX(Projects[Est Mechanical Eng],444)))</f>
        <v/>
      </c>
      <c r="CK445" s="5">
        <f>IF(A445="","",N(INDEX(Projects[Est Structural Engineering],444)))</f>
        <v/>
      </c>
      <c r="CL445" s="5">
        <f>IF(A445="","",N(INDEX(Projects[Est Site Sup],444)))</f>
        <v/>
      </c>
      <c r="CM445" s="5">
        <f>IF(A445="","",N(INDEX(Projects[Est Controls Commissioning],444)))</f>
        <v/>
      </c>
      <c r="CN445" s="5">
        <f>IF(A445="","",N(INDEX(Projects[Est Systems Commissioning],444)))</f>
        <v/>
      </c>
      <c r="CO445" s="5">
        <f>IF(A445="","",N(INDEX(Projects[Est Service Commissioning],444)))</f>
        <v/>
      </c>
      <c r="CP445" s="5">
        <f>IF(A445="","",N(INDEX(Projects[Est Controls Eng],444)))</f>
        <v/>
      </c>
      <c r="CQ445" s="5">
        <f>IF(A445="","",N(INDEX(Projects[Est Controls Purchase],444)))</f>
        <v/>
      </c>
      <c r="CR445" s="5">
        <f>IF(A445="","",N(INDEX(Projects[Est Software Eng],444)))</f>
        <v/>
      </c>
      <c r="CS445" s="5">
        <f>IF(A445="","",N(INDEX(Projects[Est Misc],444)))</f>
        <v/>
      </c>
      <c r="CT445" s="5">
        <f>IF(A445="","",SUM(CF445:CS445))</f>
        <v/>
      </c>
      <c r="CU445" s="5">
        <f>INDEX(Projects[Est Cost (M)],444)</f>
        <v/>
      </c>
      <c r="CV445" s="5">
        <f>INDEX(Projects[Act Cost (M)],444)</f>
        <v/>
      </c>
      <c r="CW445" s="5">
        <f>INDEX(Projects[Plan Mech Eng (wks)],444)</f>
        <v/>
      </c>
      <c r="CX445" s="5">
        <f>INDEX(Projects[Plan Controls Eng (wks)],444)</f>
        <v/>
      </c>
      <c r="CY445" s="5">
        <f>INDEX(Projects[Plan Systems Eng (wks)],444)</f>
        <v/>
      </c>
      <c r="CZ445" s="5">
        <f>INDEX(Projects[Plan Software Eng (wks)],444)</f>
        <v/>
      </c>
      <c r="DA445" s="5">
        <f>INDEX(Projects[Plan M&amp;E Installation (wks)],444)</f>
        <v/>
      </c>
      <c r="DB445" s="5">
        <f>INDEX(Projects[Plan Commissioning (wks)],444)</f>
        <v/>
      </c>
      <c r="DC445" s="5">
        <f>INDEX(Projects[Plan Total (wks)],444)</f>
        <v/>
      </c>
      <c r="DD445" s="5">
        <f>INDEX(Projects[Act Mech Eng (wks)],444)</f>
        <v/>
      </c>
      <c r="DE445" s="5">
        <f>INDEX(Projects[Act Controls Eng (wks)],444)</f>
        <v/>
      </c>
      <c r="DF445" s="5">
        <f>INDEX(Projects[Act Systems Eng (wks)],444)</f>
        <v/>
      </c>
      <c r="DG445" s="5">
        <f>INDEX(Projects[Act Software Eng (wks)],444)</f>
        <v/>
      </c>
      <c r="DH445" s="5">
        <f>INDEX(Projects[Act M&amp;E Installation (wks)],444)</f>
        <v/>
      </c>
      <c r="DI445" s="5">
        <f>INDEX(Projects[Act Commissioning (wks)],444)</f>
        <v/>
      </c>
      <c r="DJ445" s="5">
        <f>INDEX(Projects[Act Total (wks)],444)</f>
        <v/>
      </c>
    </row>
    <row r="446" ht="15" customHeight="1" s="82">
      <c r="A446" s="64">
        <f>INDEX(Projects[Project ID *],445)&amp;""</f>
        <v/>
      </c>
      <c r="B446" s="64">
        <f>INDEX(Projects[Project Name *],445)&amp;""</f>
        <v/>
      </c>
      <c r="C446" s="64">
        <f>INDEX(Projects[MS Shuttles],445)</f>
        <v/>
      </c>
      <c r="D446" s="64">
        <f>INDEX(Projects[MS Tote Locations],445)</f>
        <v/>
      </c>
      <c r="E446" s="64">
        <f>INDEX(Projects[AS Robots],445)</f>
        <v/>
      </c>
      <c r="F446" s="64">
        <f>INDEX(Projects[AS Tote Locations],445)</f>
        <v/>
      </c>
      <c r="G446" s="64">
        <f>INDEX(Projects[PS Shuttles],445)</f>
        <v/>
      </c>
      <c r="H446" s="64">
        <f>INDEX(Projects[PS Pallet Locations],445)</f>
        <v/>
      </c>
      <c r="I446" s="64">
        <f>INDEX(Projects[SRM Cranes],445)</f>
        <v/>
      </c>
      <c r="J446" s="64">
        <f>INDEX(Projects[SRM Pallet Locations],445)</f>
        <v/>
      </c>
      <c r="K446" s="64">
        <f>INDEX(Projects[Case Conv (m)],445)</f>
        <v/>
      </c>
      <c r="L446" s="64">
        <f>INDEX(Projects[Pallet Conv (m)],445)</f>
        <v/>
      </c>
      <c r="M446" s="64">
        <f>IF(N(DJ446)&gt;0,DD446,CW446)</f>
        <v/>
      </c>
      <c r="N446" s="64">
        <f>IF(N(DJ446)&gt;0,DE446,CX446)</f>
        <v/>
      </c>
      <c r="O446" s="64">
        <f>IF(N(DJ446)&gt;0,DF446,CY446)</f>
        <v/>
      </c>
      <c r="P446" s="64">
        <f>IF(N(DJ446)&gt;0,DG446,CZ446)</f>
        <v/>
      </c>
      <c r="Q446" s="64">
        <f>IF(N(DJ446)&gt;0,DH446,DA446)</f>
        <v/>
      </c>
      <c r="R446" s="64">
        <f>IF(N(DJ446)&gt;0,DI446,DB446)</f>
        <v/>
      </c>
      <c r="S446" s="64">
        <f>IF(N(DJ446)&gt;0,DJ446,DC446)</f>
        <v/>
      </c>
      <c r="T446" s="64">
        <f>INDEX(Projects[Currency],445)&amp;""</f>
        <v/>
      </c>
      <c r="U446" s="65">
        <f>INDEX(Projects[Sold Value (M)],445)</f>
        <v/>
      </c>
      <c r="V446" s="64">
        <f>IF('Smart Search'!B13=1,IFERROR(1/'Smart Search'!H13,0),0)</f>
        <v/>
      </c>
      <c r="W446" s="64">
        <f>IF('Smart Search'!B13=1,IFERROR(1/'Smart Search'!H13,0),0)</f>
        <v/>
      </c>
      <c r="X446" s="64">
        <f>IF('Smart Search'!C13=1,IFERROR(1/'Smart Search'!H13,0),0)</f>
        <v/>
      </c>
      <c r="Y446" s="64">
        <f>IF('Smart Search'!C13=1,IFERROR(1/'Smart Search'!H13,0),0)</f>
        <v/>
      </c>
      <c r="Z446" s="64">
        <f>IF('Smart Search'!D13=1,IFERROR(1/'Smart Search'!H13,0),0)</f>
        <v/>
      </c>
      <c r="AA446" s="64">
        <f>IF('Smart Search'!D13=1,IFERROR(1/'Smart Search'!H13,0),0)</f>
        <v/>
      </c>
      <c r="AB446" s="64">
        <f>IF('Smart Search'!E13=1,IFERROR(1/'Smart Search'!H13,0),0)</f>
        <v/>
      </c>
      <c r="AC446" s="64">
        <f>IF('Smart Search'!E13=1,IFERROR(1/'Smart Search'!H13,0),0)</f>
        <v/>
      </c>
      <c r="AD446" s="64">
        <f>IF('Smart Search'!F13=1,IFERROR(1/'Smart Search'!H13,0),0)</f>
        <v/>
      </c>
      <c r="AE446" s="64">
        <f>IF('Smart Search'!F13=1,IFERROR(1/'Smart Search'!H13,0),0)</f>
        <v/>
      </c>
      <c r="AF446" s="64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4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4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4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4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4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4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4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4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4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4">
        <f>AF446*V446</f>
        <v/>
      </c>
      <c r="AQ446" s="64">
        <f>AG446*W446</f>
        <v/>
      </c>
      <c r="AR446" s="64">
        <f>AH446*X446</f>
        <v/>
      </c>
      <c r="AS446" s="64">
        <f>AI446*Y446</f>
        <v/>
      </c>
      <c r="AT446" s="64">
        <f>AJ446*Z446</f>
        <v/>
      </c>
      <c r="AU446" s="64">
        <f>AK446*AA446</f>
        <v/>
      </c>
      <c r="AV446" s="64">
        <f>AL446*AB446</f>
        <v/>
      </c>
      <c r="AW446" s="64">
        <f>AM446*AC446</f>
        <v/>
      </c>
      <c r="AX446" s="64">
        <f>AN446*AD446</f>
        <v/>
      </c>
      <c r="AY446" s="64">
        <f>AO446*AE446</f>
        <v/>
      </c>
      <c r="AZ446" s="64">
        <f>INDEX(Projects[Automation Equipment],445)&amp;""</f>
        <v/>
      </c>
      <c r="BA446" s="64">
        <f>IF(OR(A446="",'Smart Search'!H13=0),"",MAX(0,BE446*BF446*MAX(0,1-BG446)))</f>
        <v/>
      </c>
      <c r="BB446" s="64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4">
        <f>IF('Smart Search'!G13=1,IFERROR(1/'Smart Search'!H13,0),0)</f>
        <v/>
      </c>
      <c r="BD446" s="64">
        <f>BB446*BC446</f>
        <v/>
      </c>
      <c r="BE446" s="64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IF(A446="","",N(INDEX(Projects[Act Mech Inst],445)))</f>
        <v/>
      </c>
      <c r="BK446" s="5">
        <f>IF(A446="","",N(INDEX(Projects[Act Elec Inst],445)))</f>
        <v/>
      </c>
      <c r="BL446" s="5">
        <f>IF(A446="","",N(INDEX(Projects[Act Project Management],445)))</f>
        <v/>
      </c>
      <c r="BM446" s="5">
        <f>IF(A446="","",N(INDEX(Projects[Act Systems Eng],445)))</f>
        <v/>
      </c>
      <c r="BN446" s="5">
        <f>IF(A446="","",N(INDEX(Projects[Act Mechanical Eng],445)))</f>
        <v/>
      </c>
      <c r="BO446" s="5">
        <f>IF(A446="","",N(INDEX(Projects[Act Structural Engineering],445)))</f>
        <v/>
      </c>
      <c r="BP446" s="5">
        <f>IF(A446="","",N(INDEX(Projects[Act Site Sup],445)))</f>
        <v/>
      </c>
      <c r="BQ446" s="5">
        <f>IF(A446="","",N(INDEX(Projects[Act Controls Commissioning],445)))</f>
        <v/>
      </c>
      <c r="BR446" s="5">
        <f>IF(A446="","",N(INDEX(Projects[Act Systems Commissioning],445)))</f>
        <v/>
      </c>
      <c r="BS446" s="5">
        <f>IF(A446="","",N(INDEX(Projects[Act Service Commissioning],445)))</f>
        <v/>
      </c>
      <c r="BT446" s="5">
        <f>IF(A446="","",N(INDEX(Projects[Act Controls Eng],445)))</f>
        <v/>
      </c>
      <c r="BU446" s="5">
        <f>IF(A446="","",N(INDEX(Projects[Act Controls Purchase],445)))</f>
        <v/>
      </c>
      <c r="BV446" s="5">
        <f>IF(A446="","",N(INDEX(Projects[Act Software Eng],445)))</f>
        <v/>
      </c>
      <c r="BW446" s="5">
        <f>IF(A446="","",N(INDEX(Projects[Act 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INDEX(Projects[Sold Value (USD M)],445)</f>
        <v/>
      </c>
      <c r="CE446" s="5" t="n"/>
      <c r="CF446" s="5">
        <f>IF(A446="","",N(INDEX(Projects[Est Mech Inst],445)))</f>
        <v/>
      </c>
      <c r="CG446" s="5">
        <f>IF(A446="","",N(INDEX(Projects[Est Elec Inst],445)))</f>
        <v/>
      </c>
      <c r="CH446" s="5">
        <f>IF(A446="","",N(INDEX(Projects[Est Project Management],445)))</f>
        <v/>
      </c>
      <c r="CI446" s="5">
        <f>IF(A446="","",N(INDEX(Projects[Est Systems Eng],445)))</f>
        <v/>
      </c>
      <c r="CJ446" s="5">
        <f>IF(A446="","",N(INDEX(Projects[Est Mechanical Eng],445)))</f>
        <v/>
      </c>
      <c r="CK446" s="5">
        <f>IF(A446="","",N(INDEX(Projects[Est Structural Engineering],445)))</f>
        <v/>
      </c>
      <c r="CL446" s="5">
        <f>IF(A446="","",N(INDEX(Projects[Est Site Sup],445)))</f>
        <v/>
      </c>
      <c r="CM446" s="5">
        <f>IF(A446="","",N(INDEX(Projects[Est Controls Commissioning],445)))</f>
        <v/>
      </c>
      <c r="CN446" s="5">
        <f>IF(A446="","",N(INDEX(Projects[Est Systems Commissioning],445)))</f>
        <v/>
      </c>
      <c r="CO446" s="5">
        <f>IF(A446="","",N(INDEX(Projects[Est Service Commissioning],445)))</f>
        <v/>
      </c>
      <c r="CP446" s="5">
        <f>IF(A446="","",N(INDEX(Projects[Est Controls Eng],445)))</f>
        <v/>
      </c>
      <c r="CQ446" s="5">
        <f>IF(A446="","",N(INDEX(Projects[Est Controls Purchase],445)))</f>
        <v/>
      </c>
      <c r="CR446" s="5">
        <f>IF(A446="","",N(INDEX(Projects[Est Software Eng],445)))</f>
        <v/>
      </c>
      <c r="CS446" s="5">
        <f>IF(A446="","",N(INDEX(Projects[Est Misc],445)))</f>
        <v/>
      </c>
      <c r="CT446" s="5">
        <f>IF(A446="","",SUM(CF446:CS446))</f>
        <v/>
      </c>
      <c r="CU446" s="5">
        <f>INDEX(Projects[Est Cost (M)],445)</f>
        <v/>
      </c>
      <c r="CV446" s="5">
        <f>INDEX(Projects[Act Cost (M)],445)</f>
        <v/>
      </c>
      <c r="CW446" s="5">
        <f>INDEX(Projects[Plan Mech Eng (wks)],445)</f>
        <v/>
      </c>
      <c r="CX446" s="5">
        <f>INDEX(Projects[Plan Controls Eng (wks)],445)</f>
        <v/>
      </c>
      <c r="CY446" s="5">
        <f>INDEX(Projects[Plan Systems Eng (wks)],445)</f>
        <v/>
      </c>
      <c r="CZ446" s="5">
        <f>INDEX(Projects[Plan Software Eng (wks)],445)</f>
        <v/>
      </c>
      <c r="DA446" s="5">
        <f>INDEX(Projects[Plan M&amp;E Installation (wks)],445)</f>
        <v/>
      </c>
      <c r="DB446" s="5">
        <f>INDEX(Projects[Plan Commissioning (wks)],445)</f>
        <v/>
      </c>
      <c r="DC446" s="5">
        <f>INDEX(Projects[Plan Total (wks)],445)</f>
        <v/>
      </c>
      <c r="DD446" s="5">
        <f>INDEX(Projects[Act Mech Eng (wks)],445)</f>
        <v/>
      </c>
      <c r="DE446" s="5">
        <f>INDEX(Projects[Act Controls Eng (wks)],445)</f>
        <v/>
      </c>
      <c r="DF446" s="5">
        <f>INDEX(Projects[Act Systems Eng (wks)],445)</f>
        <v/>
      </c>
      <c r="DG446" s="5">
        <f>INDEX(Projects[Act Software Eng (wks)],445)</f>
        <v/>
      </c>
      <c r="DH446" s="5">
        <f>INDEX(Projects[Act M&amp;E Installation (wks)],445)</f>
        <v/>
      </c>
      <c r="DI446" s="5">
        <f>INDEX(Projects[Act Commissioning (wks)],445)</f>
        <v/>
      </c>
      <c r="DJ446" s="5">
        <f>INDEX(Projects[Act Total (wks)],445)</f>
        <v/>
      </c>
    </row>
    <row r="447" ht="15" customHeight="1" s="82">
      <c r="A447" s="64">
        <f>INDEX(Projects[Project ID *],446)&amp;""</f>
        <v/>
      </c>
      <c r="B447" s="64">
        <f>INDEX(Projects[Project Name *],446)&amp;""</f>
        <v/>
      </c>
      <c r="C447" s="64">
        <f>INDEX(Projects[MS Shuttles],446)</f>
        <v/>
      </c>
      <c r="D447" s="64">
        <f>INDEX(Projects[MS Tote Locations],446)</f>
        <v/>
      </c>
      <c r="E447" s="64">
        <f>INDEX(Projects[AS Robots],446)</f>
        <v/>
      </c>
      <c r="F447" s="64">
        <f>INDEX(Projects[AS Tote Locations],446)</f>
        <v/>
      </c>
      <c r="G447" s="64">
        <f>INDEX(Projects[PS Shuttles],446)</f>
        <v/>
      </c>
      <c r="H447" s="64">
        <f>INDEX(Projects[PS Pallet Locations],446)</f>
        <v/>
      </c>
      <c r="I447" s="64">
        <f>INDEX(Projects[SRM Cranes],446)</f>
        <v/>
      </c>
      <c r="J447" s="64">
        <f>INDEX(Projects[SRM Pallet Locations],446)</f>
        <v/>
      </c>
      <c r="K447" s="64">
        <f>INDEX(Projects[Case Conv (m)],446)</f>
        <v/>
      </c>
      <c r="L447" s="64">
        <f>INDEX(Projects[Pallet Conv (m)],446)</f>
        <v/>
      </c>
      <c r="M447" s="64">
        <f>IF(N(DJ447)&gt;0,DD447,CW447)</f>
        <v/>
      </c>
      <c r="N447" s="64">
        <f>IF(N(DJ447)&gt;0,DE447,CX447)</f>
        <v/>
      </c>
      <c r="O447" s="64">
        <f>IF(N(DJ447)&gt;0,DF447,CY447)</f>
        <v/>
      </c>
      <c r="P447" s="64">
        <f>IF(N(DJ447)&gt;0,DG447,CZ447)</f>
        <v/>
      </c>
      <c r="Q447" s="64">
        <f>IF(N(DJ447)&gt;0,DH447,DA447)</f>
        <v/>
      </c>
      <c r="R447" s="64">
        <f>IF(N(DJ447)&gt;0,DI447,DB447)</f>
        <v/>
      </c>
      <c r="S447" s="64">
        <f>IF(N(DJ447)&gt;0,DJ447,DC447)</f>
        <v/>
      </c>
      <c r="T447" s="64">
        <f>INDEX(Projects[Currency],446)&amp;""</f>
        <v/>
      </c>
      <c r="U447" s="65">
        <f>INDEX(Projects[Sold Value (M)],446)</f>
        <v/>
      </c>
      <c r="V447" s="64">
        <f>IF('Smart Search'!B13=1,IFERROR(1/'Smart Search'!H13,0),0)</f>
        <v/>
      </c>
      <c r="W447" s="64">
        <f>IF('Smart Search'!B13=1,IFERROR(1/'Smart Search'!H13,0),0)</f>
        <v/>
      </c>
      <c r="X447" s="64">
        <f>IF('Smart Search'!C13=1,IFERROR(1/'Smart Search'!H13,0),0)</f>
        <v/>
      </c>
      <c r="Y447" s="64">
        <f>IF('Smart Search'!C13=1,IFERROR(1/'Smart Search'!H13,0),0)</f>
        <v/>
      </c>
      <c r="Z447" s="64">
        <f>IF('Smart Search'!D13=1,IFERROR(1/'Smart Search'!H13,0),0)</f>
        <v/>
      </c>
      <c r="AA447" s="64">
        <f>IF('Smart Search'!D13=1,IFERROR(1/'Smart Search'!H13,0),0)</f>
        <v/>
      </c>
      <c r="AB447" s="64">
        <f>IF('Smart Search'!E13=1,IFERROR(1/'Smart Search'!H13,0),0)</f>
        <v/>
      </c>
      <c r="AC447" s="64">
        <f>IF('Smart Search'!E13=1,IFERROR(1/'Smart Search'!H13,0),0)</f>
        <v/>
      </c>
      <c r="AD447" s="64">
        <f>IF('Smart Search'!F13=1,IFERROR(1/'Smart Search'!H13,0),0)</f>
        <v/>
      </c>
      <c r="AE447" s="64">
        <f>IF('Smart Search'!F13=1,IFERROR(1/'Smart Search'!H13,0),0)</f>
        <v/>
      </c>
      <c r="AF447" s="64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4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4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4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4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4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4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4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4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4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4">
        <f>AF447*V447</f>
        <v/>
      </c>
      <c r="AQ447" s="64">
        <f>AG447*W447</f>
        <v/>
      </c>
      <c r="AR447" s="64">
        <f>AH447*X447</f>
        <v/>
      </c>
      <c r="AS447" s="64">
        <f>AI447*Y447</f>
        <v/>
      </c>
      <c r="AT447" s="64">
        <f>AJ447*Z447</f>
        <v/>
      </c>
      <c r="AU447" s="64">
        <f>AK447*AA447</f>
        <v/>
      </c>
      <c r="AV447" s="64">
        <f>AL447*AB447</f>
        <v/>
      </c>
      <c r="AW447" s="64">
        <f>AM447*AC447</f>
        <v/>
      </c>
      <c r="AX447" s="64">
        <f>AN447*AD447</f>
        <v/>
      </c>
      <c r="AY447" s="64">
        <f>AO447*AE447</f>
        <v/>
      </c>
      <c r="AZ447" s="64">
        <f>INDEX(Projects[Automation Equipment],446)&amp;""</f>
        <v/>
      </c>
      <c r="BA447" s="64">
        <f>IF(OR(A447="",'Smart Search'!H13=0),"",MAX(0,BE447*BF447*MAX(0,1-BG447)))</f>
        <v/>
      </c>
      <c r="BB447" s="64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4">
        <f>IF('Smart Search'!G13=1,IFERROR(1/'Smart Search'!H13,0),0)</f>
        <v/>
      </c>
      <c r="BD447" s="64">
        <f>BB447*BC447</f>
        <v/>
      </c>
      <c r="BE447" s="64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IF(A447="","",N(INDEX(Projects[Act Mech Inst],446)))</f>
        <v/>
      </c>
      <c r="BK447" s="5">
        <f>IF(A447="","",N(INDEX(Projects[Act Elec Inst],446)))</f>
        <v/>
      </c>
      <c r="BL447" s="5">
        <f>IF(A447="","",N(INDEX(Projects[Act Project Management],446)))</f>
        <v/>
      </c>
      <c r="BM447" s="5">
        <f>IF(A447="","",N(INDEX(Projects[Act Systems Eng],446)))</f>
        <v/>
      </c>
      <c r="BN447" s="5">
        <f>IF(A447="","",N(INDEX(Projects[Act Mechanical Eng],446)))</f>
        <v/>
      </c>
      <c r="BO447" s="5">
        <f>IF(A447="","",N(INDEX(Projects[Act Structural Engineering],446)))</f>
        <v/>
      </c>
      <c r="BP447" s="5">
        <f>IF(A447="","",N(INDEX(Projects[Act Site Sup],446)))</f>
        <v/>
      </c>
      <c r="BQ447" s="5">
        <f>IF(A447="","",N(INDEX(Projects[Act Controls Commissioning],446)))</f>
        <v/>
      </c>
      <c r="BR447" s="5">
        <f>IF(A447="","",N(INDEX(Projects[Act Systems Commissioning],446)))</f>
        <v/>
      </c>
      <c r="BS447" s="5">
        <f>IF(A447="","",N(INDEX(Projects[Act Service Commissioning],446)))</f>
        <v/>
      </c>
      <c r="BT447" s="5">
        <f>IF(A447="","",N(INDEX(Projects[Act Controls Eng],446)))</f>
        <v/>
      </c>
      <c r="BU447" s="5">
        <f>IF(A447="","",N(INDEX(Projects[Act Controls Purchase],446)))</f>
        <v/>
      </c>
      <c r="BV447" s="5">
        <f>IF(A447="","",N(INDEX(Projects[Act Software Eng],446)))</f>
        <v/>
      </c>
      <c r="BW447" s="5">
        <f>IF(A447="","",N(INDEX(Projects[Act 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INDEX(Projects[Sold Value (USD M)],446)</f>
        <v/>
      </c>
      <c r="CE447" s="5" t="n"/>
      <c r="CF447" s="5">
        <f>IF(A447="","",N(INDEX(Projects[Est Mech Inst],446)))</f>
        <v/>
      </c>
      <c r="CG447" s="5">
        <f>IF(A447="","",N(INDEX(Projects[Est Elec Inst],446)))</f>
        <v/>
      </c>
      <c r="CH447" s="5">
        <f>IF(A447="","",N(INDEX(Projects[Est Project Management],446)))</f>
        <v/>
      </c>
      <c r="CI447" s="5">
        <f>IF(A447="","",N(INDEX(Projects[Est Systems Eng],446)))</f>
        <v/>
      </c>
      <c r="CJ447" s="5">
        <f>IF(A447="","",N(INDEX(Projects[Est Mechanical Eng],446)))</f>
        <v/>
      </c>
      <c r="CK447" s="5">
        <f>IF(A447="","",N(INDEX(Projects[Est Structural Engineering],446)))</f>
        <v/>
      </c>
      <c r="CL447" s="5">
        <f>IF(A447="","",N(INDEX(Projects[Est Site Sup],446)))</f>
        <v/>
      </c>
      <c r="CM447" s="5">
        <f>IF(A447="","",N(INDEX(Projects[Est Controls Commissioning],446)))</f>
        <v/>
      </c>
      <c r="CN447" s="5">
        <f>IF(A447="","",N(INDEX(Projects[Est Systems Commissioning],446)))</f>
        <v/>
      </c>
      <c r="CO447" s="5">
        <f>IF(A447="","",N(INDEX(Projects[Est Service Commissioning],446)))</f>
        <v/>
      </c>
      <c r="CP447" s="5">
        <f>IF(A447="","",N(INDEX(Projects[Est Controls Eng],446)))</f>
        <v/>
      </c>
      <c r="CQ447" s="5">
        <f>IF(A447="","",N(INDEX(Projects[Est Controls Purchase],446)))</f>
        <v/>
      </c>
      <c r="CR447" s="5">
        <f>IF(A447="","",N(INDEX(Projects[Est Software Eng],446)))</f>
        <v/>
      </c>
      <c r="CS447" s="5">
        <f>IF(A447="","",N(INDEX(Projects[Est Misc],446)))</f>
        <v/>
      </c>
      <c r="CT447" s="5">
        <f>IF(A447="","",SUM(CF447:CS447))</f>
        <v/>
      </c>
      <c r="CU447" s="5">
        <f>INDEX(Projects[Est Cost (M)],446)</f>
        <v/>
      </c>
      <c r="CV447" s="5">
        <f>INDEX(Projects[Act Cost (M)],446)</f>
        <v/>
      </c>
      <c r="CW447" s="5">
        <f>INDEX(Projects[Plan Mech Eng (wks)],446)</f>
        <v/>
      </c>
      <c r="CX447" s="5">
        <f>INDEX(Projects[Plan Controls Eng (wks)],446)</f>
        <v/>
      </c>
      <c r="CY447" s="5">
        <f>INDEX(Projects[Plan Systems Eng (wks)],446)</f>
        <v/>
      </c>
      <c r="CZ447" s="5">
        <f>INDEX(Projects[Plan Software Eng (wks)],446)</f>
        <v/>
      </c>
      <c r="DA447" s="5">
        <f>INDEX(Projects[Plan M&amp;E Installation (wks)],446)</f>
        <v/>
      </c>
      <c r="DB447" s="5">
        <f>INDEX(Projects[Plan Commissioning (wks)],446)</f>
        <v/>
      </c>
      <c r="DC447" s="5">
        <f>INDEX(Projects[Plan Total (wks)],446)</f>
        <v/>
      </c>
      <c r="DD447" s="5">
        <f>INDEX(Projects[Act Mech Eng (wks)],446)</f>
        <v/>
      </c>
      <c r="DE447" s="5">
        <f>INDEX(Projects[Act Controls Eng (wks)],446)</f>
        <v/>
      </c>
      <c r="DF447" s="5">
        <f>INDEX(Projects[Act Systems Eng (wks)],446)</f>
        <v/>
      </c>
      <c r="DG447" s="5">
        <f>INDEX(Projects[Act Software Eng (wks)],446)</f>
        <v/>
      </c>
      <c r="DH447" s="5">
        <f>INDEX(Projects[Act M&amp;E Installation (wks)],446)</f>
        <v/>
      </c>
      <c r="DI447" s="5">
        <f>INDEX(Projects[Act Commissioning (wks)],446)</f>
        <v/>
      </c>
      <c r="DJ447" s="5">
        <f>INDEX(Projects[Act Total (wks)],446)</f>
        <v/>
      </c>
    </row>
    <row r="448" ht="15" customHeight="1" s="82">
      <c r="A448" s="64">
        <f>INDEX(Projects[Project ID *],447)&amp;""</f>
        <v/>
      </c>
      <c r="B448" s="64">
        <f>INDEX(Projects[Project Name *],447)&amp;""</f>
        <v/>
      </c>
      <c r="C448" s="64">
        <f>INDEX(Projects[MS Shuttles],447)</f>
        <v/>
      </c>
      <c r="D448" s="64">
        <f>INDEX(Projects[MS Tote Locations],447)</f>
        <v/>
      </c>
      <c r="E448" s="64">
        <f>INDEX(Projects[AS Robots],447)</f>
        <v/>
      </c>
      <c r="F448" s="64">
        <f>INDEX(Projects[AS Tote Locations],447)</f>
        <v/>
      </c>
      <c r="G448" s="64">
        <f>INDEX(Projects[PS Shuttles],447)</f>
        <v/>
      </c>
      <c r="H448" s="64">
        <f>INDEX(Projects[PS Pallet Locations],447)</f>
        <v/>
      </c>
      <c r="I448" s="64">
        <f>INDEX(Projects[SRM Cranes],447)</f>
        <v/>
      </c>
      <c r="J448" s="64">
        <f>INDEX(Projects[SRM Pallet Locations],447)</f>
        <v/>
      </c>
      <c r="K448" s="64">
        <f>INDEX(Projects[Case Conv (m)],447)</f>
        <v/>
      </c>
      <c r="L448" s="64">
        <f>INDEX(Projects[Pallet Conv (m)],447)</f>
        <v/>
      </c>
      <c r="M448" s="64">
        <f>IF(N(DJ448)&gt;0,DD448,CW448)</f>
        <v/>
      </c>
      <c r="N448" s="64">
        <f>IF(N(DJ448)&gt;0,DE448,CX448)</f>
        <v/>
      </c>
      <c r="O448" s="64">
        <f>IF(N(DJ448)&gt;0,DF448,CY448)</f>
        <v/>
      </c>
      <c r="P448" s="64">
        <f>IF(N(DJ448)&gt;0,DG448,CZ448)</f>
        <v/>
      </c>
      <c r="Q448" s="64">
        <f>IF(N(DJ448)&gt;0,DH448,DA448)</f>
        <v/>
      </c>
      <c r="R448" s="64">
        <f>IF(N(DJ448)&gt;0,DI448,DB448)</f>
        <v/>
      </c>
      <c r="S448" s="64">
        <f>IF(N(DJ448)&gt;0,DJ448,DC448)</f>
        <v/>
      </c>
      <c r="T448" s="64">
        <f>INDEX(Projects[Currency],447)&amp;""</f>
        <v/>
      </c>
      <c r="U448" s="65">
        <f>INDEX(Projects[Sold Value (M)],447)</f>
        <v/>
      </c>
      <c r="V448" s="64">
        <f>IF('Smart Search'!B13=1,IFERROR(1/'Smart Search'!H13,0),0)</f>
        <v/>
      </c>
      <c r="W448" s="64">
        <f>IF('Smart Search'!B13=1,IFERROR(1/'Smart Search'!H13,0),0)</f>
        <v/>
      </c>
      <c r="X448" s="64">
        <f>IF('Smart Search'!C13=1,IFERROR(1/'Smart Search'!H13,0),0)</f>
        <v/>
      </c>
      <c r="Y448" s="64">
        <f>IF('Smart Search'!C13=1,IFERROR(1/'Smart Search'!H13,0),0)</f>
        <v/>
      </c>
      <c r="Z448" s="64">
        <f>IF('Smart Search'!D13=1,IFERROR(1/'Smart Search'!H13,0),0)</f>
        <v/>
      </c>
      <c r="AA448" s="64">
        <f>IF('Smart Search'!D13=1,IFERROR(1/'Smart Search'!H13,0),0)</f>
        <v/>
      </c>
      <c r="AB448" s="64">
        <f>IF('Smart Search'!E13=1,IFERROR(1/'Smart Search'!H13,0),0)</f>
        <v/>
      </c>
      <c r="AC448" s="64">
        <f>IF('Smart Search'!E13=1,IFERROR(1/'Smart Search'!H13,0),0)</f>
        <v/>
      </c>
      <c r="AD448" s="64">
        <f>IF('Smart Search'!F13=1,IFERROR(1/'Smart Search'!H13,0),0)</f>
        <v/>
      </c>
      <c r="AE448" s="64">
        <f>IF('Smart Search'!F13=1,IFERROR(1/'Smart Search'!H13,0),0)</f>
        <v/>
      </c>
      <c r="AF448" s="64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4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4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4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4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4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4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4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4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4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4">
        <f>AF448*V448</f>
        <v/>
      </c>
      <c r="AQ448" s="64">
        <f>AG448*W448</f>
        <v/>
      </c>
      <c r="AR448" s="64">
        <f>AH448*X448</f>
        <v/>
      </c>
      <c r="AS448" s="64">
        <f>AI448*Y448</f>
        <v/>
      </c>
      <c r="AT448" s="64">
        <f>AJ448*Z448</f>
        <v/>
      </c>
      <c r="AU448" s="64">
        <f>AK448*AA448</f>
        <v/>
      </c>
      <c r="AV448" s="64">
        <f>AL448*AB448</f>
        <v/>
      </c>
      <c r="AW448" s="64">
        <f>AM448*AC448</f>
        <v/>
      </c>
      <c r="AX448" s="64">
        <f>AN448*AD448</f>
        <v/>
      </c>
      <c r="AY448" s="64">
        <f>AO448*AE448</f>
        <v/>
      </c>
      <c r="AZ448" s="64">
        <f>INDEX(Projects[Automation Equipment],447)&amp;""</f>
        <v/>
      </c>
      <c r="BA448" s="64">
        <f>IF(OR(A448="",'Smart Search'!H13=0),"",MAX(0,BE448*BF448*MAX(0,1-BG448)))</f>
        <v/>
      </c>
      <c r="BB448" s="64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4">
        <f>IF('Smart Search'!G13=1,IFERROR(1/'Smart Search'!H13,0),0)</f>
        <v/>
      </c>
      <c r="BD448" s="64">
        <f>BB448*BC448</f>
        <v/>
      </c>
      <c r="BE448" s="64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IF(A448="","",N(INDEX(Projects[Act Mech Inst],447)))</f>
        <v/>
      </c>
      <c r="BK448" s="5">
        <f>IF(A448="","",N(INDEX(Projects[Act Elec Inst],447)))</f>
        <v/>
      </c>
      <c r="BL448" s="5">
        <f>IF(A448="","",N(INDEX(Projects[Act Project Management],447)))</f>
        <v/>
      </c>
      <c r="BM448" s="5">
        <f>IF(A448="","",N(INDEX(Projects[Act Systems Eng],447)))</f>
        <v/>
      </c>
      <c r="BN448" s="5">
        <f>IF(A448="","",N(INDEX(Projects[Act Mechanical Eng],447)))</f>
        <v/>
      </c>
      <c r="BO448" s="5">
        <f>IF(A448="","",N(INDEX(Projects[Act Structural Engineering],447)))</f>
        <v/>
      </c>
      <c r="BP448" s="5">
        <f>IF(A448="","",N(INDEX(Projects[Act Site Sup],447)))</f>
        <v/>
      </c>
      <c r="BQ448" s="5">
        <f>IF(A448="","",N(INDEX(Projects[Act Controls Commissioning],447)))</f>
        <v/>
      </c>
      <c r="BR448" s="5">
        <f>IF(A448="","",N(INDEX(Projects[Act Systems Commissioning],447)))</f>
        <v/>
      </c>
      <c r="BS448" s="5">
        <f>IF(A448="","",N(INDEX(Projects[Act Service Commissioning],447)))</f>
        <v/>
      </c>
      <c r="BT448" s="5">
        <f>IF(A448="","",N(INDEX(Projects[Act Controls Eng],447)))</f>
        <v/>
      </c>
      <c r="BU448" s="5">
        <f>IF(A448="","",N(INDEX(Projects[Act Controls Purchase],447)))</f>
        <v/>
      </c>
      <c r="BV448" s="5">
        <f>IF(A448="","",N(INDEX(Projects[Act Software Eng],447)))</f>
        <v/>
      </c>
      <c r="BW448" s="5">
        <f>IF(A448="","",N(INDEX(Projects[Act 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INDEX(Projects[Sold Value (USD M)],447)</f>
        <v/>
      </c>
      <c r="CE448" s="5" t="n"/>
      <c r="CF448" s="5">
        <f>IF(A448="","",N(INDEX(Projects[Est Mech Inst],447)))</f>
        <v/>
      </c>
      <c r="CG448" s="5">
        <f>IF(A448="","",N(INDEX(Projects[Est Elec Inst],447)))</f>
        <v/>
      </c>
      <c r="CH448" s="5">
        <f>IF(A448="","",N(INDEX(Projects[Est Project Management],447)))</f>
        <v/>
      </c>
      <c r="CI448" s="5">
        <f>IF(A448="","",N(INDEX(Projects[Est Systems Eng],447)))</f>
        <v/>
      </c>
      <c r="CJ448" s="5">
        <f>IF(A448="","",N(INDEX(Projects[Est Mechanical Eng],447)))</f>
        <v/>
      </c>
      <c r="CK448" s="5">
        <f>IF(A448="","",N(INDEX(Projects[Est Structural Engineering],447)))</f>
        <v/>
      </c>
      <c r="CL448" s="5">
        <f>IF(A448="","",N(INDEX(Projects[Est Site Sup],447)))</f>
        <v/>
      </c>
      <c r="CM448" s="5">
        <f>IF(A448="","",N(INDEX(Projects[Est Controls Commissioning],447)))</f>
        <v/>
      </c>
      <c r="CN448" s="5">
        <f>IF(A448="","",N(INDEX(Projects[Est Systems Commissioning],447)))</f>
        <v/>
      </c>
      <c r="CO448" s="5">
        <f>IF(A448="","",N(INDEX(Projects[Est Service Commissioning],447)))</f>
        <v/>
      </c>
      <c r="CP448" s="5">
        <f>IF(A448="","",N(INDEX(Projects[Est Controls Eng],447)))</f>
        <v/>
      </c>
      <c r="CQ448" s="5">
        <f>IF(A448="","",N(INDEX(Projects[Est Controls Purchase],447)))</f>
        <v/>
      </c>
      <c r="CR448" s="5">
        <f>IF(A448="","",N(INDEX(Projects[Est Software Eng],447)))</f>
        <v/>
      </c>
      <c r="CS448" s="5">
        <f>IF(A448="","",N(INDEX(Projects[Est Misc],447)))</f>
        <v/>
      </c>
      <c r="CT448" s="5">
        <f>IF(A448="","",SUM(CF448:CS448))</f>
        <v/>
      </c>
      <c r="CU448" s="5">
        <f>INDEX(Projects[Est Cost (M)],447)</f>
        <v/>
      </c>
      <c r="CV448" s="5">
        <f>INDEX(Projects[Act Cost (M)],447)</f>
        <v/>
      </c>
      <c r="CW448" s="5">
        <f>INDEX(Projects[Plan Mech Eng (wks)],447)</f>
        <v/>
      </c>
      <c r="CX448" s="5">
        <f>INDEX(Projects[Plan Controls Eng (wks)],447)</f>
        <v/>
      </c>
      <c r="CY448" s="5">
        <f>INDEX(Projects[Plan Systems Eng (wks)],447)</f>
        <v/>
      </c>
      <c r="CZ448" s="5">
        <f>INDEX(Projects[Plan Software Eng (wks)],447)</f>
        <v/>
      </c>
      <c r="DA448" s="5">
        <f>INDEX(Projects[Plan M&amp;E Installation (wks)],447)</f>
        <v/>
      </c>
      <c r="DB448" s="5">
        <f>INDEX(Projects[Plan Commissioning (wks)],447)</f>
        <v/>
      </c>
      <c r="DC448" s="5">
        <f>INDEX(Projects[Plan Total (wks)],447)</f>
        <v/>
      </c>
      <c r="DD448" s="5">
        <f>INDEX(Projects[Act Mech Eng (wks)],447)</f>
        <v/>
      </c>
      <c r="DE448" s="5">
        <f>INDEX(Projects[Act Controls Eng (wks)],447)</f>
        <v/>
      </c>
      <c r="DF448" s="5">
        <f>INDEX(Projects[Act Systems Eng (wks)],447)</f>
        <v/>
      </c>
      <c r="DG448" s="5">
        <f>INDEX(Projects[Act Software Eng (wks)],447)</f>
        <v/>
      </c>
      <c r="DH448" s="5">
        <f>INDEX(Projects[Act M&amp;E Installation (wks)],447)</f>
        <v/>
      </c>
      <c r="DI448" s="5">
        <f>INDEX(Projects[Act Commissioning (wks)],447)</f>
        <v/>
      </c>
      <c r="DJ448" s="5">
        <f>INDEX(Projects[Act Total (wks)],447)</f>
        <v/>
      </c>
    </row>
    <row r="449" ht="15" customHeight="1" s="82">
      <c r="A449" s="64">
        <f>INDEX(Projects[Project ID *],448)&amp;""</f>
        <v/>
      </c>
      <c r="B449" s="64">
        <f>INDEX(Projects[Project Name *],448)&amp;""</f>
        <v/>
      </c>
      <c r="C449" s="64">
        <f>INDEX(Projects[MS Shuttles],448)</f>
        <v/>
      </c>
      <c r="D449" s="64">
        <f>INDEX(Projects[MS Tote Locations],448)</f>
        <v/>
      </c>
      <c r="E449" s="64">
        <f>INDEX(Projects[AS Robots],448)</f>
        <v/>
      </c>
      <c r="F449" s="64">
        <f>INDEX(Projects[AS Tote Locations],448)</f>
        <v/>
      </c>
      <c r="G449" s="64">
        <f>INDEX(Projects[PS Shuttles],448)</f>
        <v/>
      </c>
      <c r="H449" s="64">
        <f>INDEX(Projects[PS Pallet Locations],448)</f>
        <v/>
      </c>
      <c r="I449" s="64">
        <f>INDEX(Projects[SRM Cranes],448)</f>
        <v/>
      </c>
      <c r="J449" s="64">
        <f>INDEX(Projects[SRM Pallet Locations],448)</f>
        <v/>
      </c>
      <c r="K449" s="64">
        <f>INDEX(Projects[Case Conv (m)],448)</f>
        <v/>
      </c>
      <c r="L449" s="64">
        <f>INDEX(Projects[Pallet Conv (m)],448)</f>
        <v/>
      </c>
      <c r="M449" s="64">
        <f>IF(N(DJ449)&gt;0,DD449,CW449)</f>
        <v/>
      </c>
      <c r="N449" s="64">
        <f>IF(N(DJ449)&gt;0,DE449,CX449)</f>
        <v/>
      </c>
      <c r="O449" s="64">
        <f>IF(N(DJ449)&gt;0,DF449,CY449)</f>
        <v/>
      </c>
      <c r="P449" s="64">
        <f>IF(N(DJ449)&gt;0,DG449,CZ449)</f>
        <v/>
      </c>
      <c r="Q449" s="64">
        <f>IF(N(DJ449)&gt;0,DH449,DA449)</f>
        <v/>
      </c>
      <c r="R449" s="64">
        <f>IF(N(DJ449)&gt;0,DI449,DB449)</f>
        <v/>
      </c>
      <c r="S449" s="64">
        <f>IF(N(DJ449)&gt;0,DJ449,DC449)</f>
        <v/>
      </c>
      <c r="T449" s="64">
        <f>INDEX(Projects[Currency],448)&amp;""</f>
        <v/>
      </c>
      <c r="U449" s="65">
        <f>INDEX(Projects[Sold Value (M)],448)</f>
        <v/>
      </c>
      <c r="V449" s="64">
        <f>IF('Smart Search'!B13=1,IFERROR(1/'Smart Search'!H13,0),0)</f>
        <v/>
      </c>
      <c r="W449" s="64">
        <f>IF('Smart Search'!B13=1,IFERROR(1/'Smart Search'!H13,0),0)</f>
        <v/>
      </c>
      <c r="X449" s="64">
        <f>IF('Smart Search'!C13=1,IFERROR(1/'Smart Search'!H13,0),0)</f>
        <v/>
      </c>
      <c r="Y449" s="64">
        <f>IF('Smart Search'!C13=1,IFERROR(1/'Smart Search'!H13,0),0)</f>
        <v/>
      </c>
      <c r="Z449" s="64">
        <f>IF('Smart Search'!D13=1,IFERROR(1/'Smart Search'!H13,0),0)</f>
        <v/>
      </c>
      <c r="AA449" s="64">
        <f>IF('Smart Search'!D13=1,IFERROR(1/'Smart Search'!H13,0),0)</f>
        <v/>
      </c>
      <c r="AB449" s="64">
        <f>IF('Smart Search'!E13=1,IFERROR(1/'Smart Search'!H13,0),0)</f>
        <v/>
      </c>
      <c r="AC449" s="64">
        <f>IF('Smart Search'!E13=1,IFERROR(1/'Smart Search'!H13,0),0)</f>
        <v/>
      </c>
      <c r="AD449" s="64">
        <f>IF('Smart Search'!F13=1,IFERROR(1/'Smart Search'!H13,0),0)</f>
        <v/>
      </c>
      <c r="AE449" s="64">
        <f>IF('Smart Search'!F13=1,IFERROR(1/'Smart Search'!H13,0),0)</f>
        <v/>
      </c>
      <c r="AF449" s="64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4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4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4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4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4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4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4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4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4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4">
        <f>AF449*V449</f>
        <v/>
      </c>
      <c r="AQ449" s="64">
        <f>AG449*W449</f>
        <v/>
      </c>
      <c r="AR449" s="64">
        <f>AH449*X449</f>
        <v/>
      </c>
      <c r="AS449" s="64">
        <f>AI449*Y449</f>
        <v/>
      </c>
      <c r="AT449" s="64">
        <f>AJ449*Z449</f>
        <v/>
      </c>
      <c r="AU449" s="64">
        <f>AK449*AA449</f>
        <v/>
      </c>
      <c r="AV449" s="64">
        <f>AL449*AB449</f>
        <v/>
      </c>
      <c r="AW449" s="64">
        <f>AM449*AC449</f>
        <v/>
      </c>
      <c r="AX449" s="64">
        <f>AN449*AD449</f>
        <v/>
      </c>
      <c r="AY449" s="64">
        <f>AO449*AE449</f>
        <v/>
      </c>
      <c r="AZ449" s="64">
        <f>INDEX(Projects[Automation Equipment],448)&amp;""</f>
        <v/>
      </c>
      <c r="BA449" s="64">
        <f>IF(OR(A449="",'Smart Search'!H13=0),"",MAX(0,BE449*BF449*MAX(0,1-BG449)))</f>
        <v/>
      </c>
      <c r="BB449" s="64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4">
        <f>IF('Smart Search'!G13=1,IFERROR(1/'Smart Search'!H13,0),0)</f>
        <v/>
      </c>
      <c r="BD449" s="64">
        <f>BB449*BC449</f>
        <v/>
      </c>
      <c r="BE449" s="64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IF(A449="","",N(INDEX(Projects[Act Mech Inst],448)))</f>
        <v/>
      </c>
      <c r="BK449" s="5">
        <f>IF(A449="","",N(INDEX(Projects[Act Elec Inst],448)))</f>
        <v/>
      </c>
      <c r="BL449" s="5">
        <f>IF(A449="","",N(INDEX(Projects[Act Project Management],448)))</f>
        <v/>
      </c>
      <c r="BM449" s="5">
        <f>IF(A449="","",N(INDEX(Projects[Act Systems Eng],448)))</f>
        <v/>
      </c>
      <c r="BN449" s="5">
        <f>IF(A449="","",N(INDEX(Projects[Act Mechanical Eng],448)))</f>
        <v/>
      </c>
      <c r="BO449" s="5">
        <f>IF(A449="","",N(INDEX(Projects[Act Structural Engineering],448)))</f>
        <v/>
      </c>
      <c r="BP449" s="5">
        <f>IF(A449="","",N(INDEX(Projects[Act Site Sup],448)))</f>
        <v/>
      </c>
      <c r="BQ449" s="5">
        <f>IF(A449="","",N(INDEX(Projects[Act Controls Commissioning],448)))</f>
        <v/>
      </c>
      <c r="BR449" s="5">
        <f>IF(A449="","",N(INDEX(Projects[Act Systems Commissioning],448)))</f>
        <v/>
      </c>
      <c r="BS449" s="5">
        <f>IF(A449="","",N(INDEX(Projects[Act Service Commissioning],448)))</f>
        <v/>
      </c>
      <c r="BT449" s="5">
        <f>IF(A449="","",N(INDEX(Projects[Act Controls Eng],448)))</f>
        <v/>
      </c>
      <c r="BU449" s="5">
        <f>IF(A449="","",N(INDEX(Projects[Act Controls Purchase],448)))</f>
        <v/>
      </c>
      <c r="BV449" s="5">
        <f>IF(A449="","",N(INDEX(Projects[Act Software Eng],448)))</f>
        <v/>
      </c>
      <c r="BW449" s="5">
        <f>IF(A449="","",N(INDEX(Projects[Act 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INDEX(Projects[Sold Value (USD M)],448)</f>
        <v/>
      </c>
      <c r="CE449" s="5" t="n"/>
      <c r="CF449" s="5">
        <f>IF(A449="","",N(INDEX(Projects[Est Mech Inst],448)))</f>
        <v/>
      </c>
      <c r="CG449" s="5">
        <f>IF(A449="","",N(INDEX(Projects[Est Elec Inst],448)))</f>
        <v/>
      </c>
      <c r="CH449" s="5">
        <f>IF(A449="","",N(INDEX(Projects[Est Project Management],448)))</f>
        <v/>
      </c>
      <c r="CI449" s="5">
        <f>IF(A449="","",N(INDEX(Projects[Est Systems Eng],448)))</f>
        <v/>
      </c>
      <c r="CJ449" s="5">
        <f>IF(A449="","",N(INDEX(Projects[Est Mechanical Eng],448)))</f>
        <v/>
      </c>
      <c r="CK449" s="5">
        <f>IF(A449="","",N(INDEX(Projects[Est Structural Engineering],448)))</f>
        <v/>
      </c>
      <c r="CL449" s="5">
        <f>IF(A449="","",N(INDEX(Projects[Est Site Sup],448)))</f>
        <v/>
      </c>
      <c r="CM449" s="5">
        <f>IF(A449="","",N(INDEX(Projects[Est Controls Commissioning],448)))</f>
        <v/>
      </c>
      <c r="CN449" s="5">
        <f>IF(A449="","",N(INDEX(Projects[Est Systems Commissioning],448)))</f>
        <v/>
      </c>
      <c r="CO449" s="5">
        <f>IF(A449="","",N(INDEX(Projects[Est Service Commissioning],448)))</f>
        <v/>
      </c>
      <c r="CP449" s="5">
        <f>IF(A449="","",N(INDEX(Projects[Est Controls Eng],448)))</f>
        <v/>
      </c>
      <c r="CQ449" s="5">
        <f>IF(A449="","",N(INDEX(Projects[Est Controls Purchase],448)))</f>
        <v/>
      </c>
      <c r="CR449" s="5">
        <f>IF(A449="","",N(INDEX(Projects[Est Software Eng],448)))</f>
        <v/>
      </c>
      <c r="CS449" s="5">
        <f>IF(A449="","",N(INDEX(Projects[Est Misc],448)))</f>
        <v/>
      </c>
      <c r="CT449" s="5">
        <f>IF(A449="","",SUM(CF449:CS449))</f>
        <v/>
      </c>
      <c r="CU449" s="5">
        <f>INDEX(Projects[Est Cost (M)],448)</f>
        <v/>
      </c>
      <c r="CV449" s="5">
        <f>INDEX(Projects[Act Cost (M)],448)</f>
        <v/>
      </c>
      <c r="CW449" s="5">
        <f>INDEX(Projects[Plan Mech Eng (wks)],448)</f>
        <v/>
      </c>
      <c r="CX449" s="5">
        <f>INDEX(Projects[Plan Controls Eng (wks)],448)</f>
        <v/>
      </c>
      <c r="CY449" s="5">
        <f>INDEX(Projects[Plan Systems Eng (wks)],448)</f>
        <v/>
      </c>
      <c r="CZ449" s="5">
        <f>INDEX(Projects[Plan Software Eng (wks)],448)</f>
        <v/>
      </c>
      <c r="DA449" s="5">
        <f>INDEX(Projects[Plan M&amp;E Installation (wks)],448)</f>
        <v/>
      </c>
      <c r="DB449" s="5">
        <f>INDEX(Projects[Plan Commissioning (wks)],448)</f>
        <v/>
      </c>
      <c r="DC449" s="5">
        <f>INDEX(Projects[Plan Total (wks)],448)</f>
        <v/>
      </c>
      <c r="DD449" s="5">
        <f>INDEX(Projects[Act Mech Eng (wks)],448)</f>
        <v/>
      </c>
      <c r="DE449" s="5">
        <f>INDEX(Projects[Act Controls Eng (wks)],448)</f>
        <v/>
      </c>
      <c r="DF449" s="5">
        <f>INDEX(Projects[Act Systems Eng (wks)],448)</f>
        <v/>
      </c>
      <c r="DG449" s="5">
        <f>INDEX(Projects[Act Software Eng (wks)],448)</f>
        <v/>
      </c>
      <c r="DH449" s="5">
        <f>INDEX(Projects[Act M&amp;E Installation (wks)],448)</f>
        <v/>
      </c>
      <c r="DI449" s="5">
        <f>INDEX(Projects[Act Commissioning (wks)],448)</f>
        <v/>
      </c>
      <c r="DJ449" s="5">
        <f>INDEX(Projects[Act Total (wks)],448)</f>
        <v/>
      </c>
    </row>
    <row r="450" ht="15" customHeight="1" s="82">
      <c r="A450" s="64">
        <f>INDEX(Projects[Project ID *],449)&amp;""</f>
        <v/>
      </c>
      <c r="B450" s="64">
        <f>INDEX(Projects[Project Name *],449)&amp;""</f>
        <v/>
      </c>
      <c r="C450" s="64">
        <f>INDEX(Projects[MS Shuttles],449)</f>
        <v/>
      </c>
      <c r="D450" s="64">
        <f>INDEX(Projects[MS Tote Locations],449)</f>
        <v/>
      </c>
      <c r="E450" s="64">
        <f>INDEX(Projects[AS Robots],449)</f>
        <v/>
      </c>
      <c r="F450" s="64">
        <f>INDEX(Projects[AS Tote Locations],449)</f>
        <v/>
      </c>
      <c r="G450" s="64">
        <f>INDEX(Projects[PS Shuttles],449)</f>
        <v/>
      </c>
      <c r="H450" s="64">
        <f>INDEX(Projects[PS Pallet Locations],449)</f>
        <v/>
      </c>
      <c r="I450" s="64">
        <f>INDEX(Projects[SRM Cranes],449)</f>
        <v/>
      </c>
      <c r="J450" s="64">
        <f>INDEX(Projects[SRM Pallet Locations],449)</f>
        <v/>
      </c>
      <c r="K450" s="64">
        <f>INDEX(Projects[Case Conv (m)],449)</f>
        <v/>
      </c>
      <c r="L450" s="64">
        <f>INDEX(Projects[Pallet Conv (m)],449)</f>
        <v/>
      </c>
      <c r="M450" s="64">
        <f>IF(N(DJ450)&gt;0,DD450,CW450)</f>
        <v/>
      </c>
      <c r="N450" s="64">
        <f>IF(N(DJ450)&gt;0,DE450,CX450)</f>
        <v/>
      </c>
      <c r="O450" s="64">
        <f>IF(N(DJ450)&gt;0,DF450,CY450)</f>
        <v/>
      </c>
      <c r="P450" s="64">
        <f>IF(N(DJ450)&gt;0,DG450,CZ450)</f>
        <v/>
      </c>
      <c r="Q450" s="64">
        <f>IF(N(DJ450)&gt;0,DH450,DA450)</f>
        <v/>
      </c>
      <c r="R450" s="64">
        <f>IF(N(DJ450)&gt;0,DI450,DB450)</f>
        <v/>
      </c>
      <c r="S450" s="64">
        <f>IF(N(DJ450)&gt;0,DJ450,DC450)</f>
        <v/>
      </c>
      <c r="T450" s="64">
        <f>INDEX(Projects[Currency],449)&amp;""</f>
        <v/>
      </c>
      <c r="U450" s="65">
        <f>INDEX(Projects[Sold Value (M)],449)</f>
        <v/>
      </c>
      <c r="V450" s="64">
        <f>IF('Smart Search'!B13=1,IFERROR(1/'Smart Search'!H13,0),0)</f>
        <v/>
      </c>
      <c r="W450" s="64">
        <f>IF('Smart Search'!B13=1,IFERROR(1/'Smart Search'!H13,0),0)</f>
        <v/>
      </c>
      <c r="X450" s="64">
        <f>IF('Smart Search'!C13=1,IFERROR(1/'Smart Search'!H13,0),0)</f>
        <v/>
      </c>
      <c r="Y450" s="64">
        <f>IF('Smart Search'!C13=1,IFERROR(1/'Smart Search'!H13,0),0)</f>
        <v/>
      </c>
      <c r="Z450" s="64">
        <f>IF('Smart Search'!D13=1,IFERROR(1/'Smart Search'!H13,0),0)</f>
        <v/>
      </c>
      <c r="AA450" s="64">
        <f>IF('Smart Search'!D13=1,IFERROR(1/'Smart Search'!H13,0),0)</f>
        <v/>
      </c>
      <c r="AB450" s="64">
        <f>IF('Smart Search'!E13=1,IFERROR(1/'Smart Search'!H13,0),0)</f>
        <v/>
      </c>
      <c r="AC450" s="64">
        <f>IF('Smart Search'!E13=1,IFERROR(1/'Smart Search'!H13,0),0)</f>
        <v/>
      </c>
      <c r="AD450" s="64">
        <f>IF('Smart Search'!F13=1,IFERROR(1/'Smart Search'!H13,0),0)</f>
        <v/>
      </c>
      <c r="AE450" s="64">
        <f>IF('Smart Search'!F13=1,IFERROR(1/'Smart Search'!H13,0),0)</f>
        <v/>
      </c>
      <c r="AF450" s="64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4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4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4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4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4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4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4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4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4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4">
        <f>AF450*V450</f>
        <v/>
      </c>
      <c r="AQ450" s="64">
        <f>AG450*W450</f>
        <v/>
      </c>
      <c r="AR450" s="64">
        <f>AH450*X450</f>
        <v/>
      </c>
      <c r="AS450" s="64">
        <f>AI450*Y450</f>
        <v/>
      </c>
      <c r="AT450" s="64">
        <f>AJ450*Z450</f>
        <v/>
      </c>
      <c r="AU450" s="64">
        <f>AK450*AA450</f>
        <v/>
      </c>
      <c r="AV450" s="64">
        <f>AL450*AB450</f>
        <v/>
      </c>
      <c r="AW450" s="64">
        <f>AM450*AC450</f>
        <v/>
      </c>
      <c r="AX450" s="64">
        <f>AN450*AD450</f>
        <v/>
      </c>
      <c r="AY450" s="64">
        <f>AO450*AE450</f>
        <v/>
      </c>
      <c r="AZ450" s="64">
        <f>INDEX(Projects[Automation Equipment],449)&amp;""</f>
        <v/>
      </c>
      <c r="BA450" s="64">
        <f>IF(OR(A450="",'Smart Search'!H13=0),"",MAX(0,BE450*BF450*MAX(0,1-BG450)))</f>
        <v/>
      </c>
      <c r="BB450" s="64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4">
        <f>IF('Smart Search'!G13=1,IFERROR(1/'Smart Search'!H13,0),0)</f>
        <v/>
      </c>
      <c r="BD450" s="64">
        <f>BB450*BC450</f>
        <v/>
      </c>
      <c r="BE450" s="64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IF(A450="","",N(INDEX(Projects[Act Mech Inst],449)))</f>
        <v/>
      </c>
      <c r="BK450" s="5">
        <f>IF(A450="","",N(INDEX(Projects[Act Elec Inst],449)))</f>
        <v/>
      </c>
      <c r="BL450" s="5">
        <f>IF(A450="","",N(INDEX(Projects[Act Project Management],449)))</f>
        <v/>
      </c>
      <c r="BM450" s="5">
        <f>IF(A450="","",N(INDEX(Projects[Act Systems Eng],449)))</f>
        <v/>
      </c>
      <c r="BN450" s="5">
        <f>IF(A450="","",N(INDEX(Projects[Act Mechanical Eng],449)))</f>
        <v/>
      </c>
      <c r="BO450" s="5">
        <f>IF(A450="","",N(INDEX(Projects[Act Structural Engineering],449)))</f>
        <v/>
      </c>
      <c r="BP450" s="5">
        <f>IF(A450="","",N(INDEX(Projects[Act Site Sup],449)))</f>
        <v/>
      </c>
      <c r="BQ450" s="5">
        <f>IF(A450="","",N(INDEX(Projects[Act Controls Commissioning],449)))</f>
        <v/>
      </c>
      <c r="BR450" s="5">
        <f>IF(A450="","",N(INDEX(Projects[Act Systems Commissioning],449)))</f>
        <v/>
      </c>
      <c r="BS450" s="5">
        <f>IF(A450="","",N(INDEX(Projects[Act Service Commissioning],449)))</f>
        <v/>
      </c>
      <c r="BT450" s="5">
        <f>IF(A450="","",N(INDEX(Projects[Act Controls Eng],449)))</f>
        <v/>
      </c>
      <c r="BU450" s="5">
        <f>IF(A450="","",N(INDEX(Projects[Act Controls Purchase],449)))</f>
        <v/>
      </c>
      <c r="BV450" s="5">
        <f>IF(A450="","",N(INDEX(Projects[Act Software Eng],449)))</f>
        <v/>
      </c>
      <c r="BW450" s="5">
        <f>IF(A450="","",N(INDEX(Projects[Act 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INDEX(Projects[Sold Value (USD M)],449)</f>
        <v/>
      </c>
      <c r="CE450" s="5" t="n"/>
      <c r="CF450" s="5">
        <f>IF(A450="","",N(INDEX(Projects[Est Mech Inst],449)))</f>
        <v/>
      </c>
      <c r="CG450" s="5">
        <f>IF(A450="","",N(INDEX(Projects[Est Elec Inst],449)))</f>
        <v/>
      </c>
      <c r="CH450" s="5">
        <f>IF(A450="","",N(INDEX(Projects[Est Project Management],449)))</f>
        <v/>
      </c>
      <c r="CI450" s="5">
        <f>IF(A450="","",N(INDEX(Projects[Est Systems Eng],449)))</f>
        <v/>
      </c>
      <c r="CJ450" s="5">
        <f>IF(A450="","",N(INDEX(Projects[Est Mechanical Eng],449)))</f>
        <v/>
      </c>
      <c r="CK450" s="5">
        <f>IF(A450="","",N(INDEX(Projects[Est Structural Engineering],449)))</f>
        <v/>
      </c>
      <c r="CL450" s="5">
        <f>IF(A450="","",N(INDEX(Projects[Est Site Sup],449)))</f>
        <v/>
      </c>
      <c r="CM450" s="5">
        <f>IF(A450="","",N(INDEX(Projects[Est Controls Commissioning],449)))</f>
        <v/>
      </c>
      <c r="CN450" s="5">
        <f>IF(A450="","",N(INDEX(Projects[Est Systems Commissioning],449)))</f>
        <v/>
      </c>
      <c r="CO450" s="5">
        <f>IF(A450="","",N(INDEX(Projects[Est Service Commissioning],449)))</f>
        <v/>
      </c>
      <c r="CP450" s="5">
        <f>IF(A450="","",N(INDEX(Projects[Est Controls Eng],449)))</f>
        <v/>
      </c>
      <c r="CQ450" s="5">
        <f>IF(A450="","",N(INDEX(Projects[Est Controls Purchase],449)))</f>
        <v/>
      </c>
      <c r="CR450" s="5">
        <f>IF(A450="","",N(INDEX(Projects[Est Software Eng],449)))</f>
        <v/>
      </c>
      <c r="CS450" s="5">
        <f>IF(A450="","",N(INDEX(Projects[Est Misc],449)))</f>
        <v/>
      </c>
      <c r="CT450" s="5">
        <f>IF(A450="","",SUM(CF450:CS450))</f>
        <v/>
      </c>
      <c r="CU450" s="5">
        <f>INDEX(Projects[Est Cost (M)],449)</f>
        <v/>
      </c>
      <c r="CV450" s="5">
        <f>INDEX(Projects[Act Cost (M)],449)</f>
        <v/>
      </c>
      <c r="CW450" s="5">
        <f>INDEX(Projects[Plan Mech Eng (wks)],449)</f>
        <v/>
      </c>
      <c r="CX450" s="5">
        <f>INDEX(Projects[Plan Controls Eng (wks)],449)</f>
        <v/>
      </c>
      <c r="CY450" s="5">
        <f>INDEX(Projects[Plan Systems Eng (wks)],449)</f>
        <v/>
      </c>
      <c r="CZ450" s="5">
        <f>INDEX(Projects[Plan Software Eng (wks)],449)</f>
        <v/>
      </c>
      <c r="DA450" s="5">
        <f>INDEX(Projects[Plan M&amp;E Installation (wks)],449)</f>
        <v/>
      </c>
      <c r="DB450" s="5">
        <f>INDEX(Projects[Plan Commissioning (wks)],449)</f>
        <v/>
      </c>
      <c r="DC450" s="5">
        <f>INDEX(Projects[Plan Total (wks)],449)</f>
        <v/>
      </c>
      <c r="DD450" s="5">
        <f>INDEX(Projects[Act Mech Eng (wks)],449)</f>
        <v/>
      </c>
      <c r="DE450" s="5">
        <f>INDEX(Projects[Act Controls Eng (wks)],449)</f>
        <v/>
      </c>
      <c r="DF450" s="5">
        <f>INDEX(Projects[Act Systems Eng (wks)],449)</f>
        <v/>
      </c>
      <c r="DG450" s="5">
        <f>INDEX(Projects[Act Software Eng (wks)],449)</f>
        <v/>
      </c>
      <c r="DH450" s="5">
        <f>INDEX(Projects[Act M&amp;E Installation (wks)],449)</f>
        <v/>
      </c>
      <c r="DI450" s="5">
        <f>INDEX(Projects[Act Commissioning (wks)],449)</f>
        <v/>
      </c>
      <c r="DJ450" s="5">
        <f>INDEX(Projects[Act Total (wks)],449)</f>
        <v/>
      </c>
    </row>
    <row r="451" ht="15" customHeight="1" s="82">
      <c r="A451" s="64">
        <f>INDEX(Projects[Project ID *],450)&amp;""</f>
        <v/>
      </c>
      <c r="B451" s="64">
        <f>INDEX(Projects[Project Name *],450)&amp;""</f>
        <v/>
      </c>
      <c r="C451" s="64">
        <f>INDEX(Projects[MS Shuttles],450)</f>
        <v/>
      </c>
      <c r="D451" s="64">
        <f>INDEX(Projects[MS Tote Locations],450)</f>
        <v/>
      </c>
      <c r="E451" s="64">
        <f>INDEX(Projects[AS Robots],450)</f>
        <v/>
      </c>
      <c r="F451" s="64">
        <f>INDEX(Projects[AS Tote Locations],450)</f>
        <v/>
      </c>
      <c r="G451" s="64">
        <f>INDEX(Projects[PS Shuttles],450)</f>
        <v/>
      </c>
      <c r="H451" s="64">
        <f>INDEX(Projects[PS Pallet Locations],450)</f>
        <v/>
      </c>
      <c r="I451" s="64">
        <f>INDEX(Projects[SRM Cranes],450)</f>
        <v/>
      </c>
      <c r="J451" s="64">
        <f>INDEX(Projects[SRM Pallet Locations],450)</f>
        <v/>
      </c>
      <c r="K451" s="64">
        <f>INDEX(Projects[Case Conv (m)],450)</f>
        <v/>
      </c>
      <c r="L451" s="64">
        <f>INDEX(Projects[Pallet Conv (m)],450)</f>
        <v/>
      </c>
      <c r="M451" s="64">
        <f>IF(N(DJ451)&gt;0,DD451,CW451)</f>
        <v/>
      </c>
      <c r="N451" s="64">
        <f>IF(N(DJ451)&gt;0,DE451,CX451)</f>
        <v/>
      </c>
      <c r="O451" s="64">
        <f>IF(N(DJ451)&gt;0,DF451,CY451)</f>
        <v/>
      </c>
      <c r="P451" s="64">
        <f>IF(N(DJ451)&gt;0,DG451,CZ451)</f>
        <v/>
      </c>
      <c r="Q451" s="64">
        <f>IF(N(DJ451)&gt;0,DH451,DA451)</f>
        <v/>
      </c>
      <c r="R451" s="64">
        <f>IF(N(DJ451)&gt;0,DI451,DB451)</f>
        <v/>
      </c>
      <c r="S451" s="64">
        <f>IF(N(DJ451)&gt;0,DJ451,DC451)</f>
        <v/>
      </c>
      <c r="T451" s="64">
        <f>INDEX(Projects[Currency],450)&amp;""</f>
        <v/>
      </c>
      <c r="U451" s="65">
        <f>INDEX(Projects[Sold Value (M)],450)</f>
        <v/>
      </c>
      <c r="V451" s="64">
        <f>IF('Smart Search'!B13=1,IFERROR(1/'Smart Search'!H13,0),0)</f>
        <v/>
      </c>
      <c r="W451" s="64">
        <f>IF('Smart Search'!B13=1,IFERROR(1/'Smart Search'!H13,0),0)</f>
        <v/>
      </c>
      <c r="X451" s="64">
        <f>IF('Smart Search'!C13=1,IFERROR(1/'Smart Search'!H13,0),0)</f>
        <v/>
      </c>
      <c r="Y451" s="64">
        <f>IF('Smart Search'!C13=1,IFERROR(1/'Smart Search'!H13,0),0)</f>
        <v/>
      </c>
      <c r="Z451" s="64">
        <f>IF('Smart Search'!D13=1,IFERROR(1/'Smart Search'!H13,0),0)</f>
        <v/>
      </c>
      <c r="AA451" s="64">
        <f>IF('Smart Search'!D13=1,IFERROR(1/'Smart Search'!H13,0),0)</f>
        <v/>
      </c>
      <c r="AB451" s="64">
        <f>IF('Smart Search'!E13=1,IFERROR(1/'Smart Search'!H13,0),0)</f>
        <v/>
      </c>
      <c r="AC451" s="64">
        <f>IF('Smart Search'!E13=1,IFERROR(1/'Smart Search'!H13,0),0)</f>
        <v/>
      </c>
      <c r="AD451" s="64">
        <f>IF('Smart Search'!F13=1,IFERROR(1/'Smart Search'!H13,0),0)</f>
        <v/>
      </c>
      <c r="AE451" s="64">
        <f>IF('Smart Search'!F13=1,IFERROR(1/'Smart Search'!H13,0),0)</f>
        <v/>
      </c>
      <c r="AF451" s="64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4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4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4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4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4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4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4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4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4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4">
        <f>AF451*V451</f>
        <v/>
      </c>
      <c r="AQ451" s="64">
        <f>AG451*W451</f>
        <v/>
      </c>
      <c r="AR451" s="64">
        <f>AH451*X451</f>
        <v/>
      </c>
      <c r="AS451" s="64">
        <f>AI451*Y451</f>
        <v/>
      </c>
      <c r="AT451" s="64">
        <f>AJ451*Z451</f>
        <v/>
      </c>
      <c r="AU451" s="64">
        <f>AK451*AA451</f>
        <v/>
      </c>
      <c r="AV451" s="64">
        <f>AL451*AB451</f>
        <v/>
      </c>
      <c r="AW451" s="64">
        <f>AM451*AC451</f>
        <v/>
      </c>
      <c r="AX451" s="64">
        <f>AN451*AD451</f>
        <v/>
      </c>
      <c r="AY451" s="64">
        <f>AO451*AE451</f>
        <v/>
      </c>
      <c r="AZ451" s="64">
        <f>INDEX(Projects[Automation Equipment],450)&amp;""</f>
        <v/>
      </c>
      <c r="BA451" s="64">
        <f>IF(OR(A451="",'Smart Search'!H13=0),"",MAX(0,BE451*BF451*MAX(0,1-BG451)))</f>
        <v/>
      </c>
      <c r="BB451" s="64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4">
        <f>IF('Smart Search'!G13=1,IFERROR(1/'Smart Search'!H13,0),0)</f>
        <v/>
      </c>
      <c r="BD451" s="64">
        <f>BB451*BC451</f>
        <v/>
      </c>
      <c r="BE451" s="64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IF(A451="","",N(INDEX(Projects[Act Mech Inst],450)))</f>
        <v/>
      </c>
      <c r="BK451" s="5">
        <f>IF(A451="","",N(INDEX(Projects[Act Elec Inst],450)))</f>
        <v/>
      </c>
      <c r="BL451" s="5">
        <f>IF(A451="","",N(INDEX(Projects[Act Project Management],450)))</f>
        <v/>
      </c>
      <c r="BM451" s="5">
        <f>IF(A451="","",N(INDEX(Projects[Act Systems Eng],450)))</f>
        <v/>
      </c>
      <c r="BN451" s="5">
        <f>IF(A451="","",N(INDEX(Projects[Act Mechanical Eng],450)))</f>
        <v/>
      </c>
      <c r="BO451" s="5">
        <f>IF(A451="","",N(INDEX(Projects[Act Structural Engineering],450)))</f>
        <v/>
      </c>
      <c r="BP451" s="5">
        <f>IF(A451="","",N(INDEX(Projects[Act Site Sup],450)))</f>
        <v/>
      </c>
      <c r="BQ451" s="5">
        <f>IF(A451="","",N(INDEX(Projects[Act Controls Commissioning],450)))</f>
        <v/>
      </c>
      <c r="BR451" s="5">
        <f>IF(A451="","",N(INDEX(Projects[Act Systems Commissioning],450)))</f>
        <v/>
      </c>
      <c r="BS451" s="5">
        <f>IF(A451="","",N(INDEX(Projects[Act Service Commissioning],450)))</f>
        <v/>
      </c>
      <c r="BT451" s="5">
        <f>IF(A451="","",N(INDEX(Projects[Act Controls Eng],450)))</f>
        <v/>
      </c>
      <c r="BU451" s="5">
        <f>IF(A451="","",N(INDEX(Projects[Act Controls Purchase],450)))</f>
        <v/>
      </c>
      <c r="BV451" s="5">
        <f>IF(A451="","",N(INDEX(Projects[Act Software Eng],450)))</f>
        <v/>
      </c>
      <c r="BW451" s="5">
        <f>IF(A451="","",N(INDEX(Projects[Act 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INDEX(Projects[Sold Value (USD M)],450)</f>
        <v/>
      </c>
      <c r="CE451" s="5" t="n"/>
      <c r="CF451" s="5">
        <f>IF(A451="","",N(INDEX(Projects[Est Mech Inst],450)))</f>
        <v/>
      </c>
      <c r="CG451" s="5">
        <f>IF(A451="","",N(INDEX(Projects[Est Elec Inst],450)))</f>
        <v/>
      </c>
      <c r="CH451" s="5">
        <f>IF(A451="","",N(INDEX(Projects[Est Project Management],450)))</f>
        <v/>
      </c>
      <c r="CI451" s="5">
        <f>IF(A451="","",N(INDEX(Projects[Est Systems Eng],450)))</f>
        <v/>
      </c>
      <c r="CJ451" s="5">
        <f>IF(A451="","",N(INDEX(Projects[Est Mechanical Eng],450)))</f>
        <v/>
      </c>
      <c r="CK451" s="5">
        <f>IF(A451="","",N(INDEX(Projects[Est Structural Engineering],450)))</f>
        <v/>
      </c>
      <c r="CL451" s="5">
        <f>IF(A451="","",N(INDEX(Projects[Est Site Sup],450)))</f>
        <v/>
      </c>
      <c r="CM451" s="5">
        <f>IF(A451="","",N(INDEX(Projects[Est Controls Commissioning],450)))</f>
        <v/>
      </c>
      <c r="CN451" s="5">
        <f>IF(A451="","",N(INDEX(Projects[Est Systems Commissioning],450)))</f>
        <v/>
      </c>
      <c r="CO451" s="5">
        <f>IF(A451="","",N(INDEX(Projects[Est Service Commissioning],450)))</f>
        <v/>
      </c>
      <c r="CP451" s="5">
        <f>IF(A451="","",N(INDEX(Projects[Est Controls Eng],450)))</f>
        <v/>
      </c>
      <c r="CQ451" s="5">
        <f>IF(A451="","",N(INDEX(Projects[Est Controls Purchase],450)))</f>
        <v/>
      </c>
      <c r="CR451" s="5">
        <f>IF(A451="","",N(INDEX(Projects[Est Software Eng],450)))</f>
        <v/>
      </c>
      <c r="CS451" s="5">
        <f>IF(A451="","",N(INDEX(Projects[Est Misc],450)))</f>
        <v/>
      </c>
      <c r="CT451" s="5">
        <f>IF(A451="","",SUM(CF451:CS451))</f>
        <v/>
      </c>
      <c r="CU451" s="5">
        <f>INDEX(Projects[Est Cost (M)],450)</f>
        <v/>
      </c>
      <c r="CV451" s="5">
        <f>INDEX(Projects[Act Cost (M)],450)</f>
        <v/>
      </c>
      <c r="CW451" s="5">
        <f>INDEX(Projects[Plan Mech Eng (wks)],450)</f>
        <v/>
      </c>
      <c r="CX451" s="5">
        <f>INDEX(Projects[Plan Controls Eng (wks)],450)</f>
        <v/>
      </c>
      <c r="CY451" s="5">
        <f>INDEX(Projects[Plan Systems Eng (wks)],450)</f>
        <v/>
      </c>
      <c r="CZ451" s="5">
        <f>INDEX(Projects[Plan Software Eng (wks)],450)</f>
        <v/>
      </c>
      <c r="DA451" s="5">
        <f>INDEX(Projects[Plan M&amp;E Installation (wks)],450)</f>
        <v/>
      </c>
      <c r="DB451" s="5">
        <f>INDEX(Projects[Plan Commissioning (wks)],450)</f>
        <v/>
      </c>
      <c r="DC451" s="5">
        <f>INDEX(Projects[Plan Total (wks)],450)</f>
        <v/>
      </c>
      <c r="DD451" s="5">
        <f>INDEX(Projects[Act Mech Eng (wks)],450)</f>
        <v/>
      </c>
      <c r="DE451" s="5">
        <f>INDEX(Projects[Act Controls Eng (wks)],450)</f>
        <v/>
      </c>
      <c r="DF451" s="5">
        <f>INDEX(Projects[Act Systems Eng (wks)],450)</f>
        <v/>
      </c>
      <c r="DG451" s="5">
        <f>INDEX(Projects[Act Software Eng (wks)],450)</f>
        <v/>
      </c>
      <c r="DH451" s="5">
        <f>INDEX(Projects[Act M&amp;E Installation (wks)],450)</f>
        <v/>
      </c>
      <c r="DI451" s="5">
        <f>INDEX(Projects[Act Commissioning (wks)],450)</f>
        <v/>
      </c>
      <c r="DJ451" s="5">
        <f>INDEX(Projects[Act Total (wks)],450)</f>
        <v/>
      </c>
    </row>
    <row r="452" ht="15" customHeight="1" s="82">
      <c r="A452" s="64">
        <f>INDEX(Projects[Project ID *],451)&amp;""</f>
        <v/>
      </c>
      <c r="B452" s="64">
        <f>INDEX(Projects[Project Name *],451)&amp;""</f>
        <v/>
      </c>
      <c r="C452" s="64">
        <f>INDEX(Projects[MS Shuttles],451)</f>
        <v/>
      </c>
      <c r="D452" s="64">
        <f>INDEX(Projects[MS Tote Locations],451)</f>
        <v/>
      </c>
      <c r="E452" s="64">
        <f>INDEX(Projects[AS Robots],451)</f>
        <v/>
      </c>
      <c r="F452" s="64">
        <f>INDEX(Projects[AS Tote Locations],451)</f>
        <v/>
      </c>
      <c r="G452" s="64">
        <f>INDEX(Projects[PS Shuttles],451)</f>
        <v/>
      </c>
      <c r="H452" s="64">
        <f>INDEX(Projects[PS Pallet Locations],451)</f>
        <v/>
      </c>
      <c r="I452" s="64">
        <f>INDEX(Projects[SRM Cranes],451)</f>
        <v/>
      </c>
      <c r="J452" s="64">
        <f>INDEX(Projects[SRM Pallet Locations],451)</f>
        <v/>
      </c>
      <c r="K452" s="64">
        <f>INDEX(Projects[Case Conv (m)],451)</f>
        <v/>
      </c>
      <c r="L452" s="64">
        <f>INDEX(Projects[Pallet Conv (m)],451)</f>
        <v/>
      </c>
      <c r="M452" s="64">
        <f>IF(N(DJ452)&gt;0,DD452,CW452)</f>
        <v/>
      </c>
      <c r="N452" s="64">
        <f>IF(N(DJ452)&gt;0,DE452,CX452)</f>
        <v/>
      </c>
      <c r="O452" s="64">
        <f>IF(N(DJ452)&gt;0,DF452,CY452)</f>
        <v/>
      </c>
      <c r="P452" s="64">
        <f>IF(N(DJ452)&gt;0,DG452,CZ452)</f>
        <v/>
      </c>
      <c r="Q452" s="64">
        <f>IF(N(DJ452)&gt;0,DH452,DA452)</f>
        <v/>
      </c>
      <c r="R452" s="64">
        <f>IF(N(DJ452)&gt;0,DI452,DB452)</f>
        <v/>
      </c>
      <c r="S452" s="64">
        <f>IF(N(DJ452)&gt;0,DJ452,DC452)</f>
        <v/>
      </c>
      <c r="T452" s="64">
        <f>INDEX(Projects[Currency],451)&amp;""</f>
        <v/>
      </c>
      <c r="U452" s="65">
        <f>INDEX(Projects[Sold Value (M)],451)</f>
        <v/>
      </c>
      <c r="V452" s="64">
        <f>IF('Smart Search'!B13=1,IFERROR(1/'Smart Search'!H13,0),0)</f>
        <v/>
      </c>
      <c r="W452" s="64">
        <f>IF('Smart Search'!B13=1,IFERROR(1/'Smart Search'!H13,0),0)</f>
        <v/>
      </c>
      <c r="X452" s="64">
        <f>IF('Smart Search'!C13=1,IFERROR(1/'Smart Search'!H13,0),0)</f>
        <v/>
      </c>
      <c r="Y452" s="64">
        <f>IF('Smart Search'!C13=1,IFERROR(1/'Smart Search'!H13,0),0)</f>
        <v/>
      </c>
      <c r="Z452" s="64">
        <f>IF('Smart Search'!D13=1,IFERROR(1/'Smart Search'!H13,0),0)</f>
        <v/>
      </c>
      <c r="AA452" s="64">
        <f>IF('Smart Search'!D13=1,IFERROR(1/'Smart Search'!H13,0),0)</f>
        <v/>
      </c>
      <c r="AB452" s="64">
        <f>IF('Smart Search'!E13=1,IFERROR(1/'Smart Search'!H13,0),0)</f>
        <v/>
      </c>
      <c r="AC452" s="64">
        <f>IF('Smart Search'!E13=1,IFERROR(1/'Smart Search'!H13,0),0)</f>
        <v/>
      </c>
      <c r="AD452" s="64">
        <f>IF('Smart Search'!F13=1,IFERROR(1/'Smart Search'!H13,0),0)</f>
        <v/>
      </c>
      <c r="AE452" s="64">
        <f>IF('Smart Search'!F13=1,IFERROR(1/'Smart Search'!H13,0),0)</f>
        <v/>
      </c>
      <c r="AF452" s="64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4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4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4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4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4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4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4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4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4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4">
        <f>AF452*V452</f>
        <v/>
      </c>
      <c r="AQ452" s="64">
        <f>AG452*W452</f>
        <v/>
      </c>
      <c r="AR452" s="64">
        <f>AH452*X452</f>
        <v/>
      </c>
      <c r="AS452" s="64">
        <f>AI452*Y452</f>
        <v/>
      </c>
      <c r="AT452" s="64">
        <f>AJ452*Z452</f>
        <v/>
      </c>
      <c r="AU452" s="64">
        <f>AK452*AA452</f>
        <v/>
      </c>
      <c r="AV452" s="64">
        <f>AL452*AB452</f>
        <v/>
      </c>
      <c r="AW452" s="64">
        <f>AM452*AC452</f>
        <v/>
      </c>
      <c r="AX452" s="64">
        <f>AN452*AD452</f>
        <v/>
      </c>
      <c r="AY452" s="64">
        <f>AO452*AE452</f>
        <v/>
      </c>
      <c r="AZ452" s="64">
        <f>INDEX(Projects[Automation Equipment],451)&amp;""</f>
        <v/>
      </c>
      <c r="BA452" s="64">
        <f>IF(OR(A452="",'Smart Search'!H13=0),"",MAX(0,BE452*BF452*MAX(0,1-BG452)))</f>
        <v/>
      </c>
      <c r="BB452" s="64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4">
        <f>IF('Smart Search'!G13=1,IFERROR(1/'Smart Search'!H13,0),0)</f>
        <v/>
      </c>
      <c r="BD452" s="64">
        <f>BB452*BC452</f>
        <v/>
      </c>
      <c r="BE452" s="64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IF(A452="","",N(INDEX(Projects[Act Mech Inst],451)))</f>
        <v/>
      </c>
      <c r="BK452" s="5">
        <f>IF(A452="","",N(INDEX(Projects[Act Elec Inst],451)))</f>
        <v/>
      </c>
      <c r="BL452" s="5">
        <f>IF(A452="","",N(INDEX(Projects[Act Project Management],451)))</f>
        <v/>
      </c>
      <c r="BM452" s="5">
        <f>IF(A452="","",N(INDEX(Projects[Act Systems Eng],451)))</f>
        <v/>
      </c>
      <c r="BN452" s="5">
        <f>IF(A452="","",N(INDEX(Projects[Act Mechanical Eng],451)))</f>
        <v/>
      </c>
      <c r="BO452" s="5">
        <f>IF(A452="","",N(INDEX(Projects[Act Structural Engineering],451)))</f>
        <v/>
      </c>
      <c r="BP452" s="5">
        <f>IF(A452="","",N(INDEX(Projects[Act Site Sup],451)))</f>
        <v/>
      </c>
      <c r="BQ452" s="5">
        <f>IF(A452="","",N(INDEX(Projects[Act Controls Commissioning],451)))</f>
        <v/>
      </c>
      <c r="BR452" s="5">
        <f>IF(A452="","",N(INDEX(Projects[Act Systems Commissioning],451)))</f>
        <v/>
      </c>
      <c r="BS452" s="5">
        <f>IF(A452="","",N(INDEX(Projects[Act Service Commissioning],451)))</f>
        <v/>
      </c>
      <c r="BT452" s="5">
        <f>IF(A452="","",N(INDEX(Projects[Act Controls Eng],451)))</f>
        <v/>
      </c>
      <c r="BU452" s="5">
        <f>IF(A452="","",N(INDEX(Projects[Act Controls Purchase],451)))</f>
        <v/>
      </c>
      <c r="BV452" s="5">
        <f>IF(A452="","",N(INDEX(Projects[Act Software Eng],451)))</f>
        <v/>
      </c>
      <c r="BW452" s="5">
        <f>IF(A452="","",N(INDEX(Projects[Act 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INDEX(Projects[Sold Value (USD M)],451)</f>
        <v/>
      </c>
      <c r="CE452" s="5" t="n"/>
      <c r="CF452" s="5">
        <f>IF(A452="","",N(INDEX(Projects[Est Mech Inst],451)))</f>
        <v/>
      </c>
      <c r="CG452" s="5">
        <f>IF(A452="","",N(INDEX(Projects[Est Elec Inst],451)))</f>
        <v/>
      </c>
      <c r="CH452" s="5">
        <f>IF(A452="","",N(INDEX(Projects[Est Project Management],451)))</f>
        <v/>
      </c>
      <c r="CI452" s="5">
        <f>IF(A452="","",N(INDEX(Projects[Est Systems Eng],451)))</f>
        <v/>
      </c>
      <c r="CJ452" s="5">
        <f>IF(A452="","",N(INDEX(Projects[Est Mechanical Eng],451)))</f>
        <v/>
      </c>
      <c r="CK452" s="5">
        <f>IF(A452="","",N(INDEX(Projects[Est Structural Engineering],451)))</f>
        <v/>
      </c>
      <c r="CL452" s="5">
        <f>IF(A452="","",N(INDEX(Projects[Est Site Sup],451)))</f>
        <v/>
      </c>
      <c r="CM452" s="5">
        <f>IF(A452="","",N(INDEX(Projects[Est Controls Commissioning],451)))</f>
        <v/>
      </c>
      <c r="CN452" s="5">
        <f>IF(A452="","",N(INDEX(Projects[Est Systems Commissioning],451)))</f>
        <v/>
      </c>
      <c r="CO452" s="5">
        <f>IF(A452="","",N(INDEX(Projects[Est Service Commissioning],451)))</f>
        <v/>
      </c>
      <c r="CP452" s="5">
        <f>IF(A452="","",N(INDEX(Projects[Est Controls Eng],451)))</f>
        <v/>
      </c>
      <c r="CQ452" s="5">
        <f>IF(A452="","",N(INDEX(Projects[Est Controls Purchase],451)))</f>
        <v/>
      </c>
      <c r="CR452" s="5">
        <f>IF(A452="","",N(INDEX(Projects[Est Software Eng],451)))</f>
        <v/>
      </c>
      <c r="CS452" s="5">
        <f>IF(A452="","",N(INDEX(Projects[Est Misc],451)))</f>
        <v/>
      </c>
      <c r="CT452" s="5">
        <f>IF(A452="","",SUM(CF452:CS452))</f>
        <v/>
      </c>
      <c r="CU452" s="5">
        <f>INDEX(Projects[Est Cost (M)],451)</f>
        <v/>
      </c>
      <c r="CV452" s="5">
        <f>INDEX(Projects[Act Cost (M)],451)</f>
        <v/>
      </c>
      <c r="CW452" s="5">
        <f>INDEX(Projects[Plan Mech Eng (wks)],451)</f>
        <v/>
      </c>
      <c r="CX452" s="5">
        <f>INDEX(Projects[Plan Controls Eng (wks)],451)</f>
        <v/>
      </c>
      <c r="CY452" s="5">
        <f>INDEX(Projects[Plan Systems Eng (wks)],451)</f>
        <v/>
      </c>
      <c r="CZ452" s="5">
        <f>INDEX(Projects[Plan Software Eng (wks)],451)</f>
        <v/>
      </c>
      <c r="DA452" s="5">
        <f>INDEX(Projects[Plan M&amp;E Installation (wks)],451)</f>
        <v/>
      </c>
      <c r="DB452" s="5">
        <f>INDEX(Projects[Plan Commissioning (wks)],451)</f>
        <v/>
      </c>
      <c r="DC452" s="5">
        <f>INDEX(Projects[Plan Total (wks)],451)</f>
        <v/>
      </c>
      <c r="DD452" s="5">
        <f>INDEX(Projects[Act Mech Eng (wks)],451)</f>
        <v/>
      </c>
      <c r="DE452" s="5">
        <f>INDEX(Projects[Act Controls Eng (wks)],451)</f>
        <v/>
      </c>
      <c r="DF452" s="5">
        <f>INDEX(Projects[Act Systems Eng (wks)],451)</f>
        <v/>
      </c>
      <c r="DG452" s="5">
        <f>INDEX(Projects[Act Software Eng (wks)],451)</f>
        <v/>
      </c>
      <c r="DH452" s="5">
        <f>INDEX(Projects[Act M&amp;E Installation (wks)],451)</f>
        <v/>
      </c>
      <c r="DI452" s="5">
        <f>INDEX(Projects[Act Commissioning (wks)],451)</f>
        <v/>
      </c>
      <c r="DJ452" s="5">
        <f>INDEX(Projects[Act Total (wks)],451)</f>
        <v/>
      </c>
    </row>
    <row r="453" ht="15" customHeight="1" s="82">
      <c r="A453" s="64">
        <f>INDEX(Projects[Project ID *],452)&amp;""</f>
        <v/>
      </c>
      <c r="B453" s="64">
        <f>INDEX(Projects[Project Name *],452)&amp;""</f>
        <v/>
      </c>
      <c r="C453" s="64">
        <f>INDEX(Projects[MS Shuttles],452)</f>
        <v/>
      </c>
      <c r="D453" s="64">
        <f>INDEX(Projects[MS Tote Locations],452)</f>
        <v/>
      </c>
      <c r="E453" s="64">
        <f>INDEX(Projects[AS Robots],452)</f>
        <v/>
      </c>
      <c r="F453" s="64">
        <f>INDEX(Projects[AS Tote Locations],452)</f>
        <v/>
      </c>
      <c r="G453" s="64">
        <f>INDEX(Projects[PS Shuttles],452)</f>
        <v/>
      </c>
      <c r="H453" s="64">
        <f>INDEX(Projects[PS Pallet Locations],452)</f>
        <v/>
      </c>
      <c r="I453" s="64">
        <f>INDEX(Projects[SRM Cranes],452)</f>
        <v/>
      </c>
      <c r="J453" s="64">
        <f>INDEX(Projects[SRM Pallet Locations],452)</f>
        <v/>
      </c>
      <c r="K453" s="64">
        <f>INDEX(Projects[Case Conv (m)],452)</f>
        <v/>
      </c>
      <c r="L453" s="64">
        <f>INDEX(Projects[Pallet Conv (m)],452)</f>
        <v/>
      </c>
      <c r="M453" s="64">
        <f>IF(N(DJ453)&gt;0,DD453,CW453)</f>
        <v/>
      </c>
      <c r="N453" s="64">
        <f>IF(N(DJ453)&gt;0,DE453,CX453)</f>
        <v/>
      </c>
      <c r="O453" s="64">
        <f>IF(N(DJ453)&gt;0,DF453,CY453)</f>
        <v/>
      </c>
      <c r="P453" s="64">
        <f>IF(N(DJ453)&gt;0,DG453,CZ453)</f>
        <v/>
      </c>
      <c r="Q453" s="64">
        <f>IF(N(DJ453)&gt;0,DH453,DA453)</f>
        <v/>
      </c>
      <c r="R453" s="64">
        <f>IF(N(DJ453)&gt;0,DI453,DB453)</f>
        <v/>
      </c>
      <c r="S453" s="64">
        <f>IF(N(DJ453)&gt;0,DJ453,DC453)</f>
        <v/>
      </c>
      <c r="T453" s="64">
        <f>INDEX(Projects[Currency],452)&amp;""</f>
        <v/>
      </c>
      <c r="U453" s="65">
        <f>INDEX(Projects[Sold Value (M)],452)</f>
        <v/>
      </c>
      <c r="V453" s="64">
        <f>IF('Smart Search'!B13=1,IFERROR(1/'Smart Search'!H13,0),0)</f>
        <v/>
      </c>
      <c r="W453" s="64">
        <f>IF('Smart Search'!B13=1,IFERROR(1/'Smart Search'!H13,0),0)</f>
        <v/>
      </c>
      <c r="X453" s="64">
        <f>IF('Smart Search'!C13=1,IFERROR(1/'Smart Search'!H13,0),0)</f>
        <v/>
      </c>
      <c r="Y453" s="64">
        <f>IF('Smart Search'!C13=1,IFERROR(1/'Smart Search'!H13,0),0)</f>
        <v/>
      </c>
      <c r="Z453" s="64">
        <f>IF('Smart Search'!D13=1,IFERROR(1/'Smart Search'!H13,0),0)</f>
        <v/>
      </c>
      <c r="AA453" s="64">
        <f>IF('Smart Search'!D13=1,IFERROR(1/'Smart Search'!H13,0),0)</f>
        <v/>
      </c>
      <c r="AB453" s="64">
        <f>IF('Smart Search'!E13=1,IFERROR(1/'Smart Search'!H13,0),0)</f>
        <v/>
      </c>
      <c r="AC453" s="64">
        <f>IF('Smart Search'!E13=1,IFERROR(1/'Smart Search'!H13,0),0)</f>
        <v/>
      </c>
      <c r="AD453" s="64">
        <f>IF('Smart Search'!F13=1,IFERROR(1/'Smart Search'!H13,0),0)</f>
        <v/>
      </c>
      <c r="AE453" s="64">
        <f>IF('Smart Search'!F13=1,IFERROR(1/'Smart Search'!H13,0),0)</f>
        <v/>
      </c>
      <c r="AF453" s="64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4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4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4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4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4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4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4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4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4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4">
        <f>AF453*V453</f>
        <v/>
      </c>
      <c r="AQ453" s="64">
        <f>AG453*W453</f>
        <v/>
      </c>
      <c r="AR453" s="64">
        <f>AH453*X453</f>
        <v/>
      </c>
      <c r="AS453" s="64">
        <f>AI453*Y453</f>
        <v/>
      </c>
      <c r="AT453" s="64">
        <f>AJ453*Z453</f>
        <v/>
      </c>
      <c r="AU453" s="64">
        <f>AK453*AA453</f>
        <v/>
      </c>
      <c r="AV453" s="64">
        <f>AL453*AB453</f>
        <v/>
      </c>
      <c r="AW453" s="64">
        <f>AM453*AC453</f>
        <v/>
      </c>
      <c r="AX453" s="64">
        <f>AN453*AD453</f>
        <v/>
      </c>
      <c r="AY453" s="64">
        <f>AO453*AE453</f>
        <v/>
      </c>
      <c r="AZ453" s="64">
        <f>INDEX(Projects[Automation Equipment],452)&amp;""</f>
        <v/>
      </c>
      <c r="BA453" s="64">
        <f>IF(OR(A453="",'Smart Search'!H13=0),"",MAX(0,BE453*BF453*MAX(0,1-BG453)))</f>
        <v/>
      </c>
      <c r="BB453" s="64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4">
        <f>IF('Smart Search'!G13=1,IFERROR(1/'Smart Search'!H13,0),0)</f>
        <v/>
      </c>
      <c r="BD453" s="64">
        <f>BB453*BC453</f>
        <v/>
      </c>
      <c r="BE453" s="64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IF(A453="","",N(INDEX(Projects[Act Mech Inst],452)))</f>
        <v/>
      </c>
      <c r="BK453" s="5">
        <f>IF(A453="","",N(INDEX(Projects[Act Elec Inst],452)))</f>
        <v/>
      </c>
      <c r="BL453" s="5">
        <f>IF(A453="","",N(INDEX(Projects[Act Project Management],452)))</f>
        <v/>
      </c>
      <c r="BM453" s="5">
        <f>IF(A453="","",N(INDEX(Projects[Act Systems Eng],452)))</f>
        <v/>
      </c>
      <c r="BN453" s="5">
        <f>IF(A453="","",N(INDEX(Projects[Act Mechanical Eng],452)))</f>
        <v/>
      </c>
      <c r="BO453" s="5">
        <f>IF(A453="","",N(INDEX(Projects[Act Structural Engineering],452)))</f>
        <v/>
      </c>
      <c r="BP453" s="5">
        <f>IF(A453="","",N(INDEX(Projects[Act Site Sup],452)))</f>
        <v/>
      </c>
      <c r="BQ453" s="5">
        <f>IF(A453="","",N(INDEX(Projects[Act Controls Commissioning],452)))</f>
        <v/>
      </c>
      <c r="BR453" s="5">
        <f>IF(A453="","",N(INDEX(Projects[Act Systems Commissioning],452)))</f>
        <v/>
      </c>
      <c r="BS453" s="5">
        <f>IF(A453="","",N(INDEX(Projects[Act Service Commissioning],452)))</f>
        <v/>
      </c>
      <c r="BT453" s="5">
        <f>IF(A453="","",N(INDEX(Projects[Act Controls Eng],452)))</f>
        <v/>
      </c>
      <c r="BU453" s="5">
        <f>IF(A453="","",N(INDEX(Projects[Act Controls Purchase],452)))</f>
        <v/>
      </c>
      <c r="BV453" s="5">
        <f>IF(A453="","",N(INDEX(Projects[Act Software Eng],452)))</f>
        <v/>
      </c>
      <c r="BW453" s="5">
        <f>IF(A453="","",N(INDEX(Projects[Act 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INDEX(Projects[Sold Value (USD M)],452)</f>
        <v/>
      </c>
      <c r="CE453" s="5" t="n"/>
      <c r="CF453" s="5">
        <f>IF(A453="","",N(INDEX(Projects[Est Mech Inst],452)))</f>
        <v/>
      </c>
      <c r="CG453" s="5">
        <f>IF(A453="","",N(INDEX(Projects[Est Elec Inst],452)))</f>
        <v/>
      </c>
      <c r="CH453" s="5">
        <f>IF(A453="","",N(INDEX(Projects[Est Project Management],452)))</f>
        <v/>
      </c>
      <c r="CI453" s="5">
        <f>IF(A453="","",N(INDEX(Projects[Est Systems Eng],452)))</f>
        <v/>
      </c>
      <c r="CJ453" s="5">
        <f>IF(A453="","",N(INDEX(Projects[Est Mechanical Eng],452)))</f>
        <v/>
      </c>
      <c r="CK453" s="5">
        <f>IF(A453="","",N(INDEX(Projects[Est Structural Engineering],452)))</f>
        <v/>
      </c>
      <c r="CL453" s="5">
        <f>IF(A453="","",N(INDEX(Projects[Est Site Sup],452)))</f>
        <v/>
      </c>
      <c r="CM453" s="5">
        <f>IF(A453="","",N(INDEX(Projects[Est Controls Commissioning],452)))</f>
        <v/>
      </c>
      <c r="CN453" s="5">
        <f>IF(A453="","",N(INDEX(Projects[Est Systems Commissioning],452)))</f>
        <v/>
      </c>
      <c r="CO453" s="5">
        <f>IF(A453="","",N(INDEX(Projects[Est Service Commissioning],452)))</f>
        <v/>
      </c>
      <c r="CP453" s="5">
        <f>IF(A453="","",N(INDEX(Projects[Est Controls Eng],452)))</f>
        <v/>
      </c>
      <c r="CQ453" s="5">
        <f>IF(A453="","",N(INDEX(Projects[Est Controls Purchase],452)))</f>
        <v/>
      </c>
      <c r="CR453" s="5">
        <f>IF(A453="","",N(INDEX(Projects[Est Software Eng],452)))</f>
        <v/>
      </c>
      <c r="CS453" s="5">
        <f>IF(A453="","",N(INDEX(Projects[Est Misc],452)))</f>
        <v/>
      </c>
      <c r="CT453" s="5">
        <f>IF(A453="","",SUM(CF453:CS453))</f>
        <v/>
      </c>
      <c r="CU453" s="5">
        <f>INDEX(Projects[Est Cost (M)],452)</f>
        <v/>
      </c>
      <c r="CV453" s="5">
        <f>INDEX(Projects[Act Cost (M)],452)</f>
        <v/>
      </c>
      <c r="CW453" s="5">
        <f>INDEX(Projects[Plan Mech Eng (wks)],452)</f>
        <v/>
      </c>
      <c r="CX453" s="5">
        <f>INDEX(Projects[Plan Controls Eng (wks)],452)</f>
        <v/>
      </c>
      <c r="CY453" s="5">
        <f>INDEX(Projects[Plan Systems Eng (wks)],452)</f>
        <v/>
      </c>
      <c r="CZ453" s="5">
        <f>INDEX(Projects[Plan Software Eng (wks)],452)</f>
        <v/>
      </c>
      <c r="DA453" s="5">
        <f>INDEX(Projects[Plan M&amp;E Installation (wks)],452)</f>
        <v/>
      </c>
      <c r="DB453" s="5">
        <f>INDEX(Projects[Plan Commissioning (wks)],452)</f>
        <v/>
      </c>
      <c r="DC453" s="5">
        <f>INDEX(Projects[Plan Total (wks)],452)</f>
        <v/>
      </c>
      <c r="DD453" s="5">
        <f>INDEX(Projects[Act Mech Eng (wks)],452)</f>
        <v/>
      </c>
      <c r="DE453" s="5">
        <f>INDEX(Projects[Act Controls Eng (wks)],452)</f>
        <v/>
      </c>
      <c r="DF453" s="5">
        <f>INDEX(Projects[Act Systems Eng (wks)],452)</f>
        <v/>
      </c>
      <c r="DG453" s="5">
        <f>INDEX(Projects[Act Software Eng (wks)],452)</f>
        <v/>
      </c>
      <c r="DH453" s="5">
        <f>INDEX(Projects[Act M&amp;E Installation (wks)],452)</f>
        <v/>
      </c>
      <c r="DI453" s="5">
        <f>INDEX(Projects[Act Commissioning (wks)],452)</f>
        <v/>
      </c>
      <c r="DJ453" s="5">
        <f>INDEX(Projects[Act Total (wks)],452)</f>
        <v/>
      </c>
    </row>
    <row r="454" ht="15" customHeight="1" s="82">
      <c r="A454" s="64">
        <f>INDEX(Projects[Project ID *],453)&amp;""</f>
        <v/>
      </c>
      <c r="B454" s="64">
        <f>INDEX(Projects[Project Name *],453)&amp;""</f>
        <v/>
      </c>
      <c r="C454" s="64">
        <f>INDEX(Projects[MS Shuttles],453)</f>
        <v/>
      </c>
      <c r="D454" s="64">
        <f>INDEX(Projects[MS Tote Locations],453)</f>
        <v/>
      </c>
      <c r="E454" s="64">
        <f>INDEX(Projects[AS Robots],453)</f>
        <v/>
      </c>
      <c r="F454" s="64">
        <f>INDEX(Projects[AS Tote Locations],453)</f>
        <v/>
      </c>
      <c r="G454" s="64">
        <f>INDEX(Projects[PS Shuttles],453)</f>
        <v/>
      </c>
      <c r="H454" s="64">
        <f>INDEX(Projects[PS Pallet Locations],453)</f>
        <v/>
      </c>
      <c r="I454" s="64">
        <f>INDEX(Projects[SRM Cranes],453)</f>
        <v/>
      </c>
      <c r="J454" s="64">
        <f>INDEX(Projects[SRM Pallet Locations],453)</f>
        <v/>
      </c>
      <c r="K454" s="64">
        <f>INDEX(Projects[Case Conv (m)],453)</f>
        <v/>
      </c>
      <c r="L454" s="64">
        <f>INDEX(Projects[Pallet Conv (m)],453)</f>
        <v/>
      </c>
      <c r="M454" s="64">
        <f>IF(N(DJ454)&gt;0,DD454,CW454)</f>
        <v/>
      </c>
      <c r="N454" s="64">
        <f>IF(N(DJ454)&gt;0,DE454,CX454)</f>
        <v/>
      </c>
      <c r="O454" s="64">
        <f>IF(N(DJ454)&gt;0,DF454,CY454)</f>
        <v/>
      </c>
      <c r="P454" s="64">
        <f>IF(N(DJ454)&gt;0,DG454,CZ454)</f>
        <v/>
      </c>
      <c r="Q454" s="64">
        <f>IF(N(DJ454)&gt;0,DH454,DA454)</f>
        <v/>
      </c>
      <c r="R454" s="64">
        <f>IF(N(DJ454)&gt;0,DI454,DB454)</f>
        <v/>
      </c>
      <c r="S454" s="64">
        <f>IF(N(DJ454)&gt;0,DJ454,DC454)</f>
        <v/>
      </c>
      <c r="T454" s="64">
        <f>INDEX(Projects[Currency],453)&amp;""</f>
        <v/>
      </c>
      <c r="U454" s="65">
        <f>INDEX(Projects[Sold Value (M)],453)</f>
        <v/>
      </c>
      <c r="V454" s="64">
        <f>IF('Smart Search'!B13=1,IFERROR(1/'Smart Search'!H13,0),0)</f>
        <v/>
      </c>
      <c r="W454" s="64">
        <f>IF('Smart Search'!B13=1,IFERROR(1/'Smart Search'!H13,0),0)</f>
        <v/>
      </c>
      <c r="X454" s="64">
        <f>IF('Smart Search'!C13=1,IFERROR(1/'Smart Search'!H13,0),0)</f>
        <v/>
      </c>
      <c r="Y454" s="64">
        <f>IF('Smart Search'!C13=1,IFERROR(1/'Smart Search'!H13,0),0)</f>
        <v/>
      </c>
      <c r="Z454" s="64">
        <f>IF('Smart Search'!D13=1,IFERROR(1/'Smart Search'!H13,0),0)</f>
        <v/>
      </c>
      <c r="AA454" s="64">
        <f>IF('Smart Search'!D13=1,IFERROR(1/'Smart Search'!H13,0),0)</f>
        <v/>
      </c>
      <c r="AB454" s="64">
        <f>IF('Smart Search'!E13=1,IFERROR(1/'Smart Search'!H13,0),0)</f>
        <v/>
      </c>
      <c r="AC454" s="64">
        <f>IF('Smart Search'!E13=1,IFERROR(1/'Smart Search'!H13,0),0)</f>
        <v/>
      </c>
      <c r="AD454" s="64">
        <f>IF('Smart Search'!F13=1,IFERROR(1/'Smart Search'!H13,0),0)</f>
        <v/>
      </c>
      <c r="AE454" s="64">
        <f>IF('Smart Search'!F13=1,IFERROR(1/'Smart Search'!H13,0),0)</f>
        <v/>
      </c>
      <c r="AF454" s="64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4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4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4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4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4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4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4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4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4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4">
        <f>AF454*V454</f>
        <v/>
      </c>
      <c r="AQ454" s="64">
        <f>AG454*W454</f>
        <v/>
      </c>
      <c r="AR454" s="64">
        <f>AH454*X454</f>
        <v/>
      </c>
      <c r="AS454" s="64">
        <f>AI454*Y454</f>
        <v/>
      </c>
      <c r="AT454" s="64">
        <f>AJ454*Z454</f>
        <v/>
      </c>
      <c r="AU454" s="64">
        <f>AK454*AA454</f>
        <v/>
      </c>
      <c r="AV454" s="64">
        <f>AL454*AB454</f>
        <v/>
      </c>
      <c r="AW454" s="64">
        <f>AM454*AC454</f>
        <v/>
      </c>
      <c r="AX454" s="64">
        <f>AN454*AD454</f>
        <v/>
      </c>
      <c r="AY454" s="64">
        <f>AO454*AE454</f>
        <v/>
      </c>
      <c r="AZ454" s="64">
        <f>INDEX(Projects[Automation Equipment],453)&amp;""</f>
        <v/>
      </c>
      <c r="BA454" s="64">
        <f>IF(OR(A454="",'Smart Search'!H13=0),"",MAX(0,BE454*BF454*MAX(0,1-BG454)))</f>
        <v/>
      </c>
      <c r="BB454" s="64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4">
        <f>IF('Smart Search'!G13=1,IFERROR(1/'Smart Search'!H13,0),0)</f>
        <v/>
      </c>
      <c r="BD454" s="64">
        <f>BB454*BC454</f>
        <v/>
      </c>
      <c r="BE454" s="64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IF(A454="","",N(INDEX(Projects[Act Mech Inst],453)))</f>
        <v/>
      </c>
      <c r="BK454" s="5">
        <f>IF(A454="","",N(INDEX(Projects[Act Elec Inst],453)))</f>
        <v/>
      </c>
      <c r="BL454" s="5">
        <f>IF(A454="","",N(INDEX(Projects[Act Project Management],453)))</f>
        <v/>
      </c>
      <c r="BM454" s="5">
        <f>IF(A454="","",N(INDEX(Projects[Act Systems Eng],453)))</f>
        <v/>
      </c>
      <c r="BN454" s="5">
        <f>IF(A454="","",N(INDEX(Projects[Act Mechanical Eng],453)))</f>
        <v/>
      </c>
      <c r="BO454" s="5">
        <f>IF(A454="","",N(INDEX(Projects[Act Structural Engineering],453)))</f>
        <v/>
      </c>
      <c r="BP454" s="5">
        <f>IF(A454="","",N(INDEX(Projects[Act Site Sup],453)))</f>
        <v/>
      </c>
      <c r="BQ454" s="5">
        <f>IF(A454="","",N(INDEX(Projects[Act Controls Commissioning],453)))</f>
        <v/>
      </c>
      <c r="BR454" s="5">
        <f>IF(A454="","",N(INDEX(Projects[Act Systems Commissioning],453)))</f>
        <v/>
      </c>
      <c r="BS454" s="5">
        <f>IF(A454="","",N(INDEX(Projects[Act Service Commissioning],453)))</f>
        <v/>
      </c>
      <c r="BT454" s="5">
        <f>IF(A454="","",N(INDEX(Projects[Act Controls Eng],453)))</f>
        <v/>
      </c>
      <c r="BU454" s="5">
        <f>IF(A454="","",N(INDEX(Projects[Act Controls Purchase],453)))</f>
        <v/>
      </c>
      <c r="BV454" s="5">
        <f>IF(A454="","",N(INDEX(Projects[Act Software Eng],453)))</f>
        <v/>
      </c>
      <c r="BW454" s="5">
        <f>IF(A454="","",N(INDEX(Projects[Act 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INDEX(Projects[Sold Value (USD M)],453)</f>
        <v/>
      </c>
      <c r="CE454" s="5" t="n"/>
      <c r="CF454" s="5">
        <f>IF(A454="","",N(INDEX(Projects[Est Mech Inst],453)))</f>
        <v/>
      </c>
      <c r="CG454" s="5">
        <f>IF(A454="","",N(INDEX(Projects[Est Elec Inst],453)))</f>
        <v/>
      </c>
      <c r="CH454" s="5">
        <f>IF(A454="","",N(INDEX(Projects[Est Project Management],453)))</f>
        <v/>
      </c>
      <c r="CI454" s="5">
        <f>IF(A454="","",N(INDEX(Projects[Est Systems Eng],453)))</f>
        <v/>
      </c>
      <c r="CJ454" s="5">
        <f>IF(A454="","",N(INDEX(Projects[Est Mechanical Eng],453)))</f>
        <v/>
      </c>
      <c r="CK454" s="5">
        <f>IF(A454="","",N(INDEX(Projects[Est Structural Engineering],453)))</f>
        <v/>
      </c>
      <c r="CL454" s="5">
        <f>IF(A454="","",N(INDEX(Projects[Est Site Sup],453)))</f>
        <v/>
      </c>
      <c r="CM454" s="5">
        <f>IF(A454="","",N(INDEX(Projects[Est Controls Commissioning],453)))</f>
        <v/>
      </c>
      <c r="CN454" s="5">
        <f>IF(A454="","",N(INDEX(Projects[Est Systems Commissioning],453)))</f>
        <v/>
      </c>
      <c r="CO454" s="5">
        <f>IF(A454="","",N(INDEX(Projects[Est Service Commissioning],453)))</f>
        <v/>
      </c>
      <c r="CP454" s="5">
        <f>IF(A454="","",N(INDEX(Projects[Est Controls Eng],453)))</f>
        <v/>
      </c>
      <c r="CQ454" s="5">
        <f>IF(A454="","",N(INDEX(Projects[Est Controls Purchase],453)))</f>
        <v/>
      </c>
      <c r="CR454" s="5">
        <f>IF(A454="","",N(INDEX(Projects[Est Software Eng],453)))</f>
        <v/>
      </c>
      <c r="CS454" s="5">
        <f>IF(A454="","",N(INDEX(Projects[Est Misc],453)))</f>
        <v/>
      </c>
      <c r="CT454" s="5">
        <f>IF(A454="","",SUM(CF454:CS454))</f>
        <v/>
      </c>
      <c r="CU454" s="5">
        <f>INDEX(Projects[Est Cost (M)],453)</f>
        <v/>
      </c>
      <c r="CV454" s="5">
        <f>INDEX(Projects[Act Cost (M)],453)</f>
        <v/>
      </c>
      <c r="CW454" s="5">
        <f>INDEX(Projects[Plan Mech Eng (wks)],453)</f>
        <v/>
      </c>
      <c r="CX454" s="5">
        <f>INDEX(Projects[Plan Controls Eng (wks)],453)</f>
        <v/>
      </c>
      <c r="CY454" s="5">
        <f>INDEX(Projects[Plan Systems Eng (wks)],453)</f>
        <v/>
      </c>
      <c r="CZ454" s="5">
        <f>INDEX(Projects[Plan Software Eng (wks)],453)</f>
        <v/>
      </c>
      <c r="DA454" s="5">
        <f>INDEX(Projects[Plan M&amp;E Installation (wks)],453)</f>
        <v/>
      </c>
      <c r="DB454" s="5">
        <f>INDEX(Projects[Plan Commissioning (wks)],453)</f>
        <v/>
      </c>
      <c r="DC454" s="5">
        <f>INDEX(Projects[Plan Total (wks)],453)</f>
        <v/>
      </c>
      <c r="DD454" s="5">
        <f>INDEX(Projects[Act Mech Eng (wks)],453)</f>
        <v/>
      </c>
      <c r="DE454" s="5">
        <f>INDEX(Projects[Act Controls Eng (wks)],453)</f>
        <v/>
      </c>
      <c r="DF454" s="5">
        <f>INDEX(Projects[Act Systems Eng (wks)],453)</f>
        <v/>
      </c>
      <c r="DG454" s="5">
        <f>INDEX(Projects[Act Software Eng (wks)],453)</f>
        <v/>
      </c>
      <c r="DH454" s="5">
        <f>INDEX(Projects[Act M&amp;E Installation (wks)],453)</f>
        <v/>
      </c>
      <c r="DI454" s="5">
        <f>INDEX(Projects[Act Commissioning (wks)],453)</f>
        <v/>
      </c>
      <c r="DJ454" s="5">
        <f>INDEX(Projects[Act Total (wks)],453)</f>
        <v/>
      </c>
    </row>
    <row r="455" ht="15" customHeight="1" s="82">
      <c r="A455" s="64">
        <f>INDEX(Projects[Project ID *],454)&amp;""</f>
        <v/>
      </c>
      <c r="B455" s="64">
        <f>INDEX(Projects[Project Name *],454)&amp;""</f>
        <v/>
      </c>
      <c r="C455" s="64">
        <f>INDEX(Projects[MS Shuttles],454)</f>
        <v/>
      </c>
      <c r="D455" s="64">
        <f>INDEX(Projects[MS Tote Locations],454)</f>
        <v/>
      </c>
      <c r="E455" s="64">
        <f>INDEX(Projects[AS Robots],454)</f>
        <v/>
      </c>
      <c r="F455" s="64">
        <f>INDEX(Projects[AS Tote Locations],454)</f>
        <v/>
      </c>
      <c r="G455" s="64">
        <f>INDEX(Projects[PS Shuttles],454)</f>
        <v/>
      </c>
      <c r="H455" s="64">
        <f>INDEX(Projects[PS Pallet Locations],454)</f>
        <v/>
      </c>
      <c r="I455" s="64">
        <f>INDEX(Projects[SRM Cranes],454)</f>
        <v/>
      </c>
      <c r="J455" s="64">
        <f>INDEX(Projects[SRM Pallet Locations],454)</f>
        <v/>
      </c>
      <c r="K455" s="64">
        <f>INDEX(Projects[Case Conv (m)],454)</f>
        <v/>
      </c>
      <c r="L455" s="64">
        <f>INDEX(Projects[Pallet Conv (m)],454)</f>
        <v/>
      </c>
      <c r="M455" s="64">
        <f>IF(N(DJ455)&gt;0,DD455,CW455)</f>
        <v/>
      </c>
      <c r="N455" s="64">
        <f>IF(N(DJ455)&gt;0,DE455,CX455)</f>
        <v/>
      </c>
      <c r="O455" s="64">
        <f>IF(N(DJ455)&gt;0,DF455,CY455)</f>
        <v/>
      </c>
      <c r="P455" s="64">
        <f>IF(N(DJ455)&gt;0,DG455,CZ455)</f>
        <v/>
      </c>
      <c r="Q455" s="64">
        <f>IF(N(DJ455)&gt;0,DH455,DA455)</f>
        <v/>
      </c>
      <c r="R455" s="64">
        <f>IF(N(DJ455)&gt;0,DI455,DB455)</f>
        <v/>
      </c>
      <c r="S455" s="64">
        <f>IF(N(DJ455)&gt;0,DJ455,DC455)</f>
        <v/>
      </c>
      <c r="T455" s="64">
        <f>INDEX(Projects[Currency],454)&amp;""</f>
        <v/>
      </c>
      <c r="U455" s="65">
        <f>INDEX(Projects[Sold Value (M)],454)</f>
        <v/>
      </c>
      <c r="V455" s="64">
        <f>IF('Smart Search'!B13=1,IFERROR(1/'Smart Search'!H13,0),0)</f>
        <v/>
      </c>
      <c r="W455" s="64">
        <f>IF('Smart Search'!B13=1,IFERROR(1/'Smart Search'!H13,0),0)</f>
        <v/>
      </c>
      <c r="X455" s="64">
        <f>IF('Smart Search'!C13=1,IFERROR(1/'Smart Search'!H13,0),0)</f>
        <v/>
      </c>
      <c r="Y455" s="64">
        <f>IF('Smart Search'!C13=1,IFERROR(1/'Smart Search'!H13,0),0)</f>
        <v/>
      </c>
      <c r="Z455" s="64">
        <f>IF('Smart Search'!D13=1,IFERROR(1/'Smart Search'!H13,0),0)</f>
        <v/>
      </c>
      <c r="AA455" s="64">
        <f>IF('Smart Search'!D13=1,IFERROR(1/'Smart Search'!H13,0),0)</f>
        <v/>
      </c>
      <c r="AB455" s="64">
        <f>IF('Smart Search'!E13=1,IFERROR(1/'Smart Search'!H13,0),0)</f>
        <v/>
      </c>
      <c r="AC455" s="64">
        <f>IF('Smart Search'!E13=1,IFERROR(1/'Smart Search'!H13,0),0)</f>
        <v/>
      </c>
      <c r="AD455" s="64">
        <f>IF('Smart Search'!F13=1,IFERROR(1/'Smart Search'!H13,0),0)</f>
        <v/>
      </c>
      <c r="AE455" s="64">
        <f>IF('Smart Search'!F13=1,IFERROR(1/'Smart Search'!H13,0),0)</f>
        <v/>
      </c>
      <c r="AF455" s="64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4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4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4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4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4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4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4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4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4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4">
        <f>AF455*V455</f>
        <v/>
      </c>
      <c r="AQ455" s="64">
        <f>AG455*W455</f>
        <v/>
      </c>
      <c r="AR455" s="64">
        <f>AH455*X455</f>
        <v/>
      </c>
      <c r="AS455" s="64">
        <f>AI455*Y455</f>
        <v/>
      </c>
      <c r="AT455" s="64">
        <f>AJ455*Z455</f>
        <v/>
      </c>
      <c r="AU455" s="64">
        <f>AK455*AA455</f>
        <v/>
      </c>
      <c r="AV455" s="64">
        <f>AL455*AB455</f>
        <v/>
      </c>
      <c r="AW455" s="64">
        <f>AM455*AC455</f>
        <v/>
      </c>
      <c r="AX455" s="64">
        <f>AN455*AD455</f>
        <v/>
      </c>
      <c r="AY455" s="64">
        <f>AO455*AE455</f>
        <v/>
      </c>
      <c r="AZ455" s="64">
        <f>INDEX(Projects[Automation Equipment],454)&amp;""</f>
        <v/>
      </c>
      <c r="BA455" s="64">
        <f>IF(OR(A455="",'Smart Search'!H13=0),"",MAX(0,BE455*BF455*MAX(0,1-BG455)))</f>
        <v/>
      </c>
      <c r="BB455" s="64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4">
        <f>IF('Smart Search'!G13=1,IFERROR(1/'Smart Search'!H13,0),0)</f>
        <v/>
      </c>
      <c r="BD455" s="64">
        <f>BB455*BC455</f>
        <v/>
      </c>
      <c r="BE455" s="64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IF(A455="","",N(INDEX(Projects[Act Mech Inst],454)))</f>
        <v/>
      </c>
      <c r="BK455" s="5">
        <f>IF(A455="","",N(INDEX(Projects[Act Elec Inst],454)))</f>
        <v/>
      </c>
      <c r="BL455" s="5">
        <f>IF(A455="","",N(INDEX(Projects[Act Project Management],454)))</f>
        <v/>
      </c>
      <c r="BM455" s="5">
        <f>IF(A455="","",N(INDEX(Projects[Act Systems Eng],454)))</f>
        <v/>
      </c>
      <c r="BN455" s="5">
        <f>IF(A455="","",N(INDEX(Projects[Act Mechanical Eng],454)))</f>
        <v/>
      </c>
      <c r="BO455" s="5">
        <f>IF(A455="","",N(INDEX(Projects[Act Structural Engineering],454)))</f>
        <v/>
      </c>
      <c r="BP455" s="5">
        <f>IF(A455="","",N(INDEX(Projects[Act Site Sup],454)))</f>
        <v/>
      </c>
      <c r="BQ455" s="5">
        <f>IF(A455="","",N(INDEX(Projects[Act Controls Commissioning],454)))</f>
        <v/>
      </c>
      <c r="BR455" s="5">
        <f>IF(A455="","",N(INDEX(Projects[Act Systems Commissioning],454)))</f>
        <v/>
      </c>
      <c r="BS455" s="5">
        <f>IF(A455="","",N(INDEX(Projects[Act Service Commissioning],454)))</f>
        <v/>
      </c>
      <c r="BT455" s="5">
        <f>IF(A455="","",N(INDEX(Projects[Act Controls Eng],454)))</f>
        <v/>
      </c>
      <c r="BU455" s="5">
        <f>IF(A455="","",N(INDEX(Projects[Act Controls Purchase],454)))</f>
        <v/>
      </c>
      <c r="BV455" s="5">
        <f>IF(A455="","",N(INDEX(Projects[Act Software Eng],454)))</f>
        <v/>
      </c>
      <c r="BW455" s="5">
        <f>IF(A455="","",N(INDEX(Projects[Act 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INDEX(Projects[Sold Value (USD M)],454)</f>
        <v/>
      </c>
      <c r="CE455" s="5" t="n"/>
      <c r="CF455" s="5">
        <f>IF(A455="","",N(INDEX(Projects[Est Mech Inst],454)))</f>
        <v/>
      </c>
      <c r="CG455" s="5">
        <f>IF(A455="","",N(INDEX(Projects[Est Elec Inst],454)))</f>
        <v/>
      </c>
      <c r="CH455" s="5">
        <f>IF(A455="","",N(INDEX(Projects[Est Project Management],454)))</f>
        <v/>
      </c>
      <c r="CI455" s="5">
        <f>IF(A455="","",N(INDEX(Projects[Est Systems Eng],454)))</f>
        <v/>
      </c>
      <c r="CJ455" s="5">
        <f>IF(A455="","",N(INDEX(Projects[Est Mechanical Eng],454)))</f>
        <v/>
      </c>
      <c r="CK455" s="5">
        <f>IF(A455="","",N(INDEX(Projects[Est Structural Engineering],454)))</f>
        <v/>
      </c>
      <c r="CL455" s="5">
        <f>IF(A455="","",N(INDEX(Projects[Est Site Sup],454)))</f>
        <v/>
      </c>
      <c r="CM455" s="5">
        <f>IF(A455="","",N(INDEX(Projects[Est Controls Commissioning],454)))</f>
        <v/>
      </c>
      <c r="CN455" s="5">
        <f>IF(A455="","",N(INDEX(Projects[Est Systems Commissioning],454)))</f>
        <v/>
      </c>
      <c r="CO455" s="5">
        <f>IF(A455="","",N(INDEX(Projects[Est Service Commissioning],454)))</f>
        <v/>
      </c>
      <c r="CP455" s="5">
        <f>IF(A455="","",N(INDEX(Projects[Est Controls Eng],454)))</f>
        <v/>
      </c>
      <c r="CQ455" s="5">
        <f>IF(A455="","",N(INDEX(Projects[Est Controls Purchase],454)))</f>
        <v/>
      </c>
      <c r="CR455" s="5">
        <f>IF(A455="","",N(INDEX(Projects[Est Software Eng],454)))</f>
        <v/>
      </c>
      <c r="CS455" s="5">
        <f>IF(A455="","",N(INDEX(Projects[Est Misc],454)))</f>
        <v/>
      </c>
      <c r="CT455" s="5">
        <f>IF(A455="","",SUM(CF455:CS455))</f>
        <v/>
      </c>
      <c r="CU455" s="5">
        <f>INDEX(Projects[Est Cost (M)],454)</f>
        <v/>
      </c>
      <c r="CV455" s="5">
        <f>INDEX(Projects[Act Cost (M)],454)</f>
        <v/>
      </c>
      <c r="CW455" s="5">
        <f>INDEX(Projects[Plan Mech Eng (wks)],454)</f>
        <v/>
      </c>
      <c r="CX455" s="5">
        <f>INDEX(Projects[Plan Controls Eng (wks)],454)</f>
        <v/>
      </c>
      <c r="CY455" s="5">
        <f>INDEX(Projects[Plan Systems Eng (wks)],454)</f>
        <v/>
      </c>
      <c r="CZ455" s="5">
        <f>INDEX(Projects[Plan Software Eng (wks)],454)</f>
        <v/>
      </c>
      <c r="DA455" s="5">
        <f>INDEX(Projects[Plan M&amp;E Installation (wks)],454)</f>
        <v/>
      </c>
      <c r="DB455" s="5">
        <f>INDEX(Projects[Plan Commissioning (wks)],454)</f>
        <v/>
      </c>
      <c r="DC455" s="5">
        <f>INDEX(Projects[Plan Total (wks)],454)</f>
        <v/>
      </c>
      <c r="DD455" s="5">
        <f>INDEX(Projects[Act Mech Eng (wks)],454)</f>
        <v/>
      </c>
      <c r="DE455" s="5">
        <f>INDEX(Projects[Act Controls Eng (wks)],454)</f>
        <v/>
      </c>
      <c r="DF455" s="5">
        <f>INDEX(Projects[Act Systems Eng (wks)],454)</f>
        <v/>
      </c>
      <c r="DG455" s="5">
        <f>INDEX(Projects[Act Software Eng (wks)],454)</f>
        <v/>
      </c>
      <c r="DH455" s="5">
        <f>INDEX(Projects[Act M&amp;E Installation (wks)],454)</f>
        <v/>
      </c>
      <c r="DI455" s="5">
        <f>INDEX(Projects[Act Commissioning (wks)],454)</f>
        <v/>
      </c>
      <c r="DJ455" s="5">
        <f>INDEX(Projects[Act Total (wks)],454)</f>
        <v/>
      </c>
    </row>
    <row r="456" ht="15" customHeight="1" s="82">
      <c r="A456" s="64">
        <f>INDEX(Projects[Project ID *],455)&amp;""</f>
        <v/>
      </c>
      <c r="B456" s="64">
        <f>INDEX(Projects[Project Name *],455)&amp;""</f>
        <v/>
      </c>
      <c r="C456" s="64">
        <f>INDEX(Projects[MS Shuttles],455)</f>
        <v/>
      </c>
      <c r="D456" s="64">
        <f>INDEX(Projects[MS Tote Locations],455)</f>
        <v/>
      </c>
      <c r="E456" s="64">
        <f>INDEX(Projects[AS Robots],455)</f>
        <v/>
      </c>
      <c r="F456" s="64">
        <f>INDEX(Projects[AS Tote Locations],455)</f>
        <v/>
      </c>
      <c r="G456" s="64">
        <f>INDEX(Projects[PS Shuttles],455)</f>
        <v/>
      </c>
      <c r="H456" s="64">
        <f>INDEX(Projects[PS Pallet Locations],455)</f>
        <v/>
      </c>
      <c r="I456" s="64">
        <f>INDEX(Projects[SRM Cranes],455)</f>
        <v/>
      </c>
      <c r="J456" s="64">
        <f>INDEX(Projects[SRM Pallet Locations],455)</f>
        <v/>
      </c>
      <c r="K456" s="64">
        <f>INDEX(Projects[Case Conv (m)],455)</f>
        <v/>
      </c>
      <c r="L456" s="64">
        <f>INDEX(Projects[Pallet Conv (m)],455)</f>
        <v/>
      </c>
      <c r="M456" s="64">
        <f>IF(N(DJ456)&gt;0,DD456,CW456)</f>
        <v/>
      </c>
      <c r="N456" s="64">
        <f>IF(N(DJ456)&gt;0,DE456,CX456)</f>
        <v/>
      </c>
      <c r="O456" s="64">
        <f>IF(N(DJ456)&gt;0,DF456,CY456)</f>
        <v/>
      </c>
      <c r="P456" s="64">
        <f>IF(N(DJ456)&gt;0,DG456,CZ456)</f>
        <v/>
      </c>
      <c r="Q456" s="64">
        <f>IF(N(DJ456)&gt;0,DH456,DA456)</f>
        <v/>
      </c>
      <c r="R456" s="64">
        <f>IF(N(DJ456)&gt;0,DI456,DB456)</f>
        <v/>
      </c>
      <c r="S456" s="64">
        <f>IF(N(DJ456)&gt;0,DJ456,DC456)</f>
        <v/>
      </c>
      <c r="T456" s="64">
        <f>INDEX(Projects[Currency],455)&amp;""</f>
        <v/>
      </c>
      <c r="U456" s="65">
        <f>INDEX(Projects[Sold Value (M)],455)</f>
        <v/>
      </c>
      <c r="V456" s="64">
        <f>IF('Smart Search'!B13=1,IFERROR(1/'Smart Search'!H13,0),0)</f>
        <v/>
      </c>
      <c r="W456" s="64">
        <f>IF('Smart Search'!B13=1,IFERROR(1/'Smart Search'!H13,0),0)</f>
        <v/>
      </c>
      <c r="X456" s="64">
        <f>IF('Smart Search'!C13=1,IFERROR(1/'Smart Search'!H13,0),0)</f>
        <v/>
      </c>
      <c r="Y456" s="64">
        <f>IF('Smart Search'!C13=1,IFERROR(1/'Smart Search'!H13,0),0)</f>
        <v/>
      </c>
      <c r="Z456" s="64">
        <f>IF('Smart Search'!D13=1,IFERROR(1/'Smart Search'!H13,0),0)</f>
        <v/>
      </c>
      <c r="AA456" s="64">
        <f>IF('Smart Search'!D13=1,IFERROR(1/'Smart Search'!H13,0),0)</f>
        <v/>
      </c>
      <c r="AB456" s="64">
        <f>IF('Smart Search'!E13=1,IFERROR(1/'Smart Search'!H13,0),0)</f>
        <v/>
      </c>
      <c r="AC456" s="64">
        <f>IF('Smart Search'!E13=1,IFERROR(1/'Smart Search'!H13,0),0)</f>
        <v/>
      </c>
      <c r="AD456" s="64">
        <f>IF('Smart Search'!F13=1,IFERROR(1/'Smart Search'!H13,0),0)</f>
        <v/>
      </c>
      <c r="AE456" s="64">
        <f>IF('Smart Search'!F13=1,IFERROR(1/'Smart Search'!H13,0),0)</f>
        <v/>
      </c>
      <c r="AF456" s="64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4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4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4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4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4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4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4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4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4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4">
        <f>AF456*V456</f>
        <v/>
      </c>
      <c r="AQ456" s="64">
        <f>AG456*W456</f>
        <v/>
      </c>
      <c r="AR456" s="64">
        <f>AH456*X456</f>
        <v/>
      </c>
      <c r="AS456" s="64">
        <f>AI456*Y456</f>
        <v/>
      </c>
      <c r="AT456" s="64">
        <f>AJ456*Z456</f>
        <v/>
      </c>
      <c r="AU456" s="64">
        <f>AK456*AA456</f>
        <v/>
      </c>
      <c r="AV456" s="64">
        <f>AL456*AB456</f>
        <v/>
      </c>
      <c r="AW456" s="64">
        <f>AM456*AC456</f>
        <v/>
      </c>
      <c r="AX456" s="64">
        <f>AN456*AD456</f>
        <v/>
      </c>
      <c r="AY456" s="64">
        <f>AO456*AE456</f>
        <v/>
      </c>
      <c r="AZ456" s="64">
        <f>INDEX(Projects[Automation Equipment],455)&amp;""</f>
        <v/>
      </c>
      <c r="BA456" s="64">
        <f>IF(OR(A456="",'Smart Search'!H13=0),"",MAX(0,BE456*BF456*MAX(0,1-BG456)))</f>
        <v/>
      </c>
      <c r="BB456" s="64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4">
        <f>IF('Smart Search'!G13=1,IFERROR(1/'Smart Search'!H13,0),0)</f>
        <v/>
      </c>
      <c r="BD456" s="64">
        <f>BB456*BC456</f>
        <v/>
      </c>
      <c r="BE456" s="64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IF(A456="","",N(INDEX(Projects[Act Mech Inst],455)))</f>
        <v/>
      </c>
      <c r="BK456" s="5">
        <f>IF(A456="","",N(INDEX(Projects[Act Elec Inst],455)))</f>
        <v/>
      </c>
      <c r="BL456" s="5">
        <f>IF(A456="","",N(INDEX(Projects[Act Project Management],455)))</f>
        <v/>
      </c>
      <c r="BM456" s="5">
        <f>IF(A456="","",N(INDEX(Projects[Act Systems Eng],455)))</f>
        <v/>
      </c>
      <c r="BN456" s="5">
        <f>IF(A456="","",N(INDEX(Projects[Act Mechanical Eng],455)))</f>
        <v/>
      </c>
      <c r="BO456" s="5">
        <f>IF(A456="","",N(INDEX(Projects[Act Structural Engineering],455)))</f>
        <v/>
      </c>
      <c r="BP456" s="5">
        <f>IF(A456="","",N(INDEX(Projects[Act Site Sup],455)))</f>
        <v/>
      </c>
      <c r="BQ456" s="5">
        <f>IF(A456="","",N(INDEX(Projects[Act Controls Commissioning],455)))</f>
        <v/>
      </c>
      <c r="BR456" s="5">
        <f>IF(A456="","",N(INDEX(Projects[Act Systems Commissioning],455)))</f>
        <v/>
      </c>
      <c r="BS456" s="5">
        <f>IF(A456="","",N(INDEX(Projects[Act Service Commissioning],455)))</f>
        <v/>
      </c>
      <c r="BT456" s="5">
        <f>IF(A456="","",N(INDEX(Projects[Act Controls Eng],455)))</f>
        <v/>
      </c>
      <c r="BU456" s="5">
        <f>IF(A456="","",N(INDEX(Projects[Act Controls Purchase],455)))</f>
        <v/>
      </c>
      <c r="BV456" s="5">
        <f>IF(A456="","",N(INDEX(Projects[Act Software Eng],455)))</f>
        <v/>
      </c>
      <c r="BW456" s="5">
        <f>IF(A456="","",N(INDEX(Projects[Act 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INDEX(Projects[Sold Value (USD M)],455)</f>
        <v/>
      </c>
      <c r="CE456" s="5" t="n"/>
      <c r="CF456" s="5">
        <f>IF(A456="","",N(INDEX(Projects[Est Mech Inst],455)))</f>
        <v/>
      </c>
      <c r="CG456" s="5">
        <f>IF(A456="","",N(INDEX(Projects[Est Elec Inst],455)))</f>
        <v/>
      </c>
      <c r="CH456" s="5">
        <f>IF(A456="","",N(INDEX(Projects[Est Project Management],455)))</f>
        <v/>
      </c>
      <c r="CI456" s="5">
        <f>IF(A456="","",N(INDEX(Projects[Est Systems Eng],455)))</f>
        <v/>
      </c>
      <c r="CJ456" s="5">
        <f>IF(A456="","",N(INDEX(Projects[Est Mechanical Eng],455)))</f>
        <v/>
      </c>
      <c r="CK456" s="5">
        <f>IF(A456="","",N(INDEX(Projects[Est Structural Engineering],455)))</f>
        <v/>
      </c>
      <c r="CL456" s="5">
        <f>IF(A456="","",N(INDEX(Projects[Est Site Sup],455)))</f>
        <v/>
      </c>
      <c r="CM456" s="5">
        <f>IF(A456="","",N(INDEX(Projects[Est Controls Commissioning],455)))</f>
        <v/>
      </c>
      <c r="CN456" s="5">
        <f>IF(A456="","",N(INDEX(Projects[Est Systems Commissioning],455)))</f>
        <v/>
      </c>
      <c r="CO456" s="5">
        <f>IF(A456="","",N(INDEX(Projects[Est Service Commissioning],455)))</f>
        <v/>
      </c>
      <c r="CP456" s="5">
        <f>IF(A456="","",N(INDEX(Projects[Est Controls Eng],455)))</f>
        <v/>
      </c>
      <c r="CQ456" s="5">
        <f>IF(A456="","",N(INDEX(Projects[Est Controls Purchase],455)))</f>
        <v/>
      </c>
      <c r="CR456" s="5">
        <f>IF(A456="","",N(INDEX(Projects[Est Software Eng],455)))</f>
        <v/>
      </c>
      <c r="CS456" s="5">
        <f>IF(A456="","",N(INDEX(Projects[Est Misc],455)))</f>
        <v/>
      </c>
      <c r="CT456" s="5">
        <f>IF(A456="","",SUM(CF456:CS456))</f>
        <v/>
      </c>
      <c r="CU456" s="5">
        <f>INDEX(Projects[Est Cost (M)],455)</f>
        <v/>
      </c>
      <c r="CV456" s="5">
        <f>INDEX(Projects[Act Cost (M)],455)</f>
        <v/>
      </c>
      <c r="CW456" s="5">
        <f>INDEX(Projects[Plan Mech Eng (wks)],455)</f>
        <v/>
      </c>
      <c r="CX456" s="5">
        <f>INDEX(Projects[Plan Controls Eng (wks)],455)</f>
        <v/>
      </c>
      <c r="CY456" s="5">
        <f>INDEX(Projects[Plan Systems Eng (wks)],455)</f>
        <v/>
      </c>
      <c r="CZ456" s="5">
        <f>INDEX(Projects[Plan Software Eng (wks)],455)</f>
        <v/>
      </c>
      <c r="DA456" s="5">
        <f>INDEX(Projects[Plan M&amp;E Installation (wks)],455)</f>
        <v/>
      </c>
      <c r="DB456" s="5">
        <f>INDEX(Projects[Plan Commissioning (wks)],455)</f>
        <v/>
      </c>
      <c r="DC456" s="5">
        <f>INDEX(Projects[Plan Total (wks)],455)</f>
        <v/>
      </c>
      <c r="DD456" s="5">
        <f>INDEX(Projects[Act Mech Eng (wks)],455)</f>
        <v/>
      </c>
      <c r="DE456" s="5">
        <f>INDEX(Projects[Act Controls Eng (wks)],455)</f>
        <v/>
      </c>
      <c r="DF456" s="5">
        <f>INDEX(Projects[Act Systems Eng (wks)],455)</f>
        <v/>
      </c>
      <c r="DG456" s="5">
        <f>INDEX(Projects[Act Software Eng (wks)],455)</f>
        <v/>
      </c>
      <c r="DH456" s="5">
        <f>INDEX(Projects[Act M&amp;E Installation (wks)],455)</f>
        <v/>
      </c>
      <c r="DI456" s="5">
        <f>INDEX(Projects[Act Commissioning (wks)],455)</f>
        <v/>
      </c>
      <c r="DJ456" s="5">
        <f>INDEX(Projects[Act Total (wks)],455)</f>
        <v/>
      </c>
    </row>
    <row r="457" ht="15" customHeight="1" s="82">
      <c r="A457" s="64">
        <f>INDEX(Projects[Project ID *],456)&amp;""</f>
        <v/>
      </c>
      <c r="B457" s="64">
        <f>INDEX(Projects[Project Name *],456)&amp;""</f>
        <v/>
      </c>
      <c r="C457" s="64">
        <f>INDEX(Projects[MS Shuttles],456)</f>
        <v/>
      </c>
      <c r="D457" s="64">
        <f>INDEX(Projects[MS Tote Locations],456)</f>
        <v/>
      </c>
      <c r="E457" s="64">
        <f>INDEX(Projects[AS Robots],456)</f>
        <v/>
      </c>
      <c r="F457" s="64">
        <f>INDEX(Projects[AS Tote Locations],456)</f>
        <v/>
      </c>
      <c r="G457" s="64">
        <f>INDEX(Projects[PS Shuttles],456)</f>
        <v/>
      </c>
      <c r="H457" s="64">
        <f>INDEX(Projects[PS Pallet Locations],456)</f>
        <v/>
      </c>
      <c r="I457" s="64">
        <f>INDEX(Projects[SRM Cranes],456)</f>
        <v/>
      </c>
      <c r="J457" s="64">
        <f>INDEX(Projects[SRM Pallet Locations],456)</f>
        <v/>
      </c>
      <c r="K457" s="64">
        <f>INDEX(Projects[Case Conv (m)],456)</f>
        <v/>
      </c>
      <c r="L457" s="64">
        <f>INDEX(Projects[Pallet Conv (m)],456)</f>
        <v/>
      </c>
      <c r="M457" s="64">
        <f>IF(N(DJ457)&gt;0,DD457,CW457)</f>
        <v/>
      </c>
      <c r="N457" s="64">
        <f>IF(N(DJ457)&gt;0,DE457,CX457)</f>
        <v/>
      </c>
      <c r="O457" s="64">
        <f>IF(N(DJ457)&gt;0,DF457,CY457)</f>
        <v/>
      </c>
      <c r="P457" s="64">
        <f>IF(N(DJ457)&gt;0,DG457,CZ457)</f>
        <v/>
      </c>
      <c r="Q457" s="64">
        <f>IF(N(DJ457)&gt;0,DH457,DA457)</f>
        <v/>
      </c>
      <c r="R457" s="64">
        <f>IF(N(DJ457)&gt;0,DI457,DB457)</f>
        <v/>
      </c>
      <c r="S457" s="64">
        <f>IF(N(DJ457)&gt;0,DJ457,DC457)</f>
        <v/>
      </c>
      <c r="T457" s="64">
        <f>INDEX(Projects[Currency],456)&amp;""</f>
        <v/>
      </c>
      <c r="U457" s="65">
        <f>INDEX(Projects[Sold Value (M)],456)</f>
        <v/>
      </c>
      <c r="V457" s="64">
        <f>IF('Smart Search'!B13=1,IFERROR(1/'Smart Search'!H13,0),0)</f>
        <v/>
      </c>
      <c r="W457" s="64">
        <f>IF('Smart Search'!B13=1,IFERROR(1/'Smart Search'!H13,0),0)</f>
        <v/>
      </c>
      <c r="X457" s="64">
        <f>IF('Smart Search'!C13=1,IFERROR(1/'Smart Search'!H13,0),0)</f>
        <v/>
      </c>
      <c r="Y457" s="64">
        <f>IF('Smart Search'!C13=1,IFERROR(1/'Smart Search'!H13,0),0)</f>
        <v/>
      </c>
      <c r="Z457" s="64">
        <f>IF('Smart Search'!D13=1,IFERROR(1/'Smart Search'!H13,0),0)</f>
        <v/>
      </c>
      <c r="AA457" s="64">
        <f>IF('Smart Search'!D13=1,IFERROR(1/'Smart Search'!H13,0),0)</f>
        <v/>
      </c>
      <c r="AB457" s="64">
        <f>IF('Smart Search'!E13=1,IFERROR(1/'Smart Search'!H13,0),0)</f>
        <v/>
      </c>
      <c r="AC457" s="64">
        <f>IF('Smart Search'!E13=1,IFERROR(1/'Smart Search'!H13,0),0)</f>
        <v/>
      </c>
      <c r="AD457" s="64">
        <f>IF('Smart Search'!F13=1,IFERROR(1/'Smart Search'!H13,0),0)</f>
        <v/>
      </c>
      <c r="AE457" s="64">
        <f>IF('Smart Search'!F13=1,IFERROR(1/'Smart Search'!H13,0),0)</f>
        <v/>
      </c>
      <c r="AF457" s="64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4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4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4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4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4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4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4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4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4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4">
        <f>AF457*V457</f>
        <v/>
      </c>
      <c r="AQ457" s="64">
        <f>AG457*W457</f>
        <v/>
      </c>
      <c r="AR457" s="64">
        <f>AH457*X457</f>
        <v/>
      </c>
      <c r="AS457" s="64">
        <f>AI457*Y457</f>
        <v/>
      </c>
      <c r="AT457" s="64">
        <f>AJ457*Z457</f>
        <v/>
      </c>
      <c r="AU457" s="64">
        <f>AK457*AA457</f>
        <v/>
      </c>
      <c r="AV457" s="64">
        <f>AL457*AB457</f>
        <v/>
      </c>
      <c r="AW457" s="64">
        <f>AM457*AC457</f>
        <v/>
      </c>
      <c r="AX457" s="64">
        <f>AN457*AD457</f>
        <v/>
      </c>
      <c r="AY457" s="64">
        <f>AO457*AE457</f>
        <v/>
      </c>
      <c r="AZ457" s="64">
        <f>INDEX(Projects[Automation Equipment],456)&amp;""</f>
        <v/>
      </c>
      <c r="BA457" s="64">
        <f>IF(OR(A457="",'Smart Search'!H13=0),"",MAX(0,BE457*BF457*MAX(0,1-BG457)))</f>
        <v/>
      </c>
      <c r="BB457" s="64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4">
        <f>IF('Smart Search'!G13=1,IFERROR(1/'Smart Search'!H13,0),0)</f>
        <v/>
      </c>
      <c r="BD457" s="64">
        <f>BB457*BC457</f>
        <v/>
      </c>
      <c r="BE457" s="64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IF(A457="","",N(INDEX(Projects[Act Mech Inst],456)))</f>
        <v/>
      </c>
      <c r="BK457" s="5">
        <f>IF(A457="","",N(INDEX(Projects[Act Elec Inst],456)))</f>
        <v/>
      </c>
      <c r="BL457" s="5">
        <f>IF(A457="","",N(INDEX(Projects[Act Project Management],456)))</f>
        <v/>
      </c>
      <c r="BM457" s="5">
        <f>IF(A457="","",N(INDEX(Projects[Act Systems Eng],456)))</f>
        <v/>
      </c>
      <c r="BN457" s="5">
        <f>IF(A457="","",N(INDEX(Projects[Act Mechanical Eng],456)))</f>
        <v/>
      </c>
      <c r="BO457" s="5">
        <f>IF(A457="","",N(INDEX(Projects[Act Structural Engineering],456)))</f>
        <v/>
      </c>
      <c r="BP457" s="5">
        <f>IF(A457="","",N(INDEX(Projects[Act Site Sup],456)))</f>
        <v/>
      </c>
      <c r="BQ457" s="5">
        <f>IF(A457="","",N(INDEX(Projects[Act Controls Commissioning],456)))</f>
        <v/>
      </c>
      <c r="BR457" s="5">
        <f>IF(A457="","",N(INDEX(Projects[Act Systems Commissioning],456)))</f>
        <v/>
      </c>
      <c r="BS457" s="5">
        <f>IF(A457="","",N(INDEX(Projects[Act Service Commissioning],456)))</f>
        <v/>
      </c>
      <c r="BT457" s="5">
        <f>IF(A457="","",N(INDEX(Projects[Act Controls Eng],456)))</f>
        <v/>
      </c>
      <c r="BU457" s="5">
        <f>IF(A457="","",N(INDEX(Projects[Act Controls Purchase],456)))</f>
        <v/>
      </c>
      <c r="BV457" s="5">
        <f>IF(A457="","",N(INDEX(Projects[Act Software Eng],456)))</f>
        <v/>
      </c>
      <c r="BW457" s="5">
        <f>IF(A457="","",N(INDEX(Projects[Act 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INDEX(Projects[Sold Value (USD M)],456)</f>
        <v/>
      </c>
      <c r="CE457" s="5" t="n"/>
      <c r="CF457" s="5">
        <f>IF(A457="","",N(INDEX(Projects[Est Mech Inst],456)))</f>
        <v/>
      </c>
      <c r="CG457" s="5">
        <f>IF(A457="","",N(INDEX(Projects[Est Elec Inst],456)))</f>
        <v/>
      </c>
      <c r="CH457" s="5">
        <f>IF(A457="","",N(INDEX(Projects[Est Project Management],456)))</f>
        <v/>
      </c>
      <c r="CI457" s="5">
        <f>IF(A457="","",N(INDEX(Projects[Est Systems Eng],456)))</f>
        <v/>
      </c>
      <c r="CJ457" s="5">
        <f>IF(A457="","",N(INDEX(Projects[Est Mechanical Eng],456)))</f>
        <v/>
      </c>
      <c r="CK457" s="5">
        <f>IF(A457="","",N(INDEX(Projects[Est Structural Engineering],456)))</f>
        <v/>
      </c>
      <c r="CL457" s="5">
        <f>IF(A457="","",N(INDEX(Projects[Est Site Sup],456)))</f>
        <v/>
      </c>
      <c r="CM457" s="5">
        <f>IF(A457="","",N(INDEX(Projects[Est Controls Commissioning],456)))</f>
        <v/>
      </c>
      <c r="CN457" s="5">
        <f>IF(A457="","",N(INDEX(Projects[Est Systems Commissioning],456)))</f>
        <v/>
      </c>
      <c r="CO457" s="5">
        <f>IF(A457="","",N(INDEX(Projects[Est Service Commissioning],456)))</f>
        <v/>
      </c>
      <c r="CP457" s="5">
        <f>IF(A457="","",N(INDEX(Projects[Est Controls Eng],456)))</f>
        <v/>
      </c>
      <c r="CQ457" s="5">
        <f>IF(A457="","",N(INDEX(Projects[Est Controls Purchase],456)))</f>
        <v/>
      </c>
      <c r="CR457" s="5">
        <f>IF(A457="","",N(INDEX(Projects[Est Software Eng],456)))</f>
        <v/>
      </c>
      <c r="CS457" s="5">
        <f>IF(A457="","",N(INDEX(Projects[Est Misc],456)))</f>
        <v/>
      </c>
      <c r="CT457" s="5">
        <f>IF(A457="","",SUM(CF457:CS457))</f>
        <v/>
      </c>
      <c r="CU457" s="5">
        <f>INDEX(Projects[Est Cost (M)],456)</f>
        <v/>
      </c>
      <c r="CV457" s="5">
        <f>INDEX(Projects[Act Cost (M)],456)</f>
        <v/>
      </c>
      <c r="CW457" s="5">
        <f>INDEX(Projects[Plan Mech Eng (wks)],456)</f>
        <v/>
      </c>
      <c r="CX457" s="5">
        <f>INDEX(Projects[Plan Controls Eng (wks)],456)</f>
        <v/>
      </c>
      <c r="CY457" s="5">
        <f>INDEX(Projects[Plan Systems Eng (wks)],456)</f>
        <v/>
      </c>
      <c r="CZ457" s="5">
        <f>INDEX(Projects[Plan Software Eng (wks)],456)</f>
        <v/>
      </c>
      <c r="DA457" s="5">
        <f>INDEX(Projects[Plan M&amp;E Installation (wks)],456)</f>
        <v/>
      </c>
      <c r="DB457" s="5">
        <f>INDEX(Projects[Plan Commissioning (wks)],456)</f>
        <v/>
      </c>
      <c r="DC457" s="5">
        <f>INDEX(Projects[Plan Total (wks)],456)</f>
        <v/>
      </c>
      <c r="DD457" s="5">
        <f>INDEX(Projects[Act Mech Eng (wks)],456)</f>
        <v/>
      </c>
      <c r="DE457" s="5">
        <f>INDEX(Projects[Act Controls Eng (wks)],456)</f>
        <v/>
      </c>
      <c r="DF457" s="5">
        <f>INDEX(Projects[Act Systems Eng (wks)],456)</f>
        <v/>
      </c>
      <c r="DG457" s="5">
        <f>INDEX(Projects[Act Software Eng (wks)],456)</f>
        <v/>
      </c>
      <c r="DH457" s="5">
        <f>INDEX(Projects[Act M&amp;E Installation (wks)],456)</f>
        <v/>
      </c>
      <c r="DI457" s="5">
        <f>INDEX(Projects[Act Commissioning (wks)],456)</f>
        <v/>
      </c>
      <c r="DJ457" s="5">
        <f>INDEX(Projects[Act Total (wks)],456)</f>
        <v/>
      </c>
    </row>
    <row r="458" ht="15" customHeight="1" s="82">
      <c r="A458" s="64">
        <f>INDEX(Projects[Project ID *],457)&amp;""</f>
        <v/>
      </c>
      <c r="B458" s="64">
        <f>INDEX(Projects[Project Name *],457)&amp;""</f>
        <v/>
      </c>
      <c r="C458" s="64">
        <f>INDEX(Projects[MS Shuttles],457)</f>
        <v/>
      </c>
      <c r="D458" s="64">
        <f>INDEX(Projects[MS Tote Locations],457)</f>
        <v/>
      </c>
      <c r="E458" s="64">
        <f>INDEX(Projects[AS Robots],457)</f>
        <v/>
      </c>
      <c r="F458" s="64">
        <f>INDEX(Projects[AS Tote Locations],457)</f>
        <v/>
      </c>
      <c r="G458" s="64">
        <f>INDEX(Projects[PS Shuttles],457)</f>
        <v/>
      </c>
      <c r="H458" s="64">
        <f>INDEX(Projects[PS Pallet Locations],457)</f>
        <v/>
      </c>
      <c r="I458" s="64">
        <f>INDEX(Projects[SRM Cranes],457)</f>
        <v/>
      </c>
      <c r="J458" s="64">
        <f>INDEX(Projects[SRM Pallet Locations],457)</f>
        <v/>
      </c>
      <c r="K458" s="64">
        <f>INDEX(Projects[Case Conv (m)],457)</f>
        <v/>
      </c>
      <c r="L458" s="64">
        <f>INDEX(Projects[Pallet Conv (m)],457)</f>
        <v/>
      </c>
      <c r="M458" s="64">
        <f>IF(N(DJ458)&gt;0,DD458,CW458)</f>
        <v/>
      </c>
      <c r="N458" s="64">
        <f>IF(N(DJ458)&gt;0,DE458,CX458)</f>
        <v/>
      </c>
      <c r="O458" s="64">
        <f>IF(N(DJ458)&gt;0,DF458,CY458)</f>
        <v/>
      </c>
      <c r="P458" s="64">
        <f>IF(N(DJ458)&gt;0,DG458,CZ458)</f>
        <v/>
      </c>
      <c r="Q458" s="64">
        <f>IF(N(DJ458)&gt;0,DH458,DA458)</f>
        <v/>
      </c>
      <c r="R458" s="64">
        <f>IF(N(DJ458)&gt;0,DI458,DB458)</f>
        <v/>
      </c>
      <c r="S458" s="64">
        <f>IF(N(DJ458)&gt;0,DJ458,DC458)</f>
        <v/>
      </c>
      <c r="T458" s="64">
        <f>INDEX(Projects[Currency],457)&amp;""</f>
        <v/>
      </c>
      <c r="U458" s="65">
        <f>INDEX(Projects[Sold Value (M)],457)</f>
        <v/>
      </c>
      <c r="V458" s="64">
        <f>IF('Smart Search'!B13=1,IFERROR(1/'Smart Search'!H13,0),0)</f>
        <v/>
      </c>
      <c r="W458" s="64">
        <f>IF('Smart Search'!B13=1,IFERROR(1/'Smart Search'!H13,0),0)</f>
        <v/>
      </c>
      <c r="X458" s="64">
        <f>IF('Smart Search'!C13=1,IFERROR(1/'Smart Search'!H13,0),0)</f>
        <v/>
      </c>
      <c r="Y458" s="64">
        <f>IF('Smart Search'!C13=1,IFERROR(1/'Smart Search'!H13,0),0)</f>
        <v/>
      </c>
      <c r="Z458" s="64">
        <f>IF('Smart Search'!D13=1,IFERROR(1/'Smart Search'!H13,0),0)</f>
        <v/>
      </c>
      <c r="AA458" s="64">
        <f>IF('Smart Search'!D13=1,IFERROR(1/'Smart Search'!H13,0),0)</f>
        <v/>
      </c>
      <c r="AB458" s="64">
        <f>IF('Smart Search'!E13=1,IFERROR(1/'Smart Search'!H13,0),0)</f>
        <v/>
      </c>
      <c r="AC458" s="64">
        <f>IF('Smart Search'!E13=1,IFERROR(1/'Smart Search'!H13,0),0)</f>
        <v/>
      </c>
      <c r="AD458" s="64">
        <f>IF('Smart Search'!F13=1,IFERROR(1/'Smart Search'!H13,0),0)</f>
        <v/>
      </c>
      <c r="AE458" s="64">
        <f>IF('Smart Search'!F13=1,IFERROR(1/'Smart Search'!H13,0),0)</f>
        <v/>
      </c>
      <c r="AF458" s="64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4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4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4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4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4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4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4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4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4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4">
        <f>AF458*V458</f>
        <v/>
      </c>
      <c r="AQ458" s="64">
        <f>AG458*W458</f>
        <v/>
      </c>
      <c r="AR458" s="64">
        <f>AH458*X458</f>
        <v/>
      </c>
      <c r="AS458" s="64">
        <f>AI458*Y458</f>
        <v/>
      </c>
      <c r="AT458" s="64">
        <f>AJ458*Z458</f>
        <v/>
      </c>
      <c r="AU458" s="64">
        <f>AK458*AA458</f>
        <v/>
      </c>
      <c r="AV458" s="64">
        <f>AL458*AB458</f>
        <v/>
      </c>
      <c r="AW458" s="64">
        <f>AM458*AC458</f>
        <v/>
      </c>
      <c r="AX458" s="64">
        <f>AN458*AD458</f>
        <v/>
      </c>
      <c r="AY458" s="64">
        <f>AO458*AE458</f>
        <v/>
      </c>
      <c r="AZ458" s="64">
        <f>INDEX(Projects[Automation Equipment],457)&amp;""</f>
        <v/>
      </c>
      <c r="BA458" s="64">
        <f>IF(OR(A458="",'Smart Search'!H13=0),"",MAX(0,BE458*BF458*MAX(0,1-BG458)))</f>
        <v/>
      </c>
      <c r="BB458" s="64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4">
        <f>IF('Smart Search'!G13=1,IFERROR(1/'Smart Search'!H13,0),0)</f>
        <v/>
      </c>
      <c r="BD458" s="64">
        <f>BB458*BC458</f>
        <v/>
      </c>
      <c r="BE458" s="64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IF(A458="","",N(INDEX(Projects[Act Mech Inst],457)))</f>
        <v/>
      </c>
      <c r="BK458" s="5">
        <f>IF(A458="","",N(INDEX(Projects[Act Elec Inst],457)))</f>
        <v/>
      </c>
      <c r="BL458" s="5">
        <f>IF(A458="","",N(INDEX(Projects[Act Project Management],457)))</f>
        <v/>
      </c>
      <c r="BM458" s="5">
        <f>IF(A458="","",N(INDEX(Projects[Act Systems Eng],457)))</f>
        <v/>
      </c>
      <c r="BN458" s="5">
        <f>IF(A458="","",N(INDEX(Projects[Act Mechanical Eng],457)))</f>
        <v/>
      </c>
      <c r="BO458" s="5">
        <f>IF(A458="","",N(INDEX(Projects[Act Structural Engineering],457)))</f>
        <v/>
      </c>
      <c r="BP458" s="5">
        <f>IF(A458="","",N(INDEX(Projects[Act Site Sup],457)))</f>
        <v/>
      </c>
      <c r="BQ458" s="5">
        <f>IF(A458="","",N(INDEX(Projects[Act Controls Commissioning],457)))</f>
        <v/>
      </c>
      <c r="BR458" s="5">
        <f>IF(A458="","",N(INDEX(Projects[Act Systems Commissioning],457)))</f>
        <v/>
      </c>
      <c r="BS458" s="5">
        <f>IF(A458="","",N(INDEX(Projects[Act Service Commissioning],457)))</f>
        <v/>
      </c>
      <c r="BT458" s="5">
        <f>IF(A458="","",N(INDEX(Projects[Act Controls Eng],457)))</f>
        <v/>
      </c>
      <c r="BU458" s="5">
        <f>IF(A458="","",N(INDEX(Projects[Act Controls Purchase],457)))</f>
        <v/>
      </c>
      <c r="BV458" s="5">
        <f>IF(A458="","",N(INDEX(Projects[Act Software Eng],457)))</f>
        <v/>
      </c>
      <c r="BW458" s="5">
        <f>IF(A458="","",N(INDEX(Projects[Act 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INDEX(Projects[Sold Value (USD M)],457)</f>
        <v/>
      </c>
      <c r="CE458" s="5" t="n"/>
      <c r="CF458" s="5">
        <f>IF(A458="","",N(INDEX(Projects[Est Mech Inst],457)))</f>
        <v/>
      </c>
      <c r="CG458" s="5">
        <f>IF(A458="","",N(INDEX(Projects[Est Elec Inst],457)))</f>
        <v/>
      </c>
      <c r="CH458" s="5">
        <f>IF(A458="","",N(INDEX(Projects[Est Project Management],457)))</f>
        <v/>
      </c>
      <c r="CI458" s="5">
        <f>IF(A458="","",N(INDEX(Projects[Est Systems Eng],457)))</f>
        <v/>
      </c>
      <c r="CJ458" s="5">
        <f>IF(A458="","",N(INDEX(Projects[Est Mechanical Eng],457)))</f>
        <v/>
      </c>
      <c r="CK458" s="5">
        <f>IF(A458="","",N(INDEX(Projects[Est Structural Engineering],457)))</f>
        <v/>
      </c>
      <c r="CL458" s="5">
        <f>IF(A458="","",N(INDEX(Projects[Est Site Sup],457)))</f>
        <v/>
      </c>
      <c r="CM458" s="5">
        <f>IF(A458="","",N(INDEX(Projects[Est Controls Commissioning],457)))</f>
        <v/>
      </c>
      <c r="CN458" s="5">
        <f>IF(A458="","",N(INDEX(Projects[Est Systems Commissioning],457)))</f>
        <v/>
      </c>
      <c r="CO458" s="5">
        <f>IF(A458="","",N(INDEX(Projects[Est Service Commissioning],457)))</f>
        <v/>
      </c>
      <c r="CP458" s="5">
        <f>IF(A458="","",N(INDEX(Projects[Est Controls Eng],457)))</f>
        <v/>
      </c>
      <c r="CQ458" s="5">
        <f>IF(A458="","",N(INDEX(Projects[Est Controls Purchase],457)))</f>
        <v/>
      </c>
      <c r="CR458" s="5">
        <f>IF(A458="","",N(INDEX(Projects[Est Software Eng],457)))</f>
        <v/>
      </c>
      <c r="CS458" s="5">
        <f>IF(A458="","",N(INDEX(Projects[Est Misc],457)))</f>
        <v/>
      </c>
      <c r="CT458" s="5">
        <f>IF(A458="","",SUM(CF458:CS458))</f>
        <v/>
      </c>
      <c r="CU458" s="5">
        <f>INDEX(Projects[Est Cost (M)],457)</f>
        <v/>
      </c>
      <c r="CV458" s="5">
        <f>INDEX(Projects[Act Cost (M)],457)</f>
        <v/>
      </c>
      <c r="CW458" s="5">
        <f>INDEX(Projects[Plan Mech Eng (wks)],457)</f>
        <v/>
      </c>
      <c r="CX458" s="5">
        <f>INDEX(Projects[Plan Controls Eng (wks)],457)</f>
        <v/>
      </c>
      <c r="CY458" s="5">
        <f>INDEX(Projects[Plan Systems Eng (wks)],457)</f>
        <v/>
      </c>
      <c r="CZ458" s="5">
        <f>INDEX(Projects[Plan Software Eng (wks)],457)</f>
        <v/>
      </c>
      <c r="DA458" s="5">
        <f>INDEX(Projects[Plan M&amp;E Installation (wks)],457)</f>
        <v/>
      </c>
      <c r="DB458" s="5">
        <f>INDEX(Projects[Plan Commissioning (wks)],457)</f>
        <v/>
      </c>
      <c r="DC458" s="5">
        <f>INDEX(Projects[Plan Total (wks)],457)</f>
        <v/>
      </c>
      <c r="DD458" s="5">
        <f>INDEX(Projects[Act Mech Eng (wks)],457)</f>
        <v/>
      </c>
      <c r="DE458" s="5">
        <f>INDEX(Projects[Act Controls Eng (wks)],457)</f>
        <v/>
      </c>
      <c r="DF458" s="5">
        <f>INDEX(Projects[Act Systems Eng (wks)],457)</f>
        <v/>
      </c>
      <c r="DG458" s="5">
        <f>INDEX(Projects[Act Software Eng (wks)],457)</f>
        <v/>
      </c>
      <c r="DH458" s="5">
        <f>INDEX(Projects[Act M&amp;E Installation (wks)],457)</f>
        <v/>
      </c>
      <c r="DI458" s="5">
        <f>INDEX(Projects[Act Commissioning (wks)],457)</f>
        <v/>
      </c>
      <c r="DJ458" s="5">
        <f>INDEX(Projects[Act Total (wks)],457)</f>
        <v/>
      </c>
    </row>
    <row r="459" ht="15" customHeight="1" s="82">
      <c r="A459" s="64">
        <f>INDEX(Projects[Project ID *],458)&amp;""</f>
        <v/>
      </c>
      <c r="B459" s="64">
        <f>INDEX(Projects[Project Name *],458)&amp;""</f>
        <v/>
      </c>
      <c r="C459" s="64">
        <f>INDEX(Projects[MS Shuttles],458)</f>
        <v/>
      </c>
      <c r="D459" s="64">
        <f>INDEX(Projects[MS Tote Locations],458)</f>
        <v/>
      </c>
      <c r="E459" s="64">
        <f>INDEX(Projects[AS Robots],458)</f>
        <v/>
      </c>
      <c r="F459" s="64">
        <f>INDEX(Projects[AS Tote Locations],458)</f>
        <v/>
      </c>
      <c r="G459" s="64">
        <f>INDEX(Projects[PS Shuttles],458)</f>
        <v/>
      </c>
      <c r="H459" s="64">
        <f>INDEX(Projects[PS Pallet Locations],458)</f>
        <v/>
      </c>
      <c r="I459" s="64">
        <f>INDEX(Projects[SRM Cranes],458)</f>
        <v/>
      </c>
      <c r="J459" s="64">
        <f>INDEX(Projects[SRM Pallet Locations],458)</f>
        <v/>
      </c>
      <c r="K459" s="64">
        <f>INDEX(Projects[Case Conv (m)],458)</f>
        <v/>
      </c>
      <c r="L459" s="64">
        <f>INDEX(Projects[Pallet Conv (m)],458)</f>
        <v/>
      </c>
      <c r="M459" s="64">
        <f>IF(N(DJ459)&gt;0,DD459,CW459)</f>
        <v/>
      </c>
      <c r="N459" s="64">
        <f>IF(N(DJ459)&gt;0,DE459,CX459)</f>
        <v/>
      </c>
      <c r="O459" s="64">
        <f>IF(N(DJ459)&gt;0,DF459,CY459)</f>
        <v/>
      </c>
      <c r="P459" s="64">
        <f>IF(N(DJ459)&gt;0,DG459,CZ459)</f>
        <v/>
      </c>
      <c r="Q459" s="64">
        <f>IF(N(DJ459)&gt;0,DH459,DA459)</f>
        <v/>
      </c>
      <c r="R459" s="64">
        <f>IF(N(DJ459)&gt;0,DI459,DB459)</f>
        <v/>
      </c>
      <c r="S459" s="64">
        <f>IF(N(DJ459)&gt;0,DJ459,DC459)</f>
        <v/>
      </c>
      <c r="T459" s="64">
        <f>INDEX(Projects[Currency],458)&amp;""</f>
        <v/>
      </c>
      <c r="U459" s="65">
        <f>INDEX(Projects[Sold Value (M)],458)</f>
        <v/>
      </c>
      <c r="V459" s="64">
        <f>IF('Smart Search'!B13=1,IFERROR(1/'Smart Search'!H13,0),0)</f>
        <v/>
      </c>
      <c r="W459" s="64">
        <f>IF('Smart Search'!B13=1,IFERROR(1/'Smart Search'!H13,0),0)</f>
        <v/>
      </c>
      <c r="X459" s="64">
        <f>IF('Smart Search'!C13=1,IFERROR(1/'Smart Search'!H13,0),0)</f>
        <v/>
      </c>
      <c r="Y459" s="64">
        <f>IF('Smart Search'!C13=1,IFERROR(1/'Smart Search'!H13,0),0)</f>
        <v/>
      </c>
      <c r="Z459" s="64">
        <f>IF('Smart Search'!D13=1,IFERROR(1/'Smart Search'!H13,0),0)</f>
        <v/>
      </c>
      <c r="AA459" s="64">
        <f>IF('Smart Search'!D13=1,IFERROR(1/'Smart Search'!H13,0),0)</f>
        <v/>
      </c>
      <c r="AB459" s="64">
        <f>IF('Smart Search'!E13=1,IFERROR(1/'Smart Search'!H13,0),0)</f>
        <v/>
      </c>
      <c r="AC459" s="64">
        <f>IF('Smart Search'!E13=1,IFERROR(1/'Smart Search'!H13,0),0)</f>
        <v/>
      </c>
      <c r="AD459" s="64">
        <f>IF('Smart Search'!F13=1,IFERROR(1/'Smart Search'!H13,0),0)</f>
        <v/>
      </c>
      <c r="AE459" s="64">
        <f>IF('Smart Search'!F13=1,IFERROR(1/'Smart Search'!H13,0),0)</f>
        <v/>
      </c>
      <c r="AF459" s="64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4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4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4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4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4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4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4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4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4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4">
        <f>AF459*V459</f>
        <v/>
      </c>
      <c r="AQ459" s="64">
        <f>AG459*W459</f>
        <v/>
      </c>
      <c r="AR459" s="64">
        <f>AH459*X459</f>
        <v/>
      </c>
      <c r="AS459" s="64">
        <f>AI459*Y459</f>
        <v/>
      </c>
      <c r="AT459" s="64">
        <f>AJ459*Z459</f>
        <v/>
      </c>
      <c r="AU459" s="64">
        <f>AK459*AA459</f>
        <v/>
      </c>
      <c r="AV459" s="64">
        <f>AL459*AB459</f>
        <v/>
      </c>
      <c r="AW459" s="64">
        <f>AM459*AC459</f>
        <v/>
      </c>
      <c r="AX459" s="64">
        <f>AN459*AD459</f>
        <v/>
      </c>
      <c r="AY459" s="64">
        <f>AO459*AE459</f>
        <v/>
      </c>
      <c r="AZ459" s="64">
        <f>INDEX(Projects[Automation Equipment],458)&amp;""</f>
        <v/>
      </c>
      <c r="BA459" s="64">
        <f>IF(OR(A459="",'Smart Search'!H13=0),"",MAX(0,BE459*BF459*MAX(0,1-BG459)))</f>
        <v/>
      </c>
      <c r="BB459" s="64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4">
        <f>IF('Smart Search'!G13=1,IFERROR(1/'Smart Search'!H13,0),0)</f>
        <v/>
      </c>
      <c r="BD459" s="64">
        <f>BB459*BC459</f>
        <v/>
      </c>
      <c r="BE459" s="64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IF(A459="","",N(INDEX(Projects[Act Mech Inst],458)))</f>
        <v/>
      </c>
      <c r="BK459" s="5">
        <f>IF(A459="","",N(INDEX(Projects[Act Elec Inst],458)))</f>
        <v/>
      </c>
      <c r="BL459" s="5">
        <f>IF(A459="","",N(INDEX(Projects[Act Project Management],458)))</f>
        <v/>
      </c>
      <c r="BM459" s="5">
        <f>IF(A459="","",N(INDEX(Projects[Act Systems Eng],458)))</f>
        <v/>
      </c>
      <c r="BN459" s="5">
        <f>IF(A459="","",N(INDEX(Projects[Act Mechanical Eng],458)))</f>
        <v/>
      </c>
      <c r="BO459" s="5">
        <f>IF(A459="","",N(INDEX(Projects[Act Structural Engineering],458)))</f>
        <v/>
      </c>
      <c r="BP459" s="5">
        <f>IF(A459="","",N(INDEX(Projects[Act Site Sup],458)))</f>
        <v/>
      </c>
      <c r="BQ459" s="5">
        <f>IF(A459="","",N(INDEX(Projects[Act Controls Commissioning],458)))</f>
        <v/>
      </c>
      <c r="BR459" s="5">
        <f>IF(A459="","",N(INDEX(Projects[Act Systems Commissioning],458)))</f>
        <v/>
      </c>
      <c r="BS459" s="5">
        <f>IF(A459="","",N(INDEX(Projects[Act Service Commissioning],458)))</f>
        <v/>
      </c>
      <c r="BT459" s="5">
        <f>IF(A459="","",N(INDEX(Projects[Act Controls Eng],458)))</f>
        <v/>
      </c>
      <c r="BU459" s="5">
        <f>IF(A459="","",N(INDEX(Projects[Act Controls Purchase],458)))</f>
        <v/>
      </c>
      <c r="BV459" s="5">
        <f>IF(A459="","",N(INDEX(Projects[Act Software Eng],458)))</f>
        <v/>
      </c>
      <c r="BW459" s="5">
        <f>IF(A459="","",N(INDEX(Projects[Act 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INDEX(Projects[Sold Value (USD M)],458)</f>
        <v/>
      </c>
      <c r="CE459" s="5" t="n"/>
      <c r="CF459" s="5">
        <f>IF(A459="","",N(INDEX(Projects[Est Mech Inst],458)))</f>
        <v/>
      </c>
      <c r="CG459" s="5">
        <f>IF(A459="","",N(INDEX(Projects[Est Elec Inst],458)))</f>
        <v/>
      </c>
      <c r="CH459" s="5">
        <f>IF(A459="","",N(INDEX(Projects[Est Project Management],458)))</f>
        <v/>
      </c>
      <c r="CI459" s="5">
        <f>IF(A459="","",N(INDEX(Projects[Est Systems Eng],458)))</f>
        <v/>
      </c>
      <c r="CJ459" s="5">
        <f>IF(A459="","",N(INDEX(Projects[Est Mechanical Eng],458)))</f>
        <v/>
      </c>
      <c r="CK459" s="5">
        <f>IF(A459="","",N(INDEX(Projects[Est Structural Engineering],458)))</f>
        <v/>
      </c>
      <c r="CL459" s="5">
        <f>IF(A459="","",N(INDEX(Projects[Est Site Sup],458)))</f>
        <v/>
      </c>
      <c r="CM459" s="5">
        <f>IF(A459="","",N(INDEX(Projects[Est Controls Commissioning],458)))</f>
        <v/>
      </c>
      <c r="CN459" s="5">
        <f>IF(A459="","",N(INDEX(Projects[Est Systems Commissioning],458)))</f>
        <v/>
      </c>
      <c r="CO459" s="5">
        <f>IF(A459="","",N(INDEX(Projects[Est Service Commissioning],458)))</f>
        <v/>
      </c>
      <c r="CP459" s="5">
        <f>IF(A459="","",N(INDEX(Projects[Est Controls Eng],458)))</f>
        <v/>
      </c>
      <c r="CQ459" s="5">
        <f>IF(A459="","",N(INDEX(Projects[Est Controls Purchase],458)))</f>
        <v/>
      </c>
      <c r="CR459" s="5">
        <f>IF(A459="","",N(INDEX(Projects[Est Software Eng],458)))</f>
        <v/>
      </c>
      <c r="CS459" s="5">
        <f>IF(A459="","",N(INDEX(Projects[Est Misc],458)))</f>
        <v/>
      </c>
      <c r="CT459" s="5">
        <f>IF(A459="","",SUM(CF459:CS459))</f>
        <v/>
      </c>
      <c r="CU459" s="5">
        <f>INDEX(Projects[Est Cost (M)],458)</f>
        <v/>
      </c>
      <c r="CV459" s="5">
        <f>INDEX(Projects[Act Cost (M)],458)</f>
        <v/>
      </c>
      <c r="CW459" s="5">
        <f>INDEX(Projects[Plan Mech Eng (wks)],458)</f>
        <v/>
      </c>
      <c r="CX459" s="5">
        <f>INDEX(Projects[Plan Controls Eng (wks)],458)</f>
        <v/>
      </c>
      <c r="CY459" s="5">
        <f>INDEX(Projects[Plan Systems Eng (wks)],458)</f>
        <v/>
      </c>
      <c r="CZ459" s="5">
        <f>INDEX(Projects[Plan Software Eng (wks)],458)</f>
        <v/>
      </c>
      <c r="DA459" s="5">
        <f>INDEX(Projects[Plan M&amp;E Installation (wks)],458)</f>
        <v/>
      </c>
      <c r="DB459" s="5">
        <f>INDEX(Projects[Plan Commissioning (wks)],458)</f>
        <v/>
      </c>
      <c r="DC459" s="5">
        <f>INDEX(Projects[Plan Total (wks)],458)</f>
        <v/>
      </c>
      <c r="DD459" s="5">
        <f>INDEX(Projects[Act Mech Eng (wks)],458)</f>
        <v/>
      </c>
      <c r="DE459" s="5">
        <f>INDEX(Projects[Act Controls Eng (wks)],458)</f>
        <v/>
      </c>
      <c r="DF459" s="5">
        <f>INDEX(Projects[Act Systems Eng (wks)],458)</f>
        <v/>
      </c>
      <c r="DG459" s="5">
        <f>INDEX(Projects[Act Software Eng (wks)],458)</f>
        <v/>
      </c>
      <c r="DH459" s="5">
        <f>INDEX(Projects[Act M&amp;E Installation (wks)],458)</f>
        <v/>
      </c>
      <c r="DI459" s="5">
        <f>INDEX(Projects[Act Commissioning (wks)],458)</f>
        <v/>
      </c>
      <c r="DJ459" s="5">
        <f>INDEX(Projects[Act Total (wks)],458)</f>
        <v/>
      </c>
    </row>
    <row r="460" ht="15" customHeight="1" s="82">
      <c r="A460" s="64">
        <f>INDEX(Projects[Project ID *],459)&amp;""</f>
        <v/>
      </c>
      <c r="B460" s="64">
        <f>INDEX(Projects[Project Name *],459)&amp;""</f>
        <v/>
      </c>
      <c r="C460" s="64">
        <f>INDEX(Projects[MS Shuttles],459)</f>
        <v/>
      </c>
      <c r="D460" s="64">
        <f>INDEX(Projects[MS Tote Locations],459)</f>
        <v/>
      </c>
      <c r="E460" s="64">
        <f>INDEX(Projects[AS Robots],459)</f>
        <v/>
      </c>
      <c r="F460" s="64">
        <f>INDEX(Projects[AS Tote Locations],459)</f>
        <v/>
      </c>
      <c r="G460" s="64">
        <f>INDEX(Projects[PS Shuttles],459)</f>
        <v/>
      </c>
      <c r="H460" s="64">
        <f>INDEX(Projects[PS Pallet Locations],459)</f>
        <v/>
      </c>
      <c r="I460" s="64">
        <f>INDEX(Projects[SRM Cranes],459)</f>
        <v/>
      </c>
      <c r="J460" s="64">
        <f>INDEX(Projects[SRM Pallet Locations],459)</f>
        <v/>
      </c>
      <c r="K460" s="64">
        <f>INDEX(Projects[Case Conv (m)],459)</f>
        <v/>
      </c>
      <c r="L460" s="64">
        <f>INDEX(Projects[Pallet Conv (m)],459)</f>
        <v/>
      </c>
      <c r="M460" s="64">
        <f>IF(N(DJ460)&gt;0,DD460,CW460)</f>
        <v/>
      </c>
      <c r="N460" s="64">
        <f>IF(N(DJ460)&gt;0,DE460,CX460)</f>
        <v/>
      </c>
      <c r="O460" s="64">
        <f>IF(N(DJ460)&gt;0,DF460,CY460)</f>
        <v/>
      </c>
      <c r="P460" s="64">
        <f>IF(N(DJ460)&gt;0,DG460,CZ460)</f>
        <v/>
      </c>
      <c r="Q460" s="64">
        <f>IF(N(DJ460)&gt;0,DH460,DA460)</f>
        <v/>
      </c>
      <c r="R460" s="64">
        <f>IF(N(DJ460)&gt;0,DI460,DB460)</f>
        <v/>
      </c>
      <c r="S460" s="64">
        <f>IF(N(DJ460)&gt;0,DJ460,DC460)</f>
        <v/>
      </c>
      <c r="T460" s="64">
        <f>INDEX(Projects[Currency],459)&amp;""</f>
        <v/>
      </c>
      <c r="U460" s="65">
        <f>INDEX(Projects[Sold Value (M)],459)</f>
        <v/>
      </c>
      <c r="V460" s="64">
        <f>IF('Smart Search'!B13=1,IFERROR(1/'Smart Search'!H13,0),0)</f>
        <v/>
      </c>
      <c r="W460" s="64">
        <f>IF('Smart Search'!B13=1,IFERROR(1/'Smart Search'!H13,0),0)</f>
        <v/>
      </c>
      <c r="X460" s="64">
        <f>IF('Smart Search'!C13=1,IFERROR(1/'Smart Search'!H13,0),0)</f>
        <v/>
      </c>
      <c r="Y460" s="64">
        <f>IF('Smart Search'!C13=1,IFERROR(1/'Smart Search'!H13,0),0)</f>
        <v/>
      </c>
      <c r="Z460" s="64">
        <f>IF('Smart Search'!D13=1,IFERROR(1/'Smart Search'!H13,0),0)</f>
        <v/>
      </c>
      <c r="AA460" s="64">
        <f>IF('Smart Search'!D13=1,IFERROR(1/'Smart Search'!H13,0),0)</f>
        <v/>
      </c>
      <c r="AB460" s="64">
        <f>IF('Smart Search'!E13=1,IFERROR(1/'Smart Search'!H13,0),0)</f>
        <v/>
      </c>
      <c r="AC460" s="64">
        <f>IF('Smart Search'!E13=1,IFERROR(1/'Smart Search'!H13,0),0)</f>
        <v/>
      </c>
      <c r="AD460" s="64">
        <f>IF('Smart Search'!F13=1,IFERROR(1/'Smart Search'!H13,0),0)</f>
        <v/>
      </c>
      <c r="AE460" s="64">
        <f>IF('Smart Search'!F13=1,IFERROR(1/'Smart Search'!H13,0),0)</f>
        <v/>
      </c>
      <c r="AF460" s="64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4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4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4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4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4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4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4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4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4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4">
        <f>AF460*V460</f>
        <v/>
      </c>
      <c r="AQ460" s="64">
        <f>AG460*W460</f>
        <v/>
      </c>
      <c r="AR460" s="64">
        <f>AH460*X460</f>
        <v/>
      </c>
      <c r="AS460" s="64">
        <f>AI460*Y460</f>
        <v/>
      </c>
      <c r="AT460" s="64">
        <f>AJ460*Z460</f>
        <v/>
      </c>
      <c r="AU460" s="64">
        <f>AK460*AA460</f>
        <v/>
      </c>
      <c r="AV460" s="64">
        <f>AL460*AB460</f>
        <v/>
      </c>
      <c r="AW460" s="64">
        <f>AM460*AC460</f>
        <v/>
      </c>
      <c r="AX460" s="64">
        <f>AN460*AD460</f>
        <v/>
      </c>
      <c r="AY460" s="64">
        <f>AO460*AE460</f>
        <v/>
      </c>
      <c r="AZ460" s="64">
        <f>INDEX(Projects[Automation Equipment],459)&amp;""</f>
        <v/>
      </c>
      <c r="BA460" s="64">
        <f>IF(OR(A460="",'Smart Search'!H13=0),"",MAX(0,BE460*BF460*MAX(0,1-BG460)))</f>
        <v/>
      </c>
      <c r="BB460" s="64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4">
        <f>IF('Smart Search'!G13=1,IFERROR(1/'Smart Search'!H13,0),0)</f>
        <v/>
      </c>
      <c r="BD460" s="64">
        <f>BB460*BC460</f>
        <v/>
      </c>
      <c r="BE460" s="64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IF(A460="","",N(INDEX(Projects[Act Mech Inst],459)))</f>
        <v/>
      </c>
      <c r="BK460" s="5">
        <f>IF(A460="","",N(INDEX(Projects[Act Elec Inst],459)))</f>
        <v/>
      </c>
      <c r="BL460" s="5">
        <f>IF(A460="","",N(INDEX(Projects[Act Project Management],459)))</f>
        <v/>
      </c>
      <c r="BM460" s="5">
        <f>IF(A460="","",N(INDEX(Projects[Act Systems Eng],459)))</f>
        <v/>
      </c>
      <c r="BN460" s="5">
        <f>IF(A460="","",N(INDEX(Projects[Act Mechanical Eng],459)))</f>
        <v/>
      </c>
      <c r="BO460" s="5">
        <f>IF(A460="","",N(INDEX(Projects[Act Structural Engineering],459)))</f>
        <v/>
      </c>
      <c r="BP460" s="5">
        <f>IF(A460="","",N(INDEX(Projects[Act Site Sup],459)))</f>
        <v/>
      </c>
      <c r="BQ460" s="5">
        <f>IF(A460="","",N(INDEX(Projects[Act Controls Commissioning],459)))</f>
        <v/>
      </c>
      <c r="BR460" s="5">
        <f>IF(A460="","",N(INDEX(Projects[Act Systems Commissioning],459)))</f>
        <v/>
      </c>
      <c r="BS460" s="5">
        <f>IF(A460="","",N(INDEX(Projects[Act Service Commissioning],459)))</f>
        <v/>
      </c>
      <c r="BT460" s="5">
        <f>IF(A460="","",N(INDEX(Projects[Act Controls Eng],459)))</f>
        <v/>
      </c>
      <c r="BU460" s="5">
        <f>IF(A460="","",N(INDEX(Projects[Act Controls Purchase],459)))</f>
        <v/>
      </c>
      <c r="BV460" s="5">
        <f>IF(A460="","",N(INDEX(Projects[Act Software Eng],459)))</f>
        <v/>
      </c>
      <c r="BW460" s="5">
        <f>IF(A460="","",N(INDEX(Projects[Act 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INDEX(Projects[Sold Value (USD M)],459)</f>
        <v/>
      </c>
      <c r="CE460" s="5" t="n"/>
      <c r="CF460" s="5">
        <f>IF(A460="","",N(INDEX(Projects[Est Mech Inst],459)))</f>
        <v/>
      </c>
      <c r="CG460" s="5">
        <f>IF(A460="","",N(INDEX(Projects[Est Elec Inst],459)))</f>
        <v/>
      </c>
      <c r="CH460" s="5">
        <f>IF(A460="","",N(INDEX(Projects[Est Project Management],459)))</f>
        <v/>
      </c>
      <c r="CI460" s="5">
        <f>IF(A460="","",N(INDEX(Projects[Est Systems Eng],459)))</f>
        <v/>
      </c>
      <c r="CJ460" s="5">
        <f>IF(A460="","",N(INDEX(Projects[Est Mechanical Eng],459)))</f>
        <v/>
      </c>
      <c r="CK460" s="5">
        <f>IF(A460="","",N(INDEX(Projects[Est Structural Engineering],459)))</f>
        <v/>
      </c>
      <c r="CL460" s="5">
        <f>IF(A460="","",N(INDEX(Projects[Est Site Sup],459)))</f>
        <v/>
      </c>
      <c r="CM460" s="5">
        <f>IF(A460="","",N(INDEX(Projects[Est Controls Commissioning],459)))</f>
        <v/>
      </c>
      <c r="CN460" s="5">
        <f>IF(A460="","",N(INDEX(Projects[Est Systems Commissioning],459)))</f>
        <v/>
      </c>
      <c r="CO460" s="5">
        <f>IF(A460="","",N(INDEX(Projects[Est Service Commissioning],459)))</f>
        <v/>
      </c>
      <c r="CP460" s="5">
        <f>IF(A460="","",N(INDEX(Projects[Est Controls Eng],459)))</f>
        <v/>
      </c>
      <c r="CQ460" s="5">
        <f>IF(A460="","",N(INDEX(Projects[Est Controls Purchase],459)))</f>
        <v/>
      </c>
      <c r="CR460" s="5">
        <f>IF(A460="","",N(INDEX(Projects[Est Software Eng],459)))</f>
        <v/>
      </c>
      <c r="CS460" s="5">
        <f>IF(A460="","",N(INDEX(Projects[Est Misc],459)))</f>
        <v/>
      </c>
      <c r="CT460" s="5">
        <f>IF(A460="","",SUM(CF460:CS460))</f>
        <v/>
      </c>
      <c r="CU460" s="5">
        <f>INDEX(Projects[Est Cost (M)],459)</f>
        <v/>
      </c>
      <c r="CV460" s="5">
        <f>INDEX(Projects[Act Cost (M)],459)</f>
        <v/>
      </c>
      <c r="CW460" s="5">
        <f>INDEX(Projects[Plan Mech Eng (wks)],459)</f>
        <v/>
      </c>
      <c r="CX460" s="5">
        <f>INDEX(Projects[Plan Controls Eng (wks)],459)</f>
        <v/>
      </c>
      <c r="CY460" s="5">
        <f>INDEX(Projects[Plan Systems Eng (wks)],459)</f>
        <v/>
      </c>
      <c r="CZ460" s="5">
        <f>INDEX(Projects[Plan Software Eng (wks)],459)</f>
        <v/>
      </c>
      <c r="DA460" s="5">
        <f>INDEX(Projects[Plan M&amp;E Installation (wks)],459)</f>
        <v/>
      </c>
      <c r="DB460" s="5">
        <f>INDEX(Projects[Plan Commissioning (wks)],459)</f>
        <v/>
      </c>
      <c r="DC460" s="5">
        <f>INDEX(Projects[Plan Total (wks)],459)</f>
        <v/>
      </c>
      <c r="DD460" s="5">
        <f>INDEX(Projects[Act Mech Eng (wks)],459)</f>
        <v/>
      </c>
      <c r="DE460" s="5">
        <f>INDEX(Projects[Act Controls Eng (wks)],459)</f>
        <v/>
      </c>
      <c r="DF460" s="5">
        <f>INDEX(Projects[Act Systems Eng (wks)],459)</f>
        <v/>
      </c>
      <c r="DG460" s="5">
        <f>INDEX(Projects[Act Software Eng (wks)],459)</f>
        <v/>
      </c>
      <c r="DH460" s="5">
        <f>INDEX(Projects[Act M&amp;E Installation (wks)],459)</f>
        <v/>
      </c>
      <c r="DI460" s="5">
        <f>INDEX(Projects[Act Commissioning (wks)],459)</f>
        <v/>
      </c>
      <c r="DJ460" s="5">
        <f>INDEX(Projects[Act Total (wks)],459)</f>
        <v/>
      </c>
    </row>
    <row r="461" ht="15" customHeight="1" s="82">
      <c r="A461" s="64">
        <f>INDEX(Projects[Project ID *],460)&amp;""</f>
        <v/>
      </c>
      <c r="B461" s="64">
        <f>INDEX(Projects[Project Name *],460)&amp;""</f>
        <v/>
      </c>
      <c r="C461" s="64">
        <f>INDEX(Projects[MS Shuttles],460)</f>
        <v/>
      </c>
      <c r="D461" s="64">
        <f>INDEX(Projects[MS Tote Locations],460)</f>
        <v/>
      </c>
      <c r="E461" s="64">
        <f>INDEX(Projects[AS Robots],460)</f>
        <v/>
      </c>
      <c r="F461" s="64">
        <f>INDEX(Projects[AS Tote Locations],460)</f>
        <v/>
      </c>
      <c r="G461" s="64">
        <f>INDEX(Projects[PS Shuttles],460)</f>
        <v/>
      </c>
      <c r="H461" s="64">
        <f>INDEX(Projects[PS Pallet Locations],460)</f>
        <v/>
      </c>
      <c r="I461" s="64">
        <f>INDEX(Projects[SRM Cranes],460)</f>
        <v/>
      </c>
      <c r="J461" s="64">
        <f>INDEX(Projects[SRM Pallet Locations],460)</f>
        <v/>
      </c>
      <c r="K461" s="64">
        <f>INDEX(Projects[Case Conv (m)],460)</f>
        <v/>
      </c>
      <c r="L461" s="64">
        <f>INDEX(Projects[Pallet Conv (m)],460)</f>
        <v/>
      </c>
      <c r="M461" s="64">
        <f>IF(N(DJ461)&gt;0,DD461,CW461)</f>
        <v/>
      </c>
      <c r="N461" s="64">
        <f>IF(N(DJ461)&gt;0,DE461,CX461)</f>
        <v/>
      </c>
      <c r="O461" s="64">
        <f>IF(N(DJ461)&gt;0,DF461,CY461)</f>
        <v/>
      </c>
      <c r="P461" s="64">
        <f>IF(N(DJ461)&gt;0,DG461,CZ461)</f>
        <v/>
      </c>
      <c r="Q461" s="64">
        <f>IF(N(DJ461)&gt;0,DH461,DA461)</f>
        <v/>
      </c>
      <c r="R461" s="64">
        <f>IF(N(DJ461)&gt;0,DI461,DB461)</f>
        <v/>
      </c>
      <c r="S461" s="64">
        <f>IF(N(DJ461)&gt;0,DJ461,DC461)</f>
        <v/>
      </c>
      <c r="T461" s="64">
        <f>INDEX(Projects[Currency],460)&amp;""</f>
        <v/>
      </c>
      <c r="U461" s="65">
        <f>INDEX(Projects[Sold Value (M)],460)</f>
        <v/>
      </c>
      <c r="V461" s="64">
        <f>IF('Smart Search'!B13=1,IFERROR(1/'Smart Search'!H13,0),0)</f>
        <v/>
      </c>
      <c r="W461" s="64">
        <f>IF('Smart Search'!B13=1,IFERROR(1/'Smart Search'!H13,0),0)</f>
        <v/>
      </c>
      <c r="X461" s="64">
        <f>IF('Smart Search'!C13=1,IFERROR(1/'Smart Search'!H13,0),0)</f>
        <v/>
      </c>
      <c r="Y461" s="64">
        <f>IF('Smart Search'!C13=1,IFERROR(1/'Smart Search'!H13,0),0)</f>
        <v/>
      </c>
      <c r="Z461" s="64">
        <f>IF('Smart Search'!D13=1,IFERROR(1/'Smart Search'!H13,0),0)</f>
        <v/>
      </c>
      <c r="AA461" s="64">
        <f>IF('Smart Search'!D13=1,IFERROR(1/'Smart Search'!H13,0),0)</f>
        <v/>
      </c>
      <c r="AB461" s="64">
        <f>IF('Smart Search'!E13=1,IFERROR(1/'Smart Search'!H13,0),0)</f>
        <v/>
      </c>
      <c r="AC461" s="64">
        <f>IF('Smart Search'!E13=1,IFERROR(1/'Smart Search'!H13,0),0)</f>
        <v/>
      </c>
      <c r="AD461" s="64">
        <f>IF('Smart Search'!F13=1,IFERROR(1/'Smart Search'!H13,0),0)</f>
        <v/>
      </c>
      <c r="AE461" s="64">
        <f>IF('Smart Search'!F13=1,IFERROR(1/'Smart Search'!H13,0),0)</f>
        <v/>
      </c>
      <c r="AF461" s="64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4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4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4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4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4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4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4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4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4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4">
        <f>AF461*V461</f>
        <v/>
      </c>
      <c r="AQ461" s="64">
        <f>AG461*W461</f>
        <v/>
      </c>
      <c r="AR461" s="64">
        <f>AH461*X461</f>
        <v/>
      </c>
      <c r="AS461" s="64">
        <f>AI461*Y461</f>
        <v/>
      </c>
      <c r="AT461" s="64">
        <f>AJ461*Z461</f>
        <v/>
      </c>
      <c r="AU461" s="64">
        <f>AK461*AA461</f>
        <v/>
      </c>
      <c r="AV461" s="64">
        <f>AL461*AB461</f>
        <v/>
      </c>
      <c r="AW461" s="64">
        <f>AM461*AC461</f>
        <v/>
      </c>
      <c r="AX461" s="64">
        <f>AN461*AD461</f>
        <v/>
      </c>
      <c r="AY461" s="64">
        <f>AO461*AE461</f>
        <v/>
      </c>
      <c r="AZ461" s="64">
        <f>INDEX(Projects[Automation Equipment],460)&amp;""</f>
        <v/>
      </c>
      <c r="BA461" s="64">
        <f>IF(OR(A461="",'Smart Search'!H13=0),"",MAX(0,BE461*BF461*MAX(0,1-BG461)))</f>
        <v/>
      </c>
      <c r="BB461" s="64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4">
        <f>IF('Smart Search'!G13=1,IFERROR(1/'Smart Search'!H13,0),0)</f>
        <v/>
      </c>
      <c r="BD461" s="64">
        <f>BB461*BC461</f>
        <v/>
      </c>
      <c r="BE461" s="64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IF(A461="","",N(INDEX(Projects[Act Mech Inst],460)))</f>
        <v/>
      </c>
      <c r="BK461" s="5">
        <f>IF(A461="","",N(INDEX(Projects[Act Elec Inst],460)))</f>
        <v/>
      </c>
      <c r="BL461" s="5">
        <f>IF(A461="","",N(INDEX(Projects[Act Project Management],460)))</f>
        <v/>
      </c>
      <c r="BM461" s="5">
        <f>IF(A461="","",N(INDEX(Projects[Act Systems Eng],460)))</f>
        <v/>
      </c>
      <c r="BN461" s="5">
        <f>IF(A461="","",N(INDEX(Projects[Act Mechanical Eng],460)))</f>
        <v/>
      </c>
      <c r="BO461" s="5">
        <f>IF(A461="","",N(INDEX(Projects[Act Structural Engineering],460)))</f>
        <v/>
      </c>
      <c r="BP461" s="5">
        <f>IF(A461="","",N(INDEX(Projects[Act Site Sup],460)))</f>
        <v/>
      </c>
      <c r="BQ461" s="5">
        <f>IF(A461="","",N(INDEX(Projects[Act Controls Commissioning],460)))</f>
        <v/>
      </c>
      <c r="BR461" s="5">
        <f>IF(A461="","",N(INDEX(Projects[Act Systems Commissioning],460)))</f>
        <v/>
      </c>
      <c r="BS461" s="5">
        <f>IF(A461="","",N(INDEX(Projects[Act Service Commissioning],460)))</f>
        <v/>
      </c>
      <c r="BT461" s="5">
        <f>IF(A461="","",N(INDEX(Projects[Act Controls Eng],460)))</f>
        <v/>
      </c>
      <c r="BU461" s="5">
        <f>IF(A461="","",N(INDEX(Projects[Act Controls Purchase],460)))</f>
        <v/>
      </c>
      <c r="BV461" s="5">
        <f>IF(A461="","",N(INDEX(Projects[Act Software Eng],460)))</f>
        <v/>
      </c>
      <c r="BW461" s="5">
        <f>IF(A461="","",N(INDEX(Projects[Act 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INDEX(Projects[Sold Value (USD M)],460)</f>
        <v/>
      </c>
      <c r="CE461" s="5" t="n"/>
      <c r="CF461" s="5">
        <f>IF(A461="","",N(INDEX(Projects[Est Mech Inst],460)))</f>
        <v/>
      </c>
      <c r="CG461" s="5">
        <f>IF(A461="","",N(INDEX(Projects[Est Elec Inst],460)))</f>
        <v/>
      </c>
      <c r="CH461" s="5">
        <f>IF(A461="","",N(INDEX(Projects[Est Project Management],460)))</f>
        <v/>
      </c>
      <c r="CI461" s="5">
        <f>IF(A461="","",N(INDEX(Projects[Est Systems Eng],460)))</f>
        <v/>
      </c>
      <c r="CJ461" s="5">
        <f>IF(A461="","",N(INDEX(Projects[Est Mechanical Eng],460)))</f>
        <v/>
      </c>
      <c r="CK461" s="5">
        <f>IF(A461="","",N(INDEX(Projects[Est Structural Engineering],460)))</f>
        <v/>
      </c>
      <c r="CL461" s="5">
        <f>IF(A461="","",N(INDEX(Projects[Est Site Sup],460)))</f>
        <v/>
      </c>
      <c r="CM461" s="5">
        <f>IF(A461="","",N(INDEX(Projects[Est Controls Commissioning],460)))</f>
        <v/>
      </c>
      <c r="CN461" s="5">
        <f>IF(A461="","",N(INDEX(Projects[Est Systems Commissioning],460)))</f>
        <v/>
      </c>
      <c r="CO461" s="5">
        <f>IF(A461="","",N(INDEX(Projects[Est Service Commissioning],460)))</f>
        <v/>
      </c>
      <c r="CP461" s="5">
        <f>IF(A461="","",N(INDEX(Projects[Est Controls Eng],460)))</f>
        <v/>
      </c>
      <c r="CQ461" s="5">
        <f>IF(A461="","",N(INDEX(Projects[Est Controls Purchase],460)))</f>
        <v/>
      </c>
      <c r="CR461" s="5">
        <f>IF(A461="","",N(INDEX(Projects[Est Software Eng],460)))</f>
        <v/>
      </c>
      <c r="CS461" s="5">
        <f>IF(A461="","",N(INDEX(Projects[Est Misc],460)))</f>
        <v/>
      </c>
      <c r="CT461" s="5">
        <f>IF(A461="","",SUM(CF461:CS461))</f>
        <v/>
      </c>
      <c r="CU461" s="5">
        <f>INDEX(Projects[Est Cost (M)],460)</f>
        <v/>
      </c>
      <c r="CV461" s="5">
        <f>INDEX(Projects[Act Cost (M)],460)</f>
        <v/>
      </c>
      <c r="CW461" s="5">
        <f>INDEX(Projects[Plan Mech Eng (wks)],460)</f>
        <v/>
      </c>
      <c r="CX461" s="5">
        <f>INDEX(Projects[Plan Controls Eng (wks)],460)</f>
        <v/>
      </c>
      <c r="CY461" s="5">
        <f>INDEX(Projects[Plan Systems Eng (wks)],460)</f>
        <v/>
      </c>
      <c r="CZ461" s="5">
        <f>INDEX(Projects[Plan Software Eng (wks)],460)</f>
        <v/>
      </c>
      <c r="DA461" s="5">
        <f>INDEX(Projects[Plan M&amp;E Installation (wks)],460)</f>
        <v/>
      </c>
      <c r="DB461" s="5">
        <f>INDEX(Projects[Plan Commissioning (wks)],460)</f>
        <v/>
      </c>
      <c r="DC461" s="5">
        <f>INDEX(Projects[Plan Total (wks)],460)</f>
        <v/>
      </c>
      <c r="DD461" s="5">
        <f>INDEX(Projects[Act Mech Eng (wks)],460)</f>
        <v/>
      </c>
      <c r="DE461" s="5">
        <f>INDEX(Projects[Act Controls Eng (wks)],460)</f>
        <v/>
      </c>
      <c r="DF461" s="5">
        <f>INDEX(Projects[Act Systems Eng (wks)],460)</f>
        <v/>
      </c>
      <c r="DG461" s="5">
        <f>INDEX(Projects[Act Software Eng (wks)],460)</f>
        <v/>
      </c>
      <c r="DH461" s="5">
        <f>INDEX(Projects[Act M&amp;E Installation (wks)],460)</f>
        <v/>
      </c>
      <c r="DI461" s="5">
        <f>INDEX(Projects[Act Commissioning (wks)],460)</f>
        <v/>
      </c>
      <c r="DJ461" s="5">
        <f>INDEX(Projects[Act Total (wks)],460)</f>
        <v/>
      </c>
    </row>
    <row r="462" ht="15" customHeight="1" s="82">
      <c r="A462" s="64">
        <f>INDEX(Projects[Project ID *],461)&amp;""</f>
        <v/>
      </c>
      <c r="B462" s="64">
        <f>INDEX(Projects[Project Name *],461)&amp;""</f>
        <v/>
      </c>
      <c r="C462" s="64">
        <f>INDEX(Projects[MS Shuttles],461)</f>
        <v/>
      </c>
      <c r="D462" s="64">
        <f>INDEX(Projects[MS Tote Locations],461)</f>
        <v/>
      </c>
      <c r="E462" s="64">
        <f>INDEX(Projects[AS Robots],461)</f>
        <v/>
      </c>
      <c r="F462" s="64">
        <f>INDEX(Projects[AS Tote Locations],461)</f>
        <v/>
      </c>
      <c r="G462" s="64">
        <f>INDEX(Projects[PS Shuttles],461)</f>
        <v/>
      </c>
      <c r="H462" s="64">
        <f>INDEX(Projects[PS Pallet Locations],461)</f>
        <v/>
      </c>
      <c r="I462" s="64">
        <f>INDEX(Projects[SRM Cranes],461)</f>
        <v/>
      </c>
      <c r="J462" s="64">
        <f>INDEX(Projects[SRM Pallet Locations],461)</f>
        <v/>
      </c>
      <c r="K462" s="64">
        <f>INDEX(Projects[Case Conv (m)],461)</f>
        <v/>
      </c>
      <c r="L462" s="64">
        <f>INDEX(Projects[Pallet Conv (m)],461)</f>
        <v/>
      </c>
      <c r="M462" s="64">
        <f>IF(N(DJ462)&gt;0,DD462,CW462)</f>
        <v/>
      </c>
      <c r="N462" s="64">
        <f>IF(N(DJ462)&gt;0,DE462,CX462)</f>
        <v/>
      </c>
      <c r="O462" s="64">
        <f>IF(N(DJ462)&gt;0,DF462,CY462)</f>
        <v/>
      </c>
      <c r="P462" s="64">
        <f>IF(N(DJ462)&gt;0,DG462,CZ462)</f>
        <v/>
      </c>
      <c r="Q462" s="64">
        <f>IF(N(DJ462)&gt;0,DH462,DA462)</f>
        <v/>
      </c>
      <c r="R462" s="64">
        <f>IF(N(DJ462)&gt;0,DI462,DB462)</f>
        <v/>
      </c>
      <c r="S462" s="64">
        <f>IF(N(DJ462)&gt;0,DJ462,DC462)</f>
        <v/>
      </c>
      <c r="T462" s="64">
        <f>INDEX(Projects[Currency],461)&amp;""</f>
        <v/>
      </c>
      <c r="U462" s="65">
        <f>INDEX(Projects[Sold Value (M)],461)</f>
        <v/>
      </c>
      <c r="V462" s="64">
        <f>IF('Smart Search'!B13=1,IFERROR(1/'Smart Search'!H13,0),0)</f>
        <v/>
      </c>
      <c r="W462" s="64">
        <f>IF('Smart Search'!B13=1,IFERROR(1/'Smart Search'!H13,0),0)</f>
        <v/>
      </c>
      <c r="X462" s="64">
        <f>IF('Smart Search'!C13=1,IFERROR(1/'Smart Search'!H13,0),0)</f>
        <v/>
      </c>
      <c r="Y462" s="64">
        <f>IF('Smart Search'!C13=1,IFERROR(1/'Smart Search'!H13,0),0)</f>
        <v/>
      </c>
      <c r="Z462" s="64">
        <f>IF('Smart Search'!D13=1,IFERROR(1/'Smart Search'!H13,0),0)</f>
        <v/>
      </c>
      <c r="AA462" s="64">
        <f>IF('Smart Search'!D13=1,IFERROR(1/'Smart Search'!H13,0),0)</f>
        <v/>
      </c>
      <c r="AB462" s="64">
        <f>IF('Smart Search'!E13=1,IFERROR(1/'Smart Search'!H13,0),0)</f>
        <v/>
      </c>
      <c r="AC462" s="64">
        <f>IF('Smart Search'!E13=1,IFERROR(1/'Smart Search'!H13,0),0)</f>
        <v/>
      </c>
      <c r="AD462" s="64">
        <f>IF('Smart Search'!F13=1,IFERROR(1/'Smart Search'!H13,0),0)</f>
        <v/>
      </c>
      <c r="AE462" s="64">
        <f>IF('Smart Search'!F13=1,IFERROR(1/'Smart Search'!H13,0),0)</f>
        <v/>
      </c>
      <c r="AF462" s="64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4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4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4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4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4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4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4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4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4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4">
        <f>AF462*V462</f>
        <v/>
      </c>
      <c r="AQ462" s="64">
        <f>AG462*W462</f>
        <v/>
      </c>
      <c r="AR462" s="64">
        <f>AH462*X462</f>
        <v/>
      </c>
      <c r="AS462" s="64">
        <f>AI462*Y462</f>
        <v/>
      </c>
      <c r="AT462" s="64">
        <f>AJ462*Z462</f>
        <v/>
      </c>
      <c r="AU462" s="64">
        <f>AK462*AA462</f>
        <v/>
      </c>
      <c r="AV462" s="64">
        <f>AL462*AB462</f>
        <v/>
      </c>
      <c r="AW462" s="64">
        <f>AM462*AC462</f>
        <v/>
      </c>
      <c r="AX462" s="64">
        <f>AN462*AD462</f>
        <v/>
      </c>
      <c r="AY462" s="64">
        <f>AO462*AE462</f>
        <v/>
      </c>
      <c r="AZ462" s="64">
        <f>INDEX(Projects[Automation Equipment],461)&amp;""</f>
        <v/>
      </c>
      <c r="BA462" s="64">
        <f>IF(OR(A462="",'Smart Search'!H13=0),"",MAX(0,BE462*BF462*MAX(0,1-BG462)))</f>
        <v/>
      </c>
      <c r="BB462" s="64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4">
        <f>IF('Smart Search'!G13=1,IFERROR(1/'Smart Search'!H13,0),0)</f>
        <v/>
      </c>
      <c r="BD462" s="64">
        <f>BB462*BC462</f>
        <v/>
      </c>
      <c r="BE462" s="64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IF(A462="","",N(INDEX(Projects[Act Mech Inst],461)))</f>
        <v/>
      </c>
      <c r="BK462" s="5">
        <f>IF(A462="","",N(INDEX(Projects[Act Elec Inst],461)))</f>
        <v/>
      </c>
      <c r="BL462" s="5">
        <f>IF(A462="","",N(INDEX(Projects[Act Project Management],461)))</f>
        <v/>
      </c>
      <c r="BM462" s="5">
        <f>IF(A462="","",N(INDEX(Projects[Act Systems Eng],461)))</f>
        <v/>
      </c>
      <c r="BN462" s="5">
        <f>IF(A462="","",N(INDEX(Projects[Act Mechanical Eng],461)))</f>
        <v/>
      </c>
      <c r="BO462" s="5">
        <f>IF(A462="","",N(INDEX(Projects[Act Structural Engineering],461)))</f>
        <v/>
      </c>
      <c r="BP462" s="5">
        <f>IF(A462="","",N(INDEX(Projects[Act Site Sup],461)))</f>
        <v/>
      </c>
      <c r="BQ462" s="5">
        <f>IF(A462="","",N(INDEX(Projects[Act Controls Commissioning],461)))</f>
        <v/>
      </c>
      <c r="BR462" s="5">
        <f>IF(A462="","",N(INDEX(Projects[Act Systems Commissioning],461)))</f>
        <v/>
      </c>
      <c r="BS462" s="5">
        <f>IF(A462="","",N(INDEX(Projects[Act Service Commissioning],461)))</f>
        <v/>
      </c>
      <c r="BT462" s="5">
        <f>IF(A462="","",N(INDEX(Projects[Act Controls Eng],461)))</f>
        <v/>
      </c>
      <c r="BU462" s="5">
        <f>IF(A462="","",N(INDEX(Projects[Act Controls Purchase],461)))</f>
        <v/>
      </c>
      <c r="BV462" s="5">
        <f>IF(A462="","",N(INDEX(Projects[Act Software Eng],461)))</f>
        <v/>
      </c>
      <c r="BW462" s="5">
        <f>IF(A462="","",N(INDEX(Projects[Act 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INDEX(Projects[Sold Value (USD M)],461)</f>
        <v/>
      </c>
      <c r="CE462" s="5" t="n"/>
      <c r="CF462" s="5">
        <f>IF(A462="","",N(INDEX(Projects[Est Mech Inst],461)))</f>
        <v/>
      </c>
      <c r="CG462" s="5">
        <f>IF(A462="","",N(INDEX(Projects[Est Elec Inst],461)))</f>
        <v/>
      </c>
      <c r="CH462" s="5">
        <f>IF(A462="","",N(INDEX(Projects[Est Project Management],461)))</f>
        <v/>
      </c>
      <c r="CI462" s="5">
        <f>IF(A462="","",N(INDEX(Projects[Est Systems Eng],461)))</f>
        <v/>
      </c>
      <c r="CJ462" s="5">
        <f>IF(A462="","",N(INDEX(Projects[Est Mechanical Eng],461)))</f>
        <v/>
      </c>
      <c r="CK462" s="5">
        <f>IF(A462="","",N(INDEX(Projects[Est Structural Engineering],461)))</f>
        <v/>
      </c>
      <c r="CL462" s="5">
        <f>IF(A462="","",N(INDEX(Projects[Est Site Sup],461)))</f>
        <v/>
      </c>
      <c r="CM462" s="5">
        <f>IF(A462="","",N(INDEX(Projects[Est Controls Commissioning],461)))</f>
        <v/>
      </c>
      <c r="CN462" s="5">
        <f>IF(A462="","",N(INDEX(Projects[Est Systems Commissioning],461)))</f>
        <v/>
      </c>
      <c r="CO462" s="5">
        <f>IF(A462="","",N(INDEX(Projects[Est Service Commissioning],461)))</f>
        <v/>
      </c>
      <c r="CP462" s="5">
        <f>IF(A462="","",N(INDEX(Projects[Est Controls Eng],461)))</f>
        <v/>
      </c>
      <c r="CQ462" s="5">
        <f>IF(A462="","",N(INDEX(Projects[Est Controls Purchase],461)))</f>
        <v/>
      </c>
      <c r="CR462" s="5">
        <f>IF(A462="","",N(INDEX(Projects[Est Software Eng],461)))</f>
        <v/>
      </c>
      <c r="CS462" s="5">
        <f>IF(A462="","",N(INDEX(Projects[Est Misc],461)))</f>
        <v/>
      </c>
      <c r="CT462" s="5">
        <f>IF(A462="","",SUM(CF462:CS462))</f>
        <v/>
      </c>
      <c r="CU462" s="5">
        <f>INDEX(Projects[Est Cost (M)],461)</f>
        <v/>
      </c>
      <c r="CV462" s="5">
        <f>INDEX(Projects[Act Cost (M)],461)</f>
        <v/>
      </c>
      <c r="CW462" s="5">
        <f>INDEX(Projects[Plan Mech Eng (wks)],461)</f>
        <v/>
      </c>
      <c r="CX462" s="5">
        <f>INDEX(Projects[Plan Controls Eng (wks)],461)</f>
        <v/>
      </c>
      <c r="CY462" s="5">
        <f>INDEX(Projects[Plan Systems Eng (wks)],461)</f>
        <v/>
      </c>
      <c r="CZ462" s="5">
        <f>INDEX(Projects[Plan Software Eng (wks)],461)</f>
        <v/>
      </c>
      <c r="DA462" s="5">
        <f>INDEX(Projects[Plan M&amp;E Installation (wks)],461)</f>
        <v/>
      </c>
      <c r="DB462" s="5">
        <f>INDEX(Projects[Plan Commissioning (wks)],461)</f>
        <v/>
      </c>
      <c r="DC462" s="5">
        <f>INDEX(Projects[Plan Total (wks)],461)</f>
        <v/>
      </c>
      <c r="DD462" s="5">
        <f>INDEX(Projects[Act Mech Eng (wks)],461)</f>
        <v/>
      </c>
      <c r="DE462" s="5">
        <f>INDEX(Projects[Act Controls Eng (wks)],461)</f>
        <v/>
      </c>
      <c r="DF462" s="5">
        <f>INDEX(Projects[Act Systems Eng (wks)],461)</f>
        <v/>
      </c>
      <c r="DG462" s="5">
        <f>INDEX(Projects[Act Software Eng (wks)],461)</f>
        <v/>
      </c>
      <c r="DH462" s="5">
        <f>INDEX(Projects[Act M&amp;E Installation (wks)],461)</f>
        <v/>
      </c>
      <c r="DI462" s="5">
        <f>INDEX(Projects[Act Commissioning (wks)],461)</f>
        <v/>
      </c>
      <c r="DJ462" s="5">
        <f>INDEX(Projects[Act Total (wks)],461)</f>
        <v/>
      </c>
    </row>
    <row r="463" ht="15" customHeight="1" s="82">
      <c r="A463" s="64">
        <f>INDEX(Projects[Project ID *],462)&amp;""</f>
        <v/>
      </c>
      <c r="B463" s="64">
        <f>INDEX(Projects[Project Name *],462)&amp;""</f>
        <v/>
      </c>
      <c r="C463" s="64">
        <f>INDEX(Projects[MS Shuttles],462)</f>
        <v/>
      </c>
      <c r="D463" s="64">
        <f>INDEX(Projects[MS Tote Locations],462)</f>
        <v/>
      </c>
      <c r="E463" s="64">
        <f>INDEX(Projects[AS Robots],462)</f>
        <v/>
      </c>
      <c r="F463" s="64">
        <f>INDEX(Projects[AS Tote Locations],462)</f>
        <v/>
      </c>
      <c r="G463" s="64">
        <f>INDEX(Projects[PS Shuttles],462)</f>
        <v/>
      </c>
      <c r="H463" s="64">
        <f>INDEX(Projects[PS Pallet Locations],462)</f>
        <v/>
      </c>
      <c r="I463" s="64">
        <f>INDEX(Projects[SRM Cranes],462)</f>
        <v/>
      </c>
      <c r="J463" s="64">
        <f>INDEX(Projects[SRM Pallet Locations],462)</f>
        <v/>
      </c>
      <c r="K463" s="64">
        <f>INDEX(Projects[Case Conv (m)],462)</f>
        <v/>
      </c>
      <c r="L463" s="64">
        <f>INDEX(Projects[Pallet Conv (m)],462)</f>
        <v/>
      </c>
      <c r="M463" s="64">
        <f>IF(N(DJ463)&gt;0,DD463,CW463)</f>
        <v/>
      </c>
      <c r="N463" s="64">
        <f>IF(N(DJ463)&gt;0,DE463,CX463)</f>
        <v/>
      </c>
      <c r="O463" s="64">
        <f>IF(N(DJ463)&gt;0,DF463,CY463)</f>
        <v/>
      </c>
      <c r="P463" s="64">
        <f>IF(N(DJ463)&gt;0,DG463,CZ463)</f>
        <v/>
      </c>
      <c r="Q463" s="64">
        <f>IF(N(DJ463)&gt;0,DH463,DA463)</f>
        <v/>
      </c>
      <c r="R463" s="64">
        <f>IF(N(DJ463)&gt;0,DI463,DB463)</f>
        <v/>
      </c>
      <c r="S463" s="64">
        <f>IF(N(DJ463)&gt;0,DJ463,DC463)</f>
        <v/>
      </c>
      <c r="T463" s="64">
        <f>INDEX(Projects[Currency],462)&amp;""</f>
        <v/>
      </c>
      <c r="U463" s="65">
        <f>INDEX(Projects[Sold Value (M)],462)</f>
        <v/>
      </c>
      <c r="V463" s="64">
        <f>IF('Smart Search'!B13=1,IFERROR(1/'Smart Search'!H13,0),0)</f>
        <v/>
      </c>
      <c r="W463" s="64">
        <f>IF('Smart Search'!B13=1,IFERROR(1/'Smart Search'!H13,0),0)</f>
        <v/>
      </c>
      <c r="X463" s="64">
        <f>IF('Smart Search'!C13=1,IFERROR(1/'Smart Search'!H13,0),0)</f>
        <v/>
      </c>
      <c r="Y463" s="64">
        <f>IF('Smart Search'!C13=1,IFERROR(1/'Smart Search'!H13,0),0)</f>
        <v/>
      </c>
      <c r="Z463" s="64">
        <f>IF('Smart Search'!D13=1,IFERROR(1/'Smart Search'!H13,0),0)</f>
        <v/>
      </c>
      <c r="AA463" s="64">
        <f>IF('Smart Search'!D13=1,IFERROR(1/'Smart Search'!H13,0),0)</f>
        <v/>
      </c>
      <c r="AB463" s="64">
        <f>IF('Smart Search'!E13=1,IFERROR(1/'Smart Search'!H13,0),0)</f>
        <v/>
      </c>
      <c r="AC463" s="64">
        <f>IF('Smart Search'!E13=1,IFERROR(1/'Smart Search'!H13,0),0)</f>
        <v/>
      </c>
      <c r="AD463" s="64">
        <f>IF('Smart Search'!F13=1,IFERROR(1/'Smart Search'!H13,0),0)</f>
        <v/>
      </c>
      <c r="AE463" s="64">
        <f>IF('Smart Search'!F13=1,IFERROR(1/'Smart Search'!H13,0),0)</f>
        <v/>
      </c>
      <c r="AF463" s="64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4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4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4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4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4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4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4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4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4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4">
        <f>AF463*V463</f>
        <v/>
      </c>
      <c r="AQ463" s="64">
        <f>AG463*W463</f>
        <v/>
      </c>
      <c r="AR463" s="64">
        <f>AH463*X463</f>
        <v/>
      </c>
      <c r="AS463" s="64">
        <f>AI463*Y463</f>
        <v/>
      </c>
      <c r="AT463" s="64">
        <f>AJ463*Z463</f>
        <v/>
      </c>
      <c r="AU463" s="64">
        <f>AK463*AA463</f>
        <v/>
      </c>
      <c r="AV463" s="64">
        <f>AL463*AB463</f>
        <v/>
      </c>
      <c r="AW463" s="64">
        <f>AM463*AC463</f>
        <v/>
      </c>
      <c r="AX463" s="64">
        <f>AN463*AD463</f>
        <v/>
      </c>
      <c r="AY463" s="64">
        <f>AO463*AE463</f>
        <v/>
      </c>
      <c r="AZ463" s="64">
        <f>INDEX(Projects[Automation Equipment],462)&amp;""</f>
        <v/>
      </c>
      <c r="BA463" s="64">
        <f>IF(OR(A463="",'Smart Search'!H13=0),"",MAX(0,BE463*BF463*MAX(0,1-BG463)))</f>
        <v/>
      </c>
      <c r="BB463" s="64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4">
        <f>IF('Smart Search'!G13=1,IFERROR(1/'Smart Search'!H13,0),0)</f>
        <v/>
      </c>
      <c r="BD463" s="64">
        <f>BB463*BC463</f>
        <v/>
      </c>
      <c r="BE463" s="64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IF(A463="","",N(INDEX(Projects[Act Mech Inst],462)))</f>
        <v/>
      </c>
      <c r="BK463" s="5">
        <f>IF(A463="","",N(INDEX(Projects[Act Elec Inst],462)))</f>
        <v/>
      </c>
      <c r="BL463" s="5">
        <f>IF(A463="","",N(INDEX(Projects[Act Project Management],462)))</f>
        <v/>
      </c>
      <c r="BM463" s="5">
        <f>IF(A463="","",N(INDEX(Projects[Act Systems Eng],462)))</f>
        <v/>
      </c>
      <c r="BN463" s="5">
        <f>IF(A463="","",N(INDEX(Projects[Act Mechanical Eng],462)))</f>
        <v/>
      </c>
      <c r="BO463" s="5">
        <f>IF(A463="","",N(INDEX(Projects[Act Structural Engineering],462)))</f>
        <v/>
      </c>
      <c r="BP463" s="5">
        <f>IF(A463="","",N(INDEX(Projects[Act Site Sup],462)))</f>
        <v/>
      </c>
      <c r="BQ463" s="5">
        <f>IF(A463="","",N(INDEX(Projects[Act Controls Commissioning],462)))</f>
        <v/>
      </c>
      <c r="BR463" s="5">
        <f>IF(A463="","",N(INDEX(Projects[Act Systems Commissioning],462)))</f>
        <v/>
      </c>
      <c r="BS463" s="5">
        <f>IF(A463="","",N(INDEX(Projects[Act Service Commissioning],462)))</f>
        <v/>
      </c>
      <c r="BT463" s="5">
        <f>IF(A463="","",N(INDEX(Projects[Act Controls Eng],462)))</f>
        <v/>
      </c>
      <c r="BU463" s="5">
        <f>IF(A463="","",N(INDEX(Projects[Act Controls Purchase],462)))</f>
        <v/>
      </c>
      <c r="BV463" s="5">
        <f>IF(A463="","",N(INDEX(Projects[Act Software Eng],462)))</f>
        <v/>
      </c>
      <c r="BW463" s="5">
        <f>IF(A463="","",N(INDEX(Projects[Act 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INDEX(Projects[Sold Value (USD M)],462)</f>
        <v/>
      </c>
      <c r="CE463" s="5" t="n"/>
      <c r="CF463" s="5">
        <f>IF(A463="","",N(INDEX(Projects[Est Mech Inst],462)))</f>
        <v/>
      </c>
      <c r="CG463" s="5">
        <f>IF(A463="","",N(INDEX(Projects[Est Elec Inst],462)))</f>
        <v/>
      </c>
      <c r="CH463" s="5">
        <f>IF(A463="","",N(INDEX(Projects[Est Project Management],462)))</f>
        <v/>
      </c>
      <c r="CI463" s="5">
        <f>IF(A463="","",N(INDEX(Projects[Est Systems Eng],462)))</f>
        <v/>
      </c>
      <c r="CJ463" s="5">
        <f>IF(A463="","",N(INDEX(Projects[Est Mechanical Eng],462)))</f>
        <v/>
      </c>
      <c r="CK463" s="5">
        <f>IF(A463="","",N(INDEX(Projects[Est Structural Engineering],462)))</f>
        <v/>
      </c>
      <c r="CL463" s="5">
        <f>IF(A463="","",N(INDEX(Projects[Est Site Sup],462)))</f>
        <v/>
      </c>
      <c r="CM463" s="5">
        <f>IF(A463="","",N(INDEX(Projects[Est Controls Commissioning],462)))</f>
        <v/>
      </c>
      <c r="CN463" s="5">
        <f>IF(A463="","",N(INDEX(Projects[Est Systems Commissioning],462)))</f>
        <v/>
      </c>
      <c r="CO463" s="5">
        <f>IF(A463="","",N(INDEX(Projects[Est Service Commissioning],462)))</f>
        <v/>
      </c>
      <c r="CP463" s="5">
        <f>IF(A463="","",N(INDEX(Projects[Est Controls Eng],462)))</f>
        <v/>
      </c>
      <c r="CQ463" s="5">
        <f>IF(A463="","",N(INDEX(Projects[Est Controls Purchase],462)))</f>
        <v/>
      </c>
      <c r="CR463" s="5">
        <f>IF(A463="","",N(INDEX(Projects[Est Software Eng],462)))</f>
        <v/>
      </c>
      <c r="CS463" s="5">
        <f>IF(A463="","",N(INDEX(Projects[Est Misc],462)))</f>
        <v/>
      </c>
      <c r="CT463" s="5">
        <f>IF(A463="","",SUM(CF463:CS463))</f>
        <v/>
      </c>
      <c r="CU463" s="5">
        <f>INDEX(Projects[Est Cost (M)],462)</f>
        <v/>
      </c>
      <c r="CV463" s="5">
        <f>INDEX(Projects[Act Cost (M)],462)</f>
        <v/>
      </c>
      <c r="CW463" s="5">
        <f>INDEX(Projects[Plan Mech Eng (wks)],462)</f>
        <v/>
      </c>
      <c r="CX463" s="5">
        <f>INDEX(Projects[Plan Controls Eng (wks)],462)</f>
        <v/>
      </c>
      <c r="CY463" s="5">
        <f>INDEX(Projects[Plan Systems Eng (wks)],462)</f>
        <v/>
      </c>
      <c r="CZ463" s="5">
        <f>INDEX(Projects[Plan Software Eng (wks)],462)</f>
        <v/>
      </c>
      <c r="DA463" s="5">
        <f>INDEX(Projects[Plan M&amp;E Installation (wks)],462)</f>
        <v/>
      </c>
      <c r="DB463" s="5">
        <f>INDEX(Projects[Plan Commissioning (wks)],462)</f>
        <v/>
      </c>
      <c r="DC463" s="5">
        <f>INDEX(Projects[Plan Total (wks)],462)</f>
        <v/>
      </c>
      <c r="DD463" s="5">
        <f>INDEX(Projects[Act Mech Eng (wks)],462)</f>
        <v/>
      </c>
      <c r="DE463" s="5">
        <f>INDEX(Projects[Act Controls Eng (wks)],462)</f>
        <v/>
      </c>
      <c r="DF463" s="5">
        <f>INDEX(Projects[Act Systems Eng (wks)],462)</f>
        <v/>
      </c>
      <c r="DG463" s="5">
        <f>INDEX(Projects[Act Software Eng (wks)],462)</f>
        <v/>
      </c>
      <c r="DH463" s="5">
        <f>INDEX(Projects[Act M&amp;E Installation (wks)],462)</f>
        <v/>
      </c>
      <c r="DI463" s="5">
        <f>INDEX(Projects[Act Commissioning (wks)],462)</f>
        <v/>
      </c>
      <c r="DJ463" s="5">
        <f>INDEX(Projects[Act Total (wks)],462)</f>
        <v/>
      </c>
    </row>
    <row r="464" ht="15" customHeight="1" s="82">
      <c r="A464" s="64">
        <f>INDEX(Projects[Project ID *],463)&amp;""</f>
        <v/>
      </c>
      <c r="B464" s="64">
        <f>INDEX(Projects[Project Name *],463)&amp;""</f>
        <v/>
      </c>
      <c r="C464" s="64">
        <f>INDEX(Projects[MS Shuttles],463)</f>
        <v/>
      </c>
      <c r="D464" s="64">
        <f>INDEX(Projects[MS Tote Locations],463)</f>
        <v/>
      </c>
      <c r="E464" s="64">
        <f>INDEX(Projects[AS Robots],463)</f>
        <v/>
      </c>
      <c r="F464" s="64">
        <f>INDEX(Projects[AS Tote Locations],463)</f>
        <v/>
      </c>
      <c r="G464" s="64">
        <f>INDEX(Projects[PS Shuttles],463)</f>
        <v/>
      </c>
      <c r="H464" s="64">
        <f>INDEX(Projects[PS Pallet Locations],463)</f>
        <v/>
      </c>
      <c r="I464" s="64">
        <f>INDEX(Projects[SRM Cranes],463)</f>
        <v/>
      </c>
      <c r="J464" s="64">
        <f>INDEX(Projects[SRM Pallet Locations],463)</f>
        <v/>
      </c>
      <c r="K464" s="64">
        <f>INDEX(Projects[Case Conv (m)],463)</f>
        <v/>
      </c>
      <c r="L464" s="64">
        <f>INDEX(Projects[Pallet Conv (m)],463)</f>
        <v/>
      </c>
      <c r="M464" s="64">
        <f>IF(N(DJ464)&gt;0,DD464,CW464)</f>
        <v/>
      </c>
      <c r="N464" s="64">
        <f>IF(N(DJ464)&gt;0,DE464,CX464)</f>
        <v/>
      </c>
      <c r="O464" s="64">
        <f>IF(N(DJ464)&gt;0,DF464,CY464)</f>
        <v/>
      </c>
      <c r="P464" s="64">
        <f>IF(N(DJ464)&gt;0,DG464,CZ464)</f>
        <v/>
      </c>
      <c r="Q464" s="64">
        <f>IF(N(DJ464)&gt;0,DH464,DA464)</f>
        <v/>
      </c>
      <c r="R464" s="64">
        <f>IF(N(DJ464)&gt;0,DI464,DB464)</f>
        <v/>
      </c>
      <c r="S464" s="64">
        <f>IF(N(DJ464)&gt;0,DJ464,DC464)</f>
        <v/>
      </c>
      <c r="T464" s="64">
        <f>INDEX(Projects[Currency],463)&amp;""</f>
        <v/>
      </c>
      <c r="U464" s="65">
        <f>INDEX(Projects[Sold Value (M)],463)</f>
        <v/>
      </c>
      <c r="V464" s="64">
        <f>IF('Smart Search'!B13=1,IFERROR(1/'Smart Search'!H13,0),0)</f>
        <v/>
      </c>
      <c r="W464" s="64">
        <f>IF('Smart Search'!B13=1,IFERROR(1/'Smart Search'!H13,0),0)</f>
        <v/>
      </c>
      <c r="X464" s="64">
        <f>IF('Smart Search'!C13=1,IFERROR(1/'Smart Search'!H13,0),0)</f>
        <v/>
      </c>
      <c r="Y464" s="64">
        <f>IF('Smart Search'!C13=1,IFERROR(1/'Smart Search'!H13,0),0)</f>
        <v/>
      </c>
      <c r="Z464" s="64">
        <f>IF('Smart Search'!D13=1,IFERROR(1/'Smart Search'!H13,0),0)</f>
        <v/>
      </c>
      <c r="AA464" s="64">
        <f>IF('Smart Search'!D13=1,IFERROR(1/'Smart Search'!H13,0),0)</f>
        <v/>
      </c>
      <c r="AB464" s="64">
        <f>IF('Smart Search'!E13=1,IFERROR(1/'Smart Search'!H13,0),0)</f>
        <v/>
      </c>
      <c r="AC464" s="64">
        <f>IF('Smart Search'!E13=1,IFERROR(1/'Smart Search'!H13,0),0)</f>
        <v/>
      </c>
      <c r="AD464" s="64">
        <f>IF('Smart Search'!F13=1,IFERROR(1/'Smart Search'!H13,0),0)</f>
        <v/>
      </c>
      <c r="AE464" s="64">
        <f>IF('Smart Search'!F13=1,IFERROR(1/'Smart Search'!H13,0),0)</f>
        <v/>
      </c>
      <c r="AF464" s="64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4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4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4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4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4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4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4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4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4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4">
        <f>AF464*V464</f>
        <v/>
      </c>
      <c r="AQ464" s="64">
        <f>AG464*W464</f>
        <v/>
      </c>
      <c r="AR464" s="64">
        <f>AH464*X464</f>
        <v/>
      </c>
      <c r="AS464" s="64">
        <f>AI464*Y464</f>
        <v/>
      </c>
      <c r="AT464" s="64">
        <f>AJ464*Z464</f>
        <v/>
      </c>
      <c r="AU464" s="64">
        <f>AK464*AA464</f>
        <v/>
      </c>
      <c r="AV464" s="64">
        <f>AL464*AB464</f>
        <v/>
      </c>
      <c r="AW464" s="64">
        <f>AM464*AC464</f>
        <v/>
      </c>
      <c r="AX464" s="64">
        <f>AN464*AD464</f>
        <v/>
      </c>
      <c r="AY464" s="64">
        <f>AO464*AE464</f>
        <v/>
      </c>
      <c r="AZ464" s="64">
        <f>INDEX(Projects[Automation Equipment],463)&amp;""</f>
        <v/>
      </c>
      <c r="BA464" s="64">
        <f>IF(OR(A464="",'Smart Search'!H13=0),"",MAX(0,BE464*BF464*MAX(0,1-BG464)))</f>
        <v/>
      </c>
      <c r="BB464" s="64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4">
        <f>IF('Smart Search'!G13=1,IFERROR(1/'Smart Search'!H13,0),0)</f>
        <v/>
      </c>
      <c r="BD464" s="64">
        <f>BB464*BC464</f>
        <v/>
      </c>
      <c r="BE464" s="64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IF(A464="","",N(INDEX(Projects[Act Mech Inst],463)))</f>
        <v/>
      </c>
      <c r="BK464" s="5">
        <f>IF(A464="","",N(INDEX(Projects[Act Elec Inst],463)))</f>
        <v/>
      </c>
      <c r="BL464" s="5">
        <f>IF(A464="","",N(INDEX(Projects[Act Project Management],463)))</f>
        <v/>
      </c>
      <c r="BM464" s="5">
        <f>IF(A464="","",N(INDEX(Projects[Act Systems Eng],463)))</f>
        <v/>
      </c>
      <c r="BN464" s="5">
        <f>IF(A464="","",N(INDEX(Projects[Act Mechanical Eng],463)))</f>
        <v/>
      </c>
      <c r="BO464" s="5">
        <f>IF(A464="","",N(INDEX(Projects[Act Structural Engineering],463)))</f>
        <v/>
      </c>
      <c r="BP464" s="5">
        <f>IF(A464="","",N(INDEX(Projects[Act Site Sup],463)))</f>
        <v/>
      </c>
      <c r="BQ464" s="5">
        <f>IF(A464="","",N(INDEX(Projects[Act Controls Commissioning],463)))</f>
        <v/>
      </c>
      <c r="BR464" s="5">
        <f>IF(A464="","",N(INDEX(Projects[Act Systems Commissioning],463)))</f>
        <v/>
      </c>
      <c r="BS464" s="5">
        <f>IF(A464="","",N(INDEX(Projects[Act Service Commissioning],463)))</f>
        <v/>
      </c>
      <c r="BT464" s="5">
        <f>IF(A464="","",N(INDEX(Projects[Act Controls Eng],463)))</f>
        <v/>
      </c>
      <c r="BU464" s="5">
        <f>IF(A464="","",N(INDEX(Projects[Act Controls Purchase],463)))</f>
        <v/>
      </c>
      <c r="BV464" s="5">
        <f>IF(A464="","",N(INDEX(Projects[Act Software Eng],463)))</f>
        <v/>
      </c>
      <c r="BW464" s="5">
        <f>IF(A464="","",N(INDEX(Projects[Act 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INDEX(Projects[Sold Value (USD M)],463)</f>
        <v/>
      </c>
      <c r="CE464" s="5" t="n"/>
      <c r="CF464" s="5">
        <f>IF(A464="","",N(INDEX(Projects[Est Mech Inst],463)))</f>
        <v/>
      </c>
      <c r="CG464" s="5">
        <f>IF(A464="","",N(INDEX(Projects[Est Elec Inst],463)))</f>
        <v/>
      </c>
      <c r="CH464" s="5">
        <f>IF(A464="","",N(INDEX(Projects[Est Project Management],463)))</f>
        <v/>
      </c>
      <c r="CI464" s="5">
        <f>IF(A464="","",N(INDEX(Projects[Est Systems Eng],463)))</f>
        <v/>
      </c>
      <c r="CJ464" s="5">
        <f>IF(A464="","",N(INDEX(Projects[Est Mechanical Eng],463)))</f>
        <v/>
      </c>
      <c r="CK464" s="5">
        <f>IF(A464="","",N(INDEX(Projects[Est Structural Engineering],463)))</f>
        <v/>
      </c>
      <c r="CL464" s="5">
        <f>IF(A464="","",N(INDEX(Projects[Est Site Sup],463)))</f>
        <v/>
      </c>
      <c r="CM464" s="5">
        <f>IF(A464="","",N(INDEX(Projects[Est Controls Commissioning],463)))</f>
        <v/>
      </c>
      <c r="CN464" s="5">
        <f>IF(A464="","",N(INDEX(Projects[Est Systems Commissioning],463)))</f>
        <v/>
      </c>
      <c r="CO464" s="5">
        <f>IF(A464="","",N(INDEX(Projects[Est Service Commissioning],463)))</f>
        <v/>
      </c>
      <c r="CP464" s="5">
        <f>IF(A464="","",N(INDEX(Projects[Est Controls Eng],463)))</f>
        <v/>
      </c>
      <c r="CQ464" s="5">
        <f>IF(A464="","",N(INDEX(Projects[Est Controls Purchase],463)))</f>
        <v/>
      </c>
      <c r="CR464" s="5">
        <f>IF(A464="","",N(INDEX(Projects[Est Software Eng],463)))</f>
        <v/>
      </c>
      <c r="CS464" s="5">
        <f>IF(A464="","",N(INDEX(Projects[Est Misc],463)))</f>
        <v/>
      </c>
      <c r="CT464" s="5">
        <f>IF(A464="","",SUM(CF464:CS464))</f>
        <v/>
      </c>
      <c r="CU464" s="5">
        <f>INDEX(Projects[Est Cost (M)],463)</f>
        <v/>
      </c>
      <c r="CV464" s="5">
        <f>INDEX(Projects[Act Cost (M)],463)</f>
        <v/>
      </c>
      <c r="CW464" s="5">
        <f>INDEX(Projects[Plan Mech Eng (wks)],463)</f>
        <v/>
      </c>
      <c r="CX464" s="5">
        <f>INDEX(Projects[Plan Controls Eng (wks)],463)</f>
        <v/>
      </c>
      <c r="CY464" s="5">
        <f>INDEX(Projects[Plan Systems Eng (wks)],463)</f>
        <v/>
      </c>
      <c r="CZ464" s="5">
        <f>INDEX(Projects[Plan Software Eng (wks)],463)</f>
        <v/>
      </c>
      <c r="DA464" s="5">
        <f>INDEX(Projects[Plan M&amp;E Installation (wks)],463)</f>
        <v/>
      </c>
      <c r="DB464" s="5">
        <f>INDEX(Projects[Plan Commissioning (wks)],463)</f>
        <v/>
      </c>
      <c r="DC464" s="5">
        <f>INDEX(Projects[Plan Total (wks)],463)</f>
        <v/>
      </c>
      <c r="DD464" s="5">
        <f>INDEX(Projects[Act Mech Eng (wks)],463)</f>
        <v/>
      </c>
      <c r="DE464" s="5">
        <f>INDEX(Projects[Act Controls Eng (wks)],463)</f>
        <v/>
      </c>
      <c r="DF464" s="5">
        <f>INDEX(Projects[Act Systems Eng (wks)],463)</f>
        <v/>
      </c>
      <c r="DG464" s="5">
        <f>INDEX(Projects[Act Software Eng (wks)],463)</f>
        <v/>
      </c>
      <c r="DH464" s="5">
        <f>INDEX(Projects[Act M&amp;E Installation (wks)],463)</f>
        <v/>
      </c>
      <c r="DI464" s="5">
        <f>INDEX(Projects[Act Commissioning (wks)],463)</f>
        <v/>
      </c>
      <c r="DJ464" s="5">
        <f>INDEX(Projects[Act Total (wks)],463)</f>
        <v/>
      </c>
    </row>
    <row r="465" ht="15" customHeight="1" s="82">
      <c r="A465" s="64">
        <f>INDEX(Projects[Project ID *],464)&amp;""</f>
        <v/>
      </c>
      <c r="B465" s="64">
        <f>INDEX(Projects[Project Name *],464)&amp;""</f>
        <v/>
      </c>
      <c r="C465" s="64">
        <f>INDEX(Projects[MS Shuttles],464)</f>
        <v/>
      </c>
      <c r="D465" s="64">
        <f>INDEX(Projects[MS Tote Locations],464)</f>
        <v/>
      </c>
      <c r="E465" s="64">
        <f>INDEX(Projects[AS Robots],464)</f>
        <v/>
      </c>
      <c r="F465" s="64">
        <f>INDEX(Projects[AS Tote Locations],464)</f>
        <v/>
      </c>
      <c r="G465" s="64">
        <f>INDEX(Projects[PS Shuttles],464)</f>
        <v/>
      </c>
      <c r="H465" s="64">
        <f>INDEX(Projects[PS Pallet Locations],464)</f>
        <v/>
      </c>
      <c r="I465" s="64">
        <f>INDEX(Projects[SRM Cranes],464)</f>
        <v/>
      </c>
      <c r="J465" s="64">
        <f>INDEX(Projects[SRM Pallet Locations],464)</f>
        <v/>
      </c>
      <c r="K465" s="64">
        <f>INDEX(Projects[Case Conv (m)],464)</f>
        <v/>
      </c>
      <c r="L465" s="64">
        <f>INDEX(Projects[Pallet Conv (m)],464)</f>
        <v/>
      </c>
      <c r="M465" s="64">
        <f>IF(N(DJ465)&gt;0,DD465,CW465)</f>
        <v/>
      </c>
      <c r="N465" s="64">
        <f>IF(N(DJ465)&gt;0,DE465,CX465)</f>
        <v/>
      </c>
      <c r="O465" s="64">
        <f>IF(N(DJ465)&gt;0,DF465,CY465)</f>
        <v/>
      </c>
      <c r="P465" s="64">
        <f>IF(N(DJ465)&gt;0,DG465,CZ465)</f>
        <v/>
      </c>
      <c r="Q465" s="64">
        <f>IF(N(DJ465)&gt;0,DH465,DA465)</f>
        <v/>
      </c>
      <c r="R465" s="64">
        <f>IF(N(DJ465)&gt;0,DI465,DB465)</f>
        <v/>
      </c>
      <c r="S465" s="64">
        <f>IF(N(DJ465)&gt;0,DJ465,DC465)</f>
        <v/>
      </c>
      <c r="T465" s="64">
        <f>INDEX(Projects[Currency],464)&amp;""</f>
        <v/>
      </c>
      <c r="U465" s="65">
        <f>INDEX(Projects[Sold Value (M)],464)</f>
        <v/>
      </c>
      <c r="V465" s="64">
        <f>IF('Smart Search'!B13=1,IFERROR(1/'Smart Search'!H13,0),0)</f>
        <v/>
      </c>
      <c r="W465" s="64">
        <f>IF('Smart Search'!B13=1,IFERROR(1/'Smart Search'!H13,0),0)</f>
        <v/>
      </c>
      <c r="X465" s="64">
        <f>IF('Smart Search'!C13=1,IFERROR(1/'Smart Search'!H13,0),0)</f>
        <v/>
      </c>
      <c r="Y465" s="64">
        <f>IF('Smart Search'!C13=1,IFERROR(1/'Smart Search'!H13,0),0)</f>
        <v/>
      </c>
      <c r="Z465" s="64">
        <f>IF('Smart Search'!D13=1,IFERROR(1/'Smart Search'!H13,0),0)</f>
        <v/>
      </c>
      <c r="AA465" s="64">
        <f>IF('Smart Search'!D13=1,IFERROR(1/'Smart Search'!H13,0),0)</f>
        <v/>
      </c>
      <c r="AB465" s="64">
        <f>IF('Smart Search'!E13=1,IFERROR(1/'Smart Search'!H13,0),0)</f>
        <v/>
      </c>
      <c r="AC465" s="64">
        <f>IF('Smart Search'!E13=1,IFERROR(1/'Smart Search'!H13,0),0)</f>
        <v/>
      </c>
      <c r="AD465" s="64">
        <f>IF('Smart Search'!F13=1,IFERROR(1/'Smart Search'!H13,0),0)</f>
        <v/>
      </c>
      <c r="AE465" s="64">
        <f>IF('Smart Search'!F13=1,IFERROR(1/'Smart Search'!H13,0),0)</f>
        <v/>
      </c>
      <c r="AF465" s="64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4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4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4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4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4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4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4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4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4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4">
        <f>AF465*V465</f>
        <v/>
      </c>
      <c r="AQ465" s="64">
        <f>AG465*W465</f>
        <v/>
      </c>
      <c r="AR465" s="64">
        <f>AH465*X465</f>
        <v/>
      </c>
      <c r="AS465" s="64">
        <f>AI465*Y465</f>
        <v/>
      </c>
      <c r="AT465" s="64">
        <f>AJ465*Z465</f>
        <v/>
      </c>
      <c r="AU465" s="64">
        <f>AK465*AA465</f>
        <v/>
      </c>
      <c r="AV465" s="64">
        <f>AL465*AB465</f>
        <v/>
      </c>
      <c r="AW465" s="64">
        <f>AM465*AC465</f>
        <v/>
      </c>
      <c r="AX465" s="64">
        <f>AN465*AD465</f>
        <v/>
      </c>
      <c r="AY465" s="64">
        <f>AO465*AE465</f>
        <v/>
      </c>
      <c r="AZ465" s="64">
        <f>INDEX(Projects[Automation Equipment],464)&amp;""</f>
        <v/>
      </c>
      <c r="BA465" s="64">
        <f>IF(OR(A465="",'Smart Search'!H13=0),"",MAX(0,BE465*BF465*MAX(0,1-BG465)))</f>
        <v/>
      </c>
      <c r="BB465" s="64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4">
        <f>IF('Smart Search'!G13=1,IFERROR(1/'Smart Search'!H13,0),0)</f>
        <v/>
      </c>
      <c r="BD465" s="64">
        <f>BB465*BC465</f>
        <v/>
      </c>
      <c r="BE465" s="64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IF(A465="","",N(INDEX(Projects[Act Mech Inst],464)))</f>
        <v/>
      </c>
      <c r="BK465" s="5">
        <f>IF(A465="","",N(INDEX(Projects[Act Elec Inst],464)))</f>
        <v/>
      </c>
      <c r="BL465" s="5">
        <f>IF(A465="","",N(INDEX(Projects[Act Project Management],464)))</f>
        <v/>
      </c>
      <c r="BM465" s="5">
        <f>IF(A465="","",N(INDEX(Projects[Act Systems Eng],464)))</f>
        <v/>
      </c>
      <c r="BN465" s="5">
        <f>IF(A465="","",N(INDEX(Projects[Act Mechanical Eng],464)))</f>
        <v/>
      </c>
      <c r="BO465" s="5">
        <f>IF(A465="","",N(INDEX(Projects[Act Structural Engineering],464)))</f>
        <v/>
      </c>
      <c r="BP465" s="5">
        <f>IF(A465="","",N(INDEX(Projects[Act Site Sup],464)))</f>
        <v/>
      </c>
      <c r="BQ465" s="5">
        <f>IF(A465="","",N(INDEX(Projects[Act Controls Commissioning],464)))</f>
        <v/>
      </c>
      <c r="BR465" s="5">
        <f>IF(A465="","",N(INDEX(Projects[Act Systems Commissioning],464)))</f>
        <v/>
      </c>
      <c r="BS465" s="5">
        <f>IF(A465="","",N(INDEX(Projects[Act Service Commissioning],464)))</f>
        <v/>
      </c>
      <c r="BT465" s="5">
        <f>IF(A465="","",N(INDEX(Projects[Act Controls Eng],464)))</f>
        <v/>
      </c>
      <c r="BU465" s="5">
        <f>IF(A465="","",N(INDEX(Projects[Act Controls Purchase],464)))</f>
        <v/>
      </c>
      <c r="BV465" s="5">
        <f>IF(A465="","",N(INDEX(Projects[Act Software Eng],464)))</f>
        <v/>
      </c>
      <c r="BW465" s="5">
        <f>IF(A465="","",N(INDEX(Projects[Act 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INDEX(Projects[Sold Value (USD M)],464)</f>
        <v/>
      </c>
      <c r="CE465" s="5" t="n"/>
      <c r="CF465" s="5">
        <f>IF(A465="","",N(INDEX(Projects[Est Mech Inst],464)))</f>
        <v/>
      </c>
      <c r="CG465" s="5">
        <f>IF(A465="","",N(INDEX(Projects[Est Elec Inst],464)))</f>
        <v/>
      </c>
      <c r="CH465" s="5">
        <f>IF(A465="","",N(INDEX(Projects[Est Project Management],464)))</f>
        <v/>
      </c>
      <c r="CI465" s="5">
        <f>IF(A465="","",N(INDEX(Projects[Est Systems Eng],464)))</f>
        <v/>
      </c>
      <c r="CJ465" s="5">
        <f>IF(A465="","",N(INDEX(Projects[Est Mechanical Eng],464)))</f>
        <v/>
      </c>
      <c r="CK465" s="5">
        <f>IF(A465="","",N(INDEX(Projects[Est Structural Engineering],464)))</f>
        <v/>
      </c>
      <c r="CL465" s="5">
        <f>IF(A465="","",N(INDEX(Projects[Est Site Sup],464)))</f>
        <v/>
      </c>
      <c r="CM465" s="5">
        <f>IF(A465="","",N(INDEX(Projects[Est Controls Commissioning],464)))</f>
        <v/>
      </c>
      <c r="CN465" s="5">
        <f>IF(A465="","",N(INDEX(Projects[Est Systems Commissioning],464)))</f>
        <v/>
      </c>
      <c r="CO465" s="5">
        <f>IF(A465="","",N(INDEX(Projects[Est Service Commissioning],464)))</f>
        <v/>
      </c>
      <c r="CP465" s="5">
        <f>IF(A465="","",N(INDEX(Projects[Est Controls Eng],464)))</f>
        <v/>
      </c>
      <c r="CQ465" s="5">
        <f>IF(A465="","",N(INDEX(Projects[Est Controls Purchase],464)))</f>
        <v/>
      </c>
      <c r="CR465" s="5">
        <f>IF(A465="","",N(INDEX(Projects[Est Software Eng],464)))</f>
        <v/>
      </c>
      <c r="CS465" s="5">
        <f>IF(A465="","",N(INDEX(Projects[Est Misc],464)))</f>
        <v/>
      </c>
      <c r="CT465" s="5">
        <f>IF(A465="","",SUM(CF465:CS465))</f>
        <v/>
      </c>
      <c r="CU465" s="5">
        <f>INDEX(Projects[Est Cost (M)],464)</f>
        <v/>
      </c>
      <c r="CV465" s="5">
        <f>INDEX(Projects[Act Cost (M)],464)</f>
        <v/>
      </c>
      <c r="CW465" s="5">
        <f>INDEX(Projects[Plan Mech Eng (wks)],464)</f>
        <v/>
      </c>
      <c r="CX465" s="5">
        <f>INDEX(Projects[Plan Controls Eng (wks)],464)</f>
        <v/>
      </c>
      <c r="CY465" s="5">
        <f>INDEX(Projects[Plan Systems Eng (wks)],464)</f>
        <v/>
      </c>
      <c r="CZ465" s="5">
        <f>INDEX(Projects[Plan Software Eng (wks)],464)</f>
        <v/>
      </c>
      <c r="DA465" s="5">
        <f>INDEX(Projects[Plan M&amp;E Installation (wks)],464)</f>
        <v/>
      </c>
      <c r="DB465" s="5">
        <f>INDEX(Projects[Plan Commissioning (wks)],464)</f>
        <v/>
      </c>
      <c r="DC465" s="5">
        <f>INDEX(Projects[Plan Total (wks)],464)</f>
        <v/>
      </c>
      <c r="DD465" s="5">
        <f>INDEX(Projects[Act Mech Eng (wks)],464)</f>
        <v/>
      </c>
      <c r="DE465" s="5">
        <f>INDEX(Projects[Act Controls Eng (wks)],464)</f>
        <v/>
      </c>
      <c r="DF465" s="5">
        <f>INDEX(Projects[Act Systems Eng (wks)],464)</f>
        <v/>
      </c>
      <c r="DG465" s="5">
        <f>INDEX(Projects[Act Software Eng (wks)],464)</f>
        <v/>
      </c>
      <c r="DH465" s="5">
        <f>INDEX(Projects[Act M&amp;E Installation (wks)],464)</f>
        <v/>
      </c>
      <c r="DI465" s="5">
        <f>INDEX(Projects[Act Commissioning (wks)],464)</f>
        <v/>
      </c>
      <c r="DJ465" s="5">
        <f>INDEX(Projects[Act Total (wks)],464)</f>
        <v/>
      </c>
    </row>
    <row r="466" ht="15" customHeight="1" s="82">
      <c r="A466" s="64">
        <f>INDEX(Projects[Project ID *],465)&amp;""</f>
        <v/>
      </c>
      <c r="B466" s="64">
        <f>INDEX(Projects[Project Name *],465)&amp;""</f>
        <v/>
      </c>
      <c r="C466" s="64">
        <f>INDEX(Projects[MS Shuttles],465)</f>
        <v/>
      </c>
      <c r="D466" s="64">
        <f>INDEX(Projects[MS Tote Locations],465)</f>
        <v/>
      </c>
      <c r="E466" s="64">
        <f>INDEX(Projects[AS Robots],465)</f>
        <v/>
      </c>
      <c r="F466" s="64">
        <f>INDEX(Projects[AS Tote Locations],465)</f>
        <v/>
      </c>
      <c r="G466" s="64">
        <f>INDEX(Projects[PS Shuttles],465)</f>
        <v/>
      </c>
      <c r="H466" s="64">
        <f>INDEX(Projects[PS Pallet Locations],465)</f>
        <v/>
      </c>
      <c r="I466" s="64">
        <f>INDEX(Projects[SRM Cranes],465)</f>
        <v/>
      </c>
      <c r="J466" s="64">
        <f>INDEX(Projects[SRM Pallet Locations],465)</f>
        <v/>
      </c>
      <c r="K466" s="64">
        <f>INDEX(Projects[Case Conv (m)],465)</f>
        <v/>
      </c>
      <c r="L466" s="64">
        <f>INDEX(Projects[Pallet Conv (m)],465)</f>
        <v/>
      </c>
      <c r="M466" s="64">
        <f>IF(N(DJ466)&gt;0,DD466,CW466)</f>
        <v/>
      </c>
      <c r="N466" s="64">
        <f>IF(N(DJ466)&gt;0,DE466,CX466)</f>
        <v/>
      </c>
      <c r="O466" s="64">
        <f>IF(N(DJ466)&gt;0,DF466,CY466)</f>
        <v/>
      </c>
      <c r="P466" s="64">
        <f>IF(N(DJ466)&gt;0,DG466,CZ466)</f>
        <v/>
      </c>
      <c r="Q466" s="64">
        <f>IF(N(DJ466)&gt;0,DH466,DA466)</f>
        <v/>
      </c>
      <c r="R466" s="64">
        <f>IF(N(DJ466)&gt;0,DI466,DB466)</f>
        <v/>
      </c>
      <c r="S466" s="64">
        <f>IF(N(DJ466)&gt;0,DJ466,DC466)</f>
        <v/>
      </c>
      <c r="T466" s="64">
        <f>INDEX(Projects[Currency],465)&amp;""</f>
        <v/>
      </c>
      <c r="U466" s="65">
        <f>INDEX(Projects[Sold Value (M)],465)</f>
        <v/>
      </c>
      <c r="V466" s="64">
        <f>IF('Smart Search'!B13=1,IFERROR(1/'Smart Search'!H13,0),0)</f>
        <v/>
      </c>
      <c r="W466" s="64">
        <f>IF('Smart Search'!B13=1,IFERROR(1/'Smart Search'!H13,0),0)</f>
        <v/>
      </c>
      <c r="X466" s="64">
        <f>IF('Smart Search'!C13=1,IFERROR(1/'Smart Search'!H13,0),0)</f>
        <v/>
      </c>
      <c r="Y466" s="64">
        <f>IF('Smart Search'!C13=1,IFERROR(1/'Smart Search'!H13,0),0)</f>
        <v/>
      </c>
      <c r="Z466" s="64">
        <f>IF('Smart Search'!D13=1,IFERROR(1/'Smart Search'!H13,0),0)</f>
        <v/>
      </c>
      <c r="AA466" s="64">
        <f>IF('Smart Search'!D13=1,IFERROR(1/'Smart Search'!H13,0),0)</f>
        <v/>
      </c>
      <c r="AB466" s="64">
        <f>IF('Smart Search'!E13=1,IFERROR(1/'Smart Search'!H13,0),0)</f>
        <v/>
      </c>
      <c r="AC466" s="64">
        <f>IF('Smart Search'!E13=1,IFERROR(1/'Smart Search'!H13,0),0)</f>
        <v/>
      </c>
      <c r="AD466" s="64">
        <f>IF('Smart Search'!F13=1,IFERROR(1/'Smart Search'!H13,0),0)</f>
        <v/>
      </c>
      <c r="AE466" s="64">
        <f>IF('Smart Search'!F13=1,IFERROR(1/'Smart Search'!H13,0),0)</f>
        <v/>
      </c>
      <c r="AF466" s="64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4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4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4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4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4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4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4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4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4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4">
        <f>AF466*V466</f>
        <v/>
      </c>
      <c r="AQ466" s="64">
        <f>AG466*W466</f>
        <v/>
      </c>
      <c r="AR466" s="64">
        <f>AH466*X466</f>
        <v/>
      </c>
      <c r="AS466" s="64">
        <f>AI466*Y466</f>
        <v/>
      </c>
      <c r="AT466" s="64">
        <f>AJ466*Z466</f>
        <v/>
      </c>
      <c r="AU466" s="64">
        <f>AK466*AA466</f>
        <v/>
      </c>
      <c r="AV466" s="64">
        <f>AL466*AB466</f>
        <v/>
      </c>
      <c r="AW466" s="64">
        <f>AM466*AC466</f>
        <v/>
      </c>
      <c r="AX466" s="64">
        <f>AN466*AD466</f>
        <v/>
      </c>
      <c r="AY466" s="64">
        <f>AO466*AE466</f>
        <v/>
      </c>
      <c r="AZ466" s="64">
        <f>INDEX(Projects[Automation Equipment],465)&amp;""</f>
        <v/>
      </c>
      <c r="BA466" s="64">
        <f>IF(OR(A466="",'Smart Search'!H13=0),"",MAX(0,BE466*BF466*MAX(0,1-BG466)))</f>
        <v/>
      </c>
      <c r="BB466" s="64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4">
        <f>IF('Smart Search'!G13=1,IFERROR(1/'Smart Search'!H13,0),0)</f>
        <v/>
      </c>
      <c r="BD466" s="64">
        <f>BB466*BC466</f>
        <v/>
      </c>
      <c r="BE466" s="64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IF(A466="","",N(INDEX(Projects[Act Mech Inst],465)))</f>
        <v/>
      </c>
      <c r="BK466" s="5">
        <f>IF(A466="","",N(INDEX(Projects[Act Elec Inst],465)))</f>
        <v/>
      </c>
      <c r="BL466" s="5">
        <f>IF(A466="","",N(INDEX(Projects[Act Project Management],465)))</f>
        <v/>
      </c>
      <c r="BM466" s="5">
        <f>IF(A466="","",N(INDEX(Projects[Act Systems Eng],465)))</f>
        <v/>
      </c>
      <c r="BN466" s="5">
        <f>IF(A466="","",N(INDEX(Projects[Act Mechanical Eng],465)))</f>
        <v/>
      </c>
      <c r="BO466" s="5">
        <f>IF(A466="","",N(INDEX(Projects[Act Structural Engineering],465)))</f>
        <v/>
      </c>
      <c r="BP466" s="5">
        <f>IF(A466="","",N(INDEX(Projects[Act Site Sup],465)))</f>
        <v/>
      </c>
      <c r="BQ466" s="5">
        <f>IF(A466="","",N(INDEX(Projects[Act Controls Commissioning],465)))</f>
        <v/>
      </c>
      <c r="BR466" s="5">
        <f>IF(A466="","",N(INDEX(Projects[Act Systems Commissioning],465)))</f>
        <v/>
      </c>
      <c r="BS466" s="5">
        <f>IF(A466="","",N(INDEX(Projects[Act Service Commissioning],465)))</f>
        <v/>
      </c>
      <c r="BT466" s="5">
        <f>IF(A466="","",N(INDEX(Projects[Act Controls Eng],465)))</f>
        <v/>
      </c>
      <c r="BU466" s="5">
        <f>IF(A466="","",N(INDEX(Projects[Act Controls Purchase],465)))</f>
        <v/>
      </c>
      <c r="BV466" s="5">
        <f>IF(A466="","",N(INDEX(Projects[Act Software Eng],465)))</f>
        <v/>
      </c>
      <c r="BW466" s="5">
        <f>IF(A466="","",N(INDEX(Projects[Act 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INDEX(Projects[Sold Value (USD M)],465)</f>
        <v/>
      </c>
      <c r="CE466" s="5" t="n"/>
      <c r="CF466" s="5">
        <f>IF(A466="","",N(INDEX(Projects[Est Mech Inst],465)))</f>
        <v/>
      </c>
      <c r="CG466" s="5">
        <f>IF(A466="","",N(INDEX(Projects[Est Elec Inst],465)))</f>
        <v/>
      </c>
      <c r="CH466" s="5">
        <f>IF(A466="","",N(INDEX(Projects[Est Project Management],465)))</f>
        <v/>
      </c>
      <c r="CI466" s="5">
        <f>IF(A466="","",N(INDEX(Projects[Est Systems Eng],465)))</f>
        <v/>
      </c>
      <c r="CJ466" s="5">
        <f>IF(A466="","",N(INDEX(Projects[Est Mechanical Eng],465)))</f>
        <v/>
      </c>
      <c r="CK466" s="5">
        <f>IF(A466="","",N(INDEX(Projects[Est Structural Engineering],465)))</f>
        <v/>
      </c>
      <c r="CL466" s="5">
        <f>IF(A466="","",N(INDEX(Projects[Est Site Sup],465)))</f>
        <v/>
      </c>
      <c r="CM466" s="5">
        <f>IF(A466="","",N(INDEX(Projects[Est Controls Commissioning],465)))</f>
        <v/>
      </c>
      <c r="CN466" s="5">
        <f>IF(A466="","",N(INDEX(Projects[Est Systems Commissioning],465)))</f>
        <v/>
      </c>
      <c r="CO466" s="5">
        <f>IF(A466="","",N(INDEX(Projects[Est Service Commissioning],465)))</f>
        <v/>
      </c>
      <c r="CP466" s="5">
        <f>IF(A466="","",N(INDEX(Projects[Est Controls Eng],465)))</f>
        <v/>
      </c>
      <c r="CQ466" s="5">
        <f>IF(A466="","",N(INDEX(Projects[Est Controls Purchase],465)))</f>
        <v/>
      </c>
      <c r="CR466" s="5">
        <f>IF(A466="","",N(INDEX(Projects[Est Software Eng],465)))</f>
        <v/>
      </c>
      <c r="CS466" s="5">
        <f>IF(A466="","",N(INDEX(Projects[Est Misc],465)))</f>
        <v/>
      </c>
      <c r="CT466" s="5">
        <f>IF(A466="","",SUM(CF466:CS466))</f>
        <v/>
      </c>
      <c r="CU466" s="5">
        <f>INDEX(Projects[Est Cost (M)],465)</f>
        <v/>
      </c>
      <c r="CV466" s="5">
        <f>INDEX(Projects[Act Cost (M)],465)</f>
        <v/>
      </c>
      <c r="CW466" s="5">
        <f>INDEX(Projects[Plan Mech Eng (wks)],465)</f>
        <v/>
      </c>
      <c r="CX466" s="5">
        <f>INDEX(Projects[Plan Controls Eng (wks)],465)</f>
        <v/>
      </c>
      <c r="CY466" s="5">
        <f>INDEX(Projects[Plan Systems Eng (wks)],465)</f>
        <v/>
      </c>
      <c r="CZ466" s="5">
        <f>INDEX(Projects[Plan Software Eng (wks)],465)</f>
        <v/>
      </c>
      <c r="DA466" s="5">
        <f>INDEX(Projects[Plan M&amp;E Installation (wks)],465)</f>
        <v/>
      </c>
      <c r="DB466" s="5">
        <f>INDEX(Projects[Plan Commissioning (wks)],465)</f>
        <v/>
      </c>
      <c r="DC466" s="5">
        <f>INDEX(Projects[Plan Total (wks)],465)</f>
        <v/>
      </c>
      <c r="DD466" s="5">
        <f>INDEX(Projects[Act Mech Eng (wks)],465)</f>
        <v/>
      </c>
      <c r="DE466" s="5">
        <f>INDEX(Projects[Act Controls Eng (wks)],465)</f>
        <v/>
      </c>
      <c r="DF466" s="5">
        <f>INDEX(Projects[Act Systems Eng (wks)],465)</f>
        <v/>
      </c>
      <c r="DG466" s="5">
        <f>INDEX(Projects[Act Software Eng (wks)],465)</f>
        <v/>
      </c>
      <c r="DH466" s="5">
        <f>INDEX(Projects[Act M&amp;E Installation (wks)],465)</f>
        <v/>
      </c>
      <c r="DI466" s="5">
        <f>INDEX(Projects[Act Commissioning (wks)],465)</f>
        <v/>
      </c>
      <c r="DJ466" s="5">
        <f>INDEX(Projects[Act Total (wks)],465)</f>
        <v/>
      </c>
    </row>
    <row r="467" ht="15" customHeight="1" s="82">
      <c r="A467" s="64">
        <f>INDEX(Projects[Project ID *],466)&amp;""</f>
        <v/>
      </c>
      <c r="B467" s="64">
        <f>INDEX(Projects[Project Name *],466)&amp;""</f>
        <v/>
      </c>
      <c r="C467" s="64">
        <f>INDEX(Projects[MS Shuttles],466)</f>
        <v/>
      </c>
      <c r="D467" s="64">
        <f>INDEX(Projects[MS Tote Locations],466)</f>
        <v/>
      </c>
      <c r="E467" s="64">
        <f>INDEX(Projects[AS Robots],466)</f>
        <v/>
      </c>
      <c r="F467" s="64">
        <f>INDEX(Projects[AS Tote Locations],466)</f>
        <v/>
      </c>
      <c r="G467" s="64">
        <f>INDEX(Projects[PS Shuttles],466)</f>
        <v/>
      </c>
      <c r="H467" s="64">
        <f>INDEX(Projects[PS Pallet Locations],466)</f>
        <v/>
      </c>
      <c r="I467" s="64">
        <f>INDEX(Projects[SRM Cranes],466)</f>
        <v/>
      </c>
      <c r="J467" s="64">
        <f>INDEX(Projects[SRM Pallet Locations],466)</f>
        <v/>
      </c>
      <c r="K467" s="64">
        <f>INDEX(Projects[Case Conv (m)],466)</f>
        <v/>
      </c>
      <c r="L467" s="64">
        <f>INDEX(Projects[Pallet Conv (m)],466)</f>
        <v/>
      </c>
      <c r="M467" s="64">
        <f>IF(N(DJ467)&gt;0,DD467,CW467)</f>
        <v/>
      </c>
      <c r="N467" s="64">
        <f>IF(N(DJ467)&gt;0,DE467,CX467)</f>
        <v/>
      </c>
      <c r="O467" s="64">
        <f>IF(N(DJ467)&gt;0,DF467,CY467)</f>
        <v/>
      </c>
      <c r="P467" s="64">
        <f>IF(N(DJ467)&gt;0,DG467,CZ467)</f>
        <v/>
      </c>
      <c r="Q467" s="64">
        <f>IF(N(DJ467)&gt;0,DH467,DA467)</f>
        <v/>
      </c>
      <c r="R467" s="64">
        <f>IF(N(DJ467)&gt;0,DI467,DB467)</f>
        <v/>
      </c>
      <c r="S467" s="64">
        <f>IF(N(DJ467)&gt;0,DJ467,DC467)</f>
        <v/>
      </c>
      <c r="T467" s="64">
        <f>INDEX(Projects[Currency],466)&amp;""</f>
        <v/>
      </c>
      <c r="U467" s="65">
        <f>INDEX(Projects[Sold Value (M)],466)</f>
        <v/>
      </c>
      <c r="V467" s="64">
        <f>IF('Smart Search'!B13=1,IFERROR(1/'Smart Search'!H13,0),0)</f>
        <v/>
      </c>
      <c r="W467" s="64">
        <f>IF('Smart Search'!B13=1,IFERROR(1/'Smart Search'!H13,0),0)</f>
        <v/>
      </c>
      <c r="X467" s="64">
        <f>IF('Smart Search'!C13=1,IFERROR(1/'Smart Search'!H13,0),0)</f>
        <v/>
      </c>
      <c r="Y467" s="64">
        <f>IF('Smart Search'!C13=1,IFERROR(1/'Smart Search'!H13,0),0)</f>
        <v/>
      </c>
      <c r="Z467" s="64">
        <f>IF('Smart Search'!D13=1,IFERROR(1/'Smart Search'!H13,0),0)</f>
        <v/>
      </c>
      <c r="AA467" s="64">
        <f>IF('Smart Search'!D13=1,IFERROR(1/'Smart Search'!H13,0),0)</f>
        <v/>
      </c>
      <c r="AB467" s="64">
        <f>IF('Smart Search'!E13=1,IFERROR(1/'Smart Search'!H13,0),0)</f>
        <v/>
      </c>
      <c r="AC467" s="64">
        <f>IF('Smart Search'!E13=1,IFERROR(1/'Smart Search'!H13,0),0)</f>
        <v/>
      </c>
      <c r="AD467" s="64">
        <f>IF('Smart Search'!F13=1,IFERROR(1/'Smart Search'!H13,0),0)</f>
        <v/>
      </c>
      <c r="AE467" s="64">
        <f>IF('Smart Search'!F13=1,IFERROR(1/'Smart Search'!H13,0),0)</f>
        <v/>
      </c>
      <c r="AF467" s="64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4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4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4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4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4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4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4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4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4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4">
        <f>AF467*V467</f>
        <v/>
      </c>
      <c r="AQ467" s="64">
        <f>AG467*W467</f>
        <v/>
      </c>
      <c r="AR467" s="64">
        <f>AH467*X467</f>
        <v/>
      </c>
      <c r="AS467" s="64">
        <f>AI467*Y467</f>
        <v/>
      </c>
      <c r="AT467" s="64">
        <f>AJ467*Z467</f>
        <v/>
      </c>
      <c r="AU467" s="64">
        <f>AK467*AA467</f>
        <v/>
      </c>
      <c r="AV467" s="64">
        <f>AL467*AB467</f>
        <v/>
      </c>
      <c r="AW467" s="64">
        <f>AM467*AC467</f>
        <v/>
      </c>
      <c r="AX467" s="64">
        <f>AN467*AD467</f>
        <v/>
      </c>
      <c r="AY467" s="64">
        <f>AO467*AE467</f>
        <v/>
      </c>
      <c r="AZ467" s="64">
        <f>INDEX(Projects[Automation Equipment],466)&amp;""</f>
        <v/>
      </c>
      <c r="BA467" s="64">
        <f>IF(OR(A467="",'Smart Search'!H13=0),"",MAX(0,BE467*BF467*MAX(0,1-BG467)))</f>
        <v/>
      </c>
      <c r="BB467" s="64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4">
        <f>IF('Smart Search'!G13=1,IFERROR(1/'Smart Search'!H13,0),0)</f>
        <v/>
      </c>
      <c r="BD467" s="64">
        <f>BB467*BC467</f>
        <v/>
      </c>
      <c r="BE467" s="64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IF(A467="","",N(INDEX(Projects[Act Mech Inst],466)))</f>
        <v/>
      </c>
      <c r="BK467" s="5">
        <f>IF(A467="","",N(INDEX(Projects[Act Elec Inst],466)))</f>
        <v/>
      </c>
      <c r="BL467" s="5">
        <f>IF(A467="","",N(INDEX(Projects[Act Project Management],466)))</f>
        <v/>
      </c>
      <c r="BM467" s="5">
        <f>IF(A467="","",N(INDEX(Projects[Act Systems Eng],466)))</f>
        <v/>
      </c>
      <c r="BN467" s="5">
        <f>IF(A467="","",N(INDEX(Projects[Act Mechanical Eng],466)))</f>
        <v/>
      </c>
      <c r="BO467" s="5">
        <f>IF(A467="","",N(INDEX(Projects[Act Structural Engineering],466)))</f>
        <v/>
      </c>
      <c r="BP467" s="5">
        <f>IF(A467="","",N(INDEX(Projects[Act Site Sup],466)))</f>
        <v/>
      </c>
      <c r="BQ467" s="5">
        <f>IF(A467="","",N(INDEX(Projects[Act Controls Commissioning],466)))</f>
        <v/>
      </c>
      <c r="BR467" s="5">
        <f>IF(A467="","",N(INDEX(Projects[Act Systems Commissioning],466)))</f>
        <v/>
      </c>
      <c r="BS467" s="5">
        <f>IF(A467="","",N(INDEX(Projects[Act Service Commissioning],466)))</f>
        <v/>
      </c>
      <c r="BT467" s="5">
        <f>IF(A467="","",N(INDEX(Projects[Act Controls Eng],466)))</f>
        <v/>
      </c>
      <c r="BU467" s="5">
        <f>IF(A467="","",N(INDEX(Projects[Act Controls Purchase],466)))</f>
        <v/>
      </c>
      <c r="BV467" s="5">
        <f>IF(A467="","",N(INDEX(Projects[Act Software Eng],466)))</f>
        <v/>
      </c>
      <c r="BW467" s="5">
        <f>IF(A467="","",N(INDEX(Projects[Act 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INDEX(Projects[Sold Value (USD M)],466)</f>
        <v/>
      </c>
      <c r="CE467" s="5" t="n"/>
      <c r="CF467" s="5">
        <f>IF(A467="","",N(INDEX(Projects[Est Mech Inst],466)))</f>
        <v/>
      </c>
      <c r="CG467" s="5">
        <f>IF(A467="","",N(INDEX(Projects[Est Elec Inst],466)))</f>
        <v/>
      </c>
      <c r="CH467" s="5">
        <f>IF(A467="","",N(INDEX(Projects[Est Project Management],466)))</f>
        <v/>
      </c>
      <c r="CI467" s="5">
        <f>IF(A467="","",N(INDEX(Projects[Est Systems Eng],466)))</f>
        <v/>
      </c>
      <c r="CJ467" s="5">
        <f>IF(A467="","",N(INDEX(Projects[Est Mechanical Eng],466)))</f>
        <v/>
      </c>
      <c r="CK467" s="5">
        <f>IF(A467="","",N(INDEX(Projects[Est Structural Engineering],466)))</f>
        <v/>
      </c>
      <c r="CL467" s="5">
        <f>IF(A467="","",N(INDEX(Projects[Est Site Sup],466)))</f>
        <v/>
      </c>
      <c r="CM467" s="5">
        <f>IF(A467="","",N(INDEX(Projects[Est Controls Commissioning],466)))</f>
        <v/>
      </c>
      <c r="CN467" s="5">
        <f>IF(A467="","",N(INDEX(Projects[Est Systems Commissioning],466)))</f>
        <v/>
      </c>
      <c r="CO467" s="5">
        <f>IF(A467="","",N(INDEX(Projects[Est Service Commissioning],466)))</f>
        <v/>
      </c>
      <c r="CP467" s="5">
        <f>IF(A467="","",N(INDEX(Projects[Est Controls Eng],466)))</f>
        <v/>
      </c>
      <c r="CQ467" s="5">
        <f>IF(A467="","",N(INDEX(Projects[Est Controls Purchase],466)))</f>
        <v/>
      </c>
      <c r="CR467" s="5">
        <f>IF(A467="","",N(INDEX(Projects[Est Software Eng],466)))</f>
        <v/>
      </c>
      <c r="CS467" s="5">
        <f>IF(A467="","",N(INDEX(Projects[Est Misc],466)))</f>
        <v/>
      </c>
      <c r="CT467" s="5">
        <f>IF(A467="","",SUM(CF467:CS467))</f>
        <v/>
      </c>
      <c r="CU467" s="5">
        <f>INDEX(Projects[Est Cost (M)],466)</f>
        <v/>
      </c>
      <c r="CV467" s="5">
        <f>INDEX(Projects[Act Cost (M)],466)</f>
        <v/>
      </c>
      <c r="CW467" s="5">
        <f>INDEX(Projects[Plan Mech Eng (wks)],466)</f>
        <v/>
      </c>
      <c r="CX467" s="5">
        <f>INDEX(Projects[Plan Controls Eng (wks)],466)</f>
        <v/>
      </c>
      <c r="CY467" s="5">
        <f>INDEX(Projects[Plan Systems Eng (wks)],466)</f>
        <v/>
      </c>
      <c r="CZ467" s="5">
        <f>INDEX(Projects[Plan Software Eng (wks)],466)</f>
        <v/>
      </c>
      <c r="DA467" s="5">
        <f>INDEX(Projects[Plan M&amp;E Installation (wks)],466)</f>
        <v/>
      </c>
      <c r="DB467" s="5">
        <f>INDEX(Projects[Plan Commissioning (wks)],466)</f>
        <v/>
      </c>
      <c r="DC467" s="5">
        <f>INDEX(Projects[Plan Total (wks)],466)</f>
        <v/>
      </c>
      <c r="DD467" s="5">
        <f>INDEX(Projects[Act Mech Eng (wks)],466)</f>
        <v/>
      </c>
      <c r="DE467" s="5">
        <f>INDEX(Projects[Act Controls Eng (wks)],466)</f>
        <v/>
      </c>
      <c r="DF467" s="5">
        <f>INDEX(Projects[Act Systems Eng (wks)],466)</f>
        <v/>
      </c>
      <c r="DG467" s="5">
        <f>INDEX(Projects[Act Software Eng (wks)],466)</f>
        <v/>
      </c>
      <c r="DH467" s="5">
        <f>INDEX(Projects[Act M&amp;E Installation (wks)],466)</f>
        <v/>
      </c>
      <c r="DI467" s="5">
        <f>INDEX(Projects[Act Commissioning (wks)],466)</f>
        <v/>
      </c>
      <c r="DJ467" s="5">
        <f>INDEX(Projects[Act Total (wks)],466)</f>
        <v/>
      </c>
    </row>
    <row r="468" ht="15" customHeight="1" s="82">
      <c r="A468" s="64">
        <f>INDEX(Projects[Project ID *],467)&amp;""</f>
        <v/>
      </c>
      <c r="B468" s="64">
        <f>INDEX(Projects[Project Name *],467)&amp;""</f>
        <v/>
      </c>
      <c r="C468" s="64">
        <f>INDEX(Projects[MS Shuttles],467)</f>
        <v/>
      </c>
      <c r="D468" s="64">
        <f>INDEX(Projects[MS Tote Locations],467)</f>
        <v/>
      </c>
      <c r="E468" s="64">
        <f>INDEX(Projects[AS Robots],467)</f>
        <v/>
      </c>
      <c r="F468" s="64">
        <f>INDEX(Projects[AS Tote Locations],467)</f>
        <v/>
      </c>
      <c r="G468" s="64">
        <f>INDEX(Projects[PS Shuttles],467)</f>
        <v/>
      </c>
      <c r="H468" s="64">
        <f>INDEX(Projects[PS Pallet Locations],467)</f>
        <v/>
      </c>
      <c r="I468" s="64">
        <f>INDEX(Projects[SRM Cranes],467)</f>
        <v/>
      </c>
      <c r="J468" s="64">
        <f>INDEX(Projects[SRM Pallet Locations],467)</f>
        <v/>
      </c>
      <c r="K468" s="64">
        <f>INDEX(Projects[Case Conv (m)],467)</f>
        <v/>
      </c>
      <c r="L468" s="64">
        <f>INDEX(Projects[Pallet Conv (m)],467)</f>
        <v/>
      </c>
      <c r="M468" s="64">
        <f>IF(N(DJ468)&gt;0,DD468,CW468)</f>
        <v/>
      </c>
      <c r="N468" s="64">
        <f>IF(N(DJ468)&gt;0,DE468,CX468)</f>
        <v/>
      </c>
      <c r="O468" s="64">
        <f>IF(N(DJ468)&gt;0,DF468,CY468)</f>
        <v/>
      </c>
      <c r="P468" s="64">
        <f>IF(N(DJ468)&gt;0,DG468,CZ468)</f>
        <v/>
      </c>
      <c r="Q468" s="64">
        <f>IF(N(DJ468)&gt;0,DH468,DA468)</f>
        <v/>
      </c>
      <c r="R468" s="64">
        <f>IF(N(DJ468)&gt;0,DI468,DB468)</f>
        <v/>
      </c>
      <c r="S468" s="64">
        <f>IF(N(DJ468)&gt;0,DJ468,DC468)</f>
        <v/>
      </c>
      <c r="T468" s="64">
        <f>INDEX(Projects[Currency],467)&amp;""</f>
        <v/>
      </c>
      <c r="U468" s="65">
        <f>INDEX(Projects[Sold Value (M)],467)</f>
        <v/>
      </c>
      <c r="V468" s="64">
        <f>IF('Smart Search'!B13=1,IFERROR(1/'Smart Search'!H13,0),0)</f>
        <v/>
      </c>
      <c r="W468" s="64">
        <f>IF('Smart Search'!B13=1,IFERROR(1/'Smart Search'!H13,0),0)</f>
        <v/>
      </c>
      <c r="X468" s="64">
        <f>IF('Smart Search'!C13=1,IFERROR(1/'Smart Search'!H13,0),0)</f>
        <v/>
      </c>
      <c r="Y468" s="64">
        <f>IF('Smart Search'!C13=1,IFERROR(1/'Smart Search'!H13,0),0)</f>
        <v/>
      </c>
      <c r="Z468" s="64">
        <f>IF('Smart Search'!D13=1,IFERROR(1/'Smart Search'!H13,0),0)</f>
        <v/>
      </c>
      <c r="AA468" s="64">
        <f>IF('Smart Search'!D13=1,IFERROR(1/'Smart Search'!H13,0),0)</f>
        <v/>
      </c>
      <c r="AB468" s="64">
        <f>IF('Smart Search'!E13=1,IFERROR(1/'Smart Search'!H13,0),0)</f>
        <v/>
      </c>
      <c r="AC468" s="64">
        <f>IF('Smart Search'!E13=1,IFERROR(1/'Smart Search'!H13,0),0)</f>
        <v/>
      </c>
      <c r="AD468" s="64">
        <f>IF('Smart Search'!F13=1,IFERROR(1/'Smart Search'!H13,0),0)</f>
        <v/>
      </c>
      <c r="AE468" s="64">
        <f>IF('Smart Search'!F13=1,IFERROR(1/'Smart Search'!H13,0),0)</f>
        <v/>
      </c>
      <c r="AF468" s="64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4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4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4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4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4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4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4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4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4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4">
        <f>AF468*V468</f>
        <v/>
      </c>
      <c r="AQ468" s="64">
        <f>AG468*W468</f>
        <v/>
      </c>
      <c r="AR468" s="64">
        <f>AH468*X468</f>
        <v/>
      </c>
      <c r="AS468" s="64">
        <f>AI468*Y468</f>
        <v/>
      </c>
      <c r="AT468" s="64">
        <f>AJ468*Z468</f>
        <v/>
      </c>
      <c r="AU468" s="64">
        <f>AK468*AA468</f>
        <v/>
      </c>
      <c r="AV468" s="64">
        <f>AL468*AB468</f>
        <v/>
      </c>
      <c r="AW468" s="64">
        <f>AM468*AC468</f>
        <v/>
      </c>
      <c r="AX468" s="64">
        <f>AN468*AD468</f>
        <v/>
      </c>
      <c r="AY468" s="64">
        <f>AO468*AE468</f>
        <v/>
      </c>
      <c r="AZ468" s="64">
        <f>INDEX(Projects[Automation Equipment],467)&amp;""</f>
        <v/>
      </c>
      <c r="BA468" s="64">
        <f>IF(OR(A468="",'Smart Search'!H13=0),"",MAX(0,BE468*BF468*MAX(0,1-BG468)))</f>
        <v/>
      </c>
      <c r="BB468" s="64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4">
        <f>IF('Smart Search'!G13=1,IFERROR(1/'Smart Search'!H13,0),0)</f>
        <v/>
      </c>
      <c r="BD468" s="64">
        <f>BB468*BC468</f>
        <v/>
      </c>
      <c r="BE468" s="64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IF(A468="","",N(INDEX(Projects[Act Mech Inst],467)))</f>
        <v/>
      </c>
      <c r="BK468" s="5">
        <f>IF(A468="","",N(INDEX(Projects[Act Elec Inst],467)))</f>
        <v/>
      </c>
      <c r="BL468" s="5">
        <f>IF(A468="","",N(INDEX(Projects[Act Project Management],467)))</f>
        <v/>
      </c>
      <c r="BM468" s="5">
        <f>IF(A468="","",N(INDEX(Projects[Act Systems Eng],467)))</f>
        <v/>
      </c>
      <c r="BN468" s="5">
        <f>IF(A468="","",N(INDEX(Projects[Act Mechanical Eng],467)))</f>
        <v/>
      </c>
      <c r="BO468" s="5">
        <f>IF(A468="","",N(INDEX(Projects[Act Structural Engineering],467)))</f>
        <v/>
      </c>
      <c r="BP468" s="5">
        <f>IF(A468="","",N(INDEX(Projects[Act Site Sup],467)))</f>
        <v/>
      </c>
      <c r="BQ468" s="5">
        <f>IF(A468="","",N(INDEX(Projects[Act Controls Commissioning],467)))</f>
        <v/>
      </c>
      <c r="BR468" s="5">
        <f>IF(A468="","",N(INDEX(Projects[Act Systems Commissioning],467)))</f>
        <v/>
      </c>
      <c r="BS468" s="5">
        <f>IF(A468="","",N(INDEX(Projects[Act Service Commissioning],467)))</f>
        <v/>
      </c>
      <c r="BT468" s="5">
        <f>IF(A468="","",N(INDEX(Projects[Act Controls Eng],467)))</f>
        <v/>
      </c>
      <c r="BU468" s="5">
        <f>IF(A468="","",N(INDEX(Projects[Act Controls Purchase],467)))</f>
        <v/>
      </c>
      <c r="BV468" s="5">
        <f>IF(A468="","",N(INDEX(Projects[Act Software Eng],467)))</f>
        <v/>
      </c>
      <c r="BW468" s="5">
        <f>IF(A468="","",N(INDEX(Projects[Act 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INDEX(Projects[Sold Value (USD M)],467)</f>
        <v/>
      </c>
      <c r="CE468" s="5" t="n"/>
      <c r="CF468" s="5">
        <f>IF(A468="","",N(INDEX(Projects[Est Mech Inst],467)))</f>
        <v/>
      </c>
      <c r="CG468" s="5">
        <f>IF(A468="","",N(INDEX(Projects[Est Elec Inst],467)))</f>
        <v/>
      </c>
      <c r="CH468" s="5">
        <f>IF(A468="","",N(INDEX(Projects[Est Project Management],467)))</f>
        <v/>
      </c>
      <c r="CI468" s="5">
        <f>IF(A468="","",N(INDEX(Projects[Est Systems Eng],467)))</f>
        <v/>
      </c>
      <c r="CJ468" s="5">
        <f>IF(A468="","",N(INDEX(Projects[Est Mechanical Eng],467)))</f>
        <v/>
      </c>
      <c r="CK468" s="5">
        <f>IF(A468="","",N(INDEX(Projects[Est Structural Engineering],467)))</f>
        <v/>
      </c>
      <c r="CL468" s="5">
        <f>IF(A468="","",N(INDEX(Projects[Est Site Sup],467)))</f>
        <v/>
      </c>
      <c r="CM468" s="5">
        <f>IF(A468="","",N(INDEX(Projects[Est Controls Commissioning],467)))</f>
        <v/>
      </c>
      <c r="CN468" s="5">
        <f>IF(A468="","",N(INDEX(Projects[Est Systems Commissioning],467)))</f>
        <v/>
      </c>
      <c r="CO468" s="5">
        <f>IF(A468="","",N(INDEX(Projects[Est Service Commissioning],467)))</f>
        <v/>
      </c>
      <c r="CP468" s="5">
        <f>IF(A468="","",N(INDEX(Projects[Est Controls Eng],467)))</f>
        <v/>
      </c>
      <c r="CQ468" s="5">
        <f>IF(A468="","",N(INDEX(Projects[Est Controls Purchase],467)))</f>
        <v/>
      </c>
      <c r="CR468" s="5">
        <f>IF(A468="","",N(INDEX(Projects[Est Software Eng],467)))</f>
        <v/>
      </c>
      <c r="CS468" s="5">
        <f>IF(A468="","",N(INDEX(Projects[Est Misc],467)))</f>
        <v/>
      </c>
      <c r="CT468" s="5">
        <f>IF(A468="","",SUM(CF468:CS468))</f>
        <v/>
      </c>
      <c r="CU468" s="5">
        <f>INDEX(Projects[Est Cost (M)],467)</f>
        <v/>
      </c>
      <c r="CV468" s="5">
        <f>INDEX(Projects[Act Cost (M)],467)</f>
        <v/>
      </c>
      <c r="CW468" s="5">
        <f>INDEX(Projects[Plan Mech Eng (wks)],467)</f>
        <v/>
      </c>
      <c r="CX468" s="5">
        <f>INDEX(Projects[Plan Controls Eng (wks)],467)</f>
        <v/>
      </c>
      <c r="CY468" s="5">
        <f>INDEX(Projects[Plan Systems Eng (wks)],467)</f>
        <v/>
      </c>
      <c r="CZ468" s="5">
        <f>INDEX(Projects[Plan Software Eng (wks)],467)</f>
        <v/>
      </c>
      <c r="DA468" s="5">
        <f>INDEX(Projects[Plan M&amp;E Installation (wks)],467)</f>
        <v/>
      </c>
      <c r="DB468" s="5">
        <f>INDEX(Projects[Plan Commissioning (wks)],467)</f>
        <v/>
      </c>
      <c r="DC468" s="5">
        <f>INDEX(Projects[Plan Total (wks)],467)</f>
        <v/>
      </c>
      <c r="DD468" s="5">
        <f>INDEX(Projects[Act Mech Eng (wks)],467)</f>
        <v/>
      </c>
      <c r="DE468" s="5">
        <f>INDEX(Projects[Act Controls Eng (wks)],467)</f>
        <v/>
      </c>
      <c r="DF468" s="5">
        <f>INDEX(Projects[Act Systems Eng (wks)],467)</f>
        <v/>
      </c>
      <c r="DG468" s="5">
        <f>INDEX(Projects[Act Software Eng (wks)],467)</f>
        <v/>
      </c>
      <c r="DH468" s="5">
        <f>INDEX(Projects[Act M&amp;E Installation (wks)],467)</f>
        <v/>
      </c>
      <c r="DI468" s="5">
        <f>INDEX(Projects[Act Commissioning (wks)],467)</f>
        <v/>
      </c>
      <c r="DJ468" s="5">
        <f>INDEX(Projects[Act Total (wks)],467)</f>
        <v/>
      </c>
    </row>
    <row r="469" ht="15" customHeight="1" s="82">
      <c r="A469" s="64">
        <f>INDEX(Projects[Project ID *],468)&amp;""</f>
        <v/>
      </c>
      <c r="B469" s="64">
        <f>INDEX(Projects[Project Name *],468)&amp;""</f>
        <v/>
      </c>
      <c r="C469" s="64">
        <f>INDEX(Projects[MS Shuttles],468)</f>
        <v/>
      </c>
      <c r="D469" s="64">
        <f>INDEX(Projects[MS Tote Locations],468)</f>
        <v/>
      </c>
      <c r="E469" s="64">
        <f>INDEX(Projects[AS Robots],468)</f>
        <v/>
      </c>
      <c r="F469" s="64">
        <f>INDEX(Projects[AS Tote Locations],468)</f>
        <v/>
      </c>
      <c r="G469" s="64">
        <f>INDEX(Projects[PS Shuttles],468)</f>
        <v/>
      </c>
      <c r="H469" s="64">
        <f>INDEX(Projects[PS Pallet Locations],468)</f>
        <v/>
      </c>
      <c r="I469" s="64">
        <f>INDEX(Projects[SRM Cranes],468)</f>
        <v/>
      </c>
      <c r="J469" s="64">
        <f>INDEX(Projects[SRM Pallet Locations],468)</f>
        <v/>
      </c>
      <c r="K469" s="64">
        <f>INDEX(Projects[Case Conv (m)],468)</f>
        <v/>
      </c>
      <c r="L469" s="64">
        <f>INDEX(Projects[Pallet Conv (m)],468)</f>
        <v/>
      </c>
      <c r="M469" s="64">
        <f>IF(N(DJ469)&gt;0,DD469,CW469)</f>
        <v/>
      </c>
      <c r="N469" s="64">
        <f>IF(N(DJ469)&gt;0,DE469,CX469)</f>
        <v/>
      </c>
      <c r="O469" s="64">
        <f>IF(N(DJ469)&gt;0,DF469,CY469)</f>
        <v/>
      </c>
      <c r="P469" s="64">
        <f>IF(N(DJ469)&gt;0,DG469,CZ469)</f>
        <v/>
      </c>
      <c r="Q469" s="64">
        <f>IF(N(DJ469)&gt;0,DH469,DA469)</f>
        <v/>
      </c>
      <c r="R469" s="64">
        <f>IF(N(DJ469)&gt;0,DI469,DB469)</f>
        <v/>
      </c>
      <c r="S469" s="64">
        <f>IF(N(DJ469)&gt;0,DJ469,DC469)</f>
        <v/>
      </c>
      <c r="T469" s="64">
        <f>INDEX(Projects[Currency],468)&amp;""</f>
        <v/>
      </c>
      <c r="U469" s="65">
        <f>INDEX(Projects[Sold Value (M)],468)</f>
        <v/>
      </c>
      <c r="V469" s="64">
        <f>IF('Smart Search'!B13=1,IFERROR(1/'Smart Search'!H13,0),0)</f>
        <v/>
      </c>
      <c r="W469" s="64">
        <f>IF('Smart Search'!B13=1,IFERROR(1/'Smart Search'!H13,0),0)</f>
        <v/>
      </c>
      <c r="X469" s="64">
        <f>IF('Smart Search'!C13=1,IFERROR(1/'Smart Search'!H13,0),0)</f>
        <v/>
      </c>
      <c r="Y469" s="64">
        <f>IF('Smart Search'!C13=1,IFERROR(1/'Smart Search'!H13,0),0)</f>
        <v/>
      </c>
      <c r="Z469" s="64">
        <f>IF('Smart Search'!D13=1,IFERROR(1/'Smart Search'!H13,0),0)</f>
        <v/>
      </c>
      <c r="AA469" s="64">
        <f>IF('Smart Search'!D13=1,IFERROR(1/'Smart Search'!H13,0),0)</f>
        <v/>
      </c>
      <c r="AB469" s="64">
        <f>IF('Smart Search'!E13=1,IFERROR(1/'Smart Search'!H13,0),0)</f>
        <v/>
      </c>
      <c r="AC469" s="64">
        <f>IF('Smart Search'!E13=1,IFERROR(1/'Smart Search'!H13,0),0)</f>
        <v/>
      </c>
      <c r="AD469" s="64">
        <f>IF('Smart Search'!F13=1,IFERROR(1/'Smart Search'!H13,0),0)</f>
        <v/>
      </c>
      <c r="AE469" s="64">
        <f>IF('Smart Search'!F13=1,IFERROR(1/'Smart Search'!H13,0),0)</f>
        <v/>
      </c>
      <c r="AF469" s="64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4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4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4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4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4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4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4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4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4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4">
        <f>AF469*V469</f>
        <v/>
      </c>
      <c r="AQ469" s="64">
        <f>AG469*W469</f>
        <v/>
      </c>
      <c r="AR469" s="64">
        <f>AH469*X469</f>
        <v/>
      </c>
      <c r="AS469" s="64">
        <f>AI469*Y469</f>
        <v/>
      </c>
      <c r="AT469" s="64">
        <f>AJ469*Z469</f>
        <v/>
      </c>
      <c r="AU469" s="64">
        <f>AK469*AA469</f>
        <v/>
      </c>
      <c r="AV469" s="64">
        <f>AL469*AB469</f>
        <v/>
      </c>
      <c r="AW469" s="64">
        <f>AM469*AC469</f>
        <v/>
      </c>
      <c r="AX469" s="64">
        <f>AN469*AD469</f>
        <v/>
      </c>
      <c r="AY469" s="64">
        <f>AO469*AE469</f>
        <v/>
      </c>
      <c r="AZ469" s="64">
        <f>INDEX(Projects[Automation Equipment],468)&amp;""</f>
        <v/>
      </c>
      <c r="BA469" s="64">
        <f>IF(OR(A469="",'Smart Search'!H13=0),"",MAX(0,BE469*BF469*MAX(0,1-BG469)))</f>
        <v/>
      </c>
      <c r="BB469" s="64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4">
        <f>IF('Smart Search'!G13=1,IFERROR(1/'Smart Search'!H13,0),0)</f>
        <v/>
      </c>
      <c r="BD469" s="64">
        <f>BB469*BC469</f>
        <v/>
      </c>
      <c r="BE469" s="64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IF(A469="","",N(INDEX(Projects[Act Mech Inst],468)))</f>
        <v/>
      </c>
      <c r="BK469" s="5">
        <f>IF(A469="","",N(INDEX(Projects[Act Elec Inst],468)))</f>
        <v/>
      </c>
      <c r="BL469" s="5">
        <f>IF(A469="","",N(INDEX(Projects[Act Project Management],468)))</f>
        <v/>
      </c>
      <c r="BM469" s="5">
        <f>IF(A469="","",N(INDEX(Projects[Act Systems Eng],468)))</f>
        <v/>
      </c>
      <c r="BN469" s="5">
        <f>IF(A469="","",N(INDEX(Projects[Act Mechanical Eng],468)))</f>
        <v/>
      </c>
      <c r="BO469" s="5">
        <f>IF(A469="","",N(INDEX(Projects[Act Structural Engineering],468)))</f>
        <v/>
      </c>
      <c r="BP469" s="5">
        <f>IF(A469="","",N(INDEX(Projects[Act Site Sup],468)))</f>
        <v/>
      </c>
      <c r="BQ469" s="5">
        <f>IF(A469="","",N(INDEX(Projects[Act Controls Commissioning],468)))</f>
        <v/>
      </c>
      <c r="BR469" s="5">
        <f>IF(A469="","",N(INDEX(Projects[Act Systems Commissioning],468)))</f>
        <v/>
      </c>
      <c r="BS469" s="5">
        <f>IF(A469="","",N(INDEX(Projects[Act Service Commissioning],468)))</f>
        <v/>
      </c>
      <c r="BT469" s="5">
        <f>IF(A469="","",N(INDEX(Projects[Act Controls Eng],468)))</f>
        <v/>
      </c>
      <c r="BU469" s="5">
        <f>IF(A469="","",N(INDEX(Projects[Act Controls Purchase],468)))</f>
        <v/>
      </c>
      <c r="BV469" s="5">
        <f>IF(A469="","",N(INDEX(Projects[Act Software Eng],468)))</f>
        <v/>
      </c>
      <c r="BW469" s="5">
        <f>IF(A469="","",N(INDEX(Projects[Act 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INDEX(Projects[Sold Value (USD M)],468)</f>
        <v/>
      </c>
      <c r="CE469" s="5" t="n"/>
      <c r="CF469" s="5">
        <f>IF(A469="","",N(INDEX(Projects[Est Mech Inst],468)))</f>
        <v/>
      </c>
      <c r="CG469" s="5">
        <f>IF(A469="","",N(INDEX(Projects[Est Elec Inst],468)))</f>
        <v/>
      </c>
      <c r="CH469" s="5">
        <f>IF(A469="","",N(INDEX(Projects[Est Project Management],468)))</f>
        <v/>
      </c>
      <c r="CI469" s="5">
        <f>IF(A469="","",N(INDEX(Projects[Est Systems Eng],468)))</f>
        <v/>
      </c>
      <c r="CJ469" s="5">
        <f>IF(A469="","",N(INDEX(Projects[Est Mechanical Eng],468)))</f>
        <v/>
      </c>
      <c r="CK469" s="5">
        <f>IF(A469="","",N(INDEX(Projects[Est Structural Engineering],468)))</f>
        <v/>
      </c>
      <c r="CL469" s="5">
        <f>IF(A469="","",N(INDEX(Projects[Est Site Sup],468)))</f>
        <v/>
      </c>
      <c r="CM469" s="5">
        <f>IF(A469="","",N(INDEX(Projects[Est Controls Commissioning],468)))</f>
        <v/>
      </c>
      <c r="CN469" s="5">
        <f>IF(A469="","",N(INDEX(Projects[Est Systems Commissioning],468)))</f>
        <v/>
      </c>
      <c r="CO469" s="5">
        <f>IF(A469="","",N(INDEX(Projects[Est Service Commissioning],468)))</f>
        <v/>
      </c>
      <c r="CP469" s="5">
        <f>IF(A469="","",N(INDEX(Projects[Est Controls Eng],468)))</f>
        <v/>
      </c>
      <c r="CQ469" s="5">
        <f>IF(A469="","",N(INDEX(Projects[Est Controls Purchase],468)))</f>
        <v/>
      </c>
      <c r="CR469" s="5">
        <f>IF(A469="","",N(INDEX(Projects[Est Software Eng],468)))</f>
        <v/>
      </c>
      <c r="CS469" s="5">
        <f>IF(A469="","",N(INDEX(Projects[Est Misc],468)))</f>
        <v/>
      </c>
      <c r="CT469" s="5">
        <f>IF(A469="","",SUM(CF469:CS469))</f>
        <v/>
      </c>
      <c r="CU469" s="5">
        <f>INDEX(Projects[Est Cost (M)],468)</f>
        <v/>
      </c>
      <c r="CV469" s="5">
        <f>INDEX(Projects[Act Cost (M)],468)</f>
        <v/>
      </c>
      <c r="CW469" s="5">
        <f>INDEX(Projects[Plan Mech Eng (wks)],468)</f>
        <v/>
      </c>
      <c r="CX469" s="5">
        <f>INDEX(Projects[Plan Controls Eng (wks)],468)</f>
        <v/>
      </c>
      <c r="CY469" s="5">
        <f>INDEX(Projects[Plan Systems Eng (wks)],468)</f>
        <v/>
      </c>
      <c r="CZ469" s="5">
        <f>INDEX(Projects[Plan Software Eng (wks)],468)</f>
        <v/>
      </c>
      <c r="DA469" s="5">
        <f>INDEX(Projects[Plan M&amp;E Installation (wks)],468)</f>
        <v/>
      </c>
      <c r="DB469" s="5">
        <f>INDEX(Projects[Plan Commissioning (wks)],468)</f>
        <v/>
      </c>
      <c r="DC469" s="5">
        <f>INDEX(Projects[Plan Total (wks)],468)</f>
        <v/>
      </c>
      <c r="DD469" s="5">
        <f>INDEX(Projects[Act Mech Eng (wks)],468)</f>
        <v/>
      </c>
      <c r="DE469" s="5">
        <f>INDEX(Projects[Act Controls Eng (wks)],468)</f>
        <v/>
      </c>
      <c r="DF469" s="5">
        <f>INDEX(Projects[Act Systems Eng (wks)],468)</f>
        <v/>
      </c>
      <c r="DG469" s="5">
        <f>INDEX(Projects[Act Software Eng (wks)],468)</f>
        <v/>
      </c>
      <c r="DH469" s="5">
        <f>INDEX(Projects[Act M&amp;E Installation (wks)],468)</f>
        <v/>
      </c>
      <c r="DI469" s="5">
        <f>INDEX(Projects[Act Commissioning (wks)],468)</f>
        <v/>
      </c>
      <c r="DJ469" s="5">
        <f>INDEX(Projects[Act Total (wks)],468)</f>
        <v/>
      </c>
    </row>
    <row r="470" ht="15" customHeight="1" s="82">
      <c r="A470" s="64">
        <f>INDEX(Projects[Project ID *],469)&amp;""</f>
        <v/>
      </c>
      <c r="B470" s="64">
        <f>INDEX(Projects[Project Name *],469)&amp;""</f>
        <v/>
      </c>
      <c r="C470" s="64">
        <f>INDEX(Projects[MS Shuttles],469)</f>
        <v/>
      </c>
      <c r="D470" s="64">
        <f>INDEX(Projects[MS Tote Locations],469)</f>
        <v/>
      </c>
      <c r="E470" s="64">
        <f>INDEX(Projects[AS Robots],469)</f>
        <v/>
      </c>
      <c r="F470" s="64">
        <f>INDEX(Projects[AS Tote Locations],469)</f>
        <v/>
      </c>
      <c r="G470" s="64">
        <f>INDEX(Projects[PS Shuttles],469)</f>
        <v/>
      </c>
      <c r="H470" s="64">
        <f>INDEX(Projects[PS Pallet Locations],469)</f>
        <v/>
      </c>
      <c r="I470" s="64">
        <f>INDEX(Projects[SRM Cranes],469)</f>
        <v/>
      </c>
      <c r="J470" s="64">
        <f>INDEX(Projects[SRM Pallet Locations],469)</f>
        <v/>
      </c>
      <c r="K470" s="64">
        <f>INDEX(Projects[Case Conv (m)],469)</f>
        <v/>
      </c>
      <c r="L470" s="64">
        <f>INDEX(Projects[Pallet Conv (m)],469)</f>
        <v/>
      </c>
      <c r="M470" s="64">
        <f>IF(N(DJ470)&gt;0,DD470,CW470)</f>
        <v/>
      </c>
      <c r="N470" s="64">
        <f>IF(N(DJ470)&gt;0,DE470,CX470)</f>
        <v/>
      </c>
      <c r="O470" s="64">
        <f>IF(N(DJ470)&gt;0,DF470,CY470)</f>
        <v/>
      </c>
      <c r="P470" s="64">
        <f>IF(N(DJ470)&gt;0,DG470,CZ470)</f>
        <v/>
      </c>
      <c r="Q470" s="64">
        <f>IF(N(DJ470)&gt;0,DH470,DA470)</f>
        <v/>
      </c>
      <c r="R470" s="64">
        <f>IF(N(DJ470)&gt;0,DI470,DB470)</f>
        <v/>
      </c>
      <c r="S470" s="64">
        <f>IF(N(DJ470)&gt;0,DJ470,DC470)</f>
        <v/>
      </c>
      <c r="T470" s="64">
        <f>INDEX(Projects[Currency],469)&amp;""</f>
        <v/>
      </c>
      <c r="U470" s="65">
        <f>INDEX(Projects[Sold Value (M)],469)</f>
        <v/>
      </c>
      <c r="V470" s="64">
        <f>IF('Smart Search'!B13=1,IFERROR(1/'Smart Search'!H13,0),0)</f>
        <v/>
      </c>
      <c r="W470" s="64">
        <f>IF('Smart Search'!B13=1,IFERROR(1/'Smart Search'!H13,0),0)</f>
        <v/>
      </c>
      <c r="X470" s="64">
        <f>IF('Smart Search'!C13=1,IFERROR(1/'Smart Search'!H13,0),0)</f>
        <v/>
      </c>
      <c r="Y470" s="64">
        <f>IF('Smart Search'!C13=1,IFERROR(1/'Smart Search'!H13,0),0)</f>
        <v/>
      </c>
      <c r="Z470" s="64">
        <f>IF('Smart Search'!D13=1,IFERROR(1/'Smart Search'!H13,0),0)</f>
        <v/>
      </c>
      <c r="AA470" s="64">
        <f>IF('Smart Search'!D13=1,IFERROR(1/'Smart Search'!H13,0),0)</f>
        <v/>
      </c>
      <c r="AB470" s="64">
        <f>IF('Smart Search'!E13=1,IFERROR(1/'Smart Search'!H13,0),0)</f>
        <v/>
      </c>
      <c r="AC470" s="64">
        <f>IF('Smart Search'!E13=1,IFERROR(1/'Smart Search'!H13,0),0)</f>
        <v/>
      </c>
      <c r="AD470" s="64">
        <f>IF('Smart Search'!F13=1,IFERROR(1/'Smart Search'!H13,0),0)</f>
        <v/>
      </c>
      <c r="AE470" s="64">
        <f>IF('Smart Search'!F13=1,IFERROR(1/'Smart Search'!H13,0),0)</f>
        <v/>
      </c>
      <c r="AF470" s="64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4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4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4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4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4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4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4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4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4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4">
        <f>AF470*V470</f>
        <v/>
      </c>
      <c r="AQ470" s="64">
        <f>AG470*W470</f>
        <v/>
      </c>
      <c r="AR470" s="64">
        <f>AH470*X470</f>
        <v/>
      </c>
      <c r="AS470" s="64">
        <f>AI470*Y470</f>
        <v/>
      </c>
      <c r="AT470" s="64">
        <f>AJ470*Z470</f>
        <v/>
      </c>
      <c r="AU470" s="64">
        <f>AK470*AA470</f>
        <v/>
      </c>
      <c r="AV470" s="64">
        <f>AL470*AB470</f>
        <v/>
      </c>
      <c r="AW470" s="64">
        <f>AM470*AC470</f>
        <v/>
      </c>
      <c r="AX470" s="64">
        <f>AN470*AD470</f>
        <v/>
      </c>
      <c r="AY470" s="64">
        <f>AO470*AE470</f>
        <v/>
      </c>
      <c r="AZ470" s="64">
        <f>INDEX(Projects[Automation Equipment],469)&amp;""</f>
        <v/>
      </c>
      <c r="BA470" s="64">
        <f>IF(OR(A470="",'Smart Search'!H13=0),"",MAX(0,BE470*BF470*MAX(0,1-BG470)))</f>
        <v/>
      </c>
      <c r="BB470" s="64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4">
        <f>IF('Smart Search'!G13=1,IFERROR(1/'Smart Search'!H13,0),0)</f>
        <v/>
      </c>
      <c r="BD470" s="64">
        <f>BB470*BC470</f>
        <v/>
      </c>
      <c r="BE470" s="64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IF(A470="","",N(INDEX(Projects[Act Mech Inst],469)))</f>
        <v/>
      </c>
      <c r="BK470" s="5">
        <f>IF(A470="","",N(INDEX(Projects[Act Elec Inst],469)))</f>
        <v/>
      </c>
      <c r="BL470" s="5">
        <f>IF(A470="","",N(INDEX(Projects[Act Project Management],469)))</f>
        <v/>
      </c>
      <c r="BM470" s="5">
        <f>IF(A470="","",N(INDEX(Projects[Act Systems Eng],469)))</f>
        <v/>
      </c>
      <c r="BN470" s="5">
        <f>IF(A470="","",N(INDEX(Projects[Act Mechanical Eng],469)))</f>
        <v/>
      </c>
      <c r="BO470" s="5">
        <f>IF(A470="","",N(INDEX(Projects[Act Structural Engineering],469)))</f>
        <v/>
      </c>
      <c r="BP470" s="5">
        <f>IF(A470="","",N(INDEX(Projects[Act Site Sup],469)))</f>
        <v/>
      </c>
      <c r="BQ470" s="5">
        <f>IF(A470="","",N(INDEX(Projects[Act Controls Commissioning],469)))</f>
        <v/>
      </c>
      <c r="BR470" s="5">
        <f>IF(A470="","",N(INDEX(Projects[Act Systems Commissioning],469)))</f>
        <v/>
      </c>
      <c r="BS470" s="5">
        <f>IF(A470="","",N(INDEX(Projects[Act Service Commissioning],469)))</f>
        <v/>
      </c>
      <c r="BT470" s="5">
        <f>IF(A470="","",N(INDEX(Projects[Act Controls Eng],469)))</f>
        <v/>
      </c>
      <c r="BU470" s="5">
        <f>IF(A470="","",N(INDEX(Projects[Act Controls Purchase],469)))</f>
        <v/>
      </c>
      <c r="BV470" s="5">
        <f>IF(A470="","",N(INDEX(Projects[Act Software Eng],469)))</f>
        <v/>
      </c>
      <c r="BW470" s="5">
        <f>IF(A470="","",N(INDEX(Projects[Act 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INDEX(Projects[Sold Value (USD M)],469)</f>
        <v/>
      </c>
      <c r="CE470" s="5" t="n"/>
      <c r="CF470" s="5">
        <f>IF(A470="","",N(INDEX(Projects[Est Mech Inst],469)))</f>
        <v/>
      </c>
      <c r="CG470" s="5">
        <f>IF(A470="","",N(INDEX(Projects[Est Elec Inst],469)))</f>
        <v/>
      </c>
      <c r="CH470" s="5">
        <f>IF(A470="","",N(INDEX(Projects[Est Project Management],469)))</f>
        <v/>
      </c>
      <c r="CI470" s="5">
        <f>IF(A470="","",N(INDEX(Projects[Est Systems Eng],469)))</f>
        <v/>
      </c>
      <c r="CJ470" s="5">
        <f>IF(A470="","",N(INDEX(Projects[Est Mechanical Eng],469)))</f>
        <v/>
      </c>
      <c r="CK470" s="5">
        <f>IF(A470="","",N(INDEX(Projects[Est Structural Engineering],469)))</f>
        <v/>
      </c>
      <c r="CL470" s="5">
        <f>IF(A470="","",N(INDEX(Projects[Est Site Sup],469)))</f>
        <v/>
      </c>
      <c r="CM470" s="5">
        <f>IF(A470="","",N(INDEX(Projects[Est Controls Commissioning],469)))</f>
        <v/>
      </c>
      <c r="CN470" s="5">
        <f>IF(A470="","",N(INDEX(Projects[Est Systems Commissioning],469)))</f>
        <v/>
      </c>
      <c r="CO470" s="5">
        <f>IF(A470="","",N(INDEX(Projects[Est Service Commissioning],469)))</f>
        <v/>
      </c>
      <c r="CP470" s="5">
        <f>IF(A470="","",N(INDEX(Projects[Est Controls Eng],469)))</f>
        <v/>
      </c>
      <c r="CQ470" s="5">
        <f>IF(A470="","",N(INDEX(Projects[Est Controls Purchase],469)))</f>
        <v/>
      </c>
      <c r="CR470" s="5">
        <f>IF(A470="","",N(INDEX(Projects[Est Software Eng],469)))</f>
        <v/>
      </c>
      <c r="CS470" s="5">
        <f>IF(A470="","",N(INDEX(Projects[Est Misc],469)))</f>
        <v/>
      </c>
      <c r="CT470" s="5">
        <f>IF(A470="","",SUM(CF470:CS470))</f>
        <v/>
      </c>
      <c r="CU470" s="5">
        <f>INDEX(Projects[Est Cost (M)],469)</f>
        <v/>
      </c>
      <c r="CV470" s="5">
        <f>INDEX(Projects[Act Cost (M)],469)</f>
        <v/>
      </c>
      <c r="CW470" s="5">
        <f>INDEX(Projects[Plan Mech Eng (wks)],469)</f>
        <v/>
      </c>
      <c r="CX470" s="5">
        <f>INDEX(Projects[Plan Controls Eng (wks)],469)</f>
        <v/>
      </c>
      <c r="CY470" s="5">
        <f>INDEX(Projects[Plan Systems Eng (wks)],469)</f>
        <v/>
      </c>
      <c r="CZ470" s="5">
        <f>INDEX(Projects[Plan Software Eng (wks)],469)</f>
        <v/>
      </c>
      <c r="DA470" s="5">
        <f>INDEX(Projects[Plan M&amp;E Installation (wks)],469)</f>
        <v/>
      </c>
      <c r="DB470" s="5">
        <f>INDEX(Projects[Plan Commissioning (wks)],469)</f>
        <v/>
      </c>
      <c r="DC470" s="5">
        <f>INDEX(Projects[Plan Total (wks)],469)</f>
        <v/>
      </c>
      <c r="DD470" s="5">
        <f>INDEX(Projects[Act Mech Eng (wks)],469)</f>
        <v/>
      </c>
      <c r="DE470" s="5">
        <f>INDEX(Projects[Act Controls Eng (wks)],469)</f>
        <v/>
      </c>
      <c r="DF470" s="5">
        <f>INDEX(Projects[Act Systems Eng (wks)],469)</f>
        <v/>
      </c>
      <c r="DG470" s="5">
        <f>INDEX(Projects[Act Software Eng (wks)],469)</f>
        <v/>
      </c>
      <c r="DH470" s="5">
        <f>INDEX(Projects[Act M&amp;E Installation (wks)],469)</f>
        <v/>
      </c>
      <c r="DI470" s="5">
        <f>INDEX(Projects[Act Commissioning (wks)],469)</f>
        <v/>
      </c>
      <c r="DJ470" s="5">
        <f>INDEX(Projects[Act Total (wks)],469)</f>
        <v/>
      </c>
    </row>
    <row r="471" ht="15" customHeight="1" s="82">
      <c r="A471" s="64">
        <f>INDEX(Projects[Project ID *],470)&amp;""</f>
        <v/>
      </c>
      <c r="B471" s="64">
        <f>INDEX(Projects[Project Name *],470)&amp;""</f>
        <v/>
      </c>
      <c r="C471" s="64">
        <f>INDEX(Projects[MS Shuttles],470)</f>
        <v/>
      </c>
      <c r="D471" s="64">
        <f>INDEX(Projects[MS Tote Locations],470)</f>
        <v/>
      </c>
      <c r="E471" s="64">
        <f>INDEX(Projects[AS Robots],470)</f>
        <v/>
      </c>
      <c r="F471" s="64">
        <f>INDEX(Projects[AS Tote Locations],470)</f>
        <v/>
      </c>
      <c r="G471" s="64">
        <f>INDEX(Projects[PS Shuttles],470)</f>
        <v/>
      </c>
      <c r="H471" s="64">
        <f>INDEX(Projects[PS Pallet Locations],470)</f>
        <v/>
      </c>
      <c r="I471" s="64">
        <f>INDEX(Projects[SRM Cranes],470)</f>
        <v/>
      </c>
      <c r="J471" s="64">
        <f>INDEX(Projects[SRM Pallet Locations],470)</f>
        <v/>
      </c>
      <c r="K471" s="64">
        <f>INDEX(Projects[Case Conv (m)],470)</f>
        <v/>
      </c>
      <c r="L471" s="64">
        <f>INDEX(Projects[Pallet Conv (m)],470)</f>
        <v/>
      </c>
      <c r="M471" s="64">
        <f>IF(N(DJ471)&gt;0,DD471,CW471)</f>
        <v/>
      </c>
      <c r="N471" s="64">
        <f>IF(N(DJ471)&gt;0,DE471,CX471)</f>
        <v/>
      </c>
      <c r="O471" s="64">
        <f>IF(N(DJ471)&gt;0,DF471,CY471)</f>
        <v/>
      </c>
      <c r="P471" s="64">
        <f>IF(N(DJ471)&gt;0,DG471,CZ471)</f>
        <v/>
      </c>
      <c r="Q471" s="64">
        <f>IF(N(DJ471)&gt;0,DH471,DA471)</f>
        <v/>
      </c>
      <c r="R471" s="64">
        <f>IF(N(DJ471)&gt;0,DI471,DB471)</f>
        <v/>
      </c>
      <c r="S471" s="64">
        <f>IF(N(DJ471)&gt;0,DJ471,DC471)</f>
        <v/>
      </c>
      <c r="T471" s="64">
        <f>INDEX(Projects[Currency],470)&amp;""</f>
        <v/>
      </c>
      <c r="U471" s="65">
        <f>INDEX(Projects[Sold Value (M)],470)</f>
        <v/>
      </c>
      <c r="V471" s="64">
        <f>IF('Smart Search'!B13=1,IFERROR(1/'Smart Search'!H13,0),0)</f>
        <v/>
      </c>
      <c r="W471" s="64">
        <f>IF('Smart Search'!B13=1,IFERROR(1/'Smart Search'!H13,0),0)</f>
        <v/>
      </c>
      <c r="X471" s="64">
        <f>IF('Smart Search'!C13=1,IFERROR(1/'Smart Search'!H13,0),0)</f>
        <v/>
      </c>
      <c r="Y471" s="64">
        <f>IF('Smart Search'!C13=1,IFERROR(1/'Smart Search'!H13,0),0)</f>
        <v/>
      </c>
      <c r="Z471" s="64">
        <f>IF('Smart Search'!D13=1,IFERROR(1/'Smart Search'!H13,0),0)</f>
        <v/>
      </c>
      <c r="AA471" s="64">
        <f>IF('Smart Search'!D13=1,IFERROR(1/'Smart Search'!H13,0),0)</f>
        <v/>
      </c>
      <c r="AB471" s="64">
        <f>IF('Smart Search'!E13=1,IFERROR(1/'Smart Search'!H13,0),0)</f>
        <v/>
      </c>
      <c r="AC471" s="64">
        <f>IF('Smart Search'!E13=1,IFERROR(1/'Smart Search'!H13,0),0)</f>
        <v/>
      </c>
      <c r="AD471" s="64">
        <f>IF('Smart Search'!F13=1,IFERROR(1/'Smart Search'!H13,0),0)</f>
        <v/>
      </c>
      <c r="AE471" s="64">
        <f>IF('Smart Search'!F13=1,IFERROR(1/'Smart Search'!H13,0),0)</f>
        <v/>
      </c>
      <c r="AF471" s="64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4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4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4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4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4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4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4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4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4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4">
        <f>AF471*V471</f>
        <v/>
      </c>
      <c r="AQ471" s="64">
        <f>AG471*W471</f>
        <v/>
      </c>
      <c r="AR471" s="64">
        <f>AH471*X471</f>
        <v/>
      </c>
      <c r="AS471" s="64">
        <f>AI471*Y471</f>
        <v/>
      </c>
      <c r="AT471" s="64">
        <f>AJ471*Z471</f>
        <v/>
      </c>
      <c r="AU471" s="64">
        <f>AK471*AA471</f>
        <v/>
      </c>
      <c r="AV471" s="64">
        <f>AL471*AB471</f>
        <v/>
      </c>
      <c r="AW471" s="64">
        <f>AM471*AC471</f>
        <v/>
      </c>
      <c r="AX471" s="64">
        <f>AN471*AD471</f>
        <v/>
      </c>
      <c r="AY471" s="64">
        <f>AO471*AE471</f>
        <v/>
      </c>
      <c r="AZ471" s="64">
        <f>INDEX(Projects[Automation Equipment],470)&amp;""</f>
        <v/>
      </c>
      <c r="BA471" s="64">
        <f>IF(OR(A471="",'Smart Search'!H13=0),"",MAX(0,BE471*BF471*MAX(0,1-BG471)))</f>
        <v/>
      </c>
      <c r="BB471" s="64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4">
        <f>IF('Smart Search'!G13=1,IFERROR(1/'Smart Search'!H13,0),0)</f>
        <v/>
      </c>
      <c r="BD471" s="64">
        <f>BB471*BC471</f>
        <v/>
      </c>
      <c r="BE471" s="64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IF(A471="","",N(INDEX(Projects[Act Mech Inst],470)))</f>
        <v/>
      </c>
      <c r="BK471" s="5">
        <f>IF(A471="","",N(INDEX(Projects[Act Elec Inst],470)))</f>
        <v/>
      </c>
      <c r="BL471" s="5">
        <f>IF(A471="","",N(INDEX(Projects[Act Project Management],470)))</f>
        <v/>
      </c>
      <c r="BM471" s="5">
        <f>IF(A471="","",N(INDEX(Projects[Act Systems Eng],470)))</f>
        <v/>
      </c>
      <c r="BN471" s="5">
        <f>IF(A471="","",N(INDEX(Projects[Act Mechanical Eng],470)))</f>
        <v/>
      </c>
      <c r="BO471" s="5">
        <f>IF(A471="","",N(INDEX(Projects[Act Structural Engineering],470)))</f>
        <v/>
      </c>
      <c r="BP471" s="5">
        <f>IF(A471="","",N(INDEX(Projects[Act Site Sup],470)))</f>
        <v/>
      </c>
      <c r="BQ471" s="5">
        <f>IF(A471="","",N(INDEX(Projects[Act Controls Commissioning],470)))</f>
        <v/>
      </c>
      <c r="BR471" s="5">
        <f>IF(A471="","",N(INDEX(Projects[Act Systems Commissioning],470)))</f>
        <v/>
      </c>
      <c r="BS471" s="5">
        <f>IF(A471="","",N(INDEX(Projects[Act Service Commissioning],470)))</f>
        <v/>
      </c>
      <c r="BT471" s="5">
        <f>IF(A471="","",N(INDEX(Projects[Act Controls Eng],470)))</f>
        <v/>
      </c>
      <c r="BU471" s="5">
        <f>IF(A471="","",N(INDEX(Projects[Act Controls Purchase],470)))</f>
        <v/>
      </c>
      <c r="BV471" s="5">
        <f>IF(A471="","",N(INDEX(Projects[Act Software Eng],470)))</f>
        <v/>
      </c>
      <c r="BW471" s="5">
        <f>IF(A471="","",N(INDEX(Projects[Act 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INDEX(Projects[Sold Value (USD M)],470)</f>
        <v/>
      </c>
      <c r="CE471" s="5" t="n"/>
      <c r="CF471" s="5">
        <f>IF(A471="","",N(INDEX(Projects[Est Mech Inst],470)))</f>
        <v/>
      </c>
      <c r="CG471" s="5">
        <f>IF(A471="","",N(INDEX(Projects[Est Elec Inst],470)))</f>
        <v/>
      </c>
      <c r="CH471" s="5">
        <f>IF(A471="","",N(INDEX(Projects[Est Project Management],470)))</f>
        <v/>
      </c>
      <c r="CI471" s="5">
        <f>IF(A471="","",N(INDEX(Projects[Est Systems Eng],470)))</f>
        <v/>
      </c>
      <c r="CJ471" s="5">
        <f>IF(A471="","",N(INDEX(Projects[Est Mechanical Eng],470)))</f>
        <v/>
      </c>
      <c r="CK471" s="5">
        <f>IF(A471="","",N(INDEX(Projects[Est Structural Engineering],470)))</f>
        <v/>
      </c>
      <c r="CL471" s="5">
        <f>IF(A471="","",N(INDEX(Projects[Est Site Sup],470)))</f>
        <v/>
      </c>
      <c r="CM471" s="5">
        <f>IF(A471="","",N(INDEX(Projects[Est Controls Commissioning],470)))</f>
        <v/>
      </c>
      <c r="CN471" s="5">
        <f>IF(A471="","",N(INDEX(Projects[Est Systems Commissioning],470)))</f>
        <v/>
      </c>
      <c r="CO471" s="5">
        <f>IF(A471="","",N(INDEX(Projects[Est Service Commissioning],470)))</f>
        <v/>
      </c>
      <c r="CP471" s="5">
        <f>IF(A471="","",N(INDEX(Projects[Est Controls Eng],470)))</f>
        <v/>
      </c>
      <c r="CQ471" s="5">
        <f>IF(A471="","",N(INDEX(Projects[Est Controls Purchase],470)))</f>
        <v/>
      </c>
      <c r="CR471" s="5">
        <f>IF(A471="","",N(INDEX(Projects[Est Software Eng],470)))</f>
        <v/>
      </c>
      <c r="CS471" s="5">
        <f>IF(A471="","",N(INDEX(Projects[Est Misc],470)))</f>
        <v/>
      </c>
      <c r="CT471" s="5">
        <f>IF(A471="","",SUM(CF471:CS471))</f>
        <v/>
      </c>
      <c r="CU471" s="5">
        <f>INDEX(Projects[Est Cost (M)],470)</f>
        <v/>
      </c>
      <c r="CV471" s="5">
        <f>INDEX(Projects[Act Cost (M)],470)</f>
        <v/>
      </c>
      <c r="CW471" s="5">
        <f>INDEX(Projects[Plan Mech Eng (wks)],470)</f>
        <v/>
      </c>
      <c r="CX471" s="5">
        <f>INDEX(Projects[Plan Controls Eng (wks)],470)</f>
        <v/>
      </c>
      <c r="CY471" s="5">
        <f>INDEX(Projects[Plan Systems Eng (wks)],470)</f>
        <v/>
      </c>
      <c r="CZ471" s="5">
        <f>INDEX(Projects[Plan Software Eng (wks)],470)</f>
        <v/>
      </c>
      <c r="DA471" s="5">
        <f>INDEX(Projects[Plan M&amp;E Installation (wks)],470)</f>
        <v/>
      </c>
      <c r="DB471" s="5">
        <f>INDEX(Projects[Plan Commissioning (wks)],470)</f>
        <v/>
      </c>
      <c r="DC471" s="5">
        <f>INDEX(Projects[Plan Total (wks)],470)</f>
        <v/>
      </c>
      <c r="DD471" s="5">
        <f>INDEX(Projects[Act Mech Eng (wks)],470)</f>
        <v/>
      </c>
      <c r="DE471" s="5">
        <f>INDEX(Projects[Act Controls Eng (wks)],470)</f>
        <v/>
      </c>
      <c r="DF471" s="5">
        <f>INDEX(Projects[Act Systems Eng (wks)],470)</f>
        <v/>
      </c>
      <c r="DG471" s="5">
        <f>INDEX(Projects[Act Software Eng (wks)],470)</f>
        <v/>
      </c>
      <c r="DH471" s="5">
        <f>INDEX(Projects[Act M&amp;E Installation (wks)],470)</f>
        <v/>
      </c>
      <c r="DI471" s="5">
        <f>INDEX(Projects[Act Commissioning (wks)],470)</f>
        <v/>
      </c>
      <c r="DJ471" s="5">
        <f>INDEX(Projects[Act Total (wks)],470)</f>
        <v/>
      </c>
    </row>
    <row r="472" ht="15" customHeight="1" s="82">
      <c r="A472" s="64">
        <f>INDEX(Projects[Project ID *],471)&amp;""</f>
        <v/>
      </c>
      <c r="B472" s="64">
        <f>INDEX(Projects[Project Name *],471)&amp;""</f>
        <v/>
      </c>
      <c r="C472" s="64">
        <f>INDEX(Projects[MS Shuttles],471)</f>
        <v/>
      </c>
      <c r="D472" s="64">
        <f>INDEX(Projects[MS Tote Locations],471)</f>
        <v/>
      </c>
      <c r="E472" s="64">
        <f>INDEX(Projects[AS Robots],471)</f>
        <v/>
      </c>
      <c r="F472" s="64">
        <f>INDEX(Projects[AS Tote Locations],471)</f>
        <v/>
      </c>
      <c r="G472" s="64">
        <f>INDEX(Projects[PS Shuttles],471)</f>
        <v/>
      </c>
      <c r="H472" s="64">
        <f>INDEX(Projects[PS Pallet Locations],471)</f>
        <v/>
      </c>
      <c r="I472" s="64">
        <f>INDEX(Projects[SRM Cranes],471)</f>
        <v/>
      </c>
      <c r="J472" s="64">
        <f>INDEX(Projects[SRM Pallet Locations],471)</f>
        <v/>
      </c>
      <c r="K472" s="64">
        <f>INDEX(Projects[Case Conv (m)],471)</f>
        <v/>
      </c>
      <c r="L472" s="64">
        <f>INDEX(Projects[Pallet Conv (m)],471)</f>
        <v/>
      </c>
      <c r="M472" s="64">
        <f>IF(N(DJ472)&gt;0,DD472,CW472)</f>
        <v/>
      </c>
      <c r="N472" s="64">
        <f>IF(N(DJ472)&gt;0,DE472,CX472)</f>
        <v/>
      </c>
      <c r="O472" s="64">
        <f>IF(N(DJ472)&gt;0,DF472,CY472)</f>
        <v/>
      </c>
      <c r="P472" s="64">
        <f>IF(N(DJ472)&gt;0,DG472,CZ472)</f>
        <v/>
      </c>
      <c r="Q472" s="64">
        <f>IF(N(DJ472)&gt;0,DH472,DA472)</f>
        <v/>
      </c>
      <c r="R472" s="64">
        <f>IF(N(DJ472)&gt;0,DI472,DB472)</f>
        <v/>
      </c>
      <c r="S472" s="64">
        <f>IF(N(DJ472)&gt;0,DJ472,DC472)</f>
        <v/>
      </c>
      <c r="T472" s="64">
        <f>INDEX(Projects[Currency],471)&amp;""</f>
        <v/>
      </c>
      <c r="U472" s="65">
        <f>INDEX(Projects[Sold Value (M)],471)</f>
        <v/>
      </c>
      <c r="V472" s="64">
        <f>IF('Smart Search'!B13=1,IFERROR(1/'Smart Search'!H13,0),0)</f>
        <v/>
      </c>
      <c r="W472" s="64">
        <f>IF('Smart Search'!B13=1,IFERROR(1/'Smart Search'!H13,0),0)</f>
        <v/>
      </c>
      <c r="X472" s="64">
        <f>IF('Smart Search'!C13=1,IFERROR(1/'Smart Search'!H13,0),0)</f>
        <v/>
      </c>
      <c r="Y472" s="64">
        <f>IF('Smart Search'!C13=1,IFERROR(1/'Smart Search'!H13,0),0)</f>
        <v/>
      </c>
      <c r="Z472" s="64">
        <f>IF('Smart Search'!D13=1,IFERROR(1/'Smart Search'!H13,0),0)</f>
        <v/>
      </c>
      <c r="AA472" s="64">
        <f>IF('Smart Search'!D13=1,IFERROR(1/'Smart Search'!H13,0),0)</f>
        <v/>
      </c>
      <c r="AB472" s="64">
        <f>IF('Smart Search'!E13=1,IFERROR(1/'Smart Search'!H13,0),0)</f>
        <v/>
      </c>
      <c r="AC472" s="64">
        <f>IF('Smart Search'!E13=1,IFERROR(1/'Smart Search'!H13,0),0)</f>
        <v/>
      </c>
      <c r="AD472" s="64">
        <f>IF('Smart Search'!F13=1,IFERROR(1/'Smart Search'!H13,0),0)</f>
        <v/>
      </c>
      <c r="AE472" s="64">
        <f>IF('Smart Search'!F13=1,IFERROR(1/'Smart Search'!H13,0),0)</f>
        <v/>
      </c>
      <c r="AF472" s="64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4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4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4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4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4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4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4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4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4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4">
        <f>AF472*V472</f>
        <v/>
      </c>
      <c r="AQ472" s="64">
        <f>AG472*W472</f>
        <v/>
      </c>
      <c r="AR472" s="64">
        <f>AH472*X472</f>
        <v/>
      </c>
      <c r="AS472" s="64">
        <f>AI472*Y472</f>
        <v/>
      </c>
      <c r="AT472" s="64">
        <f>AJ472*Z472</f>
        <v/>
      </c>
      <c r="AU472" s="64">
        <f>AK472*AA472</f>
        <v/>
      </c>
      <c r="AV472" s="64">
        <f>AL472*AB472</f>
        <v/>
      </c>
      <c r="AW472" s="64">
        <f>AM472*AC472</f>
        <v/>
      </c>
      <c r="AX472" s="64">
        <f>AN472*AD472</f>
        <v/>
      </c>
      <c r="AY472" s="64">
        <f>AO472*AE472</f>
        <v/>
      </c>
      <c r="AZ472" s="64">
        <f>INDEX(Projects[Automation Equipment],471)&amp;""</f>
        <v/>
      </c>
      <c r="BA472" s="64">
        <f>IF(OR(A472="",'Smart Search'!H13=0),"",MAX(0,BE472*BF472*MAX(0,1-BG472)))</f>
        <v/>
      </c>
      <c r="BB472" s="64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4">
        <f>IF('Smart Search'!G13=1,IFERROR(1/'Smart Search'!H13,0),0)</f>
        <v/>
      </c>
      <c r="BD472" s="64">
        <f>BB472*BC472</f>
        <v/>
      </c>
      <c r="BE472" s="64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IF(A472="","",N(INDEX(Projects[Act Mech Inst],471)))</f>
        <v/>
      </c>
      <c r="BK472" s="5">
        <f>IF(A472="","",N(INDEX(Projects[Act Elec Inst],471)))</f>
        <v/>
      </c>
      <c r="BL472" s="5">
        <f>IF(A472="","",N(INDEX(Projects[Act Project Management],471)))</f>
        <v/>
      </c>
      <c r="BM472" s="5">
        <f>IF(A472="","",N(INDEX(Projects[Act Systems Eng],471)))</f>
        <v/>
      </c>
      <c r="BN472" s="5">
        <f>IF(A472="","",N(INDEX(Projects[Act Mechanical Eng],471)))</f>
        <v/>
      </c>
      <c r="BO472" s="5">
        <f>IF(A472="","",N(INDEX(Projects[Act Structural Engineering],471)))</f>
        <v/>
      </c>
      <c r="BP472" s="5">
        <f>IF(A472="","",N(INDEX(Projects[Act Site Sup],471)))</f>
        <v/>
      </c>
      <c r="BQ472" s="5">
        <f>IF(A472="","",N(INDEX(Projects[Act Controls Commissioning],471)))</f>
        <v/>
      </c>
      <c r="BR472" s="5">
        <f>IF(A472="","",N(INDEX(Projects[Act Systems Commissioning],471)))</f>
        <v/>
      </c>
      <c r="BS472" s="5">
        <f>IF(A472="","",N(INDEX(Projects[Act Service Commissioning],471)))</f>
        <v/>
      </c>
      <c r="BT472" s="5">
        <f>IF(A472="","",N(INDEX(Projects[Act Controls Eng],471)))</f>
        <v/>
      </c>
      <c r="BU472" s="5">
        <f>IF(A472="","",N(INDEX(Projects[Act Controls Purchase],471)))</f>
        <v/>
      </c>
      <c r="BV472" s="5">
        <f>IF(A472="","",N(INDEX(Projects[Act Software Eng],471)))</f>
        <v/>
      </c>
      <c r="BW472" s="5">
        <f>IF(A472="","",N(INDEX(Projects[Act 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INDEX(Projects[Sold Value (USD M)],471)</f>
        <v/>
      </c>
      <c r="CE472" s="5" t="n"/>
      <c r="CF472" s="5">
        <f>IF(A472="","",N(INDEX(Projects[Est Mech Inst],471)))</f>
        <v/>
      </c>
      <c r="CG472" s="5">
        <f>IF(A472="","",N(INDEX(Projects[Est Elec Inst],471)))</f>
        <v/>
      </c>
      <c r="CH472" s="5">
        <f>IF(A472="","",N(INDEX(Projects[Est Project Management],471)))</f>
        <v/>
      </c>
      <c r="CI472" s="5">
        <f>IF(A472="","",N(INDEX(Projects[Est Systems Eng],471)))</f>
        <v/>
      </c>
      <c r="CJ472" s="5">
        <f>IF(A472="","",N(INDEX(Projects[Est Mechanical Eng],471)))</f>
        <v/>
      </c>
      <c r="CK472" s="5">
        <f>IF(A472="","",N(INDEX(Projects[Est Structural Engineering],471)))</f>
        <v/>
      </c>
      <c r="CL472" s="5">
        <f>IF(A472="","",N(INDEX(Projects[Est Site Sup],471)))</f>
        <v/>
      </c>
      <c r="CM472" s="5">
        <f>IF(A472="","",N(INDEX(Projects[Est Controls Commissioning],471)))</f>
        <v/>
      </c>
      <c r="CN472" s="5">
        <f>IF(A472="","",N(INDEX(Projects[Est Systems Commissioning],471)))</f>
        <v/>
      </c>
      <c r="CO472" s="5">
        <f>IF(A472="","",N(INDEX(Projects[Est Service Commissioning],471)))</f>
        <v/>
      </c>
      <c r="CP472" s="5">
        <f>IF(A472="","",N(INDEX(Projects[Est Controls Eng],471)))</f>
        <v/>
      </c>
      <c r="CQ472" s="5">
        <f>IF(A472="","",N(INDEX(Projects[Est Controls Purchase],471)))</f>
        <v/>
      </c>
      <c r="CR472" s="5">
        <f>IF(A472="","",N(INDEX(Projects[Est Software Eng],471)))</f>
        <v/>
      </c>
      <c r="CS472" s="5">
        <f>IF(A472="","",N(INDEX(Projects[Est Misc],471)))</f>
        <v/>
      </c>
      <c r="CT472" s="5">
        <f>IF(A472="","",SUM(CF472:CS472))</f>
        <v/>
      </c>
      <c r="CU472" s="5">
        <f>INDEX(Projects[Est Cost (M)],471)</f>
        <v/>
      </c>
      <c r="CV472" s="5">
        <f>INDEX(Projects[Act Cost (M)],471)</f>
        <v/>
      </c>
      <c r="CW472" s="5">
        <f>INDEX(Projects[Plan Mech Eng (wks)],471)</f>
        <v/>
      </c>
      <c r="CX472" s="5">
        <f>INDEX(Projects[Plan Controls Eng (wks)],471)</f>
        <v/>
      </c>
      <c r="CY472" s="5">
        <f>INDEX(Projects[Plan Systems Eng (wks)],471)</f>
        <v/>
      </c>
      <c r="CZ472" s="5">
        <f>INDEX(Projects[Plan Software Eng (wks)],471)</f>
        <v/>
      </c>
      <c r="DA472" s="5">
        <f>INDEX(Projects[Plan M&amp;E Installation (wks)],471)</f>
        <v/>
      </c>
      <c r="DB472" s="5">
        <f>INDEX(Projects[Plan Commissioning (wks)],471)</f>
        <v/>
      </c>
      <c r="DC472" s="5">
        <f>INDEX(Projects[Plan Total (wks)],471)</f>
        <v/>
      </c>
      <c r="DD472" s="5">
        <f>INDEX(Projects[Act Mech Eng (wks)],471)</f>
        <v/>
      </c>
      <c r="DE472" s="5">
        <f>INDEX(Projects[Act Controls Eng (wks)],471)</f>
        <v/>
      </c>
      <c r="DF472" s="5">
        <f>INDEX(Projects[Act Systems Eng (wks)],471)</f>
        <v/>
      </c>
      <c r="DG472" s="5">
        <f>INDEX(Projects[Act Software Eng (wks)],471)</f>
        <v/>
      </c>
      <c r="DH472" s="5">
        <f>INDEX(Projects[Act M&amp;E Installation (wks)],471)</f>
        <v/>
      </c>
      <c r="DI472" s="5">
        <f>INDEX(Projects[Act Commissioning (wks)],471)</f>
        <v/>
      </c>
      <c r="DJ472" s="5">
        <f>INDEX(Projects[Act Total (wks)],471)</f>
        <v/>
      </c>
    </row>
    <row r="473" ht="15" customHeight="1" s="82">
      <c r="A473" s="64">
        <f>INDEX(Projects[Project ID *],472)&amp;""</f>
        <v/>
      </c>
      <c r="B473" s="64">
        <f>INDEX(Projects[Project Name *],472)&amp;""</f>
        <v/>
      </c>
      <c r="C473" s="64">
        <f>INDEX(Projects[MS Shuttles],472)</f>
        <v/>
      </c>
      <c r="D473" s="64">
        <f>INDEX(Projects[MS Tote Locations],472)</f>
        <v/>
      </c>
      <c r="E473" s="64">
        <f>INDEX(Projects[AS Robots],472)</f>
        <v/>
      </c>
      <c r="F473" s="64">
        <f>INDEX(Projects[AS Tote Locations],472)</f>
        <v/>
      </c>
      <c r="G473" s="64">
        <f>INDEX(Projects[PS Shuttles],472)</f>
        <v/>
      </c>
      <c r="H473" s="64">
        <f>INDEX(Projects[PS Pallet Locations],472)</f>
        <v/>
      </c>
      <c r="I473" s="64">
        <f>INDEX(Projects[SRM Cranes],472)</f>
        <v/>
      </c>
      <c r="J473" s="64">
        <f>INDEX(Projects[SRM Pallet Locations],472)</f>
        <v/>
      </c>
      <c r="K473" s="64">
        <f>INDEX(Projects[Case Conv (m)],472)</f>
        <v/>
      </c>
      <c r="L473" s="64">
        <f>INDEX(Projects[Pallet Conv (m)],472)</f>
        <v/>
      </c>
      <c r="M473" s="64">
        <f>IF(N(DJ473)&gt;0,DD473,CW473)</f>
        <v/>
      </c>
      <c r="N473" s="64">
        <f>IF(N(DJ473)&gt;0,DE473,CX473)</f>
        <v/>
      </c>
      <c r="O473" s="64">
        <f>IF(N(DJ473)&gt;0,DF473,CY473)</f>
        <v/>
      </c>
      <c r="P473" s="64">
        <f>IF(N(DJ473)&gt;0,DG473,CZ473)</f>
        <v/>
      </c>
      <c r="Q473" s="64">
        <f>IF(N(DJ473)&gt;0,DH473,DA473)</f>
        <v/>
      </c>
      <c r="R473" s="64">
        <f>IF(N(DJ473)&gt;0,DI473,DB473)</f>
        <v/>
      </c>
      <c r="S473" s="64">
        <f>IF(N(DJ473)&gt;0,DJ473,DC473)</f>
        <v/>
      </c>
      <c r="T473" s="64">
        <f>INDEX(Projects[Currency],472)&amp;""</f>
        <v/>
      </c>
      <c r="U473" s="65">
        <f>INDEX(Projects[Sold Value (M)],472)</f>
        <v/>
      </c>
      <c r="V473" s="64">
        <f>IF('Smart Search'!B13=1,IFERROR(1/'Smart Search'!H13,0),0)</f>
        <v/>
      </c>
      <c r="W473" s="64">
        <f>IF('Smart Search'!B13=1,IFERROR(1/'Smart Search'!H13,0),0)</f>
        <v/>
      </c>
      <c r="X473" s="64">
        <f>IF('Smart Search'!C13=1,IFERROR(1/'Smart Search'!H13,0),0)</f>
        <v/>
      </c>
      <c r="Y473" s="64">
        <f>IF('Smart Search'!C13=1,IFERROR(1/'Smart Search'!H13,0),0)</f>
        <v/>
      </c>
      <c r="Z473" s="64">
        <f>IF('Smart Search'!D13=1,IFERROR(1/'Smart Search'!H13,0),0)</f>
        <v/>
      </c>
      <c r="AA473" s="64">
        <f>IF('Smart Search'!D13=1,IFERROR(1/'Smart Search'!H13,0),0)</f>
        <v/>
      </c>
      <c r="AB473" s="64">
        <f>IF('Smart Search'!E13=1,IFERROR(1/'Smart Search'!H13,0),0)</f>
        <v/>
      </c>
      <c r="AC473" s="64">
        <f>IF('Smart Search'!E13=1,IFERROR(1/'Smart Search'!H13,0),0)</f>
        <v/>
      </c>
      <c r="AD473" s="64">
        <f>IF('Smart Search'!F13=1,IFERROR(1/'Smart Search'!H13,0),0)</f>
        <v/>
      </c>
      <c r="AE473" s="64">
        <f>IF('Smart Search'!F13=1,IFERROR(1/'Smart Search'!H13,0),0)</f>
        <v/>
      </c>
      <c r="AF473" s="64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4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4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4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4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4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4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4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4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4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4">
        <f>AF473*V473</f>
        <v/>
      </c>
      <c r="AQ473" s="64">
        <f>AG473*W473</f>
        <v/>
      </c>
      <c r="AR473" s="64">
        <f>AH473*X473</f>
        <v/>
      </c>
      <c r="AS473" s="64">
        <f>AI473*Y473</f>
        <v/>
      </c>
      <c r="AT473" s="64">
        <f>AJ473*Z473</f>
        <v/>
      </c>
      <c r="AU473" s="64">
        <f>AK473*AA473</f>
        <v/>
      </c>
      <c r="AV473" s="64">
        <f>AL473*AB473</f>
        <v/>
      </c>
      <c r="AW473" s="64">
        <f>AM473*AC473</f>
        <v/>
      </c>
      <c r="AX473" s="64">
        <f>AN473*AD473</f>
        <v/>
      </c>
      <c r="AY473" s="64">
        <f>AO473*AE473</f>
        <v/>
      </c>
      <c r="AZ473" s="64">
        <f>INDEX(Projects[Automation Equipment],472)&amp;""</f>
        <v/>
      </c>
      <c r="BA473" s="64">
        <f>IF(OR(A473="",'Smart Search'!H13=0),"",MAX(0,BE473*BF473*MAX(0,1-BG473)))</f>
        <v/>
      </c>
      <c r="BB473" s="64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4">
        <f>IF('Smart Search'!G13=1,IFERROR(1/'Smart Search'!H13,0),0)</f>
        <v/>
      </c>
      <c r="BD473" s="64">
        <f>BB473*BC473</f>
        <v/>
      </c>
      <c r="BE473" s="64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IF(A473="","",N(INDEX(Projects[Act Mech Inst],472)))</f>
        <v/>
      </c>
      <c r="BK473" s="5">
        <f>IF(A473="","",N(INDEX(Projects[Act Elec Inst],472)))</f>
        <v/>
      </c>
      <c r="BL473" s="5">
        <f>IF(A473="","",N(INDEX(Projects[Act Project Management],472)))</f>
        <v/>
      </c>
      <c r="BM473" s="5">
        <f>IF(A473="","",N(INDEX(Projects[Act Systems Eng],472)))</f>
        <v/>
      </c>
      <c r="BN473" s="5">
        <f>IF(A473="","",N(INDEX(Projects[Act Mechanical Eng],472)))</f>
        <v/>
      </c>
      <c r="BO473" s="5">
        <f>IF(A473="","",N(INDEX(Projects[Act Structural Engineering],472)))</f>
        <v/>
      </c>
      <c r="BP473" s="5">
        <f>IF(A473="","",N(INDEX(Projects[Act Site Sup],472)))</f>
        <v/>
      </c>
      <c r="BQ473" s="5">
        <f>IF(A473="","",N(INDEX(Projects[Act Controls Commissioning],472)))</f>
        <v/>
      </c>
      <c r="BR473" s="5">
        <f>IF(A473="","",N(INDEX(Projects[Act Systems Commissioning],472)))</f>
        <v/>
      </c>
      <c r="BS473" s="5">
        <f>IF(A473="","",N(INDEX(Projects[Act Service Commissioning],472)))</f>
        <v/>
      </c>
      <c r="BT473" s="5">
        <f>IF(A473="","",N(INDEX(Projects[Act Controls Eng],472)))</f>
        <v/>
      </c>
      <c r="BU473" s="5">
        <f>IF(A473="","",N(INDEX(Projects[Act Controls Purchase],472)))</f>
        <v/>
      </c>
      <c r="BV473" s="5">
        <f>IF(A473="","",N(INDEX(Projects[Act Software Eng],472)))</f>
        <v/>
      </c>
      <c r="BW473" s="5">
        <f>IF(A473="","",N(INDEX(Projects[Act 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INDEX(Projects[Sold Value (USD M)],472)</f>
        <v/>
      </c>
      <c r="CE473" s="5" t="n"/>
      <c r="CF473" s="5">
        <f>IF(A473="","",N(INDEX(Projects[Est Mech Inst],472)))</f>
        <v/>
      </c>
      <c r="CG473" s="5">
        <f>IF(A473="","",N(INDEX(Projects[Est Elec Inst],472)))</f>
        <v/>
      </c>
      <c r="CH473" s="5">
        <f>IF(A473="","",N(INDEX(Projects[Est Project Management],472)))</f>
        <v/>
      </c>
      <c r="CI473" s="5">
        <f>IF(A473="","",N(INDEX(Projects[Est Systems Eng],472)))</f>
        <v/>
      </c>
      <c r="CJ473" s="5">
        <f>IF(A473="","",N(INDEX(Projects[Est Mechanical Eng],472)))</f>
        <v/>
      </c>
      <c r="CK473" s="5">
        <f>IF(A473="","",N(INDEX(Projects[Est Structural Engineering],472)))</f>
        <v/>
      </c>
      <c r="CL473" s="5">
        <f>IF(A473="","",N(INDEX(Projects[Est Site Sup],472)))</f>
        <v/>
      </c>
      <c r="CM473" s="5">
        <f>IF(A473="","",N(INDEX(Projects[Est Controls Commissioning],472)))</f>
        <v/>
      </c>
      <c r="CN473" s="5">
        <f>IF(A473="","",N(INDEX(Projects[Est Systems Commissioning],472)))</f>
        <v/>
      </c>
      <c r="CO473" s="5">
        <f>IF(A473="","",N(INDEX(Projects[Est Service Commissioning],472)))</f>
        <v/>
      </c>
      <c r="CP473" s="5">
        <f>IF(A473="","",N(INDEX(Projects[Est Controls Eng],472)))</f>
        <v/>
      </c>
      <c r="CQ473" s="5">
        <f>IF(A473="","",N(INDEX(Projects[Est Controls Purchase],472)))</f>
        <v/>
      </c>
      <c r="CR473" s="5">
        <f>IF(A473="","",N(INDEX(Projects[Est Software Eng],472)))</f>
        <v/>
      </c>
      <c r="CS473" s="5">
        <f>IF(A473="","",N(INDEX(Projects[Est Misc],472)))</f>
        <v/>
      </c>
      <c r="CT473" s="5">
        <f>IF(A473="","",SUM(CF473:CS473))</f>
        <v/>
      </c>
      <c r="CU473" s="5">
        <f>INDEX(Projects[Est Cost (M)],472)</f>
        <v/>
      </c>
      <c r="CV473" s="5">
        <f>INDEX(Projects[Act Cost (M)],472)</f>
        <v/>
      </c>
      <c r="CW473" s="5">
        <f>INDEX(Projects[Plan Mech Eng (wks)],472)</f>
        <v/>
      </c>
      <c r="CX473" s="5">
        <f>INDEX(Projects[Plan Controls Eng (wks)],472)</f>
        <v/>
      </c>
      <c r="CY473" s="5">
        <f>INDEX(Projects[Plan Systems Eng (wks)],472)</f>
        <v/>
      </c>
      <c r="CZ473" s="5">
        <f>INDEX(Projects[Plan Software Eng (wks)],472)</f>
        <v/>
      </c>
      <c r="DA473" s="5">
        <f>INDEX(Projects[Plan M&amp;E Installation (wks)],472)</f>
        <v/>
      </c>
      <c r="DB473" s="5">
        <f>INDEX(Projects[Plan Commissioning (wks)],472)</f>
        <v/>
      </c>
      <c r="DC473" s="5">
        <f>INDEX(Projects[Plan Total (wks)],472)</f>
        <v/>
      </c>
      <c r="DD473" s="5">
        <f>INDEX(Projects[Act Mech Eng (wks)],472)</f>
        <v/>
      </c>
      <c r="DE473" s="5">
        <f>INDEX(Projects[Act Controls Eng (wks)],472)</f>
        <v/>
      </c>
      <c r="DF473" s="5">
        <f>INDEX(Projects[Act Systems Eng (wks)],472)</f>
        <v/>
      </c>
      <c r="DG473" s="5">
        <f>INDEX(Projects[Act Software Eng (wks)],472)</f>
        <v/>
      </c>
      <c r="DH473" s="5">
        <f>INDEX(Projects[Act M&amp;E Installation (wks)],472)</f>
        <v/>
      </c>
      <c r="DI473" s="5">
        <f>INDEX(Projects[Act Commissioning (wks)],472)</f>
        <v/>
      </c>
      <c r="DJ473" s="5">
        <f>INDEX(Projects[Act Total (wks)],472)</f>
        <v/>
      </c>
    </row>
    <row r="474" ht="15" customHeight="1" s="82">
      <c r="A474" s="64">
        <f>INDEX(Projects[Project ID *],473)&amp;""</f>
        <v/>
      </c>
      <c r="B474" s="64">
        <f>INDEX(Projects[Project Name *],473)&amp;""</f>
        <v/>
      </c>
      <c r="C474" s="64">
        <f>INDEX(Projects[MS Shuttles],473)</f>
        <v/>
      </c>
      <c r="D474" s="64">
        <f>INDEX(Projects[MS Tote Locations],473)</f>
        <v/>
      </c>
      <c r="E474" s="64">
        <f>INDEX(Projects[AS Robots],473)</f>
        <v/>
      </c>
      <c r="F474" s="64">
        <f>INDEX(Projects[AS Tote Locations],473)</f>
        <v/>
      </c>
      <c r="G474" s="64">
        <f>INDEX(Projects[PS Shuttles],473)</f>
        <v/>
      </c>
      <c r="H474" s="64">
        <f>INDEX(Projects[PS Pallet Locations],473)</f>
        <v/>
      </c>
      <c r="I474" s="64">
        <f>INDEX(Projects[SRM Cranes],473)</f>
        <v/>
      </c>
      <c r="J474" s="64">
        <f>INDEX(Projects[SRM Pallet Locations],473)</f>
        <v/>
      </c>
      <c r="K474" s="64">
        <f>INDEX(Projects[Case Conv (m)],473)</f>
        <v/>
      </c>
      <c r="L474" s="64">
        <f>INDEX(Projects[Pallet Conv (m)],473)</f>
        <v/>
      </c>
      <c r="M474" s="64">
        <f>IF(N(DJ474)&gt;0,DD474,CW474)</f>
        <v/>
      </c>
      <c r="N474" s="64">
        <f>IF(N(DJ474)&gt;0,DE474,CX474)</f>
        <v/>
      </c>
      <c r="O474" s="64">
        <f>IF(N(DJ474)&gt;0,DF474,CY474)</f>
        <v/>
      </c>
      <c r="P474" s="64">
        <f>IF(N(DJ474)&gt;0,DG474,CZ474)</f>
        <v/>
      </c>
      <c r="Q474" s="64">
        <f>IF(N(DJ474)&gt;0,DH474,DA474)</f>
        <v/>
      </c>
      <c r="R474" s="64">
        <f>IF(N(DJ474)&gt;0,DI474,DB474)</f>
        <v/>
      </c>
      <c r="S474" s="64">
        <f>IF(N(DJ474)&gt;0,DJ474,DC474)</f>
        <v/>
      </c>
      <c r="T474" s="64">
        <f>INDEX(Projects[Currency],473)&amp;""</f>
        <v/>
      </c>
      <c r="U474" s="65">
        <f>INDEX(Projects[Sold Value (M)],473)</f>
        <v/>
      </c>
      <c r="V474" s="64">
        <f>IF('Smart Search'!B13=1,IFERROR(1/'Smart Search'!H13,0),0)</f>
        <v/>
      </c>
      <c r="W474" s="64">
        <f>IF('Smart Search'!B13=1,IFERROR(1/'Smart Search'!H13,0),0)</f>
        <v/>
      </c>
      <c r="X474" s="64">
        <f>IF('Smart Search'!C13=1,IFERROR(1/'Smart Search'!H13,0),0)</f>
        <v/>
      </c>
      <c r="Y474" s="64">
        <f>IF('Smart Search'!C13=1,IFERROR(1/'Smart Search'!H13,0),0)</f>
        <v/>
      </c>
      <c r="Z474" s="64">
        <f>IF('Smart Search'!D13=1,IFERROR(1/'Smart Search'!H13,0),0)</f>
        <v/>
      </c>
      <c r="AA474" s="64">
        <f>IF('Smart Search'!D13=1,IFERROR(1/'Smart Search'!H13,0),0)</f>
        <v/>
      </c>
      <c r="AB474" s="64">
        <f>IF('Smart Search'!E13=1,IFERROR(1/'Smart Search'!H13,0),0)</f>
        <v/>
      </c>
      <c r="AC474" s="64">
        <f>IF('Smart Search'!E13=1,IFERROR(1/'Smart Search'!H13,0),0)</f>
        <v/>
      </c>
      <c r="AD474" s="64">
        <f>IF('Smart Search'!F13=1,IFERROR(1/'Smart Search'!H13,0),0)</f>
        <v/>
      </c>
      <c r="AE474" s="64">
        <f>IF('Smart Search'!F13=1,IFERROR(1/'Smart Search'!H13,0),0)</f>
        <v/>
      </c>
      <c r="AF474" s="64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4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4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4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4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4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4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4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4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4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4">
        <f>AF474*V474</f>
        <v/>
      </c>
      <c r="AQ474" s="64">
        <f>AG474*W474</f>
        <v/>
      </c>
      <c r="AR474" s="64">
        <f>AH474*X474</f>
        <v/>
      </c>
      <c r="AS474" s="64">
        <f>AI474*Y474</f>
        <v/>
      </c>
      <c r="AT474" s="64">
        <f>AJ474*Z474</f>
        <v/>
      </c>
      <c r="AU474" s="64">
        <f>AK474*AA474</f>
        <v/>
      </c>
      <c r="AV474" s="64">
        <f>AL474*AB474</f>
        <v/>
      </c>
      <c r="AW474" s="64">
        <f>AM474*AC474</f>
        <v/>
      </c>
      <c r="AX474" s="64">
        <f>AN474*AD474</f>
        <v/>
      </c>
      <c r="AY474" s="64">
        <f>AO474*AE474</f>
        <v/>
      </c>
      <c r="AZ474" s="64">
        <f>INDEX(Projects[Automation Equipment],473)&amp;""</f>
        <v/>
      </c>
      <c r="BA474" s="64">
        <f>IF(OR(A474="",'Smart Search'!H13=0),"",MAX(0,BE474*BF474*MAX(0,1-BG474)))</f>
        <v/>
      </c>
      <c r="BB474" s="64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4">
        <f>IF('Smart Search'!G13=1,IFERROR(1/'Smart Search'!H13,0),0)</f>
        <v/>
      </c>
      <c r="BD474" s="64">
        <f>BB474*BC474</f>
        <v/>
      </c>
      <c r="BE474" s="64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IF(A474="","",N(INDEX(Projects[Act Mech Inst],473)))</f>
        <v/>
      </c>
      <c r="BK474" s="5">
        <f>IF(A474="","",N(INDEX(Projects[Act Elec Inst],473)))</f>
        <v/>
      </c>
      <c r="BL474" s="5">
        <f>IF(A474="","",N(INDEX(Projects[Act Project Management],473)))</f>
        <v/>
      </c>
      <c r="BM474" s="5">
        <f>IF(A474="","",N(INDEX(Projects[Act Systems Eng],473)))</f>
        <v/>
      </c>
      <c r="BN474" s="5">
        <f>IF(A474="","",N(INDEX(Projects[Act Mechanical Eng],473)))</f>
        <v/>
      </c>
      <c r="BO474" s="5">
        <f>IF(A474="","",N(INDEX(Projects[Act Structural Engineering],473)))</f>
        <v/>
      </c>
      <c r="BP474" s="5">
        <f>IF(A474="","",N(INDEX(Projects[Act Site Sup],473)))</f>
        <v/>
      </c>
      <c r="BQ474" s="5">
        <f>IF(A474="","",N(INDEX(Projects[Act Controls Commissioning],473)))</f>
        <v/>
      </c>
      <c r="BR474" s="5">
        <f>IF(A474="","",N(INDEX(Projects[Act Systems Commissioning],473)))</f>
        <v/>
      </c>
      <c r="BS474" s="5">
        <f>IF(A474="","",N(INDEX(Projects[Act Service Commissioning],473)))</f>
        <v/>
      </c>
      <c r="BT474" s="5">
        <f>IF(A474="","",N(INDEX(Projects[Act Controls Eng],473)))</f>
        <v/>
      </c>
      <c r="BU474" s="5">
        <f>IF(A474="","",N(INDEX(Projects[Act Controls Purchase],473)))</f>
        <v/>
      </c>
      <c r="BV474" s="5">
        <f>IF(A474="","",N(INDEX(Projects[Act Software Eng],473)))</f>
        <v/>
      </c>
      <c r="BW474" s="5">
        <f>IF(A474="","",N(INDEX(Projects[Act 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INDEX(Projects[Sold Value (USD M)],473)</f>
        <v/>
      </c>
      <c r="CE474" s="5" t="n"/>
      <c r="CF474" s="5">
        <f>IF(A474="","",N(INDEX(Projects[Est Mech Inst],473)))</f>
        <v/>
      </c>
      <c r="CG474" s="5">
        <f>IF(A474="","",N(INDEX(Projects[Est Elec Inst],473)))</f>
        <v/>
      </c>
      <c r="CH474" s="5">
        <f>IF(A474="","",N(INDEX(Projects[Est Project Management],473)))</f>
        <v/>
      </c>
      <c r="CI474" s="5">
        <f>IF(A474="","",N(INDEX(Projects[Est Systems Eng],473)))</f>
        <v/>
      </c>
      <c r="CJ474" s="5">
        <f>IF(A474="","",N(INDEX(Projects[Est Mechanical Eng],473)))</f>
        <v/>
      </c>
      <c r="CK474" s="5">
        <f>IF(A474="","",N(INDEX(Projects[Est Structural Engineering],473)))</f>
        <v/>
      </c>
      <c r="CL474" s="5">
        <f>IF(A474="","",N(INDEX(Projects[Est Site Sup],473)))</f>
        <v/>
      </c>
      <c r="CM474" s="5">
        <f>IF(A474="","",N(INDEX(Projects[Est Controls Commissioning],473)))</f>
        <v/>
      </c>
      <c r="CN474" s="5">
        <f>IF(A474="","",N(INDEX(Projects[Est Systems Commissioning],473)))</f>
        <v/>
      </c>
      <c r="CO474" s="5">
        <f>IF(A474="","",N(INDEX(Projects[Est Service Commissioning],473)))</f>
        <v/>
      </c>
      <c r="CP474" s="5">
        <f>IF(A474="","",N(INDEX(Projects[Est Controls Eng],473)))</f>
        <v/>
      </c>
      <c r="CQ474" s="5">
        <f>IF(A474="","",N(INDEX(Projects[Est Controls Purchase],473)))</f>
        <v/>
      </c>
      <c r="CR474" s="5">
        <f>IF(A474="","",N(INDEX(Projects[Est Software Eng],473)))</f>
        <v/>
      </c>
      <c r="CS474" s="5">
        <f>IF(A474="","",N(INDEX(Projects[Est Misc],473)))</f>
        <v/>
      </c>
      <c r="CT474" s="5">
        <f>IF(A474="","",SUM(CF474:CS474))</f>
        <v/>
      </c>
      <c r="CU474" s="5">
        <f>INDEX(Projects[Est Cost (M)],473)</f>
        <v/>
      </c>
      <c r="CV474" s="5">
        <f>INDEX(Projects[Act Cost (M)],473)</f>
        <v/>
      </c>
      <c r="CW474" s="5">
        <f>INDEX(Projects[Plan Mech Eng (wks)],473)</f>
        <v/>
      </c>
      <c r="CX474" s="5">
        <f>INDEX(Projects[Plan Controls Eng (wks)],473)</f>
        <v/>
      </c>
      <c r="CY474" s="5">
        <f>INDEX(Projects[Plan Systems Eng (wks)],473)</f>
        <v/>
      </c>
      <c r="CZ474" s="5">
        <f>INDEX(Projects[Plan Software Eng (wks)],473)</f>
        <v/>
      </c>
      <c r="DA474" s="5">
        <f>INDEX(Projects[Plan M&amp;E Installation (wks)],473)</f>
        <v/>
      </c>
      <c r="DB474" s="5">
        <f>INDEX(Projects[Plan Commissioning (wks)],473)</f>
        <v/>
      </c>
      <c r="DC474" s="5">
        <f>INDEX(Projects[Plan Total (wks)],473)</f>
        <v/>
      </c>
      <c r="DD474" s="5">
        <f>INDEX(Projects[Act Mech Eng (wks)],473)</f>
        <v/>
      </c>
      <c r="DE474" s="5">
        <f>INDEX(Projects[Act Controls Eng (wks)],473)</f>
        <v/>
      </c>
      <c r="DF474" s="5">
        <f>INDEX(Projects[Act Systems Eng (wks)],473)</f>
        <v/>
      </c>
      <c r="DG474" s="5">
        <f>INDEX(Projects[Act Software Eng (wks)],473)</f>
        <v/>
      </c>
      <c r="DH474" s="5">
        <f>INDEX(Projects[Act M&amp;E Installation (wks)],473)</f>
        <v/>
      </c>
      <c r="DI474" s="5">
        <f>INDEX(Projects[Act Commissioning (wks)],473)</f>
        <v/>
      </c>
      <c r="DJ474" s="5">
        <f>INDEX(Projects[Act Total (wks)],473)</f>
        <v/>
      </c>
    </row>
    <row r="475" ht="15" customHeight="1" s="82">
      <c r="A475" s="64">
        <f>INDEX(Projects[Project ID *],474)&amp;""</f>
        <v/>
      </c>
      <c r="B475" s="64">
        <f>INDEX(Projects[Project Name *],474)&amp;""</f>
        <v/>
      </c>
      <c r="C475" s="64">
        <f>INDEX(Projects[MS Shuttles],474)</f>
        <v/>
      </c>
      <c r="D475" s="64">
        <f>INDEX(Projects[MS Tote Locations],474)</f>
        <v/>
      </c>
      <c r="E475" s="64">
        <f>INDEX(Projects[AS Robots],474)</f>
        <v/>
      </c>
      <c r="F475" s="64">
        <f>INDEX(Projects[AS Tote Locations],474)</f>
        <v/>
      </c>
      <c r="G475" s="64">
        <f>INDEX(Projects[PS Shuttles],474)</f>
        <v/>
      </c>
      <c r="H475" s="64">
        <f>INDEX(Projects[PS Pallet Locations],474)</f>
        <v/>
      </c>
      <c r="I475" s="64">
        <f>INDEX(Projects[SRM Cranes],474)</f>
        <v/>
      </c>
      <c r="J475" s="64">
        <f>INDEX(Projects[SRM Pallet Locations],474)</f>
        <v/>
      </c>
      <c r="K475" s="64">
        <f>INDEX(Projects[Case Conv (m)],474)</f>
        <v/>
      </c>
      <c r="L475" s="64">
        <f>INDEX(Projects[Pallet Conv (m)],474)</f>
        <v/>
      </c>
      <c r="M475" s="64">
        <f>IF(N(DJ475)&gt;0,DD475,CW475)</f>
        <v/>
      </c>
      <c r="N475" s="64">
        <f>IF(N(DJ475)&gt;0,DE475,CX475)</f>
        <v/>
      </c>
      <c r="O475" s="64">
        <f>IF(N(DJ475)&gt;0,DF475,CY475)</f>
        <v/>
      </c>
      <c r="P475" s="64">
        <f>IF(N(DJ475)&gt;0,DG475,CZ475)</f>
        <v/>
      </c>
      <c r="Q475" s="64">
        <f>IF(N(DJ475)&gt;0,DH475,DA475)</f>
        <v/>
      </c>
      <c r="R475" s="64">
        <f>IF(N(DJ475)&gt;0,DI475,DB475)</f>
        <v/>
      </c>
      <c r="S475" s="64">
        <f>IF(N(DJ475)&gt;0,DJ475,DC475)</f>
        <v/>
      </c>
      <c r="T475" s="64">
        <f>INDEX(Projects[Currency],474)&amp;""</f>
        <v/>
      </c>
      <c r="U475" s="65">
        <f>INDEX(Projects[Sold Value (M)],474)</f>
        <v/>
      </c>
      <c r="V475" s="64">
        <f>IF('Smart Search'!B13=1,IFERROR(1/'Smart Search'!H13,0),0)</f>
        <v/>
      </c>
      <c r="W475" s="64">
        <f>IF('Smart Search'!B13=1,IFERROR(1/'Smart Search'!H13,0),0)</f>
        <v/>
      </c>
      <c r="X475" s="64">
        <f>IF('Smart Search'!C13=1,IFERROR(1/'Smart Search'!H13,0),0)</f>
        <v/>
      </c>
      <c r="Y475" s="64">
        <f>IF('Smart Search'!C13=1,IFERROR(1/'Smart Search'!H13,0),0)</f>
        <v/>
      </c>
      <c r="Z475" s="64">
        <f>IF('Smart Search'!D13=1,IFERROR(1/'Smart Search'!H13,0),0)</f>
        <v/>
      </c>
      <c r="AA475" s="64">
        <f>IF('Smart Search'!D13=1,IFERROR(1/'Smart Search'!H13,0),0)</f>
        <v/>
      </c>
      <c r="AB475" s="64">
        <f>IF('Smart Search'!E13=1,IFERROR(1/'Smart Search'!H13,0),0)</f>
        <v/>
      </c>
      <c r="AC475" s="64">
        <f>IF('Smart Search'!E13=1,IFERROR(1/'Smart Search'!H13,0),0)</f>
        <v/>
      </c>
      <c r="AD475" s="64">
        <f>IF('Smart Search'!F13=1,IFERROR(1/'Smart Search'!H13,0),0)</f>
        <v/>
      </c>
      <c r="AE475" s="64">
        <f>IF('Smart Search'!F13=1,IFERROR(1/'Smart Search'!H13,0),0)</f>
        <v/>
      </c>
      <c r="AF475" s="64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4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4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4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4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4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4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4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4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4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4">
        <f>AF475*V475</f>
        <v/>
      </c>
      <c r="AQ475" s="64">
        <f>AG475*W475</f>
        <v/>
      </c>
      <c r="AR475" s="64">
        <f>AH475*X475</f>
        <v/>
      </c>
      <c r="AS475" s="64">
        <f>AI475*Y475</f>
        <v/>
      </c>
      <c r="AT475" s="64">
        <f>AJ475*Z475</f>
        <v/>
      </c>
      <c r="AU475" s="64">
        <f>AK475*AA475</f>
        <v/>
      </c>
      <c r="AV475" s="64">
        <f>AL475*AB475</f>
        <v/>
      </c>
      <c r="AW475" s="64">
        <f>AM475*AC475</f>
        <v/>
      </c>
      <c r="AX475" s="64">
        <f>AN475*AD475</f>
        <v/>
      </c>
      <c r="AY475" s="64">
        <f>AO475*AE475</f>
        <v/>
      </c>
      <c r="AZ475" s="64">
        <f>INDEX(Projects[Automation Equipment],474)&amp;""</f>
        <v/>
      </c>
      <c r="BA475" s="64">
        <f>IF(OR(A475="",'Smart Search'!H13=0),"",MAX(0,BE475*BF475*MAX(0,1-BG475)))</f>
        <v/>
      </c>
      <c r="BB475" s="64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4">
        <f>IF('Smart Search'!G13=1,IFERROR(1/'Smart Search'!H13,0),0)</f>
        <v/>
      </c>
      <c r="BD475" s="64">
        <f>BB475*BC475</f>
        <v/>
      </c>
      <c r="BE475" s="64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IF(A475="","",N(INDEX(Projects[Act Mech Inst],474)))</f>
        <v/>
      </c>
      <c r="BK475" s="5">
        <f>IF(A475="","",N(INDEX(Projects[Act Elec Inst],474)))</f>
        <v/>
      </c>
      <c r="BL475" s="5">
        <f>IF(A475="","",N(INDEX(Projects[Act Project Management],474)))</f>
        <v/>
      </c>
      <c r="BM475" s="5">
        <f>IF(A475="","",N(INDEX(Projects[Act Systems Eng],474)))</f>
        <v/>
      </c>
      <c r="BN475" s="5">
        <f>IF(A475="","",N(INDEX(Projects[Act Mechanical Eng],474)))</f>
        <v/>
      </c>
      <c r="BO475" s="5">
        <f>IF(A475="","",N(INDEX(Projects[Act Structural Engineering],474)))</f>
        <v/>
      </c>
      <c r="BP475" s="5">
        <f>IF(A475="","",N(INDEX(Projects[Act Site Sup],474)))</f>
        <v/>
      </c>
      <c r="BQ475" s="5">
        <f>IF(A475="","",N(INDEX(Projects[Act Controls Commissioning],474)))</f>
        <v/>
      </c>
      <c r="BR475" s="5">
        <f>IF(A475="","",N(INDEX(Projects[Act Systems Commissioning],474)))</f>
        <v/>
      </c>
      <c r="BS475" s="5">
        <f>IF(A475="","",N(INDEX(Projects[Act Service Commissioning],474)))</f>
        <v/>
      </c>
      <c r="BT475" s="5">
        <f>IF(A475="","",N(INDEX(Projects[Act Controls Eng],474)))</f>
        <v/>
      </c>
      <c r="BU475" s="5">
        <f>IF(A475="","",N(INDEX(Projects[Act Controls Purchase],474)))</f>
        <v/>
      </c>
      <c r="BV475" s="5">
        <f>IF(A475="","",N(INDEX(Projects[Act Software Eng],474)))</f>
        <v/>
      </c>
      <c r="BW475" s="5">
        <f>IF(A475="","",N(INDEX(Projects[Act 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INDEX(Projects[Sold Value (USD M)],474)</f>
        <v/>
      </c>
      <c r="CE475" s="5" t="n"/>
      <c r="CF475" s="5">
        <f>IF(A475="","",N(INDEX(Projects[Est Mech Inst],474)))</f>
        <v/>
      </c>
      <c r="CG475" s="5">
        <f>IF(A475="","",N(INDEX(Projects[Est Elec Inst],474)))</f>
        <v/>
      </c>
      <c r="CH475" s="5">
        <f>IF(A475="","",N(INDEX(Projects[Est Project Management],474)))</f>
        <v/>
      </c>
      <c r="CI475" s="5">
        <f>IF(A475="","",N(INDEX(Projects[Est Systems Eng],474)))</f>
        <v/>
      </c>
      <c r="CJ475" s="5">
        <f>IF(A475="","",N(INDEX(Projects[Est Mechanical Eng],474)))</f>
        <v/>
      </c>
      <c r="CK475" s="5">
        <f>IF(A475="","",N(INDEX(Projects[Est Structural Engineering],474)))</f>
        <v/>
      </c>
      <c r="CL475" s="5">
        <f>IF(A475="","",N(INDEX(Projects[Est Site Sup],474)))</f>
        <v/>
      </c>
      <c r="CM475" s="5">
        <f>IF(A475="","",N(INDEX(Projects[Est Controls Commissioning],474)))</f>
        <v/>
      </c>
      <c r="CN475" s="5">
        <f>IF(A475="","",N(INDEX(Projects[Est Systems Commissioning],474)))</f>
        <v/>
      </c>
      <c r="CO475" s="5">
        <f>IF(A475="","",N(INDEX(Projects[Est Service Commissioning],474)))</f>
        <v/>
      </c>
      <c r="CP475" s="5">
        <f>IF(A475="","",N(INDEX(Projects[Est Controls Eng],474)))</f>
        <v/>
      </c>
      <c r="CQ475" s="5">
        <f>IF(A475="","",N(INDEX(Projects[Est Controls Purchase],474)))</f>
        <v/>
      </c>
      <c r="CR475" s="5">
        <f>IF(A475="","",N(INDEX(Projects[Est Software Eng],474)))</f>
        <v/>
      </c>
      <c r="CS475" s="5">
        <f>IF(A475="","",N(INDEX(Projects[Est Misc],474)))</f>
        <v/>
      </c>
      <c r="CT475" s="5">
        <f>IF(A475="","",SUM(CF475:CS475))</f>
        <v/>
      </c>
      <c r="CU475" s="5">
        <f>INDEX(Projects[Est Cost (M)],474)</f>
        <v/>
      </c>
      <c r="CV475" s="5">
        <f>INDEX(Projects[Act Cost (M)],474)</f>
        <v/>
      </c>
      <c r="CW475" s="5">
        <f>INDEX(Projects[Plan Mech Eng (wks)],474)</f>
        <v/>
      </c>
      <c r="CX475" s="5">
        <f>INDEX(Projects[Plan Controls Eng (wks)],474)</f>
        <v/>
      </c>
      <c r="CY475" s="5">
        <f>INDEX(Projects[Plan Systems Eng (wks)],474)</f>
        <v/>
      </c>
      <c r="CZ475" s="5">
        <f>INDEX(Projects[Plan Software Eng (wks)],474)</f>
        <v/>
      </c>
      <c r="DA475" s="5">
        <f>INDEX(Projects[Plan M&amp;E Installation (wks)],474)</f>
        <v/>
      </c>
      <c r="DB475" s="5">
        <f>INDEX(Projects[Plan Commissioning (wks)],474)</f>
        <v/>
      </c>
      <c r="DC475" s="5">
        <f>INDEX(Projects[Plan Total (wks)],474)</f>
        <v/>
      </c>
      <c r="DD475" s="5">
        <f>INDEX(Projects[Act Mech Eng (wks)],474)</f>
        <v/>
      </c>
      <c r="DE475" s="5">
        <f>INDEX(Projects[Act Controls Eng (wks)],474)</f>
        <v/>
      </c>
      <c r="DF475" s="5">
        <f>INDEX(Projects[Act Systems Eng (wks)],474)</f>
        <v/>
      </c>
      <c r="DG475" s="5">
        <f>INDEX(Projects[Act Software Eng (wks)],474)</f>
        <v/>
      </c>
      <c r="DH475" s="5">
        <f>INDEX(Projects[Act M&amp;E Installation (wks)],474)</f>
        <v/>
      </c>
      <c r="DI475" s="5">
        <f>INDEX(Projects[Act Commissioning (wks)],474)</f>
        <v/>
      </c>
      <c r="DJ475" s="5">
        <f>INDEX(Projects[Act Total (wks)],474)</f>
        <v/>
      </c>
    </row>
    <row r="476" ht="15" customHeight="1" s="82">
      <c r="A476" s="64">
        <f>INDEX(Projects[Project ID *],475)&amp;""</f>
        <v/>
      </c>
      <c r="B476" s="64">
        <f>INDEX(Projects[Project Name *],475)&amp;""</f>
        <v/>
      </c>
      <c r="C476" s="64">
        <f>INDEX(Projects[MS Shuttles],475)</f>
        <v/>
      </c>
      <c r="D476" s="64">
        <f>INDEX(Projects[MS Tote Locations],475)</f>
        <v/>
      </c>
      <c r="E476" s="64">
        <f>INDEX(Projects[AS Robots],475)</f>
        <v/>
      </c>
      <c r="F476" s="64">
        <f>INDEX(Projects[AS Tote Locations],475)</f>
        <v/>
      </c>
      <c r="G476" s="64">
        <f>INDEX(Projects[PS Shuttles],475)</f>
        <v/>
      </c>
      <c r="H476" s="64">
        <f>INDEX(Projects[PS Pallet Locations],475)</f>
        <v/>
      </c>
      <c r="I476" s="64">
        <f>INDEX(Projects[SRM Cranes],475)</f>
        <v/>
      </c>
      <c r="J476" s="64">
        <f>INDEX(Projects[SRM Pallet Locations],475)</f>
        <v/>
      </c>
      <c r="K476" s="64">
        <f>INDEX(Projects[Case Conv (m)],475)</f>
        <v/>
      </c>
      <c r="L476" s="64">
        <f>INDEX(Projects[Pallet Conv (m)],475)</f>
        <v/>
      </c>
      <c r="M476" s="64">
        <f>IF(N(DJ476)&gt;0,DD476,CW476)</f>
        <v/>
      </c>
      <c r="N476" s="64">
        <f>IF(N(DJ476)&gt;0,DE476,CX476)</f>
        <v/>
      </c>
      <c r="O476" s="64">
        <f>IF(N(DJ476)&gt;0,DF476,CY476)</f>
        <v/>
      </c>
      <c r="P476" s="64">
        <f>IF(N(DJ476)&gt;0,DG476,CZ476)</f>
        <v/>
      </c>
      <c r="Q476" s="64">
        <f>IF(N(DJ476)&gt;0,DH476,DA476)</f>
        <v/>
      </c>
      <c r="R476" s="64">
        <f>IF(N(DJ476)&gt;0,DI476,DB476)</f>
        <v/>
      </c>
      <c r="S476" s="64">
        <f>IF(N(DJ476)&gt;0,DJ476,DC476)</f>
        <v/>
      </c>
      <c r="T476" s="64">
        <f>INDEX(Projects[Currency],475)&amp;""</f>
        <v/>
      </c>
      <c r="U476" s="65">
        <f>INDEX(Projects[Sold Value (M)],475)</f>
        <v/>
      </c>
      <c r="V476" s="64">
        <f>IF('Smart Search'!B13=1,IFERROR(1/'Smart Search'!H13,0),0)</f>
        <v/>
      </c>
      <c r="W476" s="64">
        <f>IF('Smart Search'!B13=1,IFERROR(1/'Smart Search'!H13,0),0)</f>
        <v/>
      </c>
      <c r="X476" s="64">
        <f>IF('Smart Search'!C13=1,IFERROR(1/'Smart Search'!H13,0),0)</f>
        <v/>
      </c>
      <c r="Y476" s="64">
        <f>IF('Smart Search'!C13=1,IFERROR(1/'Smart Search'!H13,0),0)</f>
        <v/>
      </c>
      <c r="Z476" s="64">
        <f>IF('Smart Search'!D13=1,IFERROR(1/'Smart Search'!H13,0),0)</f>
        <v/>
      </c>
      <c r="AA476" s="64">
        <f>IF('Smart Search'!D13=1,IFERROR(1/'Smart Search'!H13,0),0)</f>
        <v/>
      </c>
      <c r="AB476" s="64">
        <f>IF('Smart Search'!E13=1,IFERROR(1/'Smart Search'!H13,0),0)</f>
        <v/>
      </c>
      <c r="AC476" s="64">
        <f>IF('Smart Search'!E13=1,IFERROR(1/'Smart Search'!H13,0),0)</f>
        <v/>
      </c>
      <c r="AD476" s="64">
        <f>IF('Smart Search'!F13=1,IFERROR(1/'Smart Search'!H13,0),0)</f>
        <v/>
      </c>
      <c r="AE476" s="64">
        <f>IF('Smart Search'!F13=1,IFERROR(1/'Smart Search'!H13,0),0)</f>
        <v/>
      </c>
      <c r="AF476" s="64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4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4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4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4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4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4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4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4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4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4">
        <f>AF476*V476</f>
        <v/>
      </c>
      <c r="AQ476" s="64">
        <f>AG476*W476</f>
        <v/>
      </c>
      <c r="AR476" s="64">
        <f>AH476*X476</f>
        <v/>
      </c>
      <c r="AS476" s="64">
        <f>AI476*Y476</f>
        <v/>
      </c>
      <c r="AT476" s="64">
        <f>AJ476*Z476</f>
        <v/>
      </c>
      <c r="AU476" s="64">
        <f>AK476*AA476</f>
        <v/>
      </c>
      <c r="AV476" s="64">
        <f>AL476*AB476</f>
        <v/>
      </c>
      <c r="AW476" s="64">
        <f>AM476*AC476</f>
        <v/>
      </c>
      <c r="AX476" s="64">
        <f>AN476*AD476</f>
        <v/>
      </c>
      <c r="AY476" s="64">
        <f>AO476*AE476</f>
        <v/>
      </c>
      <c r="AZ476" s="64">
        <f>INDEX(Projects[Automation Equipment],475)&amp;""</f>
        <v/>
      </c>
      <c r="BA476" s="64">
        <f>IF(OR(A476="",'Smart Search'!H13=0),"",MAX(0,BE476*BF476*MAX(0,1-BG476)))</f>
        <v/>
      </c>
      <c r="BB476" s="64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4">
        <f>IF('Smart Search'!G13=1,IFERROR(1/'Smart Search'!H13,0),0)</f>
        <v/>
      </c>
      <c r="BD476" s="64">
        <f>BB476*BC476</f>
        <v/>
      </c>
      <c r="BE476" s="64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IF(A476="","",N(INDEX(Projects[Act Mech Inst],475)))</f>
        <v/>
      </c>
      <c r="BK476" s="5">
        <f>IF(A476="","",N(INDEX(Projects[Act Elec Inst],475)))</f>
        <v/>
      </c>
      <c r="BL476" s="5">
        <f>IF(A476="","",N(INDEX(Projects[Act Project Management],475)))</f>
        <v/>
      </c>
      <c r="BM476" s="5">
        <f>IF(A476="","",N(INDEX(Projects[Act Systems Eng],475)))</f>
        <v/>
      </c>
      <c r="BN476" s="5">
        <f>IF(A476="","",N(INDEX(Projects[Act Mechanical Eng],475)))</f>
        <v/>
      </c>
      <c r="BO476" s="5">
        <f>IF(A476="","",N(INDEX(Projects[Act Structural Engineering],475)))</f>
        <v/>
      </c>
      <c r="BP476" s="5">
        <f>IF(A476="","",N(INDEX(Projects[Act Site Sup],475)))</f>
        <v/>
      </c>
      <c r="BQ476" s="5">
        <f>IF(A476="","",N(INDEX(Projects[Act Controls Commissioning],475)))</f>
        <v/>
      </c>
      <c r="BR476" s="5">
        <f>IF(A476="","",N(INDEX(Projects[Act Systems Commissioning],475)))</f>
        <v/>
      </c>
      <c r="BS476" s="5">
        <f>IF(A476="","",N(INDEX(Projects[Act Service Commissioning],475)))</f>
        <v/>
      </c>
      <c r="BT476" s="5">
        <f>IF(A476="","",N(INDEX(Projects[Act Controls Eng],475)))</f>
        <v/>
      </c>
      <c r="BU476" s="5">
        <f>IF(A476="","",N(INDEX(Projects[Act Controls Purchase],475)))</f>
        <v/>
      </c>
      <c r="BV476" s="5">
        <f>IF(A476="","",N(INDEX(Projects[Act Software Eng],475)))</f>
        <v/>
      </c>
      <c r="BW476" s="5">
        <f>IF(A476="","",N(INDEX(Projects[Act 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INDEX(Projects[Sold Value (USD M)],475)</f>
        <v/>
      </c>
      <c r="CE476" s="5" t="n"/>
      <c r="CF476" s="5">
        <f>IF(A476="","",N(INDEX(Projects[Est Mech Inst],475)))</f>
        <v/>
      </c>
      <c r="CG476" s="5">
        <f>IF(A476="","",N(INDEX(Projects[Est Elec Inst],475)))</f>
        <v/>
      </c>
      <c r="CH476" s="5">
        <f>IF(A476="","",N(INDEX(Projects[Est Project Management],475)))</f>
        <v/>
      </c>
      <c r="CI476" s="5">
        <f>IF(A476="","",N(INDEX(Projects[Est Systems Eng],475)))</f>
        <v/>
      </c>
      <c r="CJ476" s="5">
        <f>IF(A476="","",N(INDEX(Projects[Est Mechanical Eng],475)))</f>
        <v/>
      </c>
      <c r="CK476" s="5">
        <f>IF(A476="","",N(INDEX(Projects[Est Structural Engineering],475)))</f>
        <v/>
      </c>
      <c r="CL476" s="5">
        <f>IF(A476="","",N(INDEX(Projects[Est Site Sup],475)))</f>
        <v/>
      </c>
      <c r="CM476" s="5">
        <f>IF(A476="","",N(INDEX(Projects[Est Controls Commissioning],475)))</f>
        <v/>
      </c>
      <c r="CN476" s="5">
        <f>IF(A476="","",N(INDEX(Projects[Est Systems Commissioning],475)))</f>
        <v/>
      </c>
      <c r="CO476" s="5">
        <f>IF(A476="","",N(INDEX(Projects[Est Service Commissioning],475)))</f>
        <v/>
      </c>
      <c r="CP476" s="5">
        <f>IF(A476="","",N(INDEX(Projects[Est Controls Eng],475)))</f>
        <v/>
      </c>
      <c r="CQ476" s="5">
        <f>IF(A476="","",N(INDEX(Projects[Est Controls Purchase],475)))</f>
        <v/>
      </c>
      <c r="CR476" s="5">
        <f>IF(A476="","",N(INDEX(Projects[Est Software Eng],475)))</f>
        <v/>
      </c>
      <c r="CS476" s="5">
        <f>IF(A476="","",N(INDEX(Projects[Est Misc],475)))</f>
        <v/>
      </c>
      <c r="CT476" s="5">
        <f>IF(A476="","",SUM(CF476:CS476))</f>
        <v/>
      </c>
      <c r="CU476" s="5">
        <f>INDEX(Projects[Est Cost (M)],475)</f>
        <v/>
      </c>
      <c r="CV476" s="5">
        <f>INDEX(Projects[Act Cost (M)],475)</f>
        <v/>
      </c>
      <c r="CW476" s="5">
        <f>INDEX(Projects[Plan Mech Eng (wks)],475)</f>
        <v/>
      </c>
      <c r="CX476" s="5">
        <f>INDEX(Projects[Plan Controls Eng (wks)],475)</f>
        <v/>
      </c>
      <c r="CY476" s="5">
        <f>INDEX(Projects[Plan Systems Eng (wks)],475)</f>
        <v/>
      </c>
      <c r="CZ476" s="5">
        <f>INDEX(Projects[Plan Software Eng (wks)],475)</f>
        <v/>
      </c>
      <c r="DA476" s="5">
        <f>INDEX(Projects[Plan M&amp;E Installation (wks)],475)</f>
        <v/>
      </c>
      <c r="DB476" s="5">
        <f>INDEX(Projects[Plan Commissioning (wks)],475)</f>
        <v/>
      </c>
      <c r="DC476" s="5">
        <f>INDEX(Projects[Plan Total (wks)],475)</f>
        <v/>
      </c>
      <c r="DD476" s="5">
        <f>INDEX(Projects[Act Mech Eng (wks)],475)</f>
        <v/>
      </c>
      <c r="DE476" s="5">
        <f>INDEX(Projects[Act Controls Eng (wks)],475)</f>
        <v/>
      </c>
      <c r="DF476" s="5">
        <f>INDEX(Projects[Act Systems Eng (wks)],475)</f>
        <v/>
      </c>
      <c r="DG476" s="5">
        <f>INDEX(Projects[Act Software Eng (wks)],475)</f>
        <v/>
      </c>
      <c r="DH476" s="5">
        <f>INDEX(Projects[Act M&amp;E Installation (wks)],475)</f>
        <v/>
      </c>
      <c r="DI476" s="5">
        <f>INDEX(Projects[Act Commissioning (wks)],475)</f>
        <v/>
      </c>
      <c r="DJ476" s="5">
        <f>INDEX(Projects[Act Total (wks)],475)</f>
        <v/>
      </c>
    </row>
    <row r="477" ht="15" customHeight="1" s="82">
      <c r="A477" s="64">
        <f>INDEX(Projects[Project ID *],476)&amp;""</f>
        <v/>
      </c>
      <c r="B477" s="64">
        <f>INDEX(Projects[Project Name *],476)&amp;""</f>
        <v/>
      </c>
      <c r="C477" s="64">
        <f>INDEX(Projects[MS Shuttles],476)</f>
        <v/>
      </c>
      <c r="D477" s="64">
        <f>INDEX(Projects[MS Tote Locations],476)</f>
        <v/>
      </c>
      <c r="E477" s="64">
        <f>INDEX(Projects[AS Robots],476)</f>
        <v/>
      </c>
      <c r="F477" s="64">
        <f>INDEX(Projects[AS Tote Locations],476)</f>
        <v/>
      </c>
      <c r="G477" s="64">
        <f>INDEX(Projects[PS Shuttles],476)</f>
        <v/>
      </c>
      <c r="H477" s="64">
        <f>INDEX(Projects[PS Pallet Locations],476)</f>
        <v/>
      </c>
      <c r="I477" s="64">
        <f>INDEX(Projects[SRM Cranes],476)</f>
        <v/>
      </c>
      <c r="J477" s="64">
        <f>INDEX(Projects[SRM Pallet Locations],476)</f>
        <v/>
      </c>
      <c r="K477" s="64">
        <f>INDEX(Projects[Case Conv (m)],476)</f>
        <v/>
      </c>
      <c r="L477" s="64">
        <f>INDEX(Projects[Pallet Conv (m)],476)</f>
        <v/>
      </c>
      <c r="M477" s="64">
        <f>IF(N(DJ477)&gt;0,DD477,CW477)</f>
        <v/>
      </c>
      <c r="N477" s="64">
        <f>IF(N(DJ477)&gt;0,DE477,CX477)</f>
        <v/>
      </c>
      <c r="O477" s="64">
        <f>IF(N(DJ477)&gt;0,DF477,CY477)</f>
        <v/>
      </c>
      <c r="P477" s="64">
        <f>IF(N(DJ477)&gt;0,DG477,CZ477)</f>
        <v/>
      </c>
      <c r="Q477" s="64">
        <f>IF(N(DJ477)&gt;0,DH477,DA477)</f>
        <v/>
      </c>
      <c r="R477" s="64">
        <f>IF(N(DJ477)&gt;0,DI477,DB477)</f>
        <v/>
      </c>
      <c r="S477" s="64">
        <f>IF(N(DJ477)&gt;0,DJ477,DC477)</f>
        <v/>
      </c>
      <c r="T477" s="64">
        <f>INDEX(Projects[Currency],476)&amp;""</f>
        <v/>
      </c>
      <c r="U477" s="65">
        <f>INDEX(Projects[Sold Value (M)],476)</f>
        <v/>
      </c>
      <c r="V477" s="64">
        <f>IF('Smart Search'!B13=1,IFERROR(1/'Smart Search'!H13,0),0)</f>
        <v/>
      </c>
      <c r="W477" s="64">
        <f>IF('Smart Search'!B13=1,IFERROR(1/'Smart Search'!H13,0),0)</f>
        <v/>
      </c>
      <c r="X477" s="64">
        <f>IF('Smart Search'!C13=1,IFERROR(1/'Smart Search'!H13,0),0)</f>
        <v/>
      </c>
      <c r="Y477" s="64">
        <f>IF('Smart Search'!C13=1,IFERROR(1/'Smart Search'!H13,0),0)</f>
        <v/>
      </c>
      <c r="Z477" s="64">
        <f>IF('Smart Search'!D13=1,IFERROR(1/'Smart Search'!H13,0),0)</f>
        <v/>
      </c>
      <c r="AA477" s="64">
        <f>IF('Smart Search'!D13=1,IFERROR(1/'Smart Search'!H13,0),0)</f>
        <v/>
      </c>
      <c r="AB477" s="64">
        <f>IF('Smart Search'!E13=1,IFERROR(1/'Smart Search'!H13,0),0)</f>
        <v/>
      </c>
      <c r="AC477" s="64">
        <f>IF('Smart Search'!E13=1,IFERROR(1/'Smart Search'!H13,0),0)</f>
        <v/>
      </c>
      <c r="AD477" s="64">
        <f>IF('Smart Search'!F13=1,IFERROR(1/'Smart Search'!H13,0),0)</f>
        <v/>
      </c>
      <c r="AE477" s="64">
        <f>IF('Smart Search'!F13=1,IFERROR(1/'Smart Search'!H13,0),0)</f>
        <v/>
      </c>
      <c r="AF477" s="64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4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4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4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4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4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4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4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4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4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4">
        <f>AF477*V477</f>
        <v/>
      </c>
      <c r="AQ477" s="64">
        <f>AG477*W477</f>
        <v/>
      </c>
      <c r="AR477" s="64">
        <f>AH477*X477</f>
        <v/>
      </c>
      <c r="AS477" s="64">
        <f>AI477*Y477</f>
        <v/>
      </c>
      <c r="AT477" s="64">
        <f>AJ477*Z477</f>
        <v/>
      </c>
      <c r="AU477" s="64">
        <f>AK477*AA477</f>
        <v/>
      </c>
      <c r="AV477" s="64">
        <f>AL477*AB477</f>
        <v/>
      </c>
      <c r="AW477" s="64">
        <f>AM477*AC477</f>
        <v/>
      </c>
      <c r="AX477" s="64">
        <f>AN477*AD477</f>
        <v/>
      </c>
      <c r="AY477" s="64">
        <f>AO477*AE477</f>
        <v/>
      </c>
      <c r="AZ477" s="64">
        <f>INDEX(Projects[Automation Equipment],476)&amp;""</f>
        <v/>
      </c>
      <c r="BA477" s="64">
        <f>IF(OR(A477="",'Smart Search'!H13=0),"",MAX(0,BE477*BF477*MAX(0,1-BG477)))</f>
        <v/>
      </c>
      <c r="BB477" s="64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4">
        <f>IF('Smart Search'!G13=1,IFERROR(1/'Smart Search'!H13,0),0)</f>
        <v/>
      </c>
      <c r="BD477" s="64">
        <f>BB477*BC477</f>
        <v/>
      </c>
      <c r="BE477" s="64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IF(A477="","",N(INDEX(Projects[Act Mech Inst],476)))</f>
        <v/>
      </c>
      <c r="BK477" s="5">
        <f>IF(A477="","",N(INDEX(Projects[Act Elec Inst],476)))</f>
        <v/>
      </c>
      <c r="BL477" s="5">
        <f>IF(A477="","",N(INDEX(Projects[Act Project Management],476)))</f>
        <v/>
      </c>
      <c r="BM477" s="5">
        <f>IF(A477="","",N(INDEX(Projects[Act Systems Eng],476)))</f>
        <v/>
      </c>
      <c r="BN477" s="5">
        <f>IF(A477="","",N(INDEX(Projects[Act Mechanical Eng],476)))</f>
        <v/>
      </c>
      <c r="BO477" s="5">
        <f>IF(A477="","",N(INDEX(Projects[Act Structural Engineering],476)))</f>
        <v/>
      </c>
      <c r="BP477" s="5">
        <f>IF(A477="","",N(INDEX(Projects[Act Site Sup],476)))</f>
        <v/>
      </c>
      <c r="BQ477" s="5">
        <f>IF(A477="","",N(INDEX(Projects[Act Controls Commissioning],476)))</f>
        <v/>
      </c>
      <c r="BR477" s="5">
        <f>IF(A477="","",N(INDEX(Projects[Act Systems Commissioning],476)))</f>
        <v/>
      </c>
      <c r="BS477" s="5">
        <f>IF(A477="","",N(INDEX(Projects[Act Service Commissioning],476)))</f>
        <v/>
      </c>
      <c r="BT477" s="5">
        <f>IF(A477="","",N(INDEX(Projects[Act Controls Eng],476)))</f>
        <v/>
      </c>
      <c r="BU477" s="5">
        <f>IF(A477="","",N(INDEX(Projects[Act Controls Purchase],476)))</f>
        <v/>
      </c>
      <c r="BV477" s="5">
        <f>IF(A477="","",N(INDEX(Projects[Act Software Eng],476)))</f>
        <v/>
      </c>
      <c r="BW477" s="5">
        <f>IF(A477="","",N(INDEX(Projects[Act 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INDEX(Projects[Sold Value (USD M)],476)</f>
        <v/>
      </c>
      <c r="CE477" s="5" t="n"/>
      <c r="CF477" s="5">
        <f>IF(A477="","",N(INDEX(Projects[Est Mech Inst],476)))</f>
        <v/>
      </c>
      <c r="CG477" s="5">
        <f>IF(A477="","",N(INDEX(Projects[Est Elec Inst],476)))</f>
        <v/>
      </c>
      <c r="CH477" s="5">
        <f>IF(A477="","",N(INDEX(Projects[Est Project Management],476)))</f>
        <v/>
      </c>
      <c r="CI477" s="5">
        <f>IF(A477="","",N(INDEX(Projects[Est Systems Eng],476)))</f>
        <v/>
      </c>
      <c r="CJ477" s="5">
        <f>IF(A477="","",N(INDEX(Projects[Est Mechanical Eng],476)))</f>
        <v/>
      </c>
      <c r="CK477" s="5">
        <f>IF(A477="","",N(INDEX(Projects[Est Structural Engineering],476)))</f>
        <v/>
      </c>
      <c r="CL477" s="5">
        <f>IF(A477="","",N(INDEX(Projects[Est Site Sup],476)))</f>
        <v/>
      </c>
      <c r="CM477" s="5">
        <f>IF(A477="","",N(INDEX(Projects[Est Controls Commissioning],476)))</f>
        <v/>
      </c>
      <c r="CN477" s="5">
        <f>IF(A477="","",N(INDEX(Projects[Est Systems Commissioning],476)))</f>
        <v/>
      </c>
      <c r="CO477" s="5">
        <f>IF(A477="","",N(INDEX(Projects[Est Service Commissioning],476)))</f>
        <v/>
      </c>
      <c r="CP477" s="5">
        <f>IF(A477="","",N(INDEX(Projects[Est Controls Eng],476)))</f>
        <v/>
      </c>
      <c r="CQ477" s="5">
        <f>IF(A477="","",N(INDEX(Projects[Est Controls Purchase],476)))</f>
        <v/>
      </c>
      <c r="CR477" s="5">
        <f>IF(A477="","",N(INDEX(Projects[Est Software Eng],476)))</f>
        <v/>
      </c>
      <c r="CS477" s="5">
        <f>IF(A477="","",N(INDEX(Projects[Est Misc],476)))</f>
        <v/>
      </c>
      <c r="CT477" s="5">
        <f>IF(A477="","",SUM(CF477:CS477))</f>
        <v/>
      </c>
      <c r="CU477" s="5">
        <f>INDEX(Projects[Est Cost (M)],476)</f>
        <v/>
      </c>
      <c r="CV477" s="5">
        <f>INDEX(Projects[Act Cost (M)],476)</f>
        <v/>
      </c>
      <c r="CW477" s="5">
        <f>INDEX(Projects[Plan Mech Eng (wks)],476)</f>
        <v/>
      </c>
      <c r="CX477" s="5">
        <f>INDEX(Projects[Plan Controls Eng (wks)],476)</f>
        <v/>
      </c>
      <c r="CY477" s="5">
        <f>INDEX(Projects[Plan Systems Eng (wks)],476)</f>
        <v/>
      </c>
      <c r="CZ477" s="5">
        <f>INDEX(Projects[Plan Software Eng (wks)],476)</f>
        <v/>
      </c>
      <c r="DA477" s="5">
        <f>INDEX(Projects[Plan M&amp;E Installation (wks)],476)</f>
        <v/>
      </c>
      <c r="DB477" s="5">
        <f>INDEX(Projects[Plan Commissioning (wks)],476)</f>
        <v/>
      </c>
      <c r="DC477" s="5">
        <f>INDEX(Projects[Plan Total (wks)],476)</f>
        <v/>
      </c>
      <c r="DD477" s="5">
        <f>INDEX(Projects[Act Mech Eng (wks)],476)</f>
        <v/>
      </c>
      <c r="DE477" s="5">
        <f>INDEX(Projects[Act Controls Eng (wks)],476)</f>
        <v/>
      </c>
      <c r="DF477" s="5">
        <f>INDEX(Projects[Act Systems Eng (wks)],476)</f>
        <v/>
      </c>
      <c r="DG477" s="5">
        <f>INDEX(Projects[Act Software Eng (wks)],476)</f>
        <v/>
      </c>
      <c r="DH477" s="5">
        <f>INDEX(Projects[Act M&amp;E Installation (wks)],476)</f>
        <v/>
      </c>
      <c r="DI477" s="5">
        <f>INDEX(Projects[Act Commissioning (wks)],476)</f>
        <v/>
      </c>
      <c r="DJ477" s="5">
        <f>INDEX(Projects[Act Total (wks)],476)</f>
        <v/>
      </c>
    </row>
    <row r="478" ht="15" customHeight="1" s="82">
      <c r="A478" s="64">
        <f>INDEX(Projects[Project ID *],477)&amp;""</f>
        <v/>
      </c>
      <c r="B478" s="64">
        <f>INDEX(Projects[Project Name *],477)&amp;""</f>
        <v/>
      </c>
      <c r="C478" s="64">
        <f>INDEX(Projects[MS Shuttles],477)</f>
        <v/>
      </c>
      <c r="D478" s="64">
        <f>INDEX(Projects[MS Tote Locations],477)</f>
        <v/>
      </c>
      <c r="E478" s="64">
        <f>INDEX(Projects[AS Robots],477)</f>
        <v/>
      </c>
      <c r="F478" s="64">
        <f>INDEX(Projects[AS Tote Locations],477)</f>
        <v/>
      </c>
      <c r="G478" s="64">
        <f>INDEX(Projects[PS Shuttles],477)</f>
        <v/>
      </c>
      <c r="H478" s="64">
        <f>INDEX(Projects[PS Pallet Locations],477)</f>
        <v/>
      </c>
      <c r="I478" s="64">
        <f>INDEX(Projects[SRM Cranes],477)</f>
        <v/>
      </c>
      <c r="J478" s="64">
        <f>INDEX(Projects[SRM Pallet Locations],477)</f>
        <v/>
      </c>
      <c r="K478" s="64">
        <f>INDEX(Projects[Case Conv (m)],477)</f>
        <v/>
      </c>
      <c r="L478" s="64">
        <f>INDEX(Projects[Pallet Conv (m)],477)</f>
        <v/>
      </c>
      <c r="M478" s="64">
        <f>IF(N(DJ478)&gt;0,DD478,CW478)</f>
        <v/>
      </c>
      <c r="N478" s="64">
        <f>IF(N(DJ478)&gt;0,DE478,CX478)</f>
        <v/>
      </c>
      <c r="O478" s="64">
        <f>IF(N(DJ478)&gt;0,DF478,CY478)</f>
        <v/>
      </c>
      <c r="P478" s="64">
        <f>IF(N(DJ478)&gt;0,DG478,CZ478)</f>
        <v/>
      </c>
      <c r="Q478" s="64">
        <f>IF(N(DJ478)&gt;0,DH478,DA478)</f>
        <v/>
      </c>
      <c r="R478" s="64">
        <f>IF(N(DJ478)&gt;0,DI478,DB478)</f>
        <v/>
      </c>
      <c r="S478" s="64">
        <f>IF(N(DJ478)&gt;0,DJ478,DC478)</f>
        <v/>
      </c>
      <c r="T478" s="64">
        <f>INDEX(Projects[Currency],477)&amp;""</f>
        <v/>
      </c>
      <c r="U478" s="65">
        <f>INDEX(Projects[Sold Value (M)],477)</f>
        <v/>
      </c>
      <c r="V478" s="64">
        <f>IF('Smart Search'!B13=1,IFERROR(1/'Smart Search'!H13,0),0)</f>
        <v/>
      </c>
      <c r="W478" s="64">
        <f>IF('Smart Search'!B13=1,IFERROR(1/'Smart Search'!H13,0),0)</f>
        <v/>
      </c>
      <c r="X478" s="64">
        <f>IF('Smart Search'!C13=1,IFERROR(1/'Smart Search'!H13,0),0)</f>
        <v/>
      </c>
      <c r="Y478" s="64">
        <f>IF('Smart Search'!C13=1,IFERROR(1/'Smart Search'!H13,0),0)</f>
        <v/>
      </c>
      <c r="Z478" s="64">
        <f>IF('Smart Search'!D13=1,IFERROR(1/'Smart Search'!H13,0),0)</f>
        <v/>
      </c>
      <c r="AA478" s="64">
        <f>IF('Smart Search'!D13=1,IFERROR(1/'Smart Search'!H13,0),0)</f>
        <v/>
      </c>
      <c r="AB478" s="64">
        <f>IF('Smart Search'!E13=1,IFERROR(1/'Smart Search'!H13,0),0)</f>
        <v/>
      </c>
      <c r="AC478" s="64">
        <f>IF('Smart Search'!E13=1,IFERROR(1/'Smart Search'!H13,0),0)</f>
        <v/>
      </c>
      <c r="AD478" s="64">
        <f>IF('Smart Search'!F13=1,IFERROR(1/'Smart Search'!H13,0),0)</f>
        <v/>
      </c>
      <c r="AE478" s="64">
        <f>IF('Smart Search'!F13=1,IFERROR(1/'Smart Search'!H13,0),0)</f>
        <v/>
      </c>
      <c r="AF478" s="64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4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4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4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4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4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4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4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4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4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4">
        <f>AF478*V478</f>
        <v/>
      </c>
      <c r="AQ478" s="64">
        <f>AG478*W478</f>
        <v/>
      </c>
      <c r="AR478" s="64">
        <f>AH478*X478</f>
        <v/>
      </c>
      <c r="AS478" s="64">
        <f>AI478*Y478</f>
        <v/>
      </c>
      <c r="AT478" s="64">
        <f>AJ478*Z478</f>
        <v/>
      </c>
      <c r="AU478" s="64">
        <f>AK478*AA478</f>
        <v/>
      </c>
      <c r="AV478" s="64">
        <f>AL478*AB478</f>
        <v/>
      </c>
      <c r="AW478" s="64">
        <f>AM478*AC478</f>
        <v/>
      </c>
      <c r="AX478" s="64">
        <f>AN478*AD478</f>
        <v/>
      </c>
      <c r="AY478" s="64">
        <f>AO478*AE478</f>
        <v/>
      </c>
      <c r="AZ478" s="64">
        <f>INDEX(Projects[Automation Equipment],477)&amp;""</f>
        <v/>
      </c>
      <c r="BA478" s="64">
        <f>IF(OR(A478="",'Smart Search'!H13=0),"",MAX(0,BE478*BF478*MAX(0,1-BG478)))</f>
        <v/>
      </c>
      <c r="BB478" s="64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4">
        <f>IF('Smart Search'!G13=1,IFERROR(1/'Smart Search'!H13,0),0)</f>
        <v/>
      </c>
      <c r="BD478" s="64">
        <f>BB478*BC478</f>
        <v/>
      </c>
      <c r="BE478" s="64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IF(A478="","",N(INDEX(Projects[Act Mech Inst],477)))</f>
        <v/>
      </c>
      <c r="BK478" s="5">
        <f>IF(A478="","",N(INDEX(Projects[Act Elec Inst],477)))</f>
        <v/>
      </c>
      <c r="BL478" s="5">
        <f>IF(A478="","",N(INDEX(Projects[Act Project Management],477)))</f>
        <v/>
      </c>
      <c r="BM478" s="5">
        <f>IF(A478="","",N(INDEX(Projects[Act Systems Eng],477)))</f>
        <v/>
      </c>
      <c r="BN478" s="5">
        <f>IF(A478="","",N(INDEX(Projects[Act Mechanical Eng],477)))</f>
        <v/>
      </c>
      <c r="BO478" s="5">
        <f>IF(A478="","",N(INDEX(Projects[Act Structural Engineering],477)))</f>
        <v/>
      </c>
      <c r="BP478" s="5">
        <f>IF(A478="","",N(INDEX(Projects[Act Site Sup],477)))</f>
        <v/>
      </c>
      <c r="BQ478" s="5">
        <f>IF(A478="","",N(INDEX(Projects[Act Controls Commissioning],477)))</f>
        <v/>
      </c>
      <c r="BR478" s="5">
        <f>IF(A478="","",N(INDEX(Projects[Act Systems Commissioning],477)))</f>
        <v/>
      </c>
      <c r="BS478" s="5">
        <f>IF(A478="","",N(INDEX(Projects[Act Service Commissioning],477)))</f>
        <v/>
      </c>
      <c r="BT478" s="5">
        <f>IF(A478="","",N(INDEX(Projects[Act Controls Eng],477)))</f>
        <v/>
      </c>
      <c r="BU478" s="5">
        <f>IF(A478="","",N(INDEX(Projects[Act Controls Purchase],477)))</f>
        <v/>
      </c>
      <c r="BV478" s="5">
        <f>IF(A478="","",N(INDEX(Projects[Act Software Eng],477)))</f>
        <v/>
      </c>
      <c r="BW478" s="5">
        <f>IF(A478="","",N(INDEX(Projects[Act 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INDEX(Projects[Sold Value (USD M)],477)</f>
        <v/>
      </c>
      <c r="CE478" s="5" t="n"/>
      <c r="CF478" s="5">
        <f>IF(A478="","",N(INDEX(Projects[Est Mech Inst],477)))</f>
        <v/>
      </c>
      <c r="CG478" s="5">
        <f>IF(A478="","",N(INDEX(Projects[Est Elec Inst],477)))</f>
        <v/>
      </c>
      <c r="CH478" s="5">
        <f>IF(A478="","",N(INDEX(Projects[Est Project Management],477)))</f>
        <v/>
      </c>
      <c r="CI478" s="5">
        <f>IF(A478="","",N(INDEX(Projects[Est Systems Eng],477)))</f>
        <v/>
      </c>
      <c r="CJ478" s="5">
        <f>IF(A478="","",N(INDEX(Projects[Est Mechanical Eng],477)))</f>
        <v/>
      </c>
      <c r="CK478" s="5">
        <f>IF(A478="","",N(INDEX(Projects[Est Structural Engineering],477)))</f>
        <v/>
      </c>
      <c r="CL478" s="5">
        <f>IF(A478="","",N(INDEX(Projects[Est Site Sup],477)))</f>
        <v/>
      </c>
      <c r="CM478" s="5">
        <f>IF(A478="","",N(INDEX(Projects[Est Controls Commissioning],477)))</f>
        <v/>
      </c>
      <c r="CN478" s="5">
        <f>IF(A478="","",N(INDEX(Projects[Est Systems Commissioning],477)))</f>
        <v/>
      </c>
      <c r="CO478" s="5">
        <f>IF(A478="","",N(INDEX(Projects[Est Service Commissioning],477)))</f>
        <v/>
      </c>
      <c r="CP478" s="5">
        <f>IF(A478="","",N(INDEX(Projects[Est Controls Eng],477)))</f>
        <v/>
      </c>
      <c r="CQ478" s="5">
        <f>IF(A478="","",N(INDEX(Projects[Est Controls Purchase],477)))</f>
        <v/>
      </c>
      <c r="CR478" s="5">
        <f>IF(A478="","",N(INDEX(Projects[Est Software Eng],477)))</f>
        <v/>
      </c>
      <c r="CS478" s="5">
        <f>IF(A478="","",N(INDEX(Projects[Est Misc],477)))</f>
        <v/>
      </c>
      <c r="CT478" s="5">
        <f>IF(A478="","",SUM(CF478:CS478))</f>
        <v/>
      </c>
      <c r="CU478" s="5">
        <f>INDEX(Projects[Est Cost (M)],477)</f>
        <v/>
      </c>
      <c r="CV478" s="5">
        <f>INDEX(Projects[Act Cost (M)],477)</f>
        <v/>
      </c>
      <c r="CW478" s="5">
        <f>INDEX(Projects[Plan Mech Eng (wks)],477)</f>
        <v/>
      </c>
      <c r="CX478" s="5">
        <f>INDEX(Projects[Plan Controls Eng (wks)],477)</f>
        <v/>
      </c>
      <c r="CY478" s="5">
        <f>INDEX(Projects[Plan Systems Eng (wks)],477)</f>
        <v/>
      </c>
      <c r="CZ478" s="5">
        <f>INDEX(Projects[Plan Software Eng (wks)],477)</f>
        <v/>
      </c>
      <c r="DA478" s="5">
        <f>INDEX(Projects[Plan M&amp;E Installation (wks)],477)</f>
        <v/>
      </c>
      <c r="DB478" s="5">
        <f>INDEX(Projects[Plan Commissioning (wks)],477)</f>
        <v/>
      </c>
      <c r="DC478" s="5">
        <f>INDEX(Projects[Plan Total (wks)],477)</f>
        <v/>
      </c>
      <c r="DD478" s="5">
        <f>INDEX(Projects[Act Mech Eng (wks)],477)</f>
        <v/>
      </c>
      <c r="DE478" s="5">
        <f>INDEX(Projects[Act Controls Eng (wks)],477)</f>
        <v/>
      </c>
      <c r="DF478" s="5">
        <f>INDEX(Projects[Act Systems Eng (wks)],477)</f>
        <v/>
      </c>
      <c r="DG478" s="5">
        <f>INDEX(Projects[Act Software Eng (wks)],477)</f>
        <v/>
      </c>
      <c r="DH478" s="5">
        <f>INDEX(Projects[Act M&amp;E Installation (wks)],477)</f>
        <v/>
      </c>
      <c r="DI478" s="5">
        <f>INDEX(Projects[Act Commissioning (wks)],477)</f>
        <v/>
      </c>
      <c r="DJ478" s="5">
        <f>INDEX(Projects[Act Total (wks)],477)</f>
        <v/>
      </c>
    </row>
    <row r="479" ht="15" customHeight="1" s="82">
      <c r="A479" s="64">
        <f>INDEX(Projects[Project ID *],478)&amp;""</f>
        <v/>
      </c>
      <c r="B479" s="64">
        <f>INDEX(Projects[Project Name *],478)&amp;""</f>
        <v/>
      </c>
      <c r="C479" s="64">
        <f>INDEX(Projects[MS Shuttles],478)</f>
        <v/>
      </c>
      <c r="D479" s="64">
        <f>INDEX(Projects[MS Tote Locations],478)</f>
        <v/>
      </c>
      <c r="E479" s="64">
        <f>INDEX(Projects[AS Robots],478)</f>
        <v/>
      </c>
      <c r="F479" s="64">
        <f>INDEX(Projects[AS Tote Locations],478)</f>
        <v/>
      </c>
      <c r="G479" s="64">
        <f>INDEX(Projects[PS Shuttles],478)</f>
        <v/>
      </c>
      <c r="H479" s="64">
        <f>INDEX(Projects[PS Pallet Locations],478)</f>
        <v/>
      </c>
      <c r="I479" s="64">
        <f>INDEX(Projects[SRM Cranes],478)</f>
        <v/>
      </c>
      <c r="J479" s="64">
        <f>INDEX(Projects[SRM Pallet Locations],478)</f>
        <v/>
      </c>
      <c r="K479" s="64">
        <f>INDEX(Projects[Case Conv (m)],478)</f>
        <v/>
      </c>
      <c r="L479" s="64">
        <f>INDEX(Projects[Pallet Conv (m)],478)</f>
        <v/>
      </c>
      <c r="M479" s="64">
        <f>IF(N(DJ479)&gt;0,DD479,CW479)</f>
        <v/>
      </c>
      <c r="N479" s="64">
        <f>IF(N(DJ479)&gt;0,DE479,CX479)</f>
        <v/>
      </c>
      <c r="O479" s="64">
        <f>IF(N(DJ479)&gt;0,DF479,CY479)</f>
        <v/>
      </c>
      <c r="P479" s="64">
        <f>IF(N(DJ479)&gt;0,DG479,CZ479)</f>
        <v/>
      </c>
      <c r="Q479" s="64">
        <f>IF(N(DJ479)&gt;0,DH479,DA479)</f>
        <v/>
      </c>
      <c r="R479" s="64">
        <f>IF(N(DJ479)&gt;0,DI479,DB479)</f>
        <v/>
      </c>
      <c r="S479" s="64">
        <f>IF(N(DJ479)&gt;0,DJ479,DC479)</f>
        <v/>
      </c>
      <c r="T479" s="64">
        <f>INDEX(Projects[Currency],478)&amp;""</f>
        <v/>
      </c>
      <c r="U479" s="65">
        <f>INDEX(Projects[Sold Value (M)],478)</f>
        <v/>
      </c>
      <c r="V479" s="64">
        <f>IF('Smart Search'!B13=1,IFERROR(1/'Smart Search'!H13,0),0)</f>
        <v/>
      </c>
      <c r="W479" s="64">
        <f>IF('Smart Search'!B13=1,IFERROR(1/'Smart Search'!H13,0),0)</f>
        <v/>
      </c>
      <c r="X479" s="64">
        <f>IF('Smart Search'!C13=1,IFERROR(1/'Smart Search'!H13,0),0)</f>
        <v/>
      </c>
      <c r="Y479" s="64">
        <f>IF('Smart Search'!C13=1,IFERROR(1/'Smart Search'!H13,0),0)</f>
        <v/>
      </c>
      <c r="Z479" s="64">
        <f>IF('Smart Search'!D13=1,IFERROR(1/'Smart Search'!H13,0),0)</f>
        <v/>
      </c>
      <c r="AA479" s="64">
        <f>IF('Smart Search'!D13=1,IFERROR(1/'Smart Search'!H13,0),0)</f>
        <v/>
      </c>
      <c r="AB479" s="64">
        <f>IF('Smart Search'!E13=1,IFERROR(1/'Smart Search'!H13,0),0)</f>
        <v/>
      </c>
      <c r="AC479" s="64">
        <f>IF('Smart Search'!E13=1,IFERROR(1/'Smart Search'!H13,0),0)</f>
        <v/>
      </c>
      <c r="AD479" s="64">
        <f>IF('Smart Search'!F13=1,IFERROR(1/'Smart Search'!H13,0),0)</f>
        <v/>
      </c>
      <c r="AE479" s="64">
        <f>IF('Smart Search'!F13=1,IFERROR(1/'Smart Search'!H13,0),0)</f>
        <v/>
      </c>
      <c r="AF479" s="64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4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4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4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4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4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4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4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4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4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4">
        <f>AF479*V479</f>
        <v/>
      </c>
      <c r="AQ479" s="64">
        <f>AG479*W479</f>
        <v/>
      </c>
      <c r="AR479" s="64">
        <f>AH479*X479</f>
        <v/>
      </c>
      <c r="AS479" s="64">
        <f>AI479*Y479</f>
        <v/>
      </c>
      <c r="AT479" s="64">
        <f>AJ479*Z479</f>
        <v/>
      </c>
      <c r="AU479" s="64">
        <f>AK479*AA479</f>
        <v/>
      </c>
      <c r="AV479" s="64">
        <f>AL479*AB479</f>
        <v/>
      </c>
      <c r="AW479" s="64">
        <f>AM479*AC479</f>
        <v/>
      </c>
      <c r="AX479" s="64">
        <f>AN479*AD479</f>
        <v/>
      </c>
      <c r="AY479" s="64">
        <f>AO479*AE479</f>
        <v/>
      </c>
      <c r="AZ479" s="64">
        <f>INDEX(Projects[Automation Equipment],478)&amp;""</f>
        <v/>
      </c>
      <c r="BA479" s="64">
        <f>IF(OR(A479="",'Smart Search'!H13=0),"",MAX(0,BE479*BF479*MAX(0,1-BG479)))</f>
        <v/>
      </c>
      <c r="BB479" s="64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4">
        <f>IF('Smart Search'!G13=1,IFERROR(1/'Smart Search'!H13,0),0)</f>
        <v/>
      </c>
      <c r="BD479" s="64">
        <f>BB479*BC479</f>
        <v/>
      </c>
      <c r="BE479" s="64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IF(A479="","",N(INDEX(Projects[Act Mech Inst],478)))</f>
        <v/>
      </c>
      <c r="BK479" s="5">
        <f>IF(A479="","",N(INDEX(Projects[Act Elec Inst],478)))</f>
        <v/>
      </c>
      <c r="BL479" s="5">
        <f>IF(A479="","",N(INDEX(Projects[Act Project Management],478)))</f>
        <v/>
      </c>
      <c r="BM479" s="5">
        <f>IF(A479="","",N(INDEX(Projects[Act Systems Eng],478)))</f>
        <v/>
      </c>
      <c r="BN479" s="5">
        <f>IF(A479="","",N(INDEX(Projects[Act Mechanical Eng],478)))</f>
        <v/>
      </c>
      <c r="BO479" s="5">
        <f>IF(A479="","",N(INDEX(Projects[Act Structural Engineering],478)))</f>
        <v/>
      </c>
      <c r="BP479" s="5">
        <f>IF(A479="","",N(INDEX(Projects[Act Site Sup],478)))</f>
        <v/>
      </c>
      <c r="BQ479" s="5">
        <f>IF(A479="","",N(INDEX(Projects[Act Controls Commissioning],478)))</f>
        <v/>
      </c>
      <c r="BR479" s="5">
        <f>IF(A479="","",N(INDEX(Projects[Act Systems Commissioning],478)))</f>
        <v/>
      </c>
      <c r="BS479" s="5">
        <f>IF(A479="","",N(INDEX(Projects[Act Service Commissioning],478)))</f>
        <v/>
      </c>
      <c r="BT479" s="5">
        <f>IF(A479="","",N(INDEX(Projects[Act Controls Eng],478)))</f>
        <v/>
      </c>
      <c r="BU479" s="5">
        <f>IF(A479="","",N(INDEX(Projects[Act Controls Purchase],478)))</f>
        <v/>
      </c>
      <c r="BV479" s="5">
        <f>IF(A479="","",N(INDEX(Projects[Act Software Eng],478)))</f>
        <v/>
      </c>
      <c r="BW479" s="5">
        <f>IF(A479="","",N(INDEX(Projects[Act 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INDEX(Projects[Sold Value (USD M)],478)</f>
        <v/>
      </c>
      <c r="CE479" s="5" t="n"/>
      <c r="CF479" s="5">
        <f>IF(A479="","",N(INDEX(Projects[Est Mech Inst],478)))</f>
        <v/>
      </c>
      <c r="CG479" s="5">
        <f>IF(A479="","",N(INDEX(Projects[Est Elec Inst],478)))</f>
        <v/>
      </c>
      <c r="CH479" s="5">
        <f>IF(A479="","",N(INDEX(Projects[Est Project Management],478)))</f>
        <v/>
      </c>
      <c r="CI479" s="5">
        <f>IF(A479="","",N(INDEX(Projects[Est Systems Eng],478)))</f>
        <v/>
      </c>
      <c r="CJ479" s="5">
        <f>IF(A479="","",N(INDEX(Projects[Est Mechanical Eng],478)))</f>
        <v/>
      </c>
      <c r="CK479" s="5">
        <f>IF(A479="","",N(INDEX(Projects[Est Structural Engineering],478)))</f>
        <v/>
      </c>
      <c r="CL479" s="5">
        <f>IF(A479="","",N(INDEX(Projects[Est Site Sup],478)))</f>
        <v/>
      </c>
      <c r="CM479" s="5">
        <f>IF(A479="","",N(INDEX(Projects[Est Controls Commissioning],478)))</f>
        <v/>
      </c>
      <c r="CN479" s="5">
        <f>IF(A479="","",N(INDEX(Projects[Est Systems Commissioning],478)))</f>
        <v/>
      </c>
      <c r="CO479" s="5">
        <f>IF(A479="","",N(INDEX(Projects[Est Service Commissioning],478)))</f>
        <v/>
      </c>
      <c r="CP479" s="5">
        <f>IF(A479="","",N(INDEX(Projects[Est Controls Eng],478)))</f>
        <v/>
      </c>
      <c r="CQ479" s="5">
        <f>IF(A479="","",N(INDEX(Projects[Est Controls Purchase],478)))</f>
        <v/>
      </c>
      <c r="CR479" s="5">
        <f>IF(A479="","",N(INDEX(Projects[Est Software Eng],478)))</f>
        <v/>
      </c>
      <c r="CS479" s="5">
        <f>IF(A479="","",N(INDEX(Projects[Est Misc],478)))</f>
        <v/>
      </c>
      <c r="CT479" s="5">
        <f>IF(A479="","",SUM(CF479:CS479))</f>
        <v/>
      </c>
      <c r="CU479" s="5">
        <f>INDEX(Projects[Est Cost (M)],478)</f>
        <v/>
      </c>
      <c r="CV479" s="5">
        <f>INDEX(Projects[Act Cost (M)],478)</f>
        <v/>
      </c>
      <c r="CW479" s="5">
        <f>INDEX(Projects[Plan Mech Eng (wks)],478)</f>
        <v/>
      </c>
      <c r="CX479" s="5">
        <f>INDEX(Projects[Plan Controls Eng (wks)],478)</f>
        <v/>
      </c>
      <c r="CY479" s="5">
        <f>INDEX(Projects[Plan Systems Eng (wks)],478)</f>
        <v/>
      </c>
      <c r="CZ479" s="5">
        <f>INDEX(Projects[Plan Software Eng (wks)],478)</f>
        <v/>
      </c>
      <c r="DA479" s="5">
        <f>INDEX(Projects[Plan M&amp;E Installation (wks)],478)</f>
        <v/>
      </c>
      <c r="DB479" s="5">
        <f>INDEX(Projects[Plan Commissioning (wks)],478)</f>
        <v/>
      </c>
      <c r="DC479" s="5">
        <f>INDEX(Projects[Plan Total (wks)],478)</f>
        <v/>
      </c>
      <c r="DD479" s="5">
        <f>INDEX(Projects[Act Mech Eng (wks)],478)</f>
        <v/>
      </c>
      <c r="DE479" s="5">
        <f>INDEX(Projects[Act Controls Eng (wks)],478)</f>
        <v/>
      </c>
      <c r="DF479" s="5">
        <f>INDEX(Projects[Act Systems Eng (wks)],478)</f>
        <v/>
      </c>
      <c r="DG479" s="5">
        <f>INDEX(Projects[Act Software Eng (wks)],478)</f>
        <v/>
      </c>
      <c r="DH479" s="5">
        <f>INDEX(Projects[Act M&amp;E Installation (wks)],478)</f>
        <v/>
      </c>
      <c r="DI479" s="5">
        <f>INDEX(Projects[Act Commissioning (wks)],478)</f>
        <v/>
      </c>
      <c r="DJ479" s="5">
        <f>INDEX(Projects[Act Total (wks)],478)</f>
        <v/>
      </c>
    </row>
    <row r="480" ht="15" customHeight="1" s="82">
      <c r="A480" s="64">
        <f>INDEX(Projects[Project ID *],479)&amp;""</f>
        <v/>
      </c>
      <c r="B480" s="64">
        <f>INDEX(Projects[Project Name *],479)&amp;""</f>
        <v/>
      </c>
      <c r="C480" s="64">
        <f>INDEX(Projects[MS Shuttles],479)</f>
        <v/>
      </c>
      <c r="D480" s="64">
        <f>INDEX(Projects[MS Tote Locations],479)</f>
        <v/>
      </c>
      <c r="E480" s="64">
        <f>INDEX(Projects[AS Robots],479)</f>
        <v/>
      </c>
      <c r="F480" s="64">
        <f>INDEX(Projects[AS Tote Locations],479)</f>
        <v/>
      </c>
      <c r="G480" s="64">
        <f>INDEX(Projects[PS Shuttles],479)</f>
        <v/>
      </c>
      <c r="H480" s="64">
        <f>INDEX(Projects[PS Pallet Locations],479)</f>
        <v/>
      </c>
      <c r="I480" s="64">
        <f>INDEX(Projects[SRM Cranes],479)</f>
        <v/>
      </c>
      <c r="J480" s="64">
        <f>INDEX(Projects[SRM Pallet Locations],479)</f>
        <v/>
      </c>
      <c r="K480" s="64">
        <f>INDEX(Projects[Case Conv (m)],479)</f>
        <v/>
      </c>
      <c r="L480" s="64">
        <f>INDEX(Projects[Pallet Conv (m)],479)</f>
        <v/>
      </c>
      <c r="M480" s="64">
        <f>IF(N(DJ480)&gt;0,DD480,CW480)</f>
        <v/>
      </c>
      <c r="N480" s="64">
        <f>IF(N(DJ480)&gt;0,DE480,CX480)</f>
        <v/>
      </c>
      <c r="O480" s="64">
        <f>IF(N(DJ480)&gt;0,DF480,CY480)</f>
        <v/>
      </c>
      <c r="P480" s="64">
        <f>IF(N(DJ480)&gt;0,DG480,CZ480)</f>
        <v/>
      </c>
      <c r="Q480" s="64">
        <f>IF(N(DJ480)&gt;0,DH480,DA480)</f>
        <v/>
      </c>
      <c r="R480" s="64">
        <f>IF(N(DJ480)&gt;0,DI480,DB480)</f>
        <v/>
      </c>
      <c r="S480" s="64">
        <f>IF(N(DJ480)&gt;0,DJ480,DC480)</f>
        <v/>
      </c>
      <c r="T480" s="64">
        <f>INDEX(Projects[Currency],479)&amp;""</f>
        <v/>
      </c>
      <c r="U480" s="65">
        <f>INDEX(Projects[Sold Value (M)],479)</f>
        <v/>
      </c>
      <c r="V480" s="64">
        <f>IF('Smart Search'!B13=1,IFERROR(1/'Smart Search'!H13,0),0)</f>
        <v/>
      </c>
      <c r="W480" s="64">
        <f>IF('Smart Search'!B13=1,IFERROR(1/'Smart Search'!H13,0),0)</f>
        <v/>
      </c>
      <c r="X480" s="64">
        <f>IF('Smart Search'!C13=1,IFERROR(1/'Smart Search'!H13,0),0)</f>
        <v/>
      </c>
      <c r="Y480" s="64">
        <f>IF('Smart Search'!C13=1,IFERROR(1/'Smart Search'!H13,0),0)</f>
        <v/>
      </c>
      <c r="Z480" s="64">
        <f>IF('Smart Search'!D13=1,IFERROR(1/'Smart Search'!H13,0),0)</f>
        <v/>
      </c>
      <c r="AA480" s="64">
        <f>IF('Smart Search'!D13=1,IFERROR(1/'Smart Search'!H13,0),0)</f>
        <v/>
      </c>
      <c r="AB480" s="64">
        <f>IF('Smart Search'!E13=1,IFERROR(1/'Smart Search'!H13,0),0)</f>
        <v/>
      </c>
      <c r="AC480" s="64">
        <f>IF('Smart Search'!E13=1,IFERROR(1/'Smart Search'!H13,0),0)</f>
        <v/>
      </c>
      <c r="AD480" s="64">
        <f>IF('Smart Search'!F13=1,IFERROR(1/'Smart Search'!H13,0),0)</f>
        <v/>
      </c>
      <c r="AE480" s="64">
        <f>IF('Smart Search'!F13=1,IFERROR(1/'Smart Search'!H13,0),0)</f>
        <v/>
      </c>
      <c r="AF480" s="64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4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4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4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4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4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4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4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4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4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4">
        <f>AF480*V480</f>
        <v/>
      </c>
      <c r="AQ480" s="64">
        <f>AG480*W480</f>
        <v/>
      </c>
      <c r="AR480" s="64">
        <f>AH480*X480</f>
        <v/>
      </c>
      <c r="AS480" s="64">
        <f>AI480*Y480</f>
        <v/>
      </c>
      <c r="AT480" s="64">
        <f>AJ480*Z480</f>
        <v/>
      </c>
      <c r="AU480" s="64">
        <f>AK480*AA480</f>
        <v/>
      </c>
      <c r="AV480" s="64">
        <f>AL480*AB480</f>
        <v/>
      </c>
      <c r="AW480" s="64">
        <f>AM480*AC480</f>
        <v/>
      </c>
      <c r="AX480" s="64">
        <f>AN480*AD480</f>
        <v/>
      </c>
      <c r="AY480" s="64">
        <f>AO480*AE480</f>
        <v/>
      </c>
      <c r="AZ480" s="64">
        <f>INDEX(Projects[Automation Equipment],479)&amp;""</f>
        <v/>
      </c>
      <c r="BA480" s="64">
        <f>IF(OR(A480="",'Smart Search'!H13=0),"",MAX(0,BE480*BF480*MAX(0,1-BG480)))</f>
        <v/>
      </c>
      <c r="BB480" s="64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4">
        <f>IF('Smart Search'!G13=1,IFERROR(1/'Smart Search'!H13,0),0)</f>
        <v/>
      </c>
      <c r="BD480" s="64">
        <f>BB480*BC480</f>
        <v/>
      </c>
      <c r="BE480" s="64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IF(A480="","",N(INDEX(Projects[Act Mech Inst],479)))</f>
        <v/>
      </c>
      <c r="BK480" s="5">
        <f>IF(A480="","",N(INDEX(Projects[Act Elec Inst],479)))</f>
        <v/>
      </c>
      <c r="BL480" s="5">
        <f>IF(A480="","",N(INDEX(Projects[Act Project Management],479)))</f>
        <v/>
      </c>
      <c r="BM480" s="5">
        <f>IF(A480="","",N(INDEX(Projects[Act Systems Eng],479)))</f>
        <v/>
      </c>
      <c r="BN480" s="5">
        <f>IF(A480="","",N(INDEX(Projects[Act Mechanical Eng],479)))</f>
        <v/>
      </c>
      <c r="BO480" s="5">
        <f>IF(A480="","",N(INDEX(Projects[Act Structural Engineering],479)))</f>
        <v/>
      </c>
      <c r="BP480" s="5">
        <f>IF(A480="","",N(INDEX(Projects[Act Site Sup],479)))</f>
        <v/>
      </c>
      <c r="BQ480" s="5">
        <f>IF(A480="","",N(INDEX(Projects[Act Controls Commissioning],479)))</f>
        <v/>
      </c>
      <c r="BR480" s="5">
        <f>IF(A480="","",N(INDEX(Projects[Act Systems Commissioning],479)))</f>
        <v/>
      </c>
      <c r="BS480" s="5">
        <f>IF(A480="","",N(INDEX(Projects[Act Service Commissioning],479)))</f>
        <v/>
      </c>
      <c r="BT480" s="5">
        <f>IF(A480="","",N(INDEX(Projects[Act Controls Eng],479)))</f>
        <v/>
      </c>
      <c r="BU480" s="5">
        <f>IF(A480="","",N(INDEX(Projects[Act Controls Purchase],479)))</f>
        <v/>
      </c>
      <c r="BV480" s="5">
        <f>IF(A480="","",N(INDEX(Projects[Act Software Eng],479)))</f>
        <v/>
      </c>
      <c r="BW480" s="5">
        <f>IF(A480="","",N(INDEX(Projects[Act 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INDEX(Projects[Sold Value (USD M)],479)</f>
        <v/>
      </c>
      <c r="CE480" s="5" t="n"/>
      <c r="CF480" s="5">
        <f>IF(A480="","",N(INDEX(Projects[Est Mech Inst],479)))</f>
        <v/>
      </c>
      <c r="CG480" s="5">
        <f>IF(A480="","",N(INDEX(Projects[Est Elec Inst],479)))</f>
        <v/>
      </c>
      <c r="CH480" s="5">
        <f>IF(A480="","",N(INDEX(Projects[Est Project Management],479)))</f>
        <v/>
      </c>
      <c r="CI480" s="5">
        <f>IF(A480="","",N(INDEX(Projects[Est Systems Eng],479)))</f>
        <v/>
      </c>
      <c r="CJ480" s="5">
        <f>IF(A480="","",N(INDEX(Projects[Est Mechanical Eng],479)))</f>
        <v/>
      </c>
      <c r="CK480" s="5">
        <f>IF(A480="","",N(INDEX(Projects[Est Structural Engineering],479)))</f>
        <v/>
      </c>
      <c r="CL480" s="5">
        <f>IF(A480="","",N(INDEX(Projects[Est Site Sup],479)))</f>
        <v/>
      </c>
      <c r="CM480" s="5">
        <f>IF(A480="","",N(INDEX(Projects[Est Controls Commissioning],479)))</f>
        <v/>
      </c>
      <c r="CN480" s="5">
        <f>IF(A480="","",N(INDEX(Projects[Est Systems Commissioning],479)))</f>
        <v/>
      </c>
      <c r="CO480" s="5">
        <f>IF(A480="","",N(INDEX(Projects[Est Service Commissioning],479)))</f>
        <v/>
      </c>
      <c r="CP480" s="5">
        <f>IF(A480="","",N(INDEX(Projects[Est Controls Eng],479)))</f>
        <v/>
      </c>
      <c r="CQ480" s="5">
        <f>IF(A480="","",N(INDEX(Projects[Est Controls Purchase],479)))</f>
        <v/>
      </c>
      <c r="CR480" s="5">
        <f>IF(A480="","",N(INDEX(Projects[Est Software Eng],479)))</f>
        <v/>
      </c>
      <c r="CS480" s="5">
        <f>IF(A480="","",N(INDEX(Projects[Est Misc],479)))</f>
        <v/>
      </c>
      <c r="CT480" s="5">
        <f>IF(A480="","",SUM(CF480:CS480))</f>
        <v/>
      </c>
      <c r="CU480" s="5">
        <f>INDEX(Projects[Est Cost (M)],479)</f>
        <v/>
      </c>
      <c r="CV480" s="5">
        <f>INDEX(Projects[Act Cost (M)],479)</f>
        <v/>
      </c>
      <c r="CW480" s="5">
        <f>INDEX(Projects[Plan Mech Eng (wks)],479)</f>
        <v/>
      </c>
      <c r="CX480" s="5">
        <f>INDEX(Projects[Plan Controls Eng (wks)],479)</f>
        <v/>
      </c>
      <c r="CY480" s="5">
        <f>INDEX(Projects[Plan Systems Eng (wks)],479)</f>
        <v/>
      </c>
      <c r="CZ480" s="5">
        <f>INDEX(Projects[Plan Software Eng (wks)],479)</f>
        <v/>
      </c>
      <c r="DA480" s="5">
        <f>INDEX(Projects[Plan M&amp;E Installation (wks)],479)</f>
        <v/>
      </c>
      <c r="DB480" s="5">
        <f>INDEX(Projects[Plan Commissioning (wks)],479)</f>
        <v/>
      </c>
      <c r="DC480" s="5">
        <f>INDEX(Projects[Plan Total (wks)],479)</f>
        <v/>
      </c>
      <c r="DD480" s="5">
        <f>INDEX(Projects[Act Mech Eng (wks)],479)</f>
        <v/>
      </c>
      <c r="DE480" s="5">
        <f>INDEX(Projects[Act Controls Eng (wks)],479)</f>
        <v/>
      </c>
      <c r="DF480" s="5">
        <f>INDEX(Projects[Act Systems Eng (wks)],479)</f>
        <v/>
      </c>
      <c r="DG480" s="5">
        <f>INDEX(Projects[Act Software Eng (wks)],479)</f>
        <v/>
      </c>
      <c r="DH480" s="5">
        <f>INDEX(Projects[Act M&amp;E Installation (wks)],479)</f>
        <v/>
      </c>
      <c r="DI480" s="5">
        <f>INDEX(Projects[Act Commissioning (wks)],479)</f>
        <v/>
      </c>
      <c r="DJ480" s="5">
        <f>INDEX(Projects[Act Total (wks)],479)</f>
        <v/>
      </c>
    </row>
    <row r="481" ht="15" customHeight="1" s="82">
      <c r="A481" s="64">
        <f>INDEX(Projects[Project ID *],480)&amp;""</f>
        <v/>
      </c>
      <c r="B481" s="64">
        <f>INDEX(Projects[Project Name *],480)&amp;""</f>
        <v/>
      </c>
      <c r="C481" s="64">
        <f>INDEX(Projects[MS Shuttles],480)</f>
        <v/>
      </c>
      <c r="D481" s="64">
        <f>INDEX(Projects[MS Tote Locations],480)</f>
        <v/>
      </c>
      <c r="E481" s="64">
        <f>INDEX(Projects[AS Robots],480)</f>
        <v/>
      </c>
      <c r="F481" s="64">
        <f>INDEX(Projects[AS Tote Locations],480)</f>
        <v/>
      </c>
      <c r="G481" s="64">
        <f>INDEX(Projects[PS Shuttles],480)</f>
        <v/>
      </c>
      <c r="H481" s="64">
        <f>INDEX(Projects[PS Pallet Locations],480)</f>
        <v/>
      </c>
      <c r="I481" s="64">
        <f>INDEX(Projects[SRM Cranes],480)</f>
        <v/>
      </c>
      <c r="J481" s="64">
        <f>INDEX(Projects[SRM Pallet Locations],480)</f>
        <v/>
      </c>
      <c r="K481" s="64">
        <f>INDEX(Projects[Case Conv (m)],480)</f>
        <v/>
      </c>
      <c r="L481" s="64">
        <f>INDEX(Projects[Pallet Conv (m)],480)</f>
        <v/>
      </c>
      <c r="M481" s="64">
        <f>IF(N(DJ481)&gt;0,DD481,CW481)</f>
        <v/>
      </c>
      <c r="N481" s="64">
        <f>IF(N(DJ481)&gt;0,DE481,CX481)</f>
        <v/>
      </c>
      <c r="O481" s="64">
        <f>IF(N(DJ481)&gt;0,DF481,CY481)</f>
        <v/>
      </c>
      <c r="P481" s="64">
        <f>IF(N(DJ481)&gt;0,DG481,CZ481)</f>
        <v/>
      </c>
      <c r="Q481" s="64">
        <f>IF(N(DJ481)&gt;0,DH481,DA481)</f>
        <v/>
      </c>
      <c r="R481" s="64">
        <f>IF(N(DJ481)&gt;0,DI481,DB481)</f>
        <v/>
      </c>
      <c r="S481" s="64">
        <f>IF(N(DJ481)&gt;0,DJ481,DC481)</f>
        <v/>
      </c>
      <c r="T481" s="64">
        <f>INDEX(Projects[Currency],480)&amp;""</f>
        <v/>
      </c>
      <c r="U481" s="65">
        <f>INDEX(Projects[Sold Value (M)],480)</f>
        <v/>
      </c>
      <c r="V481" s="64">
        <f>IF('Smart Search'!B13=1,IFERROR(1/'Smart Search'!H13,0),0)</f>
        <v/>
      </c>
      <c r="W481" s="64">
        <f>IF('Smart Search'!B13=1,IFERROR(1/'Smart Search'!H13,0),0)</f>
        <v/>
      </c>
      <c r="X481" s="64">
        <f>IF('Smart Search'!C13=1,IFERROR(1/'Smart Search'!H13,0),0)</f>
        <v/>
      </c>
      <c r="Y481" s="64">
        <f>IF('Smart Search'!C13=1,IFERROR(1/'Smart Search'!H13,0),0)</f>
        <v/>
      </c>
      <c r="Z481" s="64">
        <f>IF('Smart Search'!D13=1,IFERROR(1/'Smart Search'!H13,0),0)</f>
        <v/>
      </c>
      <c r="AA481" s="64">
        <f>IF('Smart Search'!D13=1,IFERROR(1/'Smart Search'!H13,0),0)</f>
        <v/>
      </c>
      <c r="AB481" s="64">
        <f>IF('Smart Search'!E13=1,IFERROR(1/'Smart Search'!H13,0),0)</f>
        <v/>
      </c>
      <c r="AC481" s="64">
        <f>IF('Smart Search'!E13=1,IFERROR(1/'Smart Search'!H13,0),0)</f>
        <v/>
      </c>
      <c r="AD481" s="64">
        <f>IF('Smart Search'!F13=1,IFERROR(1/'Smart Search'!H13,0),0)</f>
        <v/>
      </c>
      <c r="AE481" s="64">
        <f>IF('Smart Search'!F13=1,IFERROR(1/'Smart Search'!H13,0),0)</f>
        <v/>
      </c>
      <c r="AF481" s="64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4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4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4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4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4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4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4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4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4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4">
        <f>AF481*V481</f>
        <v/>
      </c>
      <c r="AQ481" s="64">
        <f>AG481*W481</f>
        <v/>
      </c>
      <c r="AR481" s="64">
        <f>AH481*X481</f>
        <v/>
      </c>
      <c r="AS481" s="64">
        <f>AI481*Y481</f>
        <v/>
      </c>
      <c r="AT481" s="64">
        <f>AJ481*Z481</f>
        <v/>
      </c>
      <c r="AU481" s="64">
        <f>AK481*AA481</f>
        <v/>
      </c>
      <c r="AV481" s="64">
        <f>AL481*AB481</f>
        <v/>
      </c>
      <c r="AW481" s="64">
        <f>AM481*AC481</f>
        <v/>
      </c>
      <c r="AX481" s="64">
        <f>AN481*AD481</f>
        <v/>
      </c>
      <c r="AY481" s="64">
        <f>AO481*AE481</f>
        <v/>
      </c>
      <c r="AZ481" s="64">
        <f>INDEX(Projects[Automation Equipment],480)&amp;""</f>
        <v/>
      </c>
      <c r="BA481" s="64">
        <f>IF(OR(A481="",'Smart Search'!H13=0),"",MAX(0,BE481*BF481*MAX(0,1-BG481)))</f>
        <v/>
      </c>
      <c r="BB481" s="64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4">
        <f>IF('Smart Search'!G13=1,IFERROR(1/'Smart Search'!H13,0),0)</f>
        <v/>
      </c>
      <c r="BD481" s="64">
        <f>BB481*BC481</f>
        <v/>
      </c>
      <c r="BE481" s="64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IF(A481="","",N(INDEX(Projects[Act Mech Inst],480)))</f>
        <v/>
      </c>
      <c r="BK481" s="5">
        <f>IF(A481="","",N(INDEX(Projects[Act Elec Inst],480)))</f>
        <v/>
      </c>
      <c r="BL481" s="5">
        <f>IF(A481="","",N(INDEX(Projects[Act Project Management],480)))</f>
        <v/>
      </c>
      <c r="BM481" s="5">
        <f>IF(A481="","",N(INDEX(Projects[Act Systems Eng],480)))</f>
        <v/>
      </c>
      <c r="BN481" s="5">
        <f>IF(A481="","",N(INDEX(Projects[Act Mechanical Eng],480)))</f>
        <v/>
      </c>
      <c r="BO481" s="5">
        <f>IF(A481="","",N(INDEX(Projects[Act Structural Engineering],480)))</f>
        <v/>
      </c>
      <c r="BP481" s="5">
        <f>IF(A481="","",N(INDEX(Projects[Act Site Sup],480)))</f>
        <v/>
      </c>
      <c r="BQ481" s="5">
        <f>IF(A481="","",N(INDEX(Projects[Act Controls Commissioning],480)))</f>
        <v/>
      </c>
      <c r="BR481" s="5">
        <f>IF(A481="","",N(INDEX(Projects[Act Systems Commissioning],480)))</f>
        <v/>
      </c>
      <c r="BS481" s="5">
        <f>IF(A481="","",N(INDEX(Projects[Act Service Commissioning],480)))</f>
        <v/>
      </c>
      <c r="BT481" s="5">
        <f>IF(A481="","",N(INDEX(Projects[Act Controls Eng],480)))</f>
        <v/>
      </c>
      <c r="BU481" s="5">
        <f>IF(A481="","",N(INDEX(Projects[Act Controls Purchase],480)))</f>
        <v/>
      </c>
      <c r="BV481" s="5">
        <f>IF(A481="","",N(INDEX(Projects[Act Software Eng],480)))</f>
        <v/>
      </c>
      <c r="BW481" s="5">
        <f>IF(A481="","",N(INDEX(Projects[Act 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INDEX(Projects[Sold Value (USD M)],480)</f>
        <v/>
      </c>
      <c r="CE481" s="5" t="n"/>
      <c r="CF481" s="5">
        <f>IF(A481="","",N(INDEX(Projects[Est Mech Inst],480)))</f>
        <v/>
      </c>
      <c r="CG481" s="5">
        <f>IF(A481="","",N(INDEX(Projects[Est Elec Inst],480)))</f>
        <v/>
      </c>
      <c r="CH481" s="5">
        <f>IF(A481="","",N(INDEX(Projects[Est Project Management],480)))</f>
        <v/>
      </c>
      <c r="CI481" s="5">
        <f>IF(A481="","",N(INDEX(Projects[Est Systems Eng],480)))</f>
        <v/>
      </c>
      <c r="CJ481" s="5">
        <f>IF(A481="","",N(INDEX(Projects[Est Mechanical Eng],480)))</f>
        <v/>
      </c>
      <c r="CK481" s="5">
        <f>IF(A481="","",N(INDEX(Projects[Est Structural Engineering],480)))</f>
        <v/>
      </c>
      <c r="CL481" s="5">
        <f>IF(A481="","",N(INDEX(Projects[Est Site Sup],480)))</f>
        <v/>
      </c>
      <c r="CM481" s="5">
        <f>IF(A481="","",N(INDEX(Projects[Est Controls Commissioning],480)))</f>
        <v/>
      </c>
      <c r="CN481" s="5">
        <f>IF(A481="","",N(INDEX(Projects[Est Systems Commissioning],480)))</f>
        <v/>
      </c>
      <c r="CO481" s="5">
        <f>IF(A481="","",N(INDEX(Projects[Est Service Commissioning],480)))</f>
        <v/>
      </c>
      <c r="CP481" s="5">
        <f>IF(A481="","",N(INDEX(Projects[Est Controls Eng],480)))</f>
        <v/>
      </c>
      <c r="CQ481" s="5">
        <f>IF(A481="","",N(INDEX(Projects[Est Controls Purchase],480)))</f>
        <v/>
      </c>
      <c r="CR481" s="5">
        <f>IF(A481="","",N(INDEX(Projects[Est Software Eng],480)))</f>
        <v/>
      </c>
      <c r="CS481" s="5">
        <f>IF(A481="","",N(INDEX(Projects[Est Misc],480)))</f>
        <v/>
      </c>
      <c r="CT481" s="5">
        <f>IF(A481="","",SUM(CF481:CS481))</f>
        <v/>
      </c>
      <c r="CU481" s="5">
        <f>INDEX(Projects[Est Cost (M)],480)</f>
        <v/>
      </c>
      <c r="CV481" s="5">
        <f>INDEX(Projects[Act Cost (M)],480)</f>
        <v/>
      </c>
      <c r="CW481" s="5">
        <f>INDEX(Projects[Plan Mech Eng (wks)],480)</f>
        <v/>
      </c>
      <c r="CX481" s="5">
        <f>INDEX(Projects[Plan Controls Eng (wks)],480)</f>
        <v/>
      </c>
      <c r="CY481" s="5">
        <f>INDEX(Projects[Plan Systems Eng (wks)],480)</f>
        <v/>
      </c>
      <c r="CZ481" s="5">
        <f>INDEX(Projects[Plan Software Eng (wks)],480)</f>
        <v/>
      </c>
      <c r="DA481" s="5">
        <f>INDEX(Projects[Plan M&amp;E Installation (wks)],480)</f>
        <v/>
      </c>
      <c r="DB481" s="5">
        <f>INDEX(Projects[Plan Commissioning (wks)],480)</f>
        <v/>
      </c>
      <c r="DC481" s="5">
        <f>INDEX(Projects[Plan Total (wks)],480)</f>
        <v/>
      </c>
      <c r="DD481" s="5">
        <f>INDEX(Projects[Act Mech Eng (wks)],480)</f>
        <v/>
      </c>
      <c r="DE481" s="5">
        <f>INDEX(Projects[Act Controls Eng (wks)],480)</f>
        <v/>
      </c>
      <c r="DF481" s="5">
        <f>INDEX(Projects[Act Systems Eng (wks)],480)</f>
        <v/>
      </c>
      <c r="DG481" s="5">
        <f>INDEX(Projects[Act Software Eng (wks)],480)</f>
        <v/>
      </c>
      <c r="DH481" s="5">
        <f>INDEX(Projects[Act M&amp;E Installation (wks)],480)</f>
        <v/>
      </c>
      <c r="DI481" s="5">
        <f>INDEX(Projects[Act Commissioning (wks)],480)</f>
        <v/>
      </c>
      <c r="DJ481" s="5">
        <f>INDEX(Projects[Act Total (wks)],480)</f>
        <v/>
      </c>
    </row>
    <row r="482" ht="15" customHeight="1" s="82">
      <c r="A482" s="64">
        <f>INDEX(Projects[Project ID *],481)&amp;""</f>
        <v/>
      </c>
      <c r="B482" s="64">
        <f>INDEX(Projects[Project Name *],481)&amp;""</f>
        <v/>
      </c>
      <c r="C482" s="64">
        <f>INDEX(Projects[MS Shuttles],481)</f>
        <v/>
      </c>
      <c r="D482" s="64">
        <f>INDEX(Projects[MS Tote Locations],481)</f>
        <v/>
      </c>
      <c r="E482" s="64">
        <f>INDEX(Projects[AS Robots],481)</f>
        <v/>
      </c>
      <c r="F482" s="64">
        <f>INDEX(Projects[AS Tote Locations],481)</f>
        <v/>
      </c>
      <c r="G482" s="64">
        <f>INDEX(Projects[PS Shuttles],481)</f>
        <v/>
      </c>
      <c r="H482" s="64">
        <f>INDEX(Projects[PS Pallet Locations],481)</f>
        <v/>
      </c>
      <c r="I482" s="64">
        <f>INDEX(Projects[SRM Cranes],481)</f>
        <v/>
      </c>
      <c r="J482" s="64">
        <f>INDEX(Projects[SRM Pallet Locations],481)</f>
        <v/>
      </c>
      <c r="K482" s="64">
        <f>INDEX(Projects[Case Conv (m)],481)</f>
        <v/>
      </c>
      <c r="L482" s="64">
        <f>INDEX(Projects[Pallet Conv (m)],481)</f>
        <v/>
      </c>
      <c r="M482" s="64">
        <f>IF(N(DJ482)&gt;0,DD482,CW482)</f>
        <v/>
      </c>
      <c r="N482" s="64">
        <f>IF(N(DJ482)&gt;0,DE482,CX482)</f>
        <v/>
      </c>
      <c r="O482" s="64">
        <f>IF(N(DJ482)&gt;0,DF482,CY482)</f>
        <v/>
      </c>
      <c r="P482" s="64">
        <f>IF(N(DJ482)&gt;0,DG482,CZ482)</f>
        <v/>
      </c>
      <c r="Q482" s="64">
        <f>IF(N(DJ482)&gt;0,DH482,DA482)</f>
        <v/>
      </c>
      <c r="R482" s="64">
        <f>IF(N(DJ482)&gt;0,DI482,DB482)</f>
        <v/>
      </c>
      <c r="S482" s="64">
        <f>IF(N(DJ482)&gt;0,DJ482,DC482)</f>
        <v/>
      </c>
      <c r="T482" s="64">
        <f>INDEX(Projects[Currency],481)&amp;""</f>
        <v/>
      </c>
      <c r="U482" s="65">
        <f>INDEX(Projects[Sold Value (M)],481)</f>
        <v/>
      </c>
      <c r="V482" s="64">
        <f>IF('Smart Search'!B13=1,IFERROR(1/'Smart Search'!H13,0),0)</f>
        <v/>
      </c>
      <c r="W482" s="64">
        <f>IF('Smart Search'!B13=1,IFERROR(1/'Smart Search'!H13,0),0)</f>
        <v/>
      </c>
      <c r="X482" s="64">
        <f>IF('Smart Search'!C13=1,IFERROR(1/'Smart Search'!H13,0),0)</f>
        <v/>
      </c>
      <c r="Y482" s="64">
        <f>IF('Smart Search'!C13=1,IFERROR(1/'Smart Search'!H13,0),0)</f>
        <v/>
      </c>
      <c r="Z482" s="64">
        <f>IF('Smart Search'!D13=1,IFERROR(1/'Smart Search'!H13,0),0)</f>
        <v/>
      </c>
      <c r="AA482" s="64">
        <f>IF('Smart Search'!D13=1,IFERROR(1/'Smart Search'!H13,0),0)</f>
        <v/>
      </c>
      <c r="AB482" s="64">
        <f>IF('Smart Search'!E13=1,IFERROR(1/'Smart Search'!H13,0),0)</f>
        <v/>
      </c>
      <c r="AC482" s="64">
        <f>IF('Smart Search'!E13=1,IFERROR(1/'Smart Search'!H13,0),0)</f>
        <v/>
      </c>
      <c r="AD482" s="64">
        <f>IF('Smart Search'!F13=1,IFERROR(1/'Smart Search'!H13,0),0)</f>
        <v/>
      </c>
      <c r="AE482" s="64">
        <f>IF('Smart Search'!F13=1,IFERROR(1/'Smart Search'!H13,0),0)</f>
        <v/>
      </c>
      <c r="AF482" s="64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4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4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4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4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4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4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4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4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4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4">
        <f>AF482*V482</f>
        <v/>
      </c>
      <c r="AQ482" s="64">
        <f>AG482*W482</f>
        <v/>
      </c>
      <c r="AR482" s="64">
        <f>AH482*X482</f>
        <v/>
      </c>
      <c r="AS482" s="64">
        <f>AI482*Y482</f>
        <v/>
      </c>
      <c r="AT482" s="64">
        <f>AJ482*Z482</f>
        <v/>
      </c>
      <c r="AU482" s="64">
        <f>AK482*AA482</f>
        <v/>
      </c>
      <c r="AV482" s="64">
        <f>AL482*AB482</f>
        <v/>
      </c>
      <c r="AW482" s="64">
        <f>AM482*AC482</f>
        <v/>
      </c>
      <c r="AX482" s="64">
        <f>AN482*AD482</f>
        <v/>
      </c>
      <c r="AY482" s="64">
        <f>AO482*AE482</f>
        <v/>
      </c>
      <c r="AZ482" s="64">
        <f>INDEX(Projects[Automation Equipment],481)&amp;""</f>
        <v/>
      </c>
      <c r="BA482" s="64">
        <f>IF(OR(A482="",'Smart Search'!H13=0),"",MAX(0,BE482*BF482*MAX(0,1-BG482)))</f>
        <v/>
      </c>
      <c r="BB482" s="64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4">
        <f>IF('Smart Search'!G13=1,IFERROR(1/'Smart Search'!H13,0),0)</f>
        <v/>
      </c>
      <c r="BD482" s="64">
        <f>BB482*BC482</f>
        <v/>
      </c>
      <c r="BE482" s="64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IF(A482="","",N(INDEX(Projects[Act Mech Inst],481)))</f>
        <v/>
      </c>
      <c r="BK482" s="5">
        <f>IF(A482="","",N(INDEX(Projects[Act Elec Inst],481)))</f>
        <v/>
      </c>
      <c r="BL482" s="5">
        <f>IF(A482="","",N(INDEX(Projects[Act Project Management],481)))</f>
        <v/>
      </c>
      <c r="BM482" s="5">
        <f>IF(A482="","",N(INDEX(Projects[Act Systems Eng],481)))</f>
        <v/>
      </c>
      <c r="BN482" s="5">
        <f>IF(A482="","",N(INDEX(Projects[Act Mechanical Eng],481)))</f>
        <v/>
      </c>
      <c r="BO482" s="5">
        <f>IF(A482="","",N(INDEX(Projects[Act Structural Engineering],481)))</f>
        <v/>
      </c>
      <c r="BP482" s="5">
        <f>IF(A482="","",N(INDEX(Projects[Act Site Sup],481)))</f>
        <v/>
      </c>
      <c r="BQ482" s="5">
        <f>IF(A482="","",N(INDEX(Projects[Act Controls Commissioning],481)))</f>
        <v/>
      </c>
      <c r="BR482" s="5">
        <f>IF(A482="","",N(INDEX(Projects[Act Systems Commissioning],481)))</f>
        <v/>
      </c>
      <c r="BS482" s="5">
        <f>IF(A482="","",N(INDEX(Projects[Act Service Commissioning],481)))</f>
        <v/>
      </c>
      <c r="BT482" s="5">
        <f>IF(A482="","",N(INDEX(Projects[Act Controls Eng],481)))</f>
        <v/>
      </c>
      <c r="BU482" s="5">
        <f>IF(A482="","",N(INDEX(Projects[Act Controls Purchase],481)))</f>
        <v/>
      </c>
      <c r="BV482" s="5">
        <f>IF(A482="","",N(INDEX(Projects[Act Software Eng],481)))</f>
        <v/>
      </c>
      <c r="BW482" s="5">
        <f>IF(A482="","",N(INDEX(Projects[Act 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INDEX(Projects[Sold Value (USD M)],481)</f>
        <v/>
      </c>
      <c r="CE482" s="5" t="n"/>
      <c r="CF482" s="5">
        <f>IF(A482="","",N(INDEX(Projects[Est Mech Inst],481)))</f>
        <v/>
      </c>
      <c r="CG482" s="5">
        <f>IF(A482="","",N(INDEX(Projects[Est Elec Inst],481)))</f>
        <v/>
      </c>
      <c r="CH482" s="5">
        <f>IF(A482="","",N(INDEX(Projects[Est Project Management],481)))</f>
        <v/>
      </c>
      <c r="CI482" s="5">
        <f>IF(A482="","",N(INDEX(Projects[Est Systems Eng],481)))</f>
        <v/>
      </c>
      <c r="CJ482" s="5">
        <f>IF(A482="","",N(INDEX(Projects[Est Mechanical Eng],481)))</f>
        <v/>
      </c>
      <c r="CK482" s="5">
        <f>IF(A482="","",N(INDEX(Projects[Est Structural Engineering],481)))</f>
        <v/>
      </c>
      <c r="CL482" s="5">
        <f>IF(A482="","",N(INDEX(Projects[Est Site Sup],481)))</f>
        <v/>
      </c>
      <c r="CM482" s="5">
        <f>IF(A482="","",N(INDEX(Projects[Est Controls Commissioning],481)))</f>
        <v/>
      </c>
      <c r="CN482" s="5">
        <f>IF(A482="","",N(INDEX(Projects[Est Systems Commissioning],481)))</f>
        <v/>
      </c>
      <c r="CO482" s="5">
        <f>IF(A482="","",N(INDEX(Projects[Est Service Commissioning],481)))</f>
        <v/>
      </c>
      <c r="CP482" s="5">
        <f>IF(A482="","",N(INDEX(Projects[Est Controls Eng],481)))</f>
        <v/>
      </c>
      <c r="CQ482" s="5">
        <f>IF(A482="","",N(INDEX(Projects[Est Controls Purchase],481)))</f>
        <v/>
      </c>
      <c r="CR482" s="5">
        <f>IF(A482="","",N(INDEX(Projects[Est Software Eng],481)))</f>
        <v/>
      </c>
      <c r="CS482" s="5">
        <f>IF(A482="","",N(INDEX(Projects[Est Misc],481)))</f>
        <v/>
      </c>
      <c r="CT482" s="5">
        <f>IF(A482="","",SUM(CF482:CS482))</f>
        <v/>
      </c>
      <c r="CU482" s="5">
        <f>INDEX(Projects[Est Cost (M)],481)</f>
        <v/>
      </c>
      <c r="CV482" s="5">
        <f>INDEX(Projects[Act Cost (M)],481)</f>
        <v/>
      </c>
      <c r="CW482" s="5">
        <f>INDEX(Projects[Plan Mech Eng (wks)],481)</f>
        <v/>
      </c>
      <c r="CX482" s="5">
        <f>INDEX(Projects[Plan Controls Eng (wks)],481)</f>
        <v/>
      </c>
      <c r="CY482" s="5">
        <f>INDEX(Projects[Plan Systems Eng (wks)],481)</f>
        <v/>
      </c>
      <c r="CZ482" s="5">
        <f>INDEX(Projects[Plan Software Eng (wks)],481)</f>
        <v/>
      </c>
      <c r="DA482" s="5">
        <f>INDEX(Projects[Plan M&amp;E Installation (wks)],481)</f>
        <v/>
      </c>
      <c r="DB482" s="5">
        <f>INDEX(Projects[Plan Commissioning (wks)],481)</f>
        <v/>
      </c>
      <c r="DC482" s="5">
        <f>INDEX(Projects[Plan Total (wks)],481)</f>
        <v/>
      </c>
      <c r="DD482" s="5">
        <f>INDEX(Projects[Act Mech Eng (wks)],481)</f>
        <v/>
      </c>
      <c r="DE482" s="5">
        <f>INDEX(Projects[Act Controls Eng (wks)],481)</f>
        <v/>
      </c>
      <c r="DF482" s="5">
        <f>INDEX(Projects[Act Systems Eng (wks)],481)</f>
        <v/>
      </c>
      <c r="DG482" s="5">
        <f>INDEX(Projects[Act Software Eng (wks)],481)</f>
        <v/>
      </c>
      <c r="DH482" s="5">
        <f>INDEX(Projects[Act M&amp;E Installation (wks)],481)</f>
        <v/>
      </c>
      <c r="DI482" s="5">
        <f>INDEX(Projects[Act Commissioning (wks)],481)</f>
        <v/>
      </c>
      <c r="DJ482" s="5">
        <f>INDEX(Projects[Act Total (wks)],481)</f>
        <v/>
      </c>
    </row>
    <row r="483" ht="15" customHeight="1" s="82">
      <c r="A483" s="64">
        <f>INDEX(Projects[Project ID *],482)&amp;""</f>
        <v/>
      </c>
      <c r="B483" s="64">
        <f>INDEX(Projects[Project Name *],482)&amp;""</f>
        <v/>
      </c>
      <c r="C483" s="64">
        <f>INDEX(Projects[MS Shuttles],482)</f>
        <v/>
      </c>
      <c r="D483" s="64">
        <f>INDEX(Projects[MS Tote Locations],482)</f>
        <v/>
      </c>
      <c r="E483" s="64">
        <f>INDEX(Projects[AS Robots],482)</f>
        <v/>
      </c>
      <c r="F483" s="64">
        <f>INDEX(Projects[AS Tote Locations],482)</f>
        <v/>
      </c>
      <c r="G483" s="64">
        <f>INDEX(Projects[PS Shuttles],482)</f>
        <v/>
      </c>
      <c r="H483" s="64">
        <f>INDEX(Projects[PS Pallet Locations],482)</f>
        <v/>
      </c>
      <c r="I483" s="64">
        <f>INDEX(Projects[SRM Cranes],482)</f>
        <v/>
      </c>
      <c r="J483" s="64">
        <f>INDEX(Projects[SRM Pallet Locations],482)</f>
        <v/>
      </c>
      <c r="K483" s="64">
        <f>INDEX(Projects[Case Conv (m)],482)</f>
        <v/>
      </c>
      <c r="L483" s="64">
        <f>INDEX(Projects[Pallet Conv (m)],482)</f>
        <v/>
      </c>
      <c r="M483" s="64">
        <f>IF(N(DJ483)&gt;0,DD483,CW483)</f>
        <v/>
      </c>
      <c r="N483" s="64">
        <f>IF(N(DJ483)&gt;0,DE483,CX483)</f>
        <v/>
      </c>
      <c r="O483" s="64">
        <f>IF(N(DJ483)&gt;0,DF483,CY483)</f>
        <v/>
      </c>
      <c r="P483" s="64">
        <f>IF(N(DJ483)&gt;0,DG483,CZ483)</f>
        <v/>
      </c>
      <c r="Q483" s="64">
        <f>IF(N(DJ483)&gt;0,DH483,DA483)</f>
        <v/>
      </c>
      <c r="R483" s="64">
        <f>IF(N(DJ483)&gt;0,DI483,DB483)</f>
        <v/>
      </c>
      <c r="S483" s="64">
        <f>IF(N(DJ483)&gt;0,DJ483,DC483)</f>
        <v/>
      </c>
      <c r="T483" s="64">
        <f>INDEX(Projects[Currency],482)&amp;""</f>
        <v/>
      </c>
      <c r="U483" s="65">
        <f>INDEX(Projects[Sold Value (M)],482)</f>
        <v/>
      </c>
      <c r="V483" s="64">
        <f>IF('Smart Search'!B13=1,IFERROR(1/'Smart Search'!H13,0),0)</f>
        <v/>
      </c>
      <c r="W483" s="64">
        <f>IF('Smart Search'!B13=1,IFERROR(1/'Smart Search'!H13,0),0)</f>
        <v/>
      </c>
      <c r="X483" s="64">
        <f>IF('Smart Search'!C13=1,IFERROR(1/'Smart Search'!H13,0),0)</f>
        <v/>
      </c>
      <c r="Y483" s="64">
        <f>IF('Smart Search'!C13=1,IFERROR(1/'Smart Search'!H13,0),0)</f>
        <v/>
      </c>
      <c r="Z483" s="64">
        <f>IF('Smart Search'!D13=1,IFERROR(1/'Smart Search'!H13,0),0)</f>
        <v/>
      </c>
      <c r="AA483" s="64">
        <f>IF('Smart Search'!D13=1,IFERROR(1/'Smart Search'!H13,0),0)</f>
        <v/>
      </c>
      <c r="AB483" s="64">
        <f>IF('Smart Search'!E13=1,IFERROR(1/'Smart Search'!H13,0),0)</f>
        <v/>
      </c>
      <c r="AC483" s="64">
        <f>IF('Smart Search'!E13=1,IFERROR(1/'Smart Search'!H13,0),0)</f>
        <v/>
      </c>
      <c r="AD483" s="64">
        <f>IF('Smart Search'!F13=1,IFERROR(1/'Smart Search'!H13,0),0)</f>
        <v/>
      </c>
      <c r="AE483" s="64">
        <f>IF('Smart Search'!F13=1,IFERROR(1/'Smart Search'!H13,0),0)</f>
        <v/>
      </c>
      <c r="AF483" s="64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4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4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4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4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4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4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4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4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4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4">
        <f>AF483*V483</f>
        <v/>
      </c>
      <c r="AQ483" s="64">
        <f>AG483*W483</f>
        <v/>
      </c>
      <c r="AR483" s="64">
        <f>AH483*X483</f>
        <v/>
      </c>
      <c r="AS483" s="64">
        <f>AI483*Y483</f>
        <v/>
      </c>
      <c r="AT483" s="64">
        <f>AJ483*Z483</f>
        <v/>
      </c>
      <c r="AU483" s="64">
        <f>AK483*AA483</f>
        <v/>
      </c>
      <c r="AV483" s="64">
        <f>AL483*AB483</f>
        <v/>
      </c>
      <c r="AW483" s="64">
        <f>AM483*AC483</f>
        <v/>
      </c>
      <c r="AX483" s="64">
        <f>AN483*AD483</f>
        <v/>
      </c>
      <c r="AY483" s="64">
        <f>AO483*AE483</f>
        <v/>
      </c>
      <c r="AZ483" s="64">
        <f>INDEX(Projects[Automation Equipment],482)&amp;""</f>
        <v/>
      </c>
      <c r="BA483" s="64">
        <f>IF(OR(A483="",'Smart Search'!H13=0),"",MAX(0,BE483*BF483*MAX(0,1-BG483)))</f>
        <v/>
      </c>
      <c r="BB483" s="64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4">
        <f>IF('Smart Search'!G13=1,IFERROR(1/'Smart Search'!H13,0),0)</f>
        <v/>
      </c>
      <c r="BD483" s="64">
        <f>BB483*BC483</f>
        <v/>
      </c>
      <c r="BE483" s="64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IF(A483="","",N(INDEX(Projects[Act Mech Inst],482)))</f>
        <v/>
      </c>
      <c r="BK483" s="5">
        <f>IF(A483="","",N(INDEX(Projects[Act Elec Inst],482)))</f>
        <v/>
      </c>
      <c r="BL483" s="5">
        <f>IF(A483="","",N(INDEX(Projects[Act Project Management],482)))</f>
        <v/>
      </c>
      <c r="BM483" s="5">
        <f>IF(A483="","",N(INDEX(Projects[Act Systems Eng],482)))</f>
        <v/>
      </c>
      <c r="BN483" s="5">
        <f>IF(A483="","",N(INDEX(Projects[Act Mechanical Eng],482)))</f>
        <v/>
      </c>
      <c r="BO483" s="5">
        <f>IF(A483="","",N(INDEX(Projects[Act Structural Engineering],482)))</f>
        <v/>
      </c>
      <c r="BP483" s="5">
        <f>IF(A483="","",N(INDEX(Projects[Act Site Sup],482)))</f>
        <v/>
      </c>
      <c r="BQ483" s="5">
        <f>IF(A483="","",N(INDEX(Projects[Act Controls Commissioning],482)))</f>
        <v/>
      </c>
      <c r="BR483" s="5">
        <f>IF(A483="","",N(INDEX(Projects[Act Systems Commissioning],482)))</f>
        <v/>
      </c>
      <c r="BS483" s="5">
        <f>IF(A483="","",N(INDEX(Projects[Act Service Commissioning],482)))</f>
        <v/>
      </c>
      <c r="BT483" s="5">
        <f>IF(A483="","",N(INDEX(Projects[Act Controls Eng],482)))</f>
        <v/>
      </c>
      <c r="BU483" s="5">
        <f>IF(A483="","",N(INDEX(Projects[Act Controls Purchase],482)))</f>
        <v/>
      </c>
      <c r="BV483" s="5">
        <f>IF(A483="","",N(INDEX(Projects[Act Software Eng],482)))</f>
        <v/>
      </c>
      <c r="BW483" s="5">
        <f>IF(A483="","",N(INDEX(Projects[Act 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INDEX(Projects[Sold Value (USD M)],482)</f>
        <v/>
      </c>
      <c r="CE483" s="5" t="n"/>
      <c r="CF483" s="5">
        <f>IF(A483="","",N(INDEX(Projects[Est Mech Inst],482)))</f>
        <v/>
      </c>
      <c r="CG483" s="5">
        <f>IF(A483="","",N(INDEX(Projects[Est Elec Inst],482)))</f>
        <v/>
      </c>
      <c r="CH483" s="5">
        <f>IF(A483="","",N(INDEX(Projects[Est Project Management],482)))</f>
        <v/>
      </c>
      <c r="CI483" s="5">
        <f>IF(A483="","",N(INDEX(Projects[Est Systems Eng],482)))</f>
        <v/>
      </c>
      <c r="CJ483" s="5">
        <f>IF(A483="","",N(INDEX(Projects[Est Mechanical Eng],482)))</f>
        <v/>
      </c>
      <c r="CK483" s="5">
        <f>IF(A483="","",N(INDEX(Projects[Est Structural Engineering],482)))</f>
        <v/>
      </c>
      <c r="CL483" s="5">
        <f>IF(A483="","",N(INDEX(Projects[Est Site Sup],482)))</f>
        <v/>
      </c>
      <c r="CM483" s="5">
        <f>IF(A483="","",N(INDEX(Projects[Est Controls Commissioning],482)))</f>
        <v/>
      </c>
      <c r="CN483" s="5">
        <f>IF(A483="","",N(INDEX(Projects[Est Systems Commissioning],482)))</f>
        <v/>
      </c>
      <c r="CO483" s="5">
        <f>IF(A483="","",N(INDEX(Projects[Est Service Commissioning],482)))</f>
        <v/>
      </c>
      <c r="CP483" s="5">
        <f>IF(A483="","",N(INDEX(Projects[Est Controls Eng],482)))</f>
        <v/>
      </c>
      <c r="CQ483" s="5">
        <f>IF(A483="","",N(INDEX(Projects[Est Controls Purchase],482)))</f>
        <v/>
      </c>
      <c r="CR483" s="5">
        <f>IF(A483="","",N(INDEX(Projects[Est Software Eng],482)))</f>
        <v/>
      </c>
      <c r="CS483" s="5">
        <f>IF(A483="","",N(INDEX(Projects[Est Misc],482)))</f>
        <v/>
      </c>
      <c r="CT483" s="5">
        <f>IF(A483="","",SUM(CF483:CS483))</f>
        <v/>
      </c>
      <c r="CU483" s="5">
        <f>INDEX(Projects[Est Cost (M)],482)</f>
        <v/>
      </c>
      <c r="CV483" s="5">
        <f>INDEX(Projects[Act Cost (M)],482)</f>
        <v/>
      </c>
      <c r="CW483" s="5">
        <f>INDEX(Projects[Plan Mech Eng (wks)],482)</f>
        <v/>
      </c>
      <c r="CX483" s="5">
        <f>INDEX(Projects[Plan Controls Eng (wks)],482)</f>
        <v/>
      </c>
      <c r="CY483" s="5">
        <f>INDEX(Projects[Plan Systems Eng (wks)],482)</f>
        <v/>
      </c>
      <c r="CZ483" s="5">
        <f>INDEX(Projects[Plan Software Eng (wks)],482)</f>
        <v/>
      </c>
      <c r="DA483" s="5">
        <f>INDEX(Projects[Plan M&amp;E Installation (wks)],482)</f>
        <v/>
      </c>
      <c r="DB483" s="5">
        <f>INDEX(Projects[Plan Commissioning (wks)],482)</f>
        <v/>
      </c>
      <c r="DC483" s="5">
        <f>INDEX(Projects[Plan Total (wks)],482)</f>
        <v/>
      </c>
      <c r="DD483" s="5">
        <f>INDEX(Projects[Act Mech Eng (wks)],482)</f>
        <v/>
      </c>
      <c r="DE483" s="5">
        <f>INDEX(Projects[Act Controls Eng (wks)],482)</f>
        <v/>
      </c>
      <c r="DF483" s="5">
        <f>INDEX(Projects[Act Systems Eng (wks)],482)</f>
        <v/>
      </c>
      <c r="DG483" s="5">
        <f>INDEX(Projects[Act Software Eng (wks)],482)</f>
        <v/>
      </c>
      <c r="DH483" s="5">
        <f>INDEX(Projects[Act M&amp;E Installation (wks)],482)</f>
        <v/>
      </c>
      <c r="DI483" s="5">
        <f>INDEX(Projects[Act Commissioning (wks)],482)</f>
        <v/>
      </c>
      <c r="DJ483" s="5">
        <f>INDEX(Projects[Act Total (wks)],482)</f>
        <v/>
      </c>
    </row>
    <row r="484" ht="15" customHeight="1" s="82">
      <c r="A484" s="64">
        <f>INDEX(Projects[Project ID *],483)&amp;""</f>
        <v/>
      </c>
      <c r="B484" s="64">
        <f>INDEX(Projects[Project Name *],483)&amp;""</f>
        <v/>
      </c>
      <c r="C484" s="64">
        <f>INDEX(Projects[MS Shuttles],483)</f>
        <v/>
      </c>
      <c r="D484" s="64">
        <f>INDEX(Projects[MS Tote Locations],483)</f>
        <v/>
      </c>
      <c r="E484" s="64">
        <f>INDEX(Projects[AS Robots],483)</f>
        <v/>
      </c>
      <c r="F484" s="64">
        <f>INDEX(Projects[AS Tote Locations],483)</f>
        <v/>
      </c>
      <c r="G484" s="64">
        <f>INDEX(Projects[PS Shuttles],483)</f>
        <v/>
      </c>
      <c r="H484" s="64">
        <f>INDEX(Projects[PS Pallet Locations],483)</f>
        <v/>
      </c>
      <c r="I484" s="64">
        <f>INDEX(Projects[SRM Cranes],483)</f>
        <v/>
      </c>
      <c r="J484" s="64">
        <f>INDEX(Projects[SRM Pallet Locations],483)</f>
        <v/>
      </c>
      <c r="K484" s="64">
        <f>INDEX(Projects[Case Conv (m)],483)</f>
        <v/>
      </c>
      <c r="L484" s="64">
        <f>INDEX(Projects[Pallet Conv (m)],483)</f>
        <v/>
      </c>
      <c r="M484" s="64">
        <f>IF(N(DJ484)&gt;0,DD484,CW484)</f>
        <v/>
      </c>
      <c r="N484" s="64">
        <f>IF(N(DJ484)&gt;0,DE484,CX484)</f>
        <v/>
      </c>
      <c r="O484" s="64">
        <f>IF(N(DJ484)&gt;0,DF484,CY484)</f>
        <v/>
      </c>
      <c r="P484" s="64">
        <f>IF(N(DJ484)&gt;0,DG484,CZ484)</f>
        <v/>
      </c>
      <c r="Q484" s="64">
        <f>IF(N(DJ484)&gt;0,DH484,DA484)</f>
        <v/>
      </c>
      <c r="R484" s="64">
        <f>IF(N(DJ484)&gt;0,DI484,DB484)</f>
        <v/>
      </c>
      <c r="S484" s="64">
        <f>IF(N(DJ484)&gt;0,DJ484,DC484)</f>
        <v/>
      </c>
      <c r="T484" s="64">
        <f>INDEX(Projects[Currency],483)&amp;""</f>
        <v/>
      </c>
      <c r="U484" s="65">
        <f>INDEX(Projects[Sold Value (M)],483)</f>
        <v/>
      </c>
      <c r="V484" s="64">
        <f>IF('Smart Search'!B13=1,IFERROR(1/'Smart Search'!H13,0),0)</f>
        <v/>
      </c>
      <c r="W484" s="64">
        <f>IF('Smart Search'!B13=1,IFERROR(1/'Smart Search'!H13,0),0)</f>
        <v/>
      </c>
      <c r="X484" s="64">
        <f>IF('Smart Search'!C13=1,IFERROR(1/'Smart Search'!H13,0),0)</f>
        <v/>
      </c>
      <c r="Y484" s="64">
        <f>IF('Smart Search'!C13=1,IFERROR(1/'Smart Search'!H13,0),0)</f>
        <v/>
      </c>
      <c r="Z484" s="64">
        <f>IF('Smart Search'!D13=1,IFERROR(1/'Smart Search'!H13,0),0)</f>
        <v/>
      </c>
      <c r="AA484" s="64">
        <f>IF('Smart Search'!D13=1,IFERROR(1/'Smart Search'!H13,0),0)</f>
        <v/>
      </c>
      <c r="AB484" s="64">
        <f>IF('Smart Search'!E13=1,IFERROR(1/'Smart Search'!H13,0),0)</f>
        <v/>
      </c>
      <c r="AC484" s="64">
        <f>IF('Smart Search'!E13=1,IFERROR(1/'Smart Search'!H13,0),0)</f>
        <v/>
      </c>
      <c r="AD484" s="64">
        <f>IF('Smart Search'!F13=1,IFERROR(1/'Smart Search'!H13,0),0)</f>
        <v/>
      </c>
      <c r="AE484" s="64">
        <f>IF('Smart Search'!F13=1,IFERROR(1/'Smart Search'!H13,0),0)</f>
        <v/>
      </c>
      <c r="AF484" s="64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4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4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4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4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4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4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4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4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4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4">
        <f>AF484*V484</f>
        <v/>
      </c>
      <c r="AQ484" s="64">
        <f>AG484*W484</f>
        <v/>
      </c>
      <c r="AR484" s="64">
        <f>AH484*X484</f>
        <v/>
      </c>
      <c r="AS484" s="64">
        <f>AI484*Y484</f>
        <v/>
      </c>
      <c r="AT484" s="64">
        <f>AJ484*Z484</f>
        <v/>
      </c>
      <c r="AU484" s="64">
        <f>AK484*AA484</f>
        <v/>
      </c>
      <c r="AV484" s="64">
        <f>AL484*AB484</f>
        <v/>
      </c>
      <c r="AW484" s="64">
        <f>AM484*AC484</f>
        <v/>
      </c>
      <c r="AX484" s="64">
        <f>AN484*AD484</f>
        <v/>
      </c>
      <c r="AY484" s="64">
        <f>AO484*AE484</f>
        <v/>
      </c>
      <c r="AZ484" s="64">
        <f>INDEX(Projects[Automation Equipment],483)&amp;""</f>
        <v/>
      </c>
      <c r="BA484" s="64">
        <f>IF(OR(A484="",'Smart Search'!H13=0),"",MAX(0,BE484*BF484*MAX(0,1-BG484)))</f>
        <v/>
      </c>
      <c r="BB484" s="64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4">
        <f>IF('Smart Search'!G13=1,IFERROR(1/'Smart Search'!H13,0),0)</f>
        <v/>
      </c>
      <c r="BD484" s="64">
        <f>BB484*BC484</f>
        <v/>
      </c>
      <c r="BE484" s="64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IF(A484="","",N(INDEX(Projects[Act Mech Inst],483)))</f>
        <v/>
      </c>
      <c r="BK484" s="5">
        <f>IF(A484="","",N(INDEX(Projects[Act Elec Inst],483)))</f>
        <v/>
      </c>
      <c r="BL484" s="5">
        <f>IF(A484="","",N(INDEX(Projects[Act Project Management],483)))</f>
        <v/>
      </c>
      <c r="BM484" s="5">
        <f>IF(A484="","",N(INDEX(Projects[Act Systems Eng],483)))</f>
        <v/>
      </c>
      <c r="BN484" s="5">
        <f>IF(A484="","",N(INDEX(Projects[Act Mechanical Eng],483)))</f>
        <v/>
      </c>
      <c r="BO484" s="5">
        <f>IF(A484="","",N(INDEX(Projects[Act Structural Engineering],483)))</f>
        <v/>
      </c>
      <c r="BP484" s="5">
        <f>IF(A484="","",N(INDEX(Projects[Act Site Sup],483)))</f>
        <v/>
      </c>
      <c r="BQ484" s="5">
        <f>IF(A484="","",N(INDEX(Projects[Act Controls Commissioning],483)))</f>
        <v/>
      </c>
      <c r="BR484" s="5">
        <f>IF(A484="","",N(INDEX(Projects[Act Systems Commissioning],483)))</f>
        <v/>
      </c>
      <c r="BS484" s="5">
        <f>IF(A484="","",N(INDEX(Projects[Act Service Commissioning],483)))</f>
        <v/>
      </c>
      <c r="BT484" s="5">
        <f>IF(A484="","",N(INDEX(Projects[Act Controls Eng],483)))</f>
        <v/>
      </c>
      <c r="BU484" s="5">
        <f>IF(A484="","",N(INDEX(Projects[Act Controls Purchase],483)))</f>
        <v/>
      </c>
      <c r="BV484" s="5">
        <f>IF(A484="","",N(INDEX(Projects[Act Software Eng],483)))</f>
        <v/>
      </c>
      <c r="BW484" s="5">
        <f>IF(A484="","",N(INDEX(Projects[Act 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INDEX(Projects[Sold Value (USD M)],483)</f>
        <v/>
      </c>
      <c r="CE484" s="5" t="n"/>
      <c r="CF484" s="5">
        <f>IF(A484="","",N(INDEX(Projects[Est Mech Inst],483)))</f>
        <v/>
      </c>
      <c r="CG484" s="5">
        <f>IF(A484="","",N(INDEX(Projects[Est Elec Inst],483)))</f>
        <v/>
      </c>
      <c r="CH484" s="5">
        <f>IF(A484="","",N(INDEX(Projects[Est Project Management],483)))</f>
        <v/>
      </c>
      <c r="CI484" s="5">
        <f>IF(A484="","",N(INDEX(Projects[Est Systems Eng],483)))</f>
        <v/>
      </c>
      <c r="CJ484" s="5">
        <f>IF(A484="","",N(INDEX(Projects[Est Mechanical Eng],483)))</f>
        <v/>
      </c>
      <c r="CK484" s="5">
        <f>IF(A484="","",N(INDEX(Projects[Est Structural Engineering],483)))</f>
        <v/>
      </c>
      <c r="CL484" s="5">
        <f>IF(A484="","",N(INDEX(Projects[Est Site Sup],483)))</f>
        <v/>
      </c>
      <c r="CM484" s="5">
        <f>IF(A484="","",N(INDEX(Projects[Est Controls Commissioning],483)))</f>
        <v/>
      </c>
      <c r="CN484" s="5">
        <f>IF(A484="","",N(INDEX(Projects[Est Systems Commissioning],483)))</f>
        <v/>
      </c>
      <c r="CO484" s="5">
        <f>IF(A484="","",N(INDEX(Projects[Est Service Commissioning],483)))</f>
        <v/>
      </c>
      <c r="CP484" s="5">
        <f>IF(A484="","",N(INDEX(Projects[Est Controls Eng],483)))</f>
        <v/>
      </c>
      <c r="CQ484" s="5">
        <f>IF(A484="","",N(INDEX(Projects[Est Controls Purchase],483)))</f>
        <v/>
      </c>
      <c r="CR484" s="5">
        <f>IF(A484="","",N(INDEX(Projects[Est Software Eng],483)))</f>
        <v/>
      </c>
      <c r="CS484" s="5">
        <f>IF(A484="","",N(INDEX(Projects[Est Misc],483)))</f>
        <v/>
      </c>
      <c r="CT484" s="5">
        <f>IF(A484="","",SUM(CF484:CS484))</f>
        <v/>
      </c>
      <c r="CU484" s="5">
        <f>INDEX(Projects[Est Cost (M)],483)</f>
        <v/>
      </c>
      <c r="CV484" s="5">
        <f>INDEX(Projects[Act Cost (M)],483)</f>
        <v/>
      </c>
      <c r="CW484" s="5">
        <f>INDEX(Projects[Plan Mech Eng (wks)],483)</f>
        <v/>
      </c>
      <c r="CX484" s="5">
        <f>INDEX(Projects[Plan Controls Eng (wks)],483)</f>
        <v/>
      </c>
      <c r="CY484" s="5">
        <f>INDEX(Projects[Plan Systems Eng (wks)],483)</f>
        <v/>
      </c>
      <c r="CZ484" s="5">
        <f>INDEX(Projects[Plan Software Eng (wks)],483)</f>
        <v/>
      </c>
      <c r="DA484" s="5">
        <f>INDEX(Projects[Plan M&amp;E Installation (wks)],483)</f>
        <v/>
      </c>
      <c r="DB484" s="5">
        <f>INDEX(Projects[Plan Commissioning (wks)],483)</f>
        <v/>
      </c>
      <c r="DC484" s="5">
        <f>INDEX(Projects[Plan Total (wks)],483)</f>
        <v/>
      </c>
      <c r="DD484" s="5">
        <f>INDEX(Projects[Act Mech Eng (wks)],483)</f>
        <v/>
      </c>
      <c r="DE484" s="5">
        <f>INDEX(Projects[Act Controls Eng (wks)],483)</f>
        <v/>
      </c>
      <c r="DF484" s="5">
        <f>INDEX(Projects[Act Systems Eng (wks)],483)</f>
        <v/>
      </c>
      <c r="DG484" s="5">
        <f>INDEX(Projects[Act Software Eng (wks)],483)</f>
        <v/>
      </c>
      <c r="DH484" s="5">
        <f>INDEX(Projects[Act M&amp;E Installation (wks)],483)</f>
        <v/>
      </c>
      <c r="DI484" s="5">
        <f>INDEX(Projects[Act Commissioning (wks)],483)</f>
        <v/>
      </c>
      <c r="DJ484" s="5">
        <f>INDEX(Projects[Act Total (wks)],483)</f>
        <v/>
      </c>
    </row>
    <row r="485" ht="15" customHeight="1" s="82">
      <c r="A485" s="64">
        <f>INDEX(Projects[Project ID *],484)&amp;""</f>
        <v/>
      </c>
      <c r="B485" s="64">
        <f>INDEX(Projects[Project Name *],484)&amp;""</f>
        <v/>
      </c>
      <c r="C485" s="64">
        <f>INDEX(Projects[MS Shuttles],484)</f>
        <v/>
      </c>
      <c r="D485" s="64">
        <f>INDEX(Projects[MS Tote Locations],484)</f>
        <v/>
      </c>
      <c r="E485" s="64">
        <f>INDEX(Projects[AS Robots],484)</f>
        <v/>
      </c>
      <c r="F485" s="64">
        <f>INDEX(Projects[AS Tote Locations],484)</f>
        <v/>
      </c>
      <c r="G485" s="64">
        <f>INDEX(Projects[PS Shuttles],484)</f>
        <v/>
      </c>
      <c r="H485" s="64">
        <f>INDEX(Projects[PS Pallet Locations],484)</f>
        <v/>
      </c>
      <c r="I485" s="64">
        <f>INDEX(Projects[SRM Cranes],484)</f>
        <v/>
      </c>
      <c r="J485" s="64">
        <f>INDEX(Projects[SRM Pallet Locations],484)</f>
        <v/>
      </c>
      <c r="K485" s="64">
        <f>INDEX(Projects[Case Conv (m)],484)</f>
        <v/>
      </c>
      <c r="L485" s="64">
        <f>INDEX(Projects[Pallet Conv (m)],484)</f>
        <v/>
      </c>
      <c r="M485" s="64">
        <f>IF(N(DJ485)&gt;0,DD485,CW485)</f>
        <v/>
      </c>
      <c r="N485" s="64">
        <f>IF(N(DJ485)&gt;0,DE485,CX485)</f>
        <v/>
      </c>
      <c r="O485" s="64">
        <f>IF(N(DJ485)&gt;0,DF485,CY485)</f>
        <v/>
      </c>
      <c r="P485" s="64">
        <f>IF(N(DJ485)&gt;0,DG485,CZ485)</f>
        <v/>
      </c>
      <c r="Q485" s="64">
        <f>IF(N(DJ485)&gt;0,DH485,DA485)</f>
        <v/>
      </c>
      <c r="R485" s="64">
        <f>IF(N(DJ485)&gt;0,DI485,DB485)</f>
        <v/>
      </c>
      <c r="S485" s="64">
        <f>IF(N(DJ485)&gt;0,DJ485,DC485)</f>
        <v/>
      </c>
      <c r="T485" s="64">
        <f>INDEX(Projects[Currency],484)&amp;""</f>
        <v/>
      </c>
      <c r="U485" s="65">
        <f>INDEX(Projects[Sold Value (M)],484)</f>
        <v/>
      </c>
      <c r="V485" s="64">
        <f>IF('Smart Search'!B13=1,IFERROR(1/'Smart Search'!H13,0),0)</f>
        <v/>
      </c>
      <c r="W485" s="64">
        <f>IF('Smart Search'!B13=1,IFERROR(1/'Smart Search'!H13,0),0)</f>
        <v/>
      </c>
      <c r="X485" s="64">
        <f>IF('Smart Search'!C13=1,IFERROR(1/'Smart Search'!H13,0),0)</f>
        <v/>
      </c>
      <c r="Y485" s="64">
        <f>IF('Smart Search'!C13=1,IFERROR(1/'Smart Search'!H13,0),0)</f>
        <v/>
      </c>
      <c r="Z485" s="64">
        <f>IF('Smart Search'!D13=1,IFERROR(1/'Smart Search'!H13,0),0)</f>
        <v/>
      </c>
      <c r="AA485" s="64">
        <f>IF('Smart Search'!D13=1,IFERROR(1/'Smart Search'!H13,0),0)</f>
        <v/>
      </c>
      <c r="AB485" s="64">
        <f>IF('Smart Search'!E13=1,IFERROR(1/'Smart Search'!H13,0),0)</f>
        <v/>
      </c>
      <c r="AC485" s="64">
        <f>IF('Smart Search'!E13=1,IFERROR(1/'Smart Search'!H13,0),0)</f>
        <v/>
      </c>
      <c r="AD485" s="64">
        <f>IF('Smart Search'!F13=1,IFERROR(1/'Smart Search'!H13,0),0)</f>
        <v/>
      </c>
      <c r="AE485" s="64">
        <f>IF('Smart Search'!F13=1,IFERROR(1/'Smart Search'!H13,0),0)</f>
        <v/>
      </c>
      <c r="AF485" s="64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4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4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4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4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4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4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4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4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4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4">
        <f>AF485*V485</f>
        <v/>
      </c>
      <c r="AQ485" s="64">
        <f>AG485*W485</f>
        <v/>
      </c>
      <c r="AR485" s="64">
        <f>AH485*X485</f>
        <v/>
      </c>
      <c r="AS485" s="64">
        <f>AI485*Y485</f>
        <v/>
      </c>
      <c r="AT485" s="64">
        <f>AJ485*Z485</f>
        <v/>
      </c>
      <c r="AU485" s="64">
        <f>AK485*AA485</f>
        <v/>
      </c>
      <c r="AV485" s="64">
        <f>AL485*AB485</f>
        <v/>
      </c>
      <c r="AW485" s="64">
        <f>AM485*AC485</f>
        <v/>
      </c>
      <c r="AX485" s="64">
        <f>AN485*AD485</f>
        <v/>
      </c>
      <c r="AY485" s="64">
        <f>AO485*AE485</f>
        <v/>
      </c>
      <c r="AZ485" s="64">
        <f>INDEX(Projects[Automation Equipment],484)&amp;""</f>
        <v/>
      </c>
      <c r="BA485" s="64">
        <f>IF(OR(A485="",'Smart Search'!H13=0),"",MAX(0,BE485*BF485*MAX(0,1-BG485)))</f>
        <v/>
      </c>
      <c r="BB485" s="64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4">
        <f>IF('Smart Search'!G13=1,IFERROR(1/'Smart Search'!H13,0),0)</f>
        <v/>
      </c>
      <c r="BD485" s="64">
        <f>BB485*BC485</f>
        <v/>
      </c>
      <c r="BE485" s="64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IF(A485="","",N(INDEX(Projects[Act Mech Inst],484)))</f>
        <v/>
      </c>
      <c r="BK485" s="5">
        <f>IF(A485="","",N(INDEX(Projects[Act Elec Inst],484)))</f>
        <v/>
      </c>
      <c r="BL485" s="5">
        <f>IF(A485="","",N(INDEX(Projects[Act Project Management],484)))</f>
        <v/>
      </c>
      <c r="BM485" s="5">
        <f>IF(A485="","",N(INDEX(Projects[Act Systems Eng],484)))</f>
        <v/>
      </c>
      <c r="BN485" s="5">
        <f>IF(A485="","",N(INDEX(Projects[Act Mechanical Eng],484)))</f>
        <v/>
      </c>
      <c r="BO485" s="5">
        <f>IF(A485="","",N(INDEX(Projects[Act Structural Engineering],484)))</f>
        <v/>
      </c>
      <c r="BP485" s="5">
        <f>IF(A485="","",N(INDEX(Projects[Act Site Sup],484)))</f>
        <v/>
      </c>
      <c r="BQ485" s="5">
        <f>IF(A485="","",N(INDEX(Projects[Act Controls Commissioning],484)))</f>
        <v/>
      </c>
      <c r="BR485" s="5">
        <f>IF(A485="","",N(INDEX(Projects[Act Systems Commissioning],484)))</f>
        <v/>
      </c>
      <c r="BS485" s="5">
        <f>IF(A485="","",N(INDEX(Projects[Act Service Commissioning],484)))</f>
        <v/>
      </c>
      <c r="BT485" s="5">
        <f>IF(A485="","",N(INDEX(Projects[Act Controls Eng],484)))</f>
        <v/>
      </c>
      <c r="BU485" s="5">
        <f>IF(A485="","",N(INDEX(Projects[Act Controls Purchase],484)))</f>
        <v/>
      </c>
      <c r="BV485" s="5">
        <f>IF(A485="","",N(INDEX(Projects[Act Software Eng],484)))</f>
        <v/>
      </c>
      <c r="BW485" s="5">
        <f>IF(A485="","",N(INDEX(Projects[Act 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INDEX(Projects[Sold Value (USD M)],484)</f>
        <v/>
      </c>
      <c r="CE485" s="5" t="n"/>
      <c r="CF485" s="5">
        <f>IF(A485="","",N(INDEX(Projects[Est Mech Inst],484)))</f>
        <v/>
      </c>
      <c r="CG485" s="5">
        <f>IF(A485="","",N(INDEX(Projects[Est Elec Inst],484)))</f>
        <v/>
      </c>
      <c r="CH485" s="5">
        <f>IF(A485="","",N(INDEX(Projects[Est Project Management],484)))</f>
        <v/>
      </c>
      <c r="CI485" s="5">
        <f>IF(A485="","",N(INDEX(Projects[Est Systems Eng],484)))</f>
        <v/>
      </c>
      <c r="CJ485" s="5">
        <f>IF(A485="","",N(INDEX(Projects[Est Mechanical Eng],484)))</f>
        <v/>
      </c>
      <c r="CK485" s="5">
        <f>IF(A485="","",N(INDEX(Projects[Est Structural Engineering],484)))</f>
        <v/>
      </c>
      <c r="CL485" s="5">
        <f>IF(A485="","",N(INDEX(Projects[Est Site Sup],484)))</f>
        <v/>
      </c>
      <c r="CM485" s="5">
        <f>IF(A485="","",N(INDEX(Projects[Est Controls Commissioning],484)))</f>
        <v/>
      </c>
      <c r="CN485" s="5">
        <f>IF(A485="","",N(INDEX(Projects[Est Systems Commissioning],484)))</f>
        <v/>
      </c>
      <c r="CO485" s="5">
        <f>IF(A485="","",N(INDEX(Projects[Est Service Commissioning],484)))</f>
        <v/>
      </c>
      <c r="CP485" s="5">
        <f>IF(A485="","",N(INDEX(Projects[Est Controls Eng],484)))</f>
        <v/>
      </c>
      <c r="CQ485" s="5">
        <f>IF(A485="","",N(INDEX(Projects[Est Controls Purchase],484)))</f>
        <v/>
      </c>
      <c r="CR485" s="5">
        <f>IF(A485="","",N(INDEX(Projects[Est Software Eng],484)))</f>
        <v/>
      </c>
      <c r="CS485" s="5">
        <f>IF(A485="","",N(INDEX(Projects[Est Misc],484)))</f>
        <v/>
      </c>
      <c r="CT485" s="5">
        <f>IF(A485="","",SUM(CF485:CS485))</f>
        <v/>
      </c>
      <c r="CU485" s="5">
        <f>INDEX(Projects[Est Cost (M)],484)</f>
        <v/>
      </c>
      <c r="CV485" s="5">
        <f>INDEX(Projects[Act Cost (M)],484)</f>
        <v/>
      </c>
      <c r="CW485" s="5">
        <f>INDEX(Projects[Plan Mech Eng (wks)],484)</f>
        <v/>
      </c>
      <c r="CX485" s="5">
        <f>INDEX(Projects[Plan Controls Eng (wks)],484)</f>
        <v/>
      </c>
      <c r="CY485" s="5">
        <f>INDEX(Projects[Plan Systems Eng (wks)],484)</f>
        <v/>
      </c>
      <c r="CZ485" s="5">
        <f>INDEX(Projects[Plan Software Eng (wks)],484)</f>
        <v/>
      </c>
      <c r="DA485" s="5">
        <f>INDEX(Projects[Plan M&amp;E Installation (wks)],484)</f>
        <v/>
      </c>
      <c r="DB485" s="5">
        <f>INDEX(Projects[Plan Commissioning (wks)],484)</f>
        <v/>
      </c>
      <c r="DC485" s="5">
        <f>INDEX(Projects[Plan Total (wks)],484)</f>
        <v/>
      </c>
      <c r="DD485" s="5">
        <f>INDEX(Projects[Act Mech Eng (wks)],484)</f>
        <v/>
      </c>
      <c r="DE485" s="5">
        <f>INDEX(Projects[Act Controls Eng (wks)],484)</f>
        <v/>
      </c>
      <c r="DF485" s="5">
        <f>INDEX(Projects[Act Systems Eng (wks)],484)</f>
        <v/>
      </c>
      <c r="DG485" s="5">
        <f>INDEX(Projects[Act Software Eng (wks)],484)</f>
        <v/>
      </c>
      <c r="DH485" s="5">
        <f>INDEX(Projects[Act M&amp;E Installation (wks)],484)</f>
        <v/>
      </c>
      <c r="DI485" s="5">
        <f>INDEX(Projects[Act Commissioning (wks)],484)</f>
        <v/>
      </c>
      <c r="DJ485" s="5">
        <f>INDEX(Projects[Act Total (wks)],484)</f>
        <v/>
      </c>
    </row>
    <row r="486" ht="15" customHeight="1" s="82">
      <c r="A486" s="64">
        <f>INDEX(Projects[Project ID *],485)&amp;""</f>
        <v/>
      </c>
      <c r="B486" s="64">
        <f>INDEX(Projects[Project Name *],485)&amp;""</f>
        <v/>
      </c>
      <c r="C486" s="64">
        <f>INDEX(Projects[MS Shuttles],485)</f>
        <v/>
      </c>
      <c r="D486" s="64">
        <f>INDEX(Projects[MS Tote Locations],485)</f>
        <v/>
      </c>
      <c r="E486" s="64">
        <f>INDEX(Projects[AS Robots],485)</f>
        <v/>
      </c>
      <c r="F486" s="64">
        <f>INDEX(Projects[AS Tote Locations],485)</f>
        <v/>
      </c>
      <c r="G486" s="64">
        <f>INDEX(Projects[PS Shuttles],485)</f>
        <v/>
      </c>
      <c r="H486" s="64">
        <f>INDEX(Projects[PS Pallet Locations],485)</f>
        <v/>
      </c>
      <c r="I486" s="64">
        <f>INDEX(Projects[SRM Cranes],485)</f>
        <v/>
      </c>
      <c r="J486" s="64">
        <f>INDEX(Projects[SRM Pallet Locations],485)</f>
        <v/>
      </c>
      <c r="K486" s="64">
        <f>INDEX(Projects[Case Conv (m)],485)</f>
        <v/>
      </c>
      <c r="L486" s="64">
        <f>INDEX(Projects[Pallet Conv (m)],485)</f>
        <v/>
      </c>
      <c r="M486" s="64">
        <f>IF(N(DJ486)&gt;0,DD486,CW486)</f>
        <v/>
      </c>
      <c r="N486" s="64">
        <f>IF(N(DJ486)&gt;0,DE486,CX486)</f>
        <v/>
      </c>
      <c r="O486" s="64">
        <f>IF(N(DJ486)&gt;0,DF486,CY486)</f>
        <v/>
      </c>
      <c r="P486" s="64">
        <f>IF(N(DJ486)&gt;0,DG486,CZ486)</f>
        <v/>
      </c>
      <c r="Q486" s="64">
        <f>IF(N(DJ486)&gt;0,DH486,DA486)</f>
        <v/>
      </c>
      <c r="R486" s="64">
        <f>IF(N(DJ486)&gt;0,DI486,DB486)</f>
        <v/>
      </c>
      <c r="S486" s="64">
        <f>IF(N(DJ486)&gt;0,DJ486,DC486)</f>
        <v/>
      </c>
      <c r="T486" s="64">
        <f>INDEX(Projects[Currency],485)&amp;""</f>
        <v/>
      </c>
      <c r="U486" s="65">
        <f>INDEX(Projects[Sold Value (M)],485)</f>
        <v/>
      </c>
      <c r="V486" s="64">
        <f>IF('Smart Search'!B13=1,IFERROR(1/'Smart Search'!H13,0),0)</f>
        <v/>
      </c>
      <c r="W486" s="64">
        <f>IF('Smart Search'!B13=1,IFERROR(1/'Smart Search'!H13,0),0)</f>
        <v/>
      </c>
      <c r="X486" s="64">
        <f>IF('Smart Search'!C13=1,IFERROR(1/'Smart Search'!H13,0),0)</f>
        <v/>
      </c>
      <c r="Y486" s="64">
        <f>IF('Smart Search'!C13=1,IFERROR(1/'Smart Search'!H13,0),0)</f>
        <v/>
      </c>
      <c r="Z486" s="64">
        <f>IF('Smart Search'!D13=1,IFERROR(1/'Smart Search'!H13,0),0)</f>
        <v/>
      </c>
      <c r="AA486" s="64">
        <f>IF('Smart Search'!D13=1,IFERROR(1/'Smart Search'!H13,0),0)</f>
        <v/>
      </c>
      <c r="AB486" s="64">
        <f>IF('Smart Search'!E13=1,IFERROR(1/'Smart Search'!H13,0),0)</f>
        <v/>
      </c>
      <c r="AC486" s="64">
        <f>IF('Smart Search'!E13=1,IFERROR(1/'Smart Search'!H13,0),0)</f>
        <v/>
      </c>
      <c r="AD486" s="64">
        <f>IF('Smart Search'!F13=1,IFERROR(1/'Smart Search'!H13,0),0)</f>
        <v/>
      </c>
      <c r="AE486" s="64">
        <f>IF('Smart Search'!F13=1,IFERROR(1/'Smart Search'!H13,0),0)</f>
        <v/>
      </c>
      <c r="AF486" s="64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4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4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4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4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4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4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4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4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4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4">
        <f>AF486*V486</f>
        <v/>
      </c>
      <c r="AQ486" s="64">
        <f>AG486*W486</f>
        <v/>
      </c>
      <c r="AR486" s="64">
        <f>AH486*X486</f>
        <v/>
      </c>
      <c r="AS486" s="64">
        <f>AI486*Y486</f>
        <v/>
      </c>
      <c r="AT486" s="64">
        <f>AJ486*Z486</f>
        <v/>
      </c>
      <c r="AU486" s="64">
        <f>AK486*AA486</f>
        <v/>
      </c>
      <c r="AV486" s="64">
        <f>AL486*AB486</f>
        <v/>
      </c>
      <c r="AW486" s="64">
        <f>AM486*AC486</f>
        <v/>
      </c>
      <c r="AX486" s="64">
        <f>AN486*AD486</f>
        <v/>
      </c>
      <c r="AY486" s="64">
        <f>AO486*AE486</f>
        <v/>
      </c>
      <c r="AZ486" s="64">
        <f>INDEX(Projects[Automation Equipment],485)&amp;""</f>
        <v/>
      </c>
      <c r="BA486" s="64">
        <f>IF(OR(A486="",'Smart Search'!H13=0),"",MAX(0,BE486*BF486*MAX(0,1-BG486)))</f>
        <v/>
      </c>
      <c r="BB486" s="64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4">
        <f>IF('Smart Search'!G13=1,IFERROR(1/'Smart Search'!H13,0),0)</f>
        <v/>
      </c>
      <c r="BD486" s="64">
        <f>BB486*BC486</f>
        <v/>
      </c>
      <c r="BE486" s="64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IF(A486="","",N(INDEX(Projects[Act Mech Inst],485)))</f>
        <v/>
      </c>
      <c r="BK486" s="5">
        <f>IF(A486="","",N(INDEX(Projects[Act Elec Inst],485)))</f>
        <v/>
      </c>
      <c r="BL486" s="5">
        <f>IF(A486="","",N(INDEX(Projects[Act Project Management],485)))</f>
        <v/>
      </c>
      <c r="BM486" s="5">
        <f>IF(A486="","",N(INDEX(Projects[Act Systems Eng],485)))</f>
        <v/>
      </c>
      <c r="BN486" s="5">
        <f>IF(A486="","",N(INDEX(Projects[Act Mechanical Eng],485)))</f>
        <v/>
      </c>
      <c r="BO486" s="5">
        <f>IF(A486="","",N(INDEX(Projects[Act Structural Engineering],485)))</f>
        <v/>
      </c>
      <c r="BP486" s="5">
        <f>IF(A486="","",N(INDEX(Projects[Act Site Sup],485)))</f>
        <v/>
      </c>
      <c r="BQ486" s="5">
        <f>IF(A486="","",N(INDEX(Projects[Act Controls Commissioning],485)))</f>
        <v/>
      </c>
      <c r="BR486" s="5">
        <f>IF(A486="","",N(INDEX(Projects[Act Systems Commissioning],485)))</f>
        <v/>
      </c>
      <c r="BS486" s="5">
        <f>IF(A486="","",N(INDEX(Projects[Act Service Commissioning],485)))</f>
        <v/>
      </c>
      <c r="BT486" s="5">
        <f>IF(A486="","",N(INDEX(Projects[Act Controls Eng],485)))</f>
        <v/>
      </c>
      <c r="BU486" s="5">
        <f>IF(A486="","",N(INDEX(Projects[Act Controls Purchase],485)))</f>
        <v/>
      </c>
      <c r="BV486" s="5">
        <f>IF(A486="","",N(INDEX(Projects[Act Software Eng],485)))</f>
        <v/>
      </c>
      <c r="BW486" s="5">
        <f>IF(A486="","",N(INDEX(Projects[Act 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INDEX(Projects[Sold Value (USD M)],485)</f>
        <v/>
      </c>
      <c r="CE486" s="5" t="n"/>
      <c r="CF486" s="5">
        <f>IF(A486="","",N(INDEX(Projects[Est Mech Inst],485)))</f>
        <v/>
      </c>
      <c r="CG486" s="5">
        <f>IF(A486="","",N(INDEX(Projects[Est Elec Inst],485)))</f>
        <v/>
      </c>
      <c r="CH486" s="5">
        <f>IF(A486="","",N(INDEX(Projects[Est Project Management],485)))</f>
        <v/>
      </c>
      <c r="CI486" s="5">
        <f>IF(A486="","",N(INDEX(Projects[Est Systems Eng],485)))</f>
        <v/>
      </c>
      <c r="CJ486" s="5">
        <f>IF(A486="","",N(INDEX(Projects[Est Mechanical Eng],485)))</f>
        <v/>
      </c>
      <c r="CK486" s="5">
        <f>IF(A486="","",N(INDEX(Projects[Est Structural Engineering],485)))</f>
        <v/>
      </c>
      <c r="CL486" s="5">
        <f>IF(A486="","",N(INDEX(Projects[Est Site Sup],485)))</f>
        <v/>
      </c>
      <c r="CM486" s="5">
        <f>IF(A486="","",N(INDEX(Projects[Est Controls Commissioning],485)))</f>
        <v/>
      </c>
      <c r="CN486" s="5">
        <f>IF(A486="","",N(INDEX(Projects[Est Systems Commissioning],485)))</f>
        <v/>
      </c>
      <c r="CO486" s="5">
        <f>IF(A486="","",N(INDEX(Projects[Est Service Commissioning],485)))</f>
        <v/>
      </c>
      <c r="CP486" s="5">
        <f>IF(A486="","",N(INDEX(Projects[Est Controls Eng],485)))</f>
        <v/>
      </c>
      <c r="CQ486" s="5">
        <f>IF(A486="","",N(INDEX(Projects[Est Controls Purchase],485)))</f>
        <v/>
      </c>
      <c r="CR486" s="5">
        <f>IF(A486="","",N(INDEX(Projects[Est Software Eng],485)))</f>
        <v/>
      </c>
      <c r="CS486" s="5">
        <f>IF(A486="","",N(INDEX(Projects[Est Misc],485)))</f>
        <v/>
      </c>
      <c r="CT486" s="5">
        <f>IF(A486="","",SUM(CF486:CS486))</f>
        <v/>
      </c>
      <c r="CU486" s="5">
        <f>INDEX(Projects[Est Cost (M)],485)</f>
        <v/>
      </c>
      <c r="CV486" s="5">
        <f>INDEX(Projects[Act Cost (M)],485)</f>
        <v/>
      </c>
      <c r="CW486" s="5">
        <f>INDEX(Projects[Plan Mech Eng (wks)],485)</f>
        <v/>
      </c>
      <c r="CX486" s="5">
        <f>INDEX(Projects[Plan Controls Eng (wks)],485)</f>
        <v/>
      </c>
      <c r="CY486" s="5">
        <f>INDEX(Projects[Plan Systems Eng (wks)],485)</f>
        <v/>
      </c>
      <c r="CZ486" s="5">
        <f>INDEX(Projects[Plan Software Eng (wks)],485)</f>
        <v/>
      </c>
      <c r="DA486" s="5">
        <f>INDEX(Projects[Plan M&amp;E Installation (wks)],485)</f>
        <v/>
      </c>
      <c r="DB486" s="5">
        <f>INDEX(Projects[Plan Commissioning (wks)],485)</f>
        <v/>
      </c>
      <c r="DC486" s="5">
        <f>INDEX(Projects[Plan Total (wks)],485)</f>
        <v/>
      </c>
      <c r="DD486" s="5">
        <f>INDEX(Projects[Act Mech Eng (wks)],485)</f>
        <v/>
      </c>
      <c r="DE486" s="5">
        <f>INDEX(Projects[Act Controls Eng (wks)],485)</f>
        <v/>
      </c>
      <c r="DF486" s="5">
        <f>INDEX(Projects[Act Systems Eng (wks)],485)</f>
        <v/>
      </c>
      <c r="DG486" s="5">
        <f>INDEX(Projects[Act Software Eng (wks)],485)</f>
        <v/>
      </c>
      <c r="DH486" s="5">
        <f>INDEX(Projects[Act M&amp;E Installation (wks)],485)</f>
        <v/>
      </c>
      <c r="DI486" s="5">
        <f>INDEX(Projects[Act Commissioning (wks)],485)</f>
        <v/>
      </c>
      <c r="DJ486" s="5">
        <f>INDEX(Projects[Act Total (wks)],485)</f>
        <v/>
      </c>
    </row>
    <row r="487" ht="15" customHeight="1" s="82">
      <c r="A487" s="64">
        <f>INDEX(Projects[Project ID *],486)&amp;""</f>
        <v/>
      </c>
      <c r="B487" s="64">
        <f>INDEX(Projects[Project Name *],486)&amp;""</f>
        <v/>
      </c>
      <c r="C487" s="64">
        <f>INDEX(Projects[MS Shuttles],486)</f>
        <v/>
      </c>
      <c r="D487" s="64">
        <f>INDEX(Projects[MS Tote Locations],486)</f>
        <v/>
      </c>
      <c r="E487" s="64">
        <f>INDEX(Projects[AS Robots],486)</f>
        <v/>
      </c>
      <c r="F487" s="64">
        <f>INDEX(Projects[AS Tote Locations],486)</f>
        <v/>
      </c>
      <c r="G487" s="64">
        <f>INDEX(Projects[PS Shuttles],486)</f>
        <v/>
      </c>
      <c r="H487" s="64">
        <f>INDEX(Projects[PS Pallet Locations],486)</f>
        <v/>
      </c>
      <c r="I487" s="64">
        <f>INDEX(Projects[SRM Cranes],486)</f>
        <v/>
      </c>
      <c r="J487" s="64">
        <f>INDEX(Projects[SRM Pallet Locations],486)</f>
        <v/>
      </c>
      <c r="K487" s="64">
        <f>INDEX(Projects[Case Conv (m)],486)</f>
        <v/>
      </c>
      <c r="L487" s="64">
        <f>INDEX(Projects[Pallet Conv (m)],486)</f>
        <v/>
      </c>
      <c r="M487" s="64">
        <f>IF(N(DJ487)&gt;0,DD487,CW487)</f>
        <v/>
      </c>
      <c r="N487" s="64">
        <f>IF(N(DJ487)&gt;0,DE487,CX487)</f>
        <v/>
      </c>
      <c r="O487" s="64">
        <f>IF(N(DJ487)&gt;0,DF487,CY487)</f>
        <v/>
      </c>
      <c r="P487" s="64">
        <f>IF(N(DJ487)&gt;0,DG487,CZ487)</f>
        <v/>
      </c>
      <c r="Q487" s="64">
        <f>IF(N(DJ487)&gt;0,DH487,DA487)</f>
        <v/>
      </c>
      <c r="R487" s="64">
        <f>IF(N(DJ487)&gt;0,DI487,DB487)</f>
        <v/>
      </c>
      <c r="S487" s="64">
        <f>IF(N(DJ487)&gt;0,DJ487,DC487)</f>
        <v/>
      </c>
      <c r="T487" s="64">
        <f>INDEX(Projects[Currency],486)&amp;""</f>
        <v/>
      </c>
      <c r="U487" s="65">
        <f>INDEX(Projects[Sold Value (M)],486)</f>
        <v/>
      </c>
      <c r="V487" s="64">
        <f>IF('Smart Search'!B13=1,IFERROR(1/'Smart Search'!H13,0),0)</f>
        <v/>
      </c>
      <c r="W487" s="64">
        <f>IF('Smart Search'!B13=1,IFERROR(1/'Smart Search'!H13,0),0)</f>
        <v/>
      </c>
      <c r="X487" s="64">
        <f>IF('Smart Search'!C13=1,IFERROR(1/'Smart Search'!H13,0),0)</f>
        <v/>
      </c>
      <c r="Y487" s="64">
        <f>IF('Smart Search'!C13=1,IFERROR(1/'Smart Search'!H13,0),0)</f>
        <v/>
      </c>
      <c r="Z487" s="64">
        <f>IF('Smart Search'!D13=1,IFERROR(1/'Smart Search'!H13,0),0)</f>
        <v/>
      </c>
      <c r="AA487" s="64">
        <f>IF('Smart Search'!D13=1,IFERROR(1/'Smart Search'!H13,0),0)</f>
        <v/>
      </c>
      <c r="AB487" s="64">
        <f>IF('Smart Search'!E13=1,IFERROR(1/'Smart Search'!H13,0),0)</f>
        <v/>
      </c>
      <c r="AC487" s="64">
        <f>IF('Smart Search'!E13=1,IFERROR(1/'Smart Search'!H13,0),0)</f>
        <v/>
      </c>
      <c r="AD487" s="64">
        <f>IF('Smart Search'!F13=1,IFERROR(1/'Smart Search'!H13,0),0)</f>
        <v/>
      </c>
      <c r="AE487" s="64">
        <f>IF('Smart Search'!F13=1,IFERROR(1/'Smart Search'!H13,0),0)</f>
        <v/>
      </c>
      <c r="AF487" s="64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4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4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4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4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4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4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4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4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4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4">
        <f>AF487*V487</f>
        <v/>
      </c>
      <c r="AQ487" s="64">
        <f>AG487*W487</f>
        <v/>
      </c>
      <c r="AR487" s="64">
        <f>AH487*X487</f>
        <v/>
      </c>
      <c r="AS487" s="64">
        <f>AI487*Y487</f>
        <v/>
      </c>
      <c r="AT487" s="64">
        <f>AJ487*Z487</f>
        <v/>
      </c>
      <c r="AU487" s="64">
        <f>AK487*AA487</f>
        <v/>
      </c>
      <c r="AV487" s="64">
        <f>AL487*AB487</f>
        <v/>
      </c>
      <c r="AW487" s="64">
        <f>AM487*AC487</f>
        <v/>
      </c>
      <c r="AX487" s="64">
        <f>AN487*AD487</f>
        <v/>
      </c>
      <c r="AY487" s="64">
        <f>AO487*AE487</f>
        <v/>
      </c>
      <c r="AZ487" s="64">
        <f>INDEX(Projects[Automation Equipment],486)&amp;""</f>
        <v/>
      </c>
      <c r="BA487" s="64">
        <f>IF(OR(A487="",'Smart Search'!H13=0),"",MAX(0,BE487*BF487*MAX(0,1-BG487)))</f>
        <v/>
      </c>
      <c r="BB487" s="64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4">
        <f>IF('Smart Search'!G13=1,IFERROR(1/'Smart Search'!H13,0),0)</f>
        <v/>
      </c>
      <c r="BD487" s="64">
        <f>BB487*BC487</f>
        <v/>
      </c>
      <c r="BE487" s="64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IF(A487="","",N(INDEX(Projects[Act Mech Inst],486)))</f>
        <v/>
      </c>
      <c r="BK487" s="5">
        <f>IF(A487="","",N(INDEX(Projects[Act Elec Inst],486)))</f>
        <v/>
      </c>
      <c r="BL487" s="5">
        <f>IF(A487="","",N(INDEX(Projects[Act Project Management],486)))</f>
        <v/>
      </c>
      <c r="BM487" s="5">
        <f>IF(A487="","",N(INDEX(Projects[Act Systems Eng],486)))</f>
        <v/>
      </c>
      <c r="BN487" s="5">
        <f>IF(A487="","",N(INDEX(Projects[Act Mechanical Eng],486)))</f>
        <v/>
      </c>
      <c r="BO487" s="5">
        <f>IF(A487="","",N(INDEX(Projects[Act Structural Engineering],486)))</f>
        <v/>
      </c>
      <c r="BP487" s="5">
        <f>IF(A487="","",N(INDEX(Projects[Act Site Sup],486)))</f>
        <v/>
      </c>
      <c r="BQ487" s="5">
        <f>IF(A487="","",N(INDEX(Projects[Act Controls Commissioning],486)))</f>
        <v/>
      </c>
      <c r="BR487" s="5">
        <f>IF(A487="","",N(INDEX(Projects[Act Systems Commissioning],486)))</f>
        <v/>
      </c>
      <c r="BS487" s="5">
        <f>IF(A487="","",N(INDEX(Projects[Act Service Commissioning],486)))</f>
        <v/>
      </c>
      <c r="BT487" s="5">
        <f>IF(A487="","",N(INDEX(Projects[Act Controls Eng],486)))</f>
        <v/>
      </c>
      <c r="BU487" s="5">
        <f>IF(A487="","",N(INDEX(Projects[Act Controls Purchase],486)))</f>
        <v/>
      </c>
      <c r="BV487" s="5">
        <f>IF(A487="","",N(INDEX(Projects[Act Software Eng],486)))</f>
        <v/>
      </c>
      <c r="BW487" s="5">
        <f>IF(A487="","",N(INDEX(Projects[Act 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INDEX(Projects[Sold Value (USD M)],486)</f>
        <v/>
      </c>
      <c r="CE487" s="5" t="n"/>
      <c r="CF487" s="5">
        <f>IF(A487="","",N(INDEX(Projects[Est Mech Inst],486)))</f>
        <v/>
      </c>
      <c r="CG487" s="5">
        <f>IF(A487="","",N(INDEX(Projects[Est Elec Inst],486)))</f>
        <v/>
      </c>
      <c r="CH487" s="5">
        <f>IF(A487="","",N(INDEX(Projects[Est Project Management],486)))</f>
        <v/>
      </c>
      <c r="CI487" s="5">
        <f>IF(A487="","",N(INDEX(Projects[Est Systems Eng],486)))</f>
        <v/>
      </c>
      <c r="CJ487" s="5">
        <f>IF(A487="","",N(INDEX(Projects[Est Mechanical Eng],486)))</f>
        <v/>
      </c>
      <c r="CK487" s="5">
        <f>IF(A487="","",N(INDEX(Projects[Est Structural Engineering],486)))</f>
        <v/>
      </c>
      <c r="CL487" s="5">
        <f>IF(A487="","",N(INDEX(Projects[Est Site Sup],486)))</f>
        <v/>
      </c>
      <c r="CM487" s="5">
        <f>IF(A487="","",N(INDEX(Projects[Est Controls Commissioning],486)))</f>
        <v/>
      </c>
      <c r="CN487" s="5">
        <f>IF(A487="","",N(INDEX(Projects[Est Systems Commissioning],486)))</f>
        <v/>
      </c>
      <c r="CO487" s="5">
        <f>IF(A487="","",N(INDEX(Projects[Est Service Commissioning],486)))</f>
        <v/>
      </c>
      <c r="CP487" s="5">
        <f>IF(A487="","",N(INDEX(Projects[Est Controls Eng],486)))</f>
        <v/>
      </c>
      <c r="CQ487" s="5">
        <f>IF(A487="","",N(INDEX(Projects[Est Controls Purchase],486)))</f>
        <v/>
      </c>
      <c r="CR487" s="5">
        <f>IF(A487="","",N(INDEX(Projects[Est Software Eng],486)))</f>
        <v/>
      </c>
      <c r="CS487" s="5">
        <f>IF(A487="","",N(INDEX(Projects[Est Misc],486)))</f>
        <v/>
      </c>
      <c r="CT487" s="5">
        <f>IF(A487="","",SUM(CF487:CS487))</f>
        <v/>
      </c>
      <c r="CU487" s="5">
        <f>INDEX(Projects[Est Cost (M)],486)</f>
        <v/>
      </c>
      <c r="CV487" s="5">
        <f>INDEX(Projects[Act Cost (M)],486)</f>
        <v/>
      </c>
      <c r="CW487" s="5">
        <f>INDEX(Projects[Plan Mech Eng (wks)],486)</f>
        <v/>
      </c>
      <c r="CX487" s="5">
        <f>INDEX(Projects[Plan Controls Eng (wks)],486)</f>
        <v/>
      </c>
      <c r="CY487" s="5">
        <f>INDEX(Projects[Plan Systems Eng (wks)],486)</f>
        <v/>
      </c>
      <c r="CZ487" s="5">
        <f>INDEX(Projects[Plan Software Eng (wks)],486)</f>
        <v/>
      </c>
      <c r="DA487" s="5">
        <f>INDEX(Projects[Plan M&amp;E Installation (wks)],486)</f>
        <v/>
      </c>
      <c r="DB487" s="5">
        <f>INDEX(Projects[Plan Commissioning (wks)],486)</f>
        <v/>
      </c>
      <c r="DC487" s="5">
        <f>INDEX(Projects[Plan Total (wks)],486)</f>
        <v/>
      </c>
      <c r="DD487" s="5">
        <f>INDEX(Projects[Act Mech Eng (wks)],486)</f>
        <v/>
      </c>
      <c r="DE487" s="5">
        <f>INDEX(Projects[Act Controls Eng (wks)],486)</f>
        <v/>
      </c>
      <c r="DF487" s="5">
        <f>INDEX(Projects[Act Systems Eng (wks)],486)</f>
        <v/>
      </c>
      <c r="DG487" s="5">
        <f>INDEX(Projects[Act Software Eng (wks)],486)</f>
        <v/>
      </c>
      <c r="DH487" s="5">
        <f>INDEX(Projects[Act M&amp;E Installation (wks)],486)</f>
        <v/>
      </c>
      <c r="DI487" s="5">
        <f>INDEX(Projects[Act Commissioning (wks)],486)</f>
        <v/>
      </c>
      <c r="DJ487" s="5">
        <f>INDEX(Projects[Act Total (wks)],486)</f>
        <v/>
      </c>
    </row>
    <row r="488" ht="15" customHeight="1" s="82">
      <c r="A488" s="64">
        <f>INDEX(Projects[Project ID *],487)&amp;""</f>
        <v/>
      </c>
      <c r="B488" s="64">
        <f>INDEX(Projects[Project Name *],487)&amp;""</f>
        <v/>
      </c>
      <c r="C488" s="64">
        <f>INDEX(Projects[MS Shuttles],487)</f>
        <v/>
      </c>
      <c r="D488" s="64">
        <f>INDEX(Projects[MS Tote Locations],487)</f>
        <v/>
      </c>
      <c r="E488" s="64">
        <f>INDEX(Projects[AS Robots],487)</f>
        <v/>
      </c>
      <c r="F488" s="64">
        <f>INDEX(Projects[AS Tote Locations],487)</f>
        <v/>
      </c>
      <c r="G488" s="64">
        <f>INDEX(Projects[PS Shuttles],487)</f>
        <v/>
      </c>
      <c r="H488" s="64">
        <f>INDEX(Projects[PS Pallet Locations],487)</f>
        <v/>
      </c>
      <c r="I488" s="64">
        <f>INDEX(Projects[SRM Cranes],487)</f>
        <v/>
      </c>
      <c r="J488" s="64">
        <f>INDEX(Projects[SRM Pallet Locations],487)</f>
        <v/>
      </c>
      <c r="K488" s="64">
        <f>INDEX(Projects[Case Conv (m)],487)</f>
        <v/>
      </c>
      <c r="L488" s="64">
        <f>INDEX(Projects[Pallet Conv (m)],487)</f>
        <v/>
      </c>
      <c r="M488" s="64">
        <f>IF(N(DJ488)&gt;0,DD488,CW488)</f>
        <v/>
      </c>
      <c r="N488" s="64">
        <f>IF(N(DJ488)&gt;0,DE488,CX488)</f>
        <v/>
      </c>
      <c r="O488" s="64">
        <f>IF(N(DJ488)&gt;0,DF488,CY488)</f>
        <v/>
      </c>
      <c r="P488" s="64">
        <f>IF(N(DJ488)&gt;0,DG488,CZ488)</f>
        <v/>
      </c>
      <c r="Q488" s="64">
        <f>IF(N(DJ488)&gt;0,DH488,DA488)</f>
        <v/>
      </c>
      <c r="R488" s="64">
        <f>IF(N(DJ488)&gt;0,DI488,DB488)</f>
        <v/>
      </c>
      <c r="S488" s="64">
        <f>IF(N(DJ488)&gt;0,DJ488,DC488)</f>
        <v/>
      </c>
      <c r="T488" s="64">
        <f>INDEX(Projects[Currency],487)&amp;""</f>
        <v/>
      </c>
      <c r="U488" s="65">
        <f>INDEX(Projects[Sold Value (M)],487)</f>
        <v/>
      </c>
      <c r="V488" s="64">
        <f>IF('Smart Search'!B13=1,IFERROR(1/'Smart Search'!H13,0),0)</f>
        <v/>
      </c>
      <c r="W488" s="64">
        <f>IF('Smart Search'!B13=1,IFERROR(1/'Smart Search'!H13,0),0)</f>
        <v/>
      </c>
      <c r="X488" s="64">
        <f>IF('Smart Search'!C13=1,IFERROR(1/'Smart Search'!H13,0),0)</f>
        <v/>
      </c>
      <c r="Y488" s="64">
        <f>IF('Smart Search'!C13=1,IFERROR(1/'Smart Search'!H13,0),0)</f>
        <v/>
      </c>
      <c r="Z488" s="64">
        <f>IF('Smart Search'!D13=1,IFERROR(1/'Smart Search'!H13,0),0)</f>
        <v/>
      </c>
      <c r="AA488" s="64">
        <f>IF('Smart Search'!D13=1,IFERROR(1/'Smart Search'!H13,0),0)</f>
        <v/>
      </c>
      <c r="AB488" s="64">
        <f>IF('Smart Search'!E13=1,IFERROR(1/'Smart Search'!H13,0),0)</f>
        <v/>
      </c>
      <c r="AC488" s="64">
        <f>IF('Smart Search'!E13=1,IFERROR(1/'Smart Search'!H13,0),0)</f>
        <v/>
      </c>
      <c r="AD488" s="64">
        <f>IF('Smart Search'!F13=1,IFERROR(1/'Smart Search'!H13,0),0)</f>
        <v/>
      </c>
      <c r="AE488" s="64">
        <f>IF('Smart Search'!F13=1,IFERROR(1/'Smart Search'!H13,0),0)</f>
        <v/>
      </c>
      <c r="AF488" s="64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4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4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4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4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4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4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4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4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4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4">
        <f>AF488*V488</f>
        <v/>
      </c>
      <c r="AQ488" s="64">
        <f>AG488*W488</f>
        <v/>
      </c>
      <c r="AR488" s="64">
        <f>AH488*X488</f>
        <v/>
      </c>
      <c r="AS488" s="64">
        <f>AI488*Y488</f>
        <v/>
      </c>
      <c r="AT488" s="64">
        <f>AJ488*Z488</f>
        <v/>
      </c>
      <c r="AU488" s="64">
        <f>AK488*AA488</f>
        <v/>
      </c>
      <c r="AV488" s="64">
        <f>AL488*AB488</f>
        <v/>
      </c>
      <c r="AW488" s="64">
        <f>AM488*AC488</f>
        <v/>
      </c>
      <c r="AX488" s="64">
        <f>AN488*AD488</f>
        <v/>
      </c>
      <c r="AY488" s="64">
        <f>AO488*AE488</f>
        <v/>
      </c>
      <c r="AZ488" s="64">
        <f>INDEX(Projects[Automation Equipment],487)&amp;""</f>
        <v/>
      </c>
      <c r="BA488" s="64">
        <f>IF(OR(A488="",'Smart Search'!H13=0),"",MAX(0,BE488*BF488*MAX(0,1-BG488)))</f>
        <v/>
      </c>
      <c r="BB488" s="64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4">
        <f>IF('Smart Search'!G13=1,IFERROR(1/'Smart Search'!H13,0),0)</f>
        <v/>
      </c>
      <c r="BD488" s="64">
        <f>BB488*BC488</f>
        <v/>
      </c>
      <c r="BE488" s="64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IF(A488="","",N(INDEX(Projects[Act Mech Inst],487)))</f>
        <v/>
      </c>
      <c r="BK488" s="5">
        <f>IF(A488="","",N(INDEX(Projects[Act Elec Inst],487)))</f>
        <v/>
      </c>
      <c r="BL488" s="5">
        <f>IF(A488="","",N(INDEX(Projects[Act Project Management],487)))</f>
        <v/>
      </c>
      <c r="BM488" s="5">
        <f>IF(A488="","",N(INDEX(Projects[Act Systems Eng],487)))</f>
        <v/>
      </c>
      <c r="BN488" s="5">
        <f>IF(A488="","",N(INDEX(Projects[Act Mechanical Eng],487)))</f>
        <v/>
      </c>
      <c r="BO488" s="5">
        <f>IF(A488="","",N(INDEX(Projects[Act Structural Engineering],487)))</f>
        <v/>
      </c>
      <c r="BP488" s="5">
        <f>IF(A488="","",N(INDEX(Projects[Act Site Sup],487)))</f>
        <v/>
      </c>
      <c r="BQ488" s="5">
        <f>IF(A488="","",N(INDEX(Projects[Act Controls Commissioning],487)))</f>
        <v/>
      </c>
      <c r="BR488" s="5">
        <f>IF(A488="","",N(INDEX(Projects[Act Systems Commissioning],487)))</f>
        <v/>
      </c>
      <c r="BS488" s="5">
        <f>IF(A488="","",N(INDEX(Projects[Act Service Commissioning],487)))</f>
        <v/>
      </c>
      <c r="BT488" s="5">
        <f>IF(A488="","",N(INDEX(Projects[Act Controls Eng],487)))</f>
        <v/>
      </c>
      <c r="BU488" s="5">
        <f>IF(A488="","",N(INDEX(Projects[Act Controls Purchase],487)))</f>
        <v/>
      </c>
      <c r="BV488" s="5">
        <f>IF(A488="","",N(INDEX(Projects[Act Software Eng],487)))</f>
        <v/>
      </c>
      <c r="BW488" s="5">
        <f>IF(A488="","",N(INDEX(Projects[Act 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INDEX(Projects[Sold Value (USD M)],487)</f>
        <v/>
      </c>
      <c r="CE488" s="5" t="n"/>
      <c r="CF488" s="5">
        <f>IF(A488="","",N(INDEX(Projects[Est Mech Inst],487)))</f>
        <v/>
      </c>
      <c r="CG488" s="5">
        <f>IF(A488="","",N(INDEX(Projects[Est Elec Inst],487)))</f>
        <v/>
      </c>
      <c r="CH488" s="5">
        <f>IF(A488="","",N(INDEX(Projects[Est Project Management],487)))</f>
        <v/>
      </c>
      <c r="CI488" s="5">
        <f>IF(A488="","",N(INDEX(Projects[Est Systems Eng],487)))</f>
        <v/>
      </c>
      <c r="CJ488" s="5">
        <f>IF(A488="","",N(INDEX(Projects[Est Mechanical Eng],487)))</f>
        <v/>
      </c>
      <c r="CK488" s="5">
        <f>IF(A488="","",N(INDEX(Projects[Est Structural Engineering],487)))</f>
        <v/>
      </c>
      <c r="CL488" s="5">
        <f>IF(A488="","",N(INDEX(Projects[Est Site Sup],487)))</f>
        <v/>
      </c>
      <c r="CM488" s="5">
        <f>IF(A488="","",N(INDEX(Projects[Est Controls Commissioning],487)))</f>
        <v/>
      </c>
      <c r="CN488" s="5">
        <f>IF(A488="","",N(INDEX(Projects[Est Systems Commissioning],487)))</f>
        <v/>
      </c>
      <c r="CO488" s="5">
        <f>IF(A488="","",N(INDEX(Projects[Est Service Commissioning],487)))</f>
        <v/>
      </c>
      <c r="CP488" s="5">
        <f>IF(A488="","",N(INDEX(Projects[Est Controls Eng],487)))</f>
        <v/>
      </c>
      <c r="CQ488" s="5">
        <f>IF(A488="","",N(INDEX(Projects[Est Controls Purchase],487)))</f>
        <v/>
      </c>
      <c r="CR488" s="5">
        <f>IF(A488="","",N(INDEX(Projects[Est Software Eng],487)))</f>
        <v/>
      </c>
      <c r="CS488" s="5">
        <f>IF(A488="","",N(INDEX(Projects[Est Misc],487)))</f>
        <v/>
      </c>
      <c r="CT488" s="5">
        <f>IF(A488="","",SUM(CF488:CS488))</f>
        <v/>
      </c>
      <c r="CU488" s="5">
        <f>INDEX(Projects[Est Cost (M)],487)</f>
        <v/>
      </c>
      <c r="CV488" s="5">
        <f>INDEX(Projects[Act Cost (M)],487)</f>
        <v/>
      </c>
      <c r="CW488" s="5">
        <f>INDEX(Projects[Plan Mech Eng (wks)],487)</f>
        <v/>
      </c>
      <c r="CX488" s="5">
        <f>INDEX(Projects[Plan Controls Eng (wks)],487)</f>
        <v/>
      </c>
      <c r="CY488" s="5">
        <f>INDEX(Projects[Plan Systems Eng (wks)],487)</f>
        <v/>
      </c>
      <c r="CZ488" s="5">
        <f>INDEX(Projects[Plan Software Eng (wks)],487)</f>
        <v/>
      </c>
      <c r="DA488" s="5">
        <f>INDEX(Projects[Plan M&amp;E Installation (wks)],487)</f>
        <v/>
      </c>
      <c r="DB488" s="5">
        <f>INDEX(Projects[Plan Commissioning (wks)],487)</f>
        <v/>
      </c>
      <c r="DC488" s="5">
        <f>INDEX(Projects[Plan Total (wks)],487)</f>
        <v/>
      </c>
      <c r="DD488" s="5">
        <f>INDEX(Projects[Act Mech Eng (wks)],487)</f>
        <v/>
      </c>
      <c r="DE488" s="5">
        <f>INDEX(Projects[Act Controls Eng (wks)],487)</f>
        <v/>
      </c>
      <c r="DF488" s="5">
        <f>INDEX(Projects[Act Systems Eng (wks)],487)</f>
        <v/>
      </c>
      <c r="DG488" s="5">
        <f>INDEX(Projects[Act Software Eng (wks)],487)</f>
        <v/>
      </c>
      <c r="DH488" s="5">
        <f>INDEX(Projects[Act M&amp;E Installation (wks)],487)</f>
        <v/>
      </c>
      <c r="DI488" s="5">
        <f>INDEX(Projects[Act Commissioning (wks)],487)</f>
        <v/>
      </c>
      <c r="DJ488" s="5">
        <f>INDEX(Projects[Act Total (wks)],487)</f>
        <v/>
      </c>
    </row>
    <row r="489" ht="15" customHeight="1" s="82">
      <c r="A489" s="64">
        <f>INDEX(Projects[Project ID *],488)&amp;""</f>
        <v/>
      </c>
      <c r="B489" s="64">
        <f>INDEX(Projects[Project Name *],488)&amp;""</f>
        <v/>
      </c>
      <c r="C489" s="64">
        <f>INDEX(Projects[MS Shuttles],488)</f>
        <v/>
      </c>
      <c r="D489" s="64">
        <f>INDEX(Projects[MS Tote Locations],488)</f>
        <v/>
      </c>
      <c r="E489" s="64">
        <f>INDEX(Projects[AS Robots],488)</f>
        <v/>
      </c>
      <c r="F489" s="64">
        <f>INDEX(Projects[AS Tote Locations],488)</f>
        <v/>
      </c>
      <c r="G489" s="64">
        <f>INDEX(Projects[PS Shuttles],488)</f>
        <v/>
      </c>
      <c r="H489" s="64">
        <f>INDEX(Projects[PS Pallet Locations],488)</f>
        <v/>
      </c>
      <c r="I489" s="64">
        <f>INDEX(Projects[SRM Cranes],488)</f>
        <v/>
      </c>
      <c r="J489" s="64">
        <f>INDEX(Projects[SRM Pallet Locations],488)</f>
        <v/>
      </c>
      <c r="K489" s="64">
        <f>INDEX(Projects[Case Conv (m)],488)</f>
        <v/>
      </c>
      <c r="L489" s="64">
        <f>INDEX(Projects[Pallet Conv (m)],488)</f>
        <v/>
      </c>
      <c r="M489" s="64">
        <f>IF(N(DJ489)&gt;0,DD489,CW489)</f>
        <v/>
      </c>
      <c r="N489" s="64">
        <f>IF(N(DJ489)&gt;0,DE489,CX489)</f>
        <v/>
      </c>
      <c r="O489" s="64">
        <f>IF(N(DJ489)&gt;0,DF489,CY489)</f>
        <v/>
      </c>
      <c r="P489" s="64">
        <f>IF(N(DJ489)&gt;0,DG489,CZ489)</f>
        <v/>
      </c>
      <c r="Q489" s="64">
        <f>IF(N(DJ489)&gt;0,DH489,DA489)</f>
        <v/>
      </c>
      <c r="R489" s="64">
        <f>IF(N(DJ489)&gt;0,DI489,DB489)</f>
        <v/>
      </c>
      <c r="S489" s="64">
        <f>IF(N(DJ489)&gt;0,DJ489,DC489)</f>
        <v/>
      </c>
      <c r="T489" s="64">
        <f>INDEX(Projects[Currency],488)&amp;""</f>
        <v/>
      </c>
      <c r="U489" s="65">
        <f>INDEX(Projects[Sold Value (M)],488)</f>
        <v/>
      </c>
      <c r="V489" s="64">
        <f>IF('Smart Search'!B13=1,IFERROR(1/'Smart Search'!H13,0),0)</f>
        <v/>
      </c>
      <c r="W489" s="64">
        <f>IF('Smart Search'!B13=1,IFERROR(1/'Smart Search'!H13,0),0)</f>
        <v/>
      </c>
      <c r="X489" s="64">
        <f>IF('Smart Search'!C13=1,IFERROR(1/'Smart Search'!H13,0),0)</f>
        <v/>
      </c>
      <c r="Y489" s="64">
        <f>IF('Smart Search'!C13=1,IFERROR(1/'Smart Search'!H13,0),0)</f>
        <v/>
      </c>
      <c r="Z489" s="64">
        <f>IF('Smart Search'!D13=1,IFERROR(1/'Smart Search'!H13,0),0)</f>
        <v/>
      </c>
      <c r="AA489" s="64">
        <f>IF('Smart Search'!D13=1,IFERROR(1/'Smart Search'!H13,0),0)</f>
        <v/>
      </c>
      <c r="AB489" s="64">
        <f>IF('Smart Search'!E13=1,IFERROR(1/'Smart Search'!H13,0),0)</f>
        <v/>
      </c>
      <c r="AC489" s="64">
        <f>IF('Smart Search'!E13=1,IFERROR(1/'Smart Search'!H13,0),0)</f>
        <v/>
      </c>
      <c r="AD489" s="64">
        <f>IF('Smart Search'!F13=1,IFERROR(1/'Smart Search'!H13,0),0)</f>
        <v/>
      </c>
      <c r="AE489" s="64">
        <f>IF('Smart Search'!F13=1,IFERROR(1/'Smart Search'!H13,0),0)</f>
        <v/>
      </c>
      <c r="AF489" s="64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4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4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4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4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4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4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4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4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4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4">
        <f>AF489*V489</f>
        <v/>
      </c>
      <c r="AQ489" s="64">
        <f>AG489*W489</f>
        <v/>
      </c>
      <c r="AR489" s="64">
        <f>AH489*X489</f>
        <v/>
      </c>
      <c r="AS489" s="64">
        <f>AI489*Y489</f>
        <v/>
      </c>
      <c r="AT489" s="64">
        <f>AJ489*Z489</f>
        <v/>
      </c>
      <c r="AU489" s="64">
        <f>AK489*AA489</f>
        <v/>
      </c>
      <c r="AV489" s="64">
        <f>AL489*AB489</f>
        <v/>
      </c>
      <c r="AW489" s="64">
        <f>AM489*AC489</f>
        <v/>
      </c>
      <c r="AX489" s="64">
        <f>AN489*AD489</f>
        <v/>
      </c>
      <c r="AY489" s="64">
        <f>AO489*AE489</f>
        <v/>
      </c>
      <c r="AZ489" s="64">
        <f>INDEX(Projects[Automation Equipment],488)&amp;""</f>
        <v/>
      </c>
      <c r="BA489" s="64">
        <f>IF(OR(A489="",'Smart Search'!H13=0),"",MAX(0,BE489*BF489*MAX(0,1-BG489)))</f>
        <v/>
      </c>
      <c r="BB489" s="64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4">
        <f>IF('Smart Search'!G13=1,IFERROR(1/'Smart Search'!H13,0),0)</f>
        <v/>
      </c>
      <c r="BD489" s="64">
        <f>BB489*BC489</f>
        <v/>
      </c>
      <c r="BE489" s="64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IF(A489="","",N(INDEX(Projects[Act Mech Inst],488)))</f>
        <v/>
      </c>
      <c r="BK489" s="5">
        <f>IF(A489="","",N(INDEX(Projects[Act Elec Inst],488)))</f>
        <v/>
      </c>
      <c r="BL489" s="5">
        <f>IF(A489="","",N(INDEX(Projects[Act Project Management],488)))</f>
        <v/>
      </c>
      <c r="BM489" s="5">
        <f>IF(A489="","",N(INDEX(Projects[Act Systems Eng],488)))</f>
        <v/>
      </c>
      <c r="BN489" s="5">
        <f>IF(A489="","",N(INDEX(Projects[Act Mechanical Eng],488)))</f>
        <v/>
      </c>
      <c r="BO489" s="5">
        <f>IF(A489="","",N(INDEX(Projects[Act Structural Engineering],488)))</f>
        <v/>
      </c>
      <c r="BP489" s="5">
        <f>IF(A489="","",N(INDEX(Projects[Act Site Sup],488)))</f>
        <v/>
      </c>
      <c r="BQ489" s="5">
        <f>IF(A489="","",N(INDEX(Projects[Act Controls Commissioning],488)))</f>
        <v/>
      </c>
      <c r="BR489" s="5">
        <f>IF(A489="","",N(INDEX(Projects[Act Systems Commissioning],488)))</f>
        <v/>
      </c>
      <c r="BS489" s="5">
        <f>IF(A489="","",N(INDEX(Projects[Act Service Commissioning],488)))</f>
        <v/>
      </c>
      <c r="BT489" s="5">
        <f>IF(A489="","",N(INDEX(Projects[Act Controls Eng],488)))</f>
        <v/>
      </c>
      <c r="BU489" s="5">
        <f>IF(A489="","",N(INDEX(Projects[Act Controls Purchase],488)))</f>
        <v/>
      </c>
      <c r="BV489" s="5">
        <f>IF(A489="","",N(INDEX(Projects[Act Software Eng],488)))</f>
        <v/>
      </c>
      <c r="BW489" s="5">
        <f>IF(A489="","",N(INDEX(Projects[Act 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INDEX(Projects[Sold Value (USD M)],488)</f>
        <v/>
      </c>
      <c r="CE489" s="5" t="n"/>
      <c r="CF489" s="5">
        <f>IF(A489="","",N(INDEX(Projects[Est Mech Inst],488)))</f>
        <v/>
      </c>
      <c r="CG489" s="5">
        <f>IF(A489="","",N(INDEX(Projects[Est Elec Inst],488)))</f>
        <v/>
      </c>
      <c r="CH489" s="5">
        <f>IF(A489="","",N(INDEX(Projects[Est Project Management],488)))</f>
        <v/>
      </c>
      <c r="CI489" s="5">
        <f>IF(A489="","",N(INDEX(Projects[Est Systems Eng],488)))</f>
        <v/>
      </c>
      <c r="CJ489" s="5">
        <f>IF(A489="","",N(INDEX(Projects[Est Mechanical Eng],488)))</f>
        <v/>
      </c>
      <c r="CK489" s="5">
        <f>IF(A489="","",N(INDEX(Projects[Est Structural Engineering],488)))</f>
        <v/>
      </c>
      <c r="CL489" s="5">
        <f>IF(A489="","",N(INDEX(Projects[Est Site Sup],488)))</f>
        <v/>
      </c>
      <c r="CM489" s="5">
        <f>IF(A489="","",N(INDEX(Projects[Est Controls Commissioning],488)))</f>
        <v/>
      </c>
      <c r="CN489" s="5">
        <f>IF(A489="","",N(INDEX(Projects[Est Systems Commissioning],488)))</f>
        <v/>
      </c>
      <c r="CO489" s="5">
        <f>IF(A489="","",N(INDEX(Projects[Est Service Commissioning],488)))</f>
        <v/>
      </c>
      <c r="CP489" s="5">
        <f>IF(A489="","",N(INDEX(Projects[Est Controls Eng],488)))</f>
        <v/>
      </c>
      <c r="CQ489" s="5">
        <f>IF(A489="","",N(INDEX(Projects[Est Controls Purchase],488)))</f>
        <v/>
      </c>
      <c r="CR489" s="5">
        <f>IF(A489="","",N(INDEX(Projects[Est Software Eng],488)))</f>
        <v/>
      </c>
      <c r="CS489" s="5">
        <f>IF(A489="","",N(INDEX(Projects[Est Misc],488)))</f>
        <v/>
      </c>
      <c r="CT489" s="5">
        <f>IF(A489="","",SUM(CF489:CS489))</f>
        <v/>
      </c>
      <c r="CU489" s="5">
        <f>INDEX(Projects[Est Cost (M)],488)</f>
        <v/>
      </c>
      <c r="CV489" s="5">
        <f>INDEX(Projects[Act Cost (M)],488)</f>
        <v/>
      </c>
      <c r="CW489" s="5">
        <f>INDEX(Projects[Plan Mech Eng (wks)],488)</f>
        <v/>
      </c>
      <c r="CX489" s="5">
        <f>INDEX(Projects[Plan Controls Eng (wks)],488)</f>
        <v/>
      </c>
      <c r="CY489" s="5">
        <f>INDEX(Projects[Plan Systems Eng (wks)],488)</f>
        <v/>
      </c>
      <c r="CZ489" s="5">
        <f>INDEX(Projects[Plan Software Eng (wks)],488)</f>
        <v/>
      </c>
      <c r="DA489" s="5">
        <f>INDEX(Projects[Plan M&amp;E Installation (wks)],488)</f>
        <v/>
      </c>
      <c r="DB489" s="5">
        <f>INDEX(Projects[Plan Commissioning (wks)],488)</f>
        <v/>
      </c>
      <c r="DC489" s="5">
        <f>INDEX(Projects[Plan Total (wks)],488)</f>
        <v/>
      </c>
      <c r="DD489" s="5">
        <f>INDEX(Projects[Act Mech Eng (wks)],488)</f>
        <v/>
      </c>
      <c r="DE489" s="5">
        <f>INDEX(Projects[Act Controls Eng (wks)],488)</f>
        <v/>
      </c>
      <c r="DF489" s="5">
        <f>INDEX(Projects[Act Systems Eng (wks)],488)</f>
        <v/>
      </c>
      <c r="DG489" s="5">
        <f>INDEX(Projects[Act Software Eng (wks)],488)</f>
        <v/>
      </c>
      <c r="DH489" s="5">
        <f>INDEX(Projects[Act M&amp;E Installation (wks)],488)</f>
        <v/>
      </c>
      <c r="DI489" s="5">
        <f>INDEX(Projects[Act Commissioning (wks)],488)</f>
        <v/>
      </c>
      <c r="DJ489" s="5">
        <f>INDEX(Projects[Act Total (wks)],488)</f>
        <v/>
      </c>
    </row>
    <row r="490" ht="15" customHeight="1" s="82">
      <c r="A490" s="64">
        <f>INDEX(Projects[Project ID *],489)&amp;""</f>
        <v/>
      </c>
      <c r="B490" s="64">
        <f>INDEX(Projects[Project Name *],489)&amp;""</f>
        <v/>
      </c>
      <c r="C490" s="64">
        <f>INDEX(Projects[MS Shuttles],489)</f>
        <v/>
      </c>
      <c r="D490" s="64">
        <f>INDEX(Projects[MS Tote Locations],489)</f>
        <v/>
      </c>
      <c r="E490" s="64">
        <f>INDEX(Projects[AS Robots],489)</f>
        <v/>
      </c>
      <c r="F490" s="64">
        <f>INDEX(Projects[AS Tote Locations],489)</f>
        <v/>
      </c>
      <c r="G490" s="64">
        <f>INDEX(Projects[PS Shuttles],489)</f>
        <v/>
      </c>
      <c r="H490" s="64">
        <f>INDEX(Projects[PS Pallet Locations],489)</f>
        <v/>
      </c>
      <c r="I490" s="64">
        <f>INDEX(Projects[SRM Cranes],489)</f>
        <v/>
      </c>
      <c r="J490" s="64">
        <f>INDEX(Projects[SRM Pallet Locations],489)</f>
        <v/>
      </c>
      <c r="K490" s="64">
        <f>INDEX(Projects[Case Conv (m)],489)</f>
        <v/>
      </c>
      <c r="L490" s="64">
        <f>INDEX(Projects[Pallet Conv (m)],489)</f>
        <v/>
      </c>
      <c r="M490" s="64">
        <f>IF(N(DJ490)&gt;0,DD490,CW490)</f>
        <v/>
      </c>
      <c r="N490" s="64">
        <f>IF(N(DJ490)&gt;0,DE490,CX490)</f>
        <v/>
      </c>
      <c r="O490" s="64">
        <f>IF(N(DJ490)&gt;0,DF490,CY490)</f>
        <v/>
      </c>
      <c r="P490" s="64">
        <f>IF(N(DJ490)&gt;0,DG490,CZ490)</f>
        <v/>
      </c>
      <c r="Q490" s="64">
        <f>IF(N(DJ490)&gt;0,DH490,DA490)</f>
        <v/>
      </c>
      <c r="R490" s="64">
        <f>IF(N(DJ490)&gt;0,DI490,DB490)</f>
        <v/>
      </c>
      <c r="S490" s="64">
        <f>IF(N(DJ490)&gt;0,DJ490,DC490)</f>
        <v/>
      </c>
      <c r="T490" s="64">
        <f>INDEX(Projects[Currency],489)&amp;""</f>
        <v/>
      </c>
      <c r="U490" s="65">
        <f>INDEX(Projects[Sold Value (M)],489)</f>
        <v/>
      </c>
      <c r="V490" s="64">
        <f>IF('Smart Search'!B13=1,IFERROR(1/'Smart Search'!H13,0),0)</f>
        <v/>
      </c>
      <c r="W490" s="64">
        <f>IF('Smart Search'!B13=1,IFERROR(1/'Smart Search'!H13,0),0)</f>
        <v/>
      </c>
      <c r="X490" s="64">
        <f>IF('Smart Search'!C13=1,IFERROR(1/'Smart Search'!H13,0),0)</f>
        <v/>
      </c>
      <c r="Y490" s="64">
        <f>IF('Smart Search'!C13=1,IFERROR(1/'Smart Search'!H13,0),0)</f>
        <v/>
      </c>
      <c r="Z490" s="64">
        <f>IF('Smart Search'!D13=1,IFERROR(1/'Smart Search'!H13,0),0)</f>
        <v/>
      </c>
      <c r="AA490" s="64">
        <f>IF('Smart Search'!D13=1,IFERROR(1/'Smart Search'!H13,0),0)</f>
        <v/>
      </c>
      <c r="AB490" s="64">
        <f>IF('Smart Search'!E13=1,IFERROR(1/'Smart Search'!H13,0),0)</f>
        <v/>
      </c>
      <c r="AC490" s="64">
        <f>IF('Smart Search'!E13=1,IFERROR(1/'Smart Search'!H13,0),0)</f>
        <v/>
      </c>
      <c r="AD490" s="64">
        <f>IF('Smart Search'!F13=1,IFERROR(1/'Smart Search'!H13,0),0)</f>
        <v/>
      </c>
      <c r="AE490" s="64">
        <f>IF('Smart Search'!F13=1,IFERROR(1/'Smart Search'!H13,0),0)</f>
        <v/>
      </c>
      <c r="AF490" s="64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4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4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4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4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4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4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4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4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4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4">
        <f>AF490*V490</f>
        <v/>
      </c>
      <c r="AQ490" s="64">
        <f>AG490*W490</f>
        <v/>
      </c>
      <c r="AR490" s="64">
        <f>AH490*X490</f>
        <v/>
      </c>
      <c r="AS490" s="64">
        <f>AI490*Y490</f>
        <v/>
      </c>
      <c r="AT490" s="64">
        <f>AJ490*Z490</f>
        <v/>
      </c>
      <c r="AU490" s="64">
        <f>AK490*AA490</f>
        <v/>
      </c>
      <c r="AV490" s="64">
        <f>AL490*AB490</f>
        <v/>
      </c>
      <c r="AW490" s="64">
        <f>AM490*AC490</f>
        <v/>
      </c>
      <c r="AX490" s="64">
        <f>AN490*AD490</f>
        <v/>
      </c>
      <c r="AY490" s="64">
        <f>AO490*AE490</f>
        <v/>
      </c>
      <c r="AZ490" s="64">
        <f>INDEX(Projects[Automation Equipment],489)&amp;""</f>
        <v/>
      </c>
      <c r="BA490" s="64">
        <f>IF(OR(A490="",'Smart Search'!H13=0),"",MAX(0,BE490*BF490*MAX(0,1-BG490)))</f>
        <v/>
      </c>
      <c r="BB490" s="64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4">
        <f>IF('Smart Search'!G13=1,IFERROR(1/'Smart Search'!H13,0),0)</f>
        <v/>
      </c>
      <c r="BD490" s="64">
        <f>BB490*BC490</f>
        <v/>
      </c>
      <c r="BE490" s="64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IF(A490="","",N(INDEX(Projects[Act Mech Inst],489)))</f>
        <v/>
      </c>
      <c r="BK490" s="5">
        <f>IF(A490="","",N(INDEX(Projects[Act Elec Inst],489)))</f>
        <v/>
      </c>
      <c r="BL490" s="5">
        <f>IF(A490="","",N(INDEX(Projects[Act Project Management],489)))</f>
        <v/>
      </c>
      <c r="BM490" s="5">
        <f>IF(A490="","",N(INDEX(Projects[Act Systems Eng],489)))</f>
        <v/>
      </c>
      <c r="BN490" s="5">
        <f>IF(A490="","",N(INDEX(Projects[Act Mechanical Eng],489)))</f>
        <v/>
      </c>
      <c r="BO490" s="5">
        <f>IF(A490="","",N(INDEX(Projects[Act Structural Engineering],489)))</f>
        <v/>
      </c>
      <c r="BP490" s="5">
        <f>IF(A490="","",N(INDEX(Projects[Act Site Sup],489)))</f>
        <v/>
      </c>
      <c r="BQ490" s="5">
        <f>IF(A490="","",N(INDEX(Projects[Act Controls Commissioning],489)))</f>
        <v/>
      </c>
      <c r="BR490" s="5">
        <f>IF(A490="","",N(INDEX(Projects[Act Systems Commissioning],489)))</f>
        <v/>
      </c>
      <c r="BS490" s="5">
        <f>IF(A490="","",N(INDEX(Projects[Act Service Commissioning],489)))</f>
        <v/>
      </c>
      <c r="BT490" s="5">
        <f>IF(A490="","",N(INDEX(Projects[Act Controls Eng],489)))</f>
        <v/>
      </c>
      <c r="BU490" s="5">
        <f>IF(A490="","",N(INDEX(Projects[Act Controls Purchase],489)))</f>
        <v/>
      </c>
      <c r="BV490" s="5">
        <f>IF(A490="","",N(INDEX(Projects[Act Software Eng],489)))</f>
        <v/>
      </c>
      <c r="BW490" s="5">
        <f>IF(A490="","",N(INDEX(Projects[Act 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INDEX(Projects[Sold Value (USD M)],489)</f>
        <v/>
      </c>
      <c r="CE490" s="5" t="n"/>
      <c r="CF490" s="5">
        <f>IF(A490="","",N(INDEX(Projects[Est Mech Inst],489)))</f>
        <v/>
      </c>
      <c r="CG490" s="5">
        <f>IF(A490="","",N(INDEX(Projects[Est Elec Inst],489)))</f>
        <v/>
      </c>
      <c r="CH490" s="5">
        <f>IF(A490="","",N(INDEX(Projects[Est Project Management],489)))</f>
        <v/>
      </c>
      <c r="CI490" s="5">
        <f>IF(A490="","",N(INDEX(Projects[Est Systems Eng],489)))</f>
        <v/>
      </c>
      <c r="CJ490" s="5">
        <f>IF(A490="","",N(INDEX(Projects[Est Mechanical Eng],489)))</f>
        <v/>
      </c>
      <c r="CK490" s="5">
        <f>IF(A490="","",N(INDEX(Projects[Est Structural Engineering],489)))</f>
        <v/>
      </c>
      <c r="CL490" s="5">
        <f>IF(A490="","",N(INDEX(Projects[Est Site Sup],489)))</f>
        <v/>
      </c>
      <c r="CM490" s="5">
        <f>IF(A490="","",N(INDEX(Projects[Est Controls Commissioning],489)))</f>
        <v/>
      </c>
      <c r="CN490" s="5">
        <f>IF(A490="","",N(INDEX(Projects[Est Systems Commissioning],489)))</f>
        <v/>
      </c>
      <c r="CO490" s="5">
        <f>IF(A490="","",N(INDEX(Projects[Est Service Commissioning],489)))</f>
        <v/>
      </c>
      <c r="CP490" s="5">
        <f>IF(A490="","",N(INDEX(Projects[Est Controls Eng],489)))</f>
        <v/>
      </c>
      <c r="CQ490" s="5">
        <f>IF(A490="","",N(INDEX(Projects[Est Controls Purchase],489)))</f>
        <v/>
      </c>
      <c r="CR490" s="5">
        <f>IF(A490="","",N(INDEX(Projects[Est Software Eng],489)))</f>
        <v/>
      </c>
      <c r="CS490" s="5">
        <f>IF(A490="","",N(INDEX(Projects[Est Misc],489)))</f>
        <v/>
      </c>
      <c r="CT490" s="5">
        <f>IF(A490="","",SUM(CF490:CS490))</f>
        <v/>
      </c>
      <c r="CU490" s="5">
        <f>INDEX(Projects[Est Cost (M)],489)</f>
        <v/>
      </c>
      <c r="CV490" s="5">
        <f>INDEX(Projects[Act Cost (M)],489)</f>
        <v/>
      </c>
      <c r="CW490" s="5">
        <f>INDEX(Projects[Plan Mech Eng (wks)],489)</f>
        <v/>
      </c>
      <c r="CX490" s="5">
        <f>INDEX(Projects[Plan Controls Eng (wks)],489)</f>
        <v/>
      </c>
      <c r="CY490" s="5">
        <f>INDEX(Projects[Plan Systems Eng (wks)],489)</f>
        <v/>
      </c>
      <c r="CZ490" s="5">
        <f>INDEX(Projects[Plan Software Eng (wks)],489)</f>
        <v/>
      </c>
      <c r="DA490" s="5">
        <f>INDEX(Projects[Plan M&amp;E Installation (wks)],489)</f>
        <v/>
      </c>
      <c r="DB490" s="5">
        <f>INDEX(Projects[Plan Commissioning (wks)],489)</f>
        <v/>
      </c>
      <c r="DC490" s="5">
        <f>INDEX(Projects[Plan Total (wks)],489)</f>
        <v/>
      </c>
      <c r="DD490" s="5">
        <f>INDEX(Projects[Act Mech Eng (wks)],489)</f>
        <v/>
      </c>
      <c r="DE490" s="5">
        <f>INDEX(Projects[Act Controls Eng (wks)],489)</f>
        <v/>
      </c>
      <c r="DF490" s="5">
        <f>INDEX(Projects[Act Systems Eng (wks)],489)</f>
        <v/>
      </c>
      <c r="DG490" s="5">
        <f>INDEX(Projects[Act Software Eng (wks)],489)</f>
        <v/>
      </c>
      <c r="DH490" s="5">
        <f>INDEX(Projects[Act M&amp;E Installation (wks)],489)</f>
        <v/>
      </c>
      <c r="DI490" s="5">
        <f>INDEX(Projects[Act Commissioning (wks)],489)</f>
        <v/>
      </c>
      <c r="DJ490" s="5">
        <f>INDEX(Projects[Act Total (wks)],489)</f>
        <v/>
      </c>
    </row>
    <row r="491" ht="15" customHeight="1" s="82">
      <c r="A491" s="64">
        <f>INDEX(Projects[Project ID *],490)&amp;""</f>
        <v/>
      </c>
      <c r="B491" s="64">
        <f>INDEX(Projects[Project Name *],490)&amp;""</f>
        <v/>
      </c>
      <c r="C491" s="64">
        <f>INDEX(Projects[MS Shuttles],490)</f>
        <v/>
      </c>
      <c r="D491" s="64">
        <f>INDEX(Projects[MS Tote Locations],490)</f>
        <v/>
      </c>
      <c r="E491" s="64">
        <f>INDEX(Projects[AS Robots],490)</f>
        <v/>
      </c>
      <c r="F491" s="64">
        <f>INDEX(Projects[AS Tote Locations],490)</f>
        <v/>
      </c>
      <c r="G491" s="64">
        <f>INDEX(Projects[PS Shuttles],490)</f>
        <v/>
      </c>
      <c r="H491" s="64">
        <f>INDEX(Projects[PS Pallet Locations],490)</f>
        <v/>
      </c>
      <c r="I491" s="64">
        <f>INDEX(Projects[SRM Cranes],490)</f>
        <v/>
      </c>
      <c r="J491" s="64">
        <f>INDEX(Projects[SRM Pallet Locations],490)</f>
        <v/>
      </c>
      <c r="K491" s="64">
        <f>INDEX(Projects[Case Conv (m)],490)</f>
        <v/>
      </c>
      <c r="L491" s="64">
        <f>INDEX(Projects[Pallet Conv (m)],490)</f>
        <v/>
      </c>
      <c r="M491" s="64">
        <f>IF(N(DJ491)&gt;0,DD491,CW491)</f>
        <v/>
      </c>
      <c r="N491" s="64">
        <f>IF(N(DJ491)&gt;0,DE491,CX491)</f>
        <v/>
      </c>
      <c r="O491" s="64">
        <f>IF(N(DJ491)&gt;0,DF491,CY491)</f>
        <v/>
      </c>
      <c r="P491" s="64">
        <f>IF(N(DJ491)&gt;0,DG491,CZ491)</f>
        <v/>
      </c>
      <c r="Q491" s="64">
        <f>IF(N(DJ491)&gt;0,DH491,DA491)</f>
        <v/>
      </c>
      <c r="R491" s="64">
        <f>IF(N(DJ491)&gt;0,DI491,DB491)</f>
        <v/>
      </c>
      <c r="S491" s="64">
        <f>IF(N(DJ491)&gt;0,DJ491,DC491)</f>
        <v/>
      </c>
      <c r="T491" s="64">
        <f>INDEX(Projects[Currency],490)&amp;""</f>
        <v/>
      </c>
      <c r="U491" s="65">
        <f>INDEX(Projects[Sold Value (M)],490)</f>
        <v/>
      </c>
      <c r="V491" s="64">
        <f>IF('Smart Search'!B13=1,IFERROR(1/'Smart Search'!H13,0),0)</f>
        <v/>
      </c>
      <c r="W491" s="64">
        <f>IF('Smart Search'!B13=1,IFERROR(1/'Smart Search'!H13,0),0)</f>
        <v/>
      </c>
      <c r="X491" s="64">
        <f>IF('Smart Search'!C13=1,IFERROR(1/'Smart Search'!H13,0),0)</f>
        <v/>
      </c>
      <c r="Y491" s="64">
        <f>IF('Smart Search'!C13=1,IFERROR(1/'Smart Search'!H13,0),0)</f>
        <v/>
      </c>
      <c r="Z491" s="64">
        <f>IF('Smart Search'!D13=1,IFERROR(1/'Smart Search'!H13,0),0)</f>
        <v/>
      </c>
      <c r="AA491" s="64">
        <f>IF('Smart Search'!D13=1,IFERROR(1/'Smart Search'!H13,0),0)</f>
        <v/>
      </c>
      <c r="AB491" s="64">
        <f>IF('Smart Search'!E13=1,IFERROR(1/'Smart Search'!H13,0),0)</f>
        <v/>
      </c>
      <c r="AC491" s="64">
        <f>IF('Smart Search'!E13=1,IFERROR(1/'Smart Search'!H13,0),0)</f>
        <v/>
      </c>
      <c r="AD491" s="64">
        <f>IF('Smart Search'!F13=1,IFERROR(1/'Smart Search'!H13,0),0)</f>
        <v/>
      </c>
      <c r="AE491" s="64">
        <f>IF('Smart Search'!F13=1,IFERROR(1/'Smart Search'!H13,0),0)</f>
        <v/>
      </c>
      <c r="AF491" s="64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4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4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4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4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4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4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4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4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4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4">
        <f>AF491*V491</f>
        <v/>
      </c>
      <c r="AQ491" s="64">
        <f>AG491*W491</f>
        <v/>
      </c>
      <c r="AR491" s="64">
        <f>AH491*X491</f>
        <v/>
      </c>
      <c r="AS491" s="64">
        <f>AI491*Y491</f>
        <v/>
      </c>
      <c r="AT491" s="64">
        <f>AJ491*Z491</f>
        <v/>
      </c>
      <c r="AU491" s="64">
        <f>AK491*AA491</f>
        <v/>
      </c>
      <c r="AV491" s="64">
        <f>AL491*AB491</f>
        <v/>
      </c>
      <c r="AW491" s="64">
        <f>AM491*AC491</f>
        <v/>
      </c>
      <c r="AX491" s="64">
        <f>AN491*AD491</f>
        <v/>
      </c>
      <c r="AY491" s="64">
        <f>AO491*AE491</f>
        <v/>
      </c>
      <c r="AZ491" s="64">
        <f>INDEX(Projects[Automation Equipment],490)&amp;""</f>
        <v/>
      </c>
      <c r="BA491" s="64">
        <f>IF(OR(A491="",'Smart Search'!H13=0),"",MAX(0,BE491*BF491*MAX(0,1-BG491)))</f>
        <v/>
      </c>
      <c r="BB491" s="64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4">
        <f>IF('Smart Search'!G13=1,IFERROR(1/'Smart Search'!H13,0),0)</f>
        <v/>
      </c>
      <c r="BD491" s="64">
        <f>BB491*BC491</f>
        <v/>
      </c>
      <c r="BE491" s="64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IF(A491="","",N(INDEX(Projects[Act Mech Inst],490)))</f>
        <v/>
      </c>
      <c r="BK491" s="5">
        <f>IF(A491="","",N(INDEX(Projects[Act Elec Inst],490)))</f>
        <v/>
      </c>
      <c r="BL491" s="5">
        <f>IF(A491="","",N(INDEX(Projects[Act Project Management],490)))</f>
        <v/>
      </c>
      <c r="BM491" s="5">
        <f>IF(A491="","",N(INDEX(Projects[Act Systems Eng],490)))</f>
        <v/>
      </c>
      <c r="BN491" s="5">
        <f>IF(A491="","",N(INDEX(Projects[Act Mechanical Eng],490)))</f>
        <v/>
      </c>
      <c r="BO491" s="5">
        <f>IF(A491="","",N(INDEX(Projects[Act Structural Engineering],490)))</f>
        <v/>
      </c>
      <c r="BP491" s="5">
        <f>IF(A491="","",N(INDEX(Projects[Act Site Sup],490)))</f>
        <v/>
      </c>
      <c r="BQ491" s="5">
        <f>IF(A491="","",N(INDEX(Projects[Act Controls Commissioning],490)))</f>
        <v/>
      </c>
      <c r="BR491" s="5">
        <f>IF(A491="","",N(INDEX(Projects[Act Systems Commissioning],490)))</f>
        <v/>
      </c>
      <c r="BS491" s="5">
        <f>IF(A491="","",N(INDEX(Projects[Act Service Commissioning],490)))</f>
        <v/>
      </c>
      <c r="BT491" s="5">
        <f>IF(A491="","",N(INDEX(Projects[Act Controls Eng],490)))</f>
        <v/>
      </c>
      <c r="BU491" s="5">
        <f>IF(A491="","",N(INDEX(Projects[Act Controls Purchase],490)))</f>
        <v/>
      </c>
      <c r="BV491" s="5">
        <f>IF(A491="","",N(INDEX(Projects[Act Software Eng],490)))</f>
        <v/>
      </c>
      <c r="BW491" s="5">
        <f>IF(A491="","",N(INDEX(Projects[Act 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INDEX(Projects[Sold Value (USD M)],490)</f>
        <v/>
      </c>
      <c r="CE491" s="5" t="n"/>
      <c r="CF491" s="5">
        <f>IF(A491="","",N(INDEX(Projects[Est Mech Inst],490)))</f>
        <v/>
      </c>
      <c r="CG491" s="5">
        <f>IF(A491="","",N(INDEX(Projects[Est Elec Inst],490)))</f>
        <v/>
      </c>
      <c r="CH491" s="5">
        <f>IF(A491="","",N(INDEX(Projects[Est Project Management],490)))</f>
        <v/>
      </c>
      <c r="CI491" s="5">
        <f>IF(A491="","",N(INDEX(Projects[Est Systems Eng],490)))</f>
        <v/>
      </c>
      <c r="CJ491" s="5">
        <f>IF(A491="","",N(INDEX(Projects[Est Mechanical Eng],490)))</f>
        <v/>
      </c>
      <c r="CK491" s="5">
        <f>IF(A491="","",N(INDEX(Projects[Est Structural Engineering],490)))</f>
        <v/>
      </c>
      <c r="CL491" s="5">
        <f>IF(A491="","",N(INDEX(Projects[Est Site Sup],490)))</f>
        <v/>
      </c>
      <c r="CM491" s="5">
        <f>IF(A491="","",N(INDEX(Projects[Est Controls Commissioning],490)))</f>
        <v/>
      </c>
      <c r="CN491" s="5">
        <f>IF(A491="","",N(INDEX(Projects[Est Systems Commissioning],490)))</f>
        <v/>
      </c>
      <c r="CO491" s="5">
        <f>IF(A491="","",N(INDEX(Projects[Est Service Commissioning],490)))</f>
        <v/>
      </c>
      <c r="CP491" s="5">
        <f>IF(A491="","",N(INDEX(Projects[Est Controls Eng],490)))</f>
        <v/>
      </c>
      <c r="CQ491" s="5">
        <f>IF(A491="","",N(INDEX(Projects[Est Controls Purchase],490)))</f>
        <v/>
      </c>
      <c r="CR491" s="5">
        <f>IF(A491="","",N(INDEX(Projects[Est Software Eng],490)))</f>
        <v/>
      </c>
      <c r="CS491" s="5">
        <f>IF(A491="","",N(INDEX(Projects[Est Misc],490)))</f>
        <v/>
      </c>
      <c r="CT491" s="5">
        <f>IF(A491="","",SUM(CF491:CS491))</f>
        <v/>
      </c>
      <c r="CU491" s="5">
        <f>INDEX(Projects[Est Cost (M)],490)</f>
        <v/>
      </c>
      <c r="CV491" s="5">
        <f>INDEX(Projects[Act Cost (M)],490)</f>
        <v/>
      </c>
      <c r="CW491" s="5">
        <f>INDEX(Projects[Plan Mech Eng (wks)],490)</f>
        <v/>
      </c>
      <c r="CX491" s="5">
        <f>INDEX(Projects[Plan Controls Eng (wks)],490)</f>
        <v/>
      </c>
      <c r="CY491" s="5">
        <f>INDEX(Projects[Plan Systems Eng (wks)],490)</f>
        <v/>
      </c>
      <c r="CZ491" s="5">
        <f>INDEX(Projects[Plan Software Eng (wks)],490)</f>
        <v/>
      </c>
      <c r="DA491" s="5">
        <f>INDEX(Projects[Plan M&amp;E Installation (wks)],490)</f>
        <v/>
      </c>
      <c r="DB491" s="5">
        <f>INDEX(Projects[Plan Commissioning (wks)],490)</f>
        <v/>
      </c>
      <c r="DC491" s="5">
        <f>INDEX(Projects[Plan Total (wks)],490)</f>
        <v/>
      </c>
      <c r="DD491" s="5">
        <f>INDEX(Projects[Act Mech Eng (wks)],490)</f>
        <v/>
      </c>
      <c r="DE491" s="5">
        <f>INDEX(Projects[Act Controls Eng (wks)],490)</f>
        <v/>
      </c>
      <c r="DF491" s="5">
        <f>INDEX(Projects[Act Systems Eng (wks)],490)</f>
        <v/>
      </c>
      <c r="DG491" s="5">
        <f>INDEX(Projects[Act Software Eng (wks)],490)</f>
        <v/>
      </c>
      <c r="DH491" s="5">
        <f>INDEX(Projects[Act M&amp;E Installation (wks)],490)</f>
        <v/>
      </c>
      <c r="DI491" s="5">
        <f>INDEX(Projects[Act Commissioning (wks)],490)</f>
        <v/>
      </c>
      <c r="DJ491" s="5">
        <f>INDEX(Projects[Act Total (wks)],490)</f>
        <v/>
      </c>
    </row>
    <row r="492" ht="15" customHeight="1" s="82">
      <c r="A492" s="64">
        <f>INDEX(Projects[Project ID *],491)&amp;""</f>
        <v/>
      </c>
      <c r="B492" s="64">
        <f>INDEX(Projects[Project Name *],491)&amp;""</f>
        <v/>
      </c>
      <c r="C492" s="64">
        <f>INDEX(Projects[MS Shuttles],491)</f>
        <v/>
      </c>
      <c r="D492" s="64">
        <f>INDEX(Projects[MS Tote Locations],491)</f>
        <v/>
      </c>
      <c r="E492" s="64">
        <f>INDEX(Projects[AS Robots],491)</f>
        <v/>
      </c>
      <c r="F492" s="64">
        <f>INDEX(Projects[AS Tote Locations],491)</f>
        <v/>
      </c>
      <c r="G492" s="64">
        <f>INDEX(Projects[PS Shuttles],491)</f>
        <v/>
      </c>
      <c r="H492" s="64">
        <f>INDEX(Projects[PS Pallet Locations],491)</f>
        <v/>
      </c>
      <c r="I492" s="64">
        <f>INDEX(Projects[SRM Cranes],491)</f>
        <v/>
      </c>
      <c r="J492" s="64">
        <f>INDEX(Projects[SRM Pallet Locations],491)</f>
        <v/>
      </c>
      <c r="K492" s="64">
        <f>INDEX(Projects[Case Conv (m)],491)</f>
        <v/>
      </c>
      <c r="L492" s="64">
        <f>INDEX(Projects[Pallet Conv (m)],491)</f>
        <v/>
      </c>
      <c r="M492" s="64">
        <f>IF(N(DJ492)&gt;0,DD492,CW492)</f>
        <v/>
      </c>
      <c r="N492" s="64">
        <f>IF(N(DJ492)&gt;0,DE492,CX492)</f>
        <v/>
      </c>
      <c r="O492" s="64">
        <f>IF(N(DJ492)&gt;0,DF492,CY492)</f>
        <v/>
      </c>
      <c r="P492" s="64">
        <f>IF(N(DJ492)&gt;0,DG492,CZ492)</f>
        <v/>
      </c>
      <c r="Q492" s="64">
        <f>IF(N(DJ492)&gt;0,DH492,DA492)</f>
        <v/>
      </c>
      <c r="R492" s="64">
        <f>IF(N(DJ492)&gt;0,DI492,DB492)</f>
        <v/>
      </c>
      <c r="S492" s="64">
        <f>IF(N(DJ492)&gt;0,DJ492,DC492)</f>
        <v/>
      </c>
      <c r="T492" s="64">
        <f>INDEX(Projects[Currency],491)&amp;""</f>
        <v/>
      </c>
      <c r="U492" s="65">
        <f>INDEX(Projects[Sold Value (M)],491)</f>
        <v/>
      </c>
      <c r="V492" s="64">
        <f>IF('Smart Search'!B13=1,IFERROR(1/'Smart Search'!H13,0),0)</f>
        <v/>
      </c>
      <c r="W492" s="64">
        <f>IF('Smart Search'!B13=1,IFERROR(1/'Smart Search'!H13,0),0)</f>
        <v/>
      </c>
      <c r="X492" s="64">
        <f>IF('Smart Search'!C13=1,IFERROR(1/'Smart Search'!H13,0),0)</f>
        <v/>
      </c>
      <c r="Y492" s="64">
        <f>IF('Smart Search'!C13=1,IFERROR(1/'Smart Search'!H13,0),0)</f>
        <v/>
      </c>
      <c r="Z492" s="64">
        <f>IF('Smart Search'!D13=1,IFERROR(1/'Smart Search'!H13,0),0)</f>
        <v/>
      </c>
      <c r="AA492" s="64">
        <f>IF('Smart Search'!D13=1,IFERROR(1/'Smart Search'!H13,0),0)</f>
        <v/>
      </c>
      <c r="AB492" s="64">
        <f>IF('Smart Search'!E13=1,IFERROR(1/'Smart Search'!H13,0),0)</f>
        <v/>
      </c>
      <c r="AC492" s="64">
        <f>IF('Smart Search'!E13=1,IFERROR(1/'Smart Search'!H13,0),0)</f>
        <v/>
      </c>
      <c r="AD492" s="64">
        <f>IF('Smart Search'!F13=1,IFERROR(1/'Smart Search'!H13,0),0)</f>
        <v/>
      </c>
      <c r="AE492" s="64">
        <f>IF('Smart Search'!F13=1,IFERROR(1/'Smart Search'!H13,0),0)</f>
        <v/>
      </c>
      <c r="AF492" s="64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4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4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4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4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4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4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4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4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4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4">
        <f>AF492*V492</f>
        <v/>
      </c>
      <c r="AQ492" s="64">
        <f>AG492*W492</f>
        <v/>
      </c>
      <c r="AR492" s="64">
        <f>AH492*X492</f>
        <v/>
      </c>
      <c r="AS492" s="64">
        <f>AI492*Y492</f>
        <v/>
      </c>
      <c r="AT492" s="64">
        <f>AJ492*Z492</f>
        <v/>
      </c>
      <c r="AU492" s="64">
        <f>AK492*AA492</f>
        <v/>
      </c>
      <c r="AV492" s="64">
        <f>AL492*AB492</f>
        <v/>
      </c>
      <c r="AW492" s="64">
        <f>AM492*AC492</f>
        <v/>
      </c>
      <c r="AX492" s="64">
        <f>AN492*AD492</f>
        <v/>
      </c>
      <c r="AY492" s="64">
        <f>AO492*AE492</f>
        <v/>
      </c>
      <c r="AZ492" s="64">
        <f>INDEX(Projects[Automation Equipment],491)&amp;""</f>
        <v/>
      </c>
      <c r="BA492" s="64">
        <f>IF(OR(A492="",'Smart Search'!H13=0),"",MAX(0,BE492*BF492*MAX(0,1-BG492)))</f>
        <v/>
      </c>
      <c r="BB492" s="64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4">
        <f>IF('Smart Search'!G13=1,IFERROR(1/'Smart Search'!H13,0),0)</f>
        <v/>
      </c>
      <c r="BD492" s="64">
        <f>BB492*BC492</f>
        <v/>
      </c>
      <c r="BE492" s="64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IF(A492="","",N(INDEX(Projects[Act Mech Inst],491)))</f>
        <v/>
      </c>
      <c r="BK492" s="5">
        <f>IF(A492="","",N(INDEX(Projects[Act Elec Inst],491)))</f>
        <v/>
      </c>
      <c r="BL492" s="5">
        <f>IF(A492="","",N(INDEX(Projects[Act Project Management],491)))</f>
        <v/>
      </c>
      <c r="BM492" s="5">
        <f>IF(A492="","",N(INDEX(Projects[Act Systems Eng],491)))</f>
        <v/>
      </c>
      <c r="BN492" s="5">
        <f>IF(A492="","",N(INDEX(Projects[Act Mechanical Eng],491)))</f>
        <v/>
      </c>
      <c r="BO492" s="5">
        <f>IF(A492="","",N(INDEX(Projects[Act Structural Engineering],491)))</f>
        <v/>
      </c>
      <c r="BP492" s="5">
        <f>IF(A492="","",N(INDEX(Projects[Act Site Sup],491)))</f>
        <v/>
      </c>
      <c r="BQ492" s="5">
        <f>IF(A492="","",N(INDEX(Projects[Act Controls Commissioning],491)))</f>
        <v/>
      </c>
      <c r="BR492" s="5">
        <f>IF(A492="","",N(INDEX(Projects[Act Systems Commissioning],491)))</f>
        <v/>
      </c>
      <c r="BS492" s="5">
        <f>IF(A492="","",N(INDEX(Projects[Act Service Commissioning],491)))</f>
        <v/>
      </c>
      <c r="BT492" s="5">
        <f>IF(A492="","",N(INDEX(Projects[Act Controls Eng],491)))</f>
        <v/>
      </c>
      <c r="BU492" s="5">
        <f>IF(A492="","",N(INDEX(Projects[Act Controls Purchase],491)))</f>
        <v/>
      </c>
      <c r="BV492" s="5">
        <f>IF(A492="","",N(INDEX(Projects[Act Software Eng],491)))</f>
        <v/>
      </c>
      <c r="BW492" s="5">
        <f>IF(A492="","",N(INDEX(Projects[Act 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INDEX(Projects[Sold Value (USD M)],491)</f>
        <v/>
      </c>
      <c r="CE492" s="5" t="n"/>
      <c r="CF492" s="5">
        <f>IF(A492="","",N(INDEX(Projects[Est Mech Inst],491)))</f>
        <v/>
      </c>
      <c r="CG492" s="5">
        <f>IF(A492="","",N(INDEX(Projects[Est Elec Inst],491)))</f>
        <v/>
      </c>
      <c r="CH492" s="5">
        <f>IF(A492="","",N(INDEX(Projects[Est Project Management],491)))</f>
        <v/>
      </c>
      <c r="CI492" s="5">
        <f>IF(A492="","",N(INDEX(Projects[Est Systems Eng],491)))</f>
        <v/>
      </c>
      <c r="CJ492" s="5">
        <f>IF(A492="","",N(INDEX(Projects[Est Mechanical Eng],491)))</f>
        <v/>
      </c>
      <c r="CK492" s="5">
        <f>IF(A492="","",N(INDEX(Projects[Est Structural Engineering],491)))</f>
        <v/>
      </c>
      <c r="CL492" s="5">
        <f>IF(A492="","",N(INDEX(Projects[Est Site Sup],491)))</f>
        <v/>
      </c>
      <c r="CM492" s="5">
        <f>IF(A492="","",N(INDEX(Projects[Est Controls Commissioning],491)))</f>
        <v/>
      </c>
      <c r="CN492" s="5">
        <f>IF(A492="","",N(INDEX(Projects[Est Systems Commissioning],491)))</f>
        <v/>
      </c>
      <c r="CO492" s="5">
        <f>IF(A492="","",N(INDEX(Projects[Est Service Commissioning],491)))</f>
        <v/>
      </c>
      <c r="CP492" s="5">
        <f>IF(A492="","",N(INDEX(Projects[Est Controls Eng],491)))</f>
        <v/>
      </c>
      <c r="CQ492" s="5">
        <f>IF(A492="","",N(INDEX(Projects[Est Controls Purchase],491)))</f>
        <v/>
      </c>
      <c r="CR492" s="5">
        <f>IF(A492="","",N(INDEX(Projects[Est Software Eng],491)))</f>
        <v/>
      </c>
      <c r="CS492" s="5">
        <f>IF(A492="","",N(INDEX(Projects[Est Misc],491)))</f>
        <v/>
      </c>
      <c r="CT492" s="5">
        <f>IF(A492="","",SUM(CF492:CS492))</f>
        <v/>
      </c>
      <c r="CU492" s="5">
        <f>INDEX(Projects[Est Cost (M)],491)</f>
        <v/>
      </c>
      <c r="CV492" s="5">
        <f>INDEX(Projects[Act Cost (M)],491)</f>
        <v/>
      </c>
      <c r="CW492" s="5">
        <f>INDEX(Projects[Plan Mech Eng (wks)],491)</f>
        <v/>
      </c>
      <c r="CX492" s="5">
        <f>INDEX(Projects[Plan Controls Eng (wks)],491)</f>
        <v/>
      </c>
      <c r="CY492" s="5">
        <f>INDEX(Projects[Plan Systems Eng (wks)],491)</f>
        <v/>
      </c>
      <c r="CZ492" s="5">
        <f>INDEX(Projects[Plan Software Eng (wks)],491)</f>
        <v/>
      </c>
      <c r="DA492" s="5">
        <f>INDEX(Projects[Plan M&amp;E Installation (wks)],491)</f>
        <v/>
      </c>
      <c r="DB492" s="5">
        <f>INDEX(Projects[Plan Commissioning (wks)],491)</f>
        <v/>
      </c>
      <c r="DC492" s="5">
        <f>INDEX(Projects[Plan Total (wks)],491)</f>
        <v/>
      </c>
      <c r="DD492" s="5">
        <f>INDEX(Projects[Act Mech Eng (wks)],491)</f>
        <v/>
      </c>
      <c r="DE492" s="5">
        <f>INDEX(Projects[Act Controls Eng (wks)],491)</f>
        <v/>
      </c>
      <c r="DF492" s="5">
        <f>INDEX(Projects[Act Systems Eng (wks)],491)</f>
        <v/>
      </c>
      <c r="DG492" s="5">
        <f>INDEX(Projects[Act Software Eng (wks)],491)</f>
        <v/>
      </c>
      <c r="DH492" s="5">
        <f>INDEX(Projects[Act M&amp;E Installation (wks)],491)</f>
        <v/>
      </c>
      <c r="DI492" s="5">
        <f>INDEX(Projects[Act Commissioning (wks)],491)</f>
        <v/>
      </c>
      <c r="DJ492" s="5">
        <f>INDEX(Projects[Act Total (wks)],491)</f>
        <v/>
      </c>
    </row>
    <row r="493" ht="15" customHeight="1" s="82">
      <c r="A493" s="64">
        <f>INDEX(Projects[Project ID *],492)&amp;""</f>
        <v/>
      </c>
      <c r="B493" s="64">
        <f>INDEX(Projects[Project Name *],492)&amp;""</f>
        <v/>
      </c>
      <c r="C493" s="64">
        <f>INDEX(Projects[MS Shuttles],492)</f>
        <v/>
      </c>
      <c r="D493" s="64">
        <f>INDEX(Projects[MS Tote Locations],492)</f>
        <v/>
      </c>
      <c r="E493" s="64">
        <f>INDEX(Projects[AS Robots],492)</f>
        <v/>
      </c>
      <c r="F493" s="64">
        <f>INDEX(Projects[AS Tote Locations],492)</f>
        <v/>
      </c>
      <c r="G493" s="64">
        <f>INDEX(Projects[PS Shuttles],492)</f>
        <v/>
      </c>
      <c r="H493" s="64">
        <f>INDEX(Projects[PS Pallet Locations],492)</f>
        <v/>
      </c>
      <c r="I493" s="64">
        <f>INDEX(Projects[SRM Cranes],492)</f>
        <v/>
      </c>
      <c r="J493" s="64">
        <f>INDEX(Projects[SRM Pallet Locations],492)</f>
        <v/>
      </c>
      <c r="K493" s="64">
        <f>INDEX(Projects[Case Conv (m)],492)</f>
        <v/>
      </c>
      <c r="L493" s="64">
        <f>INDEX(Projects[Pallet Conv (m)],492)</f>
        <v/>
      </c>
      <c r="M493" s="64">
        <f>IF(N(DJ493)&gt;0,DD493,CW493)</f>
        <v/>
      </c>
      <c r="N493" s="64">
        <f>IF(N(DJ493)&gt;0,DE493,CX493)</f>
        <v/>
      </c>
      <c r="O493" s="64">
        <f>IF(N(DJ493)&gt;0,DF493,CY493)</f>
        <v/>
      </c>
      <c r="P493" s="64">
        <f>IF(N(DJ493)&gt;0,DG493,CZ493)</f>
        <v/>
      </c>
      <c r="Q493" s="64">
        <f>IF(N(DJ493)&gt;0,DH493,DA493)</f>
        <v/>
      </c>
      <c r="R493" s="64">
        <f>IF(N(DJ493)&gt;0,DI493,DB493)</f>
        <v/>
      </c>
      <c r="S493" s="64">
        <f>IF(N(DJ493)&gt;0,DJ493,DC493)</f>
        <v/>
      </c>
      <c r="T493" s="64">
        <f>INDEX(Projects[Currency],492)&amp;""</f>
        <v/>
      </c>
      <c r="U493" s="65">
        <f>INDEX(Projects[Sold Value (M)],492)</f>
        <v/>
      </c>
      <c r="V493" s="64">
        <f>IF('Smart Search'!B13=1,IFERROR(1/'Smart Search'!H13,0),0)</f>
        <v/>
      </c>
      <c r="W493" s="64">
        <f>IF('Smart Search'!B13=1,IFERROR(1/'Smart Search'!H13,0),0)</f>
        <v/>
      </c>
      <c r="X493" s="64">
        <f>IF('Smart Search'!C13=1,IFERROR(1/'Smart Search'!H13,0),0)</f>
        <v/>
      </c>
      <c r="Y493" s="64">
        <f>IF('Smart Search'!C13=1,IFERROR(1/'Smart Search'!H13,0),0)</f>
        <v/>
      </c>
      <c r="Z493" s="64">
        <f>IF('Smart Search'!D13=1,IFERROR(1/'Smart Search'!H13,0),0)</f>
        <v/>
      </c>
      <c r="AA493" s="64">
        <f>IF('Smart Search'!D13=1,IFERROR(1/'Smart Search'!H13,0),0)</f>
        <v/>
      </c>
      <c r="AB493" s="64">
        <f>IF('Smart Search'!E13=1,IFERROR(1/'Smart Search'!H13,0),0)</f>
        <v/>
      </c>
      <c r="AC493" s="64">
        <f>IF('Smart Search'!E13=1,IFERROR(1/'Smart Search'!H13,0),0)</f>
        <v/>
      </c>
      <c r="AD493" s="64">
        <f>IF('Smart Search'!F13=1,IFERROR(1/'Smart Search'!H13,0),0)</f>
        <v/>
      </c>
      <c r="AE493" s="64">
        <f>IF('Smart Search'!F13=1,IFERROR(1/'Smart Search'!H13,0),0)</f>
        <v/>
      </c>
      <c r="AF493" s="64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4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4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4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4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4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4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4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4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4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4">
        <f>AF493*V493</f>
        <v/>
      </c>
      <c r="AQ493" s="64">
        <f>AG493*W493</f>
        <v/>
      </c>
      <c r="AR493" s="64">
        <f>AH493*X493</f>
        <v/>
      </c>
      <c r="AS493" s="64">
        <f>AI493*Y493</f>
        <v/>
      </c>
      <c r="AT493" s="64">
        <f>AJ493*Z493</f>
        <v/>
      </c>
      <c r="AU493" s="64">
        <f>AK493*AA493</f>
        <v/>
      </c>
      <c r="AV493" s="64">
        <f>AL493*AB493</f>
        <v/>
      </c>
      <c r="AW493" s="64">
        <f>AM493*AC493</f>
        <v/>
      </c>
      <c r="AX493" s="64">
        <f>AN493*AD493</f>
        <v/>
      </c>
      <c r="AY493" s="64">
        <f>AO493*AE493</f>
        <v/>
      </c>
      <c r="AZ493" s="64">
        <f>INDEX(Projects[Automation Equipment],492)&amp;""</f>
        <v/>
      </c>
      <c r="BA493" s="64">
        <f>IF(OR(A493="",'Smart Search'!H13=0),"",MAX(0,BE493*BF493*MAX(0,1-BG493)))</f>
        <v/>
      </c>
      <c r="BB493" s="64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4">
        <f>IF('Smart Search'!G13=1,IFERROR(1/'Smart Search'!H13,0),0)</f>
        <v/>
      </c>
      <c r="BD493" s="64">
        <f>BB493*BC493</f>
        <v/>
      </c>
      <c r="BE493" s="64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IF(A493="","",N(INDEX(Projects[Act Mech Inst],492)))</f>
        <v/>
      </c>
      <c r="BK493" s="5">
        <f>IF(A493="","",N(INDEX(Projects[Act Elec Inst],492)))</f>
        <v/>
      </c>
      <c r="BL493" s="5">
        <f>IF(A493="","",N(INDEX(Projects[Act Project Management],492)))</f>
        <v/>
      </c>
      <c r="BM493" s="5">
        <f>IF(A493="","",N(INDEX(Projects[Act Systems Eng],492)))</f>
        <v/>
      </c>
      <c r="BN493" s="5">
        <f>IF(A493="","",N(INDEX(Projects[Act Mechanical Eng],492)))</f>
        <v/>
      </c>
      <c r="BO493" s="5">
        <f>IF(A493="","",N(INDEX(Projects[Act Structural Engineering],492)))</f>
        <v/>
      </c>
      <c r="BP493" s="5">
        <f>IF(A493="","",N(INDEX(Projects[Act Site Sup],492)))</f>
        <v/>
      </c>
      <c r="BQ493" s="5">
        <f>IF(A493="","",N(INDEX(Projects[Act Controls Commissioning],492)))</f>
        <v/>
      </c>
      <c r="BR493" s="5">
        <f>IF(A493="","",N(INDEX(Projects[Act Systems Commissioning],492)))</f>
        <v/>
      </c>
      <c r="BS493" s="5">
        <f>IF(A493="","",N(INDEX(Projects[Act Service Commissioning],492)))</f>
        <v/>
      </c>
      <c r="BT493" s="5">
        <f>IF(A493="","",N(INDEX(Projects[Act Controls Eng],492)))</f>
        <v/>
      </c>
      <c r="BU493" s="5">
        <f>IF(A493="","",N(INDEX(Projects[Act Controls Purchase],492)))</f>
        <v/>
      </c>
      <c r="BV493" s="5">
        <f>IF(A493="","",N(INDEX(Projects[Act Software Eng],492)))</f>
        <v/>
      </c>
      <c r="BW493" s="5">
        <f>IF(A493="","",N(INDEX(Projects[Act 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INDEX(Projects[Sold Value (USD M)],492)</f>
        <v/>
      </c>
      <c r="CE493" s="5" t="n"/>
      <c r="CF493" s="5">
        <f>IF(A493="","",N(INDEX(Projects[Est Mech Inst],492)))</f>
        <v/>
      </c>
      <c r="CG493" s="5">
        <f>IF(A493="","",N(INDEX(Projects[Est Elec Inst],492)))</f>
        <v/>
      </c>
      <c r="CH493" s="5">
        <f>IF(A493="","",N(INDEX(Projects[Est Project Management],492)))</f>
        <v/>
      </c>
      <c r="CI493" s="5">
        <f>IF(A493="","",N(INDEX(Projects[Est Systems Eng],492)))</f>
        <v/>
      </c>
      <c r="CJ493" s="5">
        <f>IF(A493="","",N(INDEX(Projects[Est Mechanical Eng],492)))</f>
        <v/>
      </c>
      <c r="CK493" s="5">
        <f>IF(A493="","",N(INDEX(Projects[Est Structural Engineering],492)))</f>
        <v/>
      </c>
      <c r="CL493" s="5">
        <f>IF(A493="","",N(INDEX(Projects[Est Site Sup],492)))</f>
        <v/>
      </c>
      <c r="CM493" s="5">
        <f>IF(A493="","",N(INDEX(Projects[Est Controls Commissioning],492)))</f>
        <v/>
      </c>
      <c r="CN493" s="5">
        <f>IF(A493="","",N(INDEX(Projects[Est Systems Commissioning],492)))</f>
        <v/>
      </c>
      <c r="CO493" s="5">
        <f>IF(A493="","",N(INDEX(Projects[Est Service Commissioning],492)))</f>
        <v/>
      </c>
      <c r="CP493" s="5">
        <f>IF(A493="","",N(INDEX(Projects[Est Controls Eng],492)))</f>
        <v/>
      </c>
      <c r="CQ493" s="5">
        <f>IF(A493="","",N(INDEX(Projects[Est Controls Purchase],492)))</f>
        <v/>
      </c>
      <c r="CR493" s="5">
        <f>IF(A493="","",N(INDEX(Projects[Est Software Eng],492)))</f>
        <v/>
      </c>
      <c r="CS493" s="5">
        <f>IF(A493="","",N(INDEX(Projects[Est Misc],492)))</f>
        <v/>
      </c>
      <c r="CT493" s="5">
        <f>IF(A493="","",SUM(CF493:CS493))</f>
        <v/>
      </c>
      <c r="CU493" s="5">
        <f>INDEX(Projects[Est Cost (M)],492)</f>
        <v/>
      </c>
      <c r="CV493" s="5">
        <f>INDEX(Projects[Act Cost (M)],492)</f>
        <v/>
      </c>
      <c r="CW493" s="5">
        <f>INDEX(Projects[Plan Mech Eng (wks)],492)</f>
        <v/>
      </c>
      <c r="CX493" s="5">
        <f>INDEX(Projects[Plan Controls Eng (wks)],492)</f>
        <v/>
      </c>
      <c r="CY493" s="5">
        <f>INDEX(Projects[Plan Systems Eng (wks)],492)</f>
        <v/>
      </c>
      <c r="CZ493" s="5">
        <f>INDEX(Projects[Plan Software Eng (wks)],492)</f>
        <v/>
      </c>
      <c r="DA493" s="5">
        <f>INDEX(Projects[Plan M&amp;E Installation (wks)],492)</f>
        <v/>
      </c>
      <c r="DB493" s="5">
        <f>INDEX(Projects[Plan Commissioning (wks)],492)</f>
        <v/>
      </c>
      <c r="DC493" s="5">
        <f>INDEX(Projects[Plan Total (wks)],492)</f>
        <v/>
      </c>
      <c r="DD493" s="5">
        <f>INDEX(Projects[Act Mech Eng (wks)],492)</f>
        <v/>
      </c>
      <c r="DE493" s="5">
        <f>INDEX(Projects[Act Controls Eng (wks)],492)</f>
        <v/>
      </c>
      <c r="DF493" s="5">
        <f>INDEX(Projects[Act Systems Eng (wks)],492)</f>
        <v/>
      </c>
      <c r="DG493" s="5">
        <f>INDEX(Projects[Act Software Eng (wks)],492)</f>
        <v/>
      </c>
      <c r="DH493" s="5">
        <f>INDEX(Projects[Act M&amp;E Installation (wks)],492)</f>
        <v/>
      </c>
      <c r="DI493" s="5">
        <f>INDEX(Projects[Act Commissioning (wks)],492)</f>
        <v/>
      </c>
      <c r="DJ493" s="5">
        <f>INDEX(Projects[Act Total (wks)],492)</f>
        <v/>
      </c>
    </row>
    <row r="494" ht="15" customHeight="1" s="82">
      <c r="A494" s="64">
        <f>INDEX(Projects[Project ID *],493)&amp;""</f>
        <v/>
      </c>
      <c r="B494" s="64">
        <f>INDEX(Projects[Project Name *],493)&amp;""</f>
        <v/>
      </c>
      <c r="C494" s="64">
        <f>INDEX(Projects[MS Shuttles],493)</f>
        <v/>
      </c>
      <c r="D494" s="64">
        <f>INDEX(Projects[MS Tote Locations],493)</f>
        <v/>
      </c>
      <c r="E494" s="64">
        <f>INDEX(Projects[AS Robots],493)</f>
        <v/>
      </c>
      <c r="F494" s="64">
        <f>INDEX(Projects[AS Tote Locations],493)</f>
        <v/>
      </c>
      <c r="G494" s="64">
        <f>INDEX(Projects[PS Shuttles],493)</f>
        <v/>
      </c>
      <c r="H494" s="64">
        <f>INDEX(Projects[PS Pallet Locations],493)</f>
        <v/>
      </c>
      <c r="I494" s="64">
        <f>INDEX(Projects[SRM Cranes],493)</f>
        <v/>
      </c>
      <c r="J494" s="64">
        <f>INDEX(Projects[SRM Pallet Locations],493)</f>
        <v/>
      </c>
      <c r="K494" s="64">
        <f>INDEX(Projects[Case Conv (m)],493)</f>
        <v/>
      </c>
      <c r="L494" s="64">
        <f>INDEX(Projects[Pallet Conv (m)],493)</f>
        <v/>
      </c>
      <c r="M494" s="64">
        <f>IF(N(DJ494)&gt;0,DD494,CW494)</f>
        <v/>
      </c>
      <c r="N494" s="64">
        <f>IF(N(DJ494)&gt;0,DE494,CX494)</f>
        <v/>
      </c>
      <c r="O494" s="64">
        <f>IF(N(DJ494)&gt;0,DF494,CY494)</f>
        <v/>
      </c>
      <c r="P494" s="64">
        <f>IF(N(DJ494)&gt;0,DG494,CZ494)</f>
        <v/>
      </c>
      <c r="Q494" s="64">
        <f>IF(N(DJ494)&gt;0,DH494,DA494)</f>
        <v/>
      </c>
      <c r="R494" s="64">
        <f>IF(N(DJ494)&gt;0,DI494,DB494)</f>
        <v/>
      </c>
      <c r="S494" s="64">
        <f>IF(N(DJ494)&gt;0,DJ494,DC494)</f>
        <v/>
      </c>
      <c r="T494" s="64">
        <f>INDEX(Projects[Currency],493)&amp;""</f>
        <v/>
      </c>
      <c r="U494" s="65">
        <f>INDEX(Projects[Sold Value (M)],493)</f>
        <v/>
      </c>
      <c r="V494" s="64">
        <f>IF('Smart Search'!B13=1,IFERROR(1/'Smart Search'!H13,0),0)</f>
        <v/>
      </c>
      <c r="W494" s="64">
        <f>IF('Smart Search'!B13=1,IFERROR(1/'Smart Search'!H13,0),0)</f>
        <v/>
      </c>
      <c r="X494" s="64">
        <f>IF('Smart Search'!C13=1,IFERROR(1/'Smart Search'!H13,0),0)</f>
        <v/>
      </c>
      <c r="Y494" s="64">
        <f>IF('Smart Search'!C13=1,IFERROR(1/'Smart Search'!H13,0),0)</f>
        <v/>
      </c>
      <c r="Z494" s="64">
        <f>IF('Smart Search'!D13=1,IFERROR(1/'Smart Search'!H13,0),0)</f>
        <v/>
      </c>
      <c r="AA494" s="64">
        <f>IF('Smart Search'!D13=1,IFERROR(1/'Smart Search'!H13,0),0)</f>
        <v/>
      </c>
      <c r="AB494" s="64">
        <f>IF('Smart Search'!E13=1,IFERROR(1/'Smart Search'!H13,0),0)</f>
        <v/>
      </c>
      <c r="AC494" s="64">
        <f>IF('Smart Search'!E13=1,IFERROR(1/'Smart Search'!H13,0),0)</f>
        <v/>
      </c>
      <c r="AD494" s="64">
        <f>IF('Smart Search'!F13=1,IFERROR(1/'Smart Search'!H13,0),0)</f>
        <v/>
      </c>
      <c r="AE494" s="64">
        <f>IF('Smart Search'!F13=1,IFERROR(1/'Smart Search'!H13,0),0)</f>
        <v/>
      </c>
      <c r="AF494" s="64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4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4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4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4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4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4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4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4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4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4">
        <f>AF494*V494</f>
        <v/>
      </c>
      <c r="AQ494" s="64">
        <f>AG494*W494</f>
        <v/>
      </c>
      <c r="AR494" s="64">
        <f>AH494*X494</f>
        <v/>
      </c>
      <c r="AS494" s="64">
        <f>AI494*Y494</f>
        <v/>
      </c>
      <c r="AT494" s="64">
        <f>AJ494*Z494</f>
        <v/>
      </c>
      <c r="AU494" s="64">
        <f>AK494*AA494</f>
        <v/>
      </c>
      <c r="AV494" s="64">
        <f>AL494*AB494</f>
        <v/>
      </c>
      <c r="AW494" s="64">
        <f>AM494*AC494</f>
        <v/>
      </c>
      <c r="AX494" s="64">
        <f>AN494*AD494</f>
        <v/>
      </c>
      <c r="AY494" s="64">
        <f>AO494*AE494</f>
        <v/>
      </c>
      <c r="AZ494" s="64">
        <f>INDEX(Projects[Automation Equipment],493)&amp;""</f>
        <v/>
      </c>
      <c r="BA494" s="64">
        <f>IF(OR(A494="",'Smart Search'!H13=0),"",MAX(0,BE494*BF494*MAX(0,1-BG494)))</f>
        <v/>
      </c>
      <c r="BB494" s="64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4">
        <f>IF('Smart Search'!G13=1,IFERROR(1/'Smart Search'!H13,0),0)</f>
        <v/>
      </c>
      <c r="BD494" s="64">
        <f>BB494*BC494</f>
        <v/>
      </c>
      <c r="BE494" s="64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IF(A494="","",N(INDEX(Projects[Act Mech Inst],493)))</f>
        <v/>
      </c>
      <c r="BK494" s="5">
        <f>IF(A494="","",N(INDEX(Projects[Act Elec Inst],493)))</f>
        <v/>
      </c>
      <c r="BL494" s="5">
        <f>IF(A494="","",N(INDEX(Projects[Act Project Management],493)))</f>
        <v/>
      </c>
      <c r="BM494" s="5">
        <f>IF(A494="","",N(INDEX(Projects[Act Systems Eng],493)))</f>
        <v/>
      </c>
      <c r="BN494" s="5">
        <f>IF(A494="","",N(INDEX(Projects[Act Mechanical Eng],493)))</f>
        <v/>
      </c>
      <c r="BO494" s="5">
        <f>IF(A494="","",N(INDEX(Projects[Act Structural Engineering],493)))</f>
        <v/>
      </c>
      <c r="BP494" s="5">
        <f>IF(A494="","",N(INDEX(Projects[Act Site Sup],493)))</f>
        <v/>
      </c>
      <c r="BQ494" s="5">
        <f>IF(A494="","",N(INDEX(Projects[Act Controls Commissioning],493)))</f>
        <v/>
      </c>
      <c r="BR494" s="5">
        <f>IF(A494="","",N(INDEX(Projects[Act Systems Commissioning],493)))</f>
        <v/>
      </c>
      <c r="BS494" s="5">
        <f>IF(A494="","",N(INDEX(Projects[Act Service Commissioning],493)))</f>
        <v/>
      </c>
      <c r="BT494" s="5">
        <f>IF(A494="","",N(INDEX(Projects[Act Controls Eng],493)))</f>
        <v/>
      </c>
      <c r="BU494" s="5">
        <f>IF(A494="","",N(INDEX(Projects[Act Controls Purchase],493)))</f>
        <v/>
      </c>
      <c r="BV494" s="5">
        <f>IF(A494="","",N(INDEX(Projects[Act Software Eng],493)))</f>
        <v/>
      </c>
      <c r="BW494" s="5">
        <f>IF(A494="","",N(INDEX(Projects[Act 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INDEX(Projects[Sold Value (USD M)],493)</f>
        <v/>
      </c>
      <c r="CE494" s="5" t="n"/>
      <c r="CF494" s="5">
        <f>IF(A494="","",N(INDEX(Projects[Est Mech Inst],493)))</f>
        <v/>
      </c>
      <c r="CG494" s="5">
        <f>IF(A494="","",N(INDEX(Projects[Est Elec Inst],493)))</f>
        <v/>
      </c>
      <c r="CH494" s="5">
        <f>IF(A494="","",N(INDEX(Projects[Est Project Management],493)))</f>
        <v/>
      </c>
      <c r="CI494" s="5">
        <f>IF(A494="","",N(INDEX(Projects[Est Systems Eng],493)))</f>
        <v/>
      </c>
      <c r="CJ494" s="5">
        <f>IF(A494="","",N(INDEX(Projects[Est Mechanical Eng],493)))</f>
        <v/>
      </c>
      <c r="CK494" s="5">
        <f>IF(A494="","",N(INDEX(Projects[Est Structural Engineering],493)))</f>
        <v/>
      </c>
      <c r="CL494" s="5">
        <f>IF(A494="","",N(INDEX(Projects[Est Site Sup],493)))</f>
        <v/>
      </c>
      <c r="CM494" s="5">
        <f>IF(A494="","",N(INDEX(Projects[Est Controls Commissioning],493)))</f>
        <v/>
      </c>
      <c r="CN494" s="5">
        <f>IF(A494="","",N(INDEX(Projects[Est Systems Commissioning],493)))</f>
        <v/>
      </c>
      <c r="CO494" s="5">
        <f>IF(A494="","",N(INDEX(Projects[Est Service Commissioning],493)))</f>
        <v/>
      </c>
      <c r="CP494" s="5">
        <f>IF(A494="","",N(INDEX(Projects[Est Controls Eng],493)))</f>
        <v/>
      </c>
      <c r="CQ494" s="5">
        <f>IF(A494="","",N(INDEX(Projects[Est Controls Purchase],493)))</f>
        <v/>
      </c>
      <c r="CR494" s="5">
        <f>IF(A494="","",N(INDEX(Projects[Est Software Eng],493)))</f>
        <v/>
      </c>
      <c r="CS494" s="5">
        <f>IF(A494="","",N(INDEX(Projects[Est Misc],493)))</f>
        <v/>
      </c>
      <c r="CT494" s="5">
        <f>IF(A494="","",SUM(CF494:CS494))</f>
        <v/>
      </c>
      <c r="CU494" s="5">
        <f>INDEX(Projects[Est Cost (M)],493)</f>
        <v/>
      </c>
      <c r="CV494" s="5">
        <f>INDEX(Projects[Act Cost (M)],493)</f>
        <v/>
      </c>
      <c r="CW494" s="5">
        <f>INDEX(Projects[Plan Mech Eng (wks)],493)</f>
        <v/>
      </c>
      <c r="CX494" s="5">
        <f>INDEX(Projects[Plan Controls Eng (wks)],493)</f>
        <v/>
      </c>
      <c r="CY494" s="5">
        <f>INDEX(Projects[Plan Systems Eng (wks)],493)</f>
        <v/>
      </c>
      <c r="CZ494" s="5">
        <f>INDEX(Projects[Plan Software Eng (wks)],493)</f>
        <v/>
      </c>
      <c r="DA494" s="5">
        <f>INDEX(Projects[Plan M&amp;E Installation (wks)],493)</f>
        <v/>
      </c>
      <c r="DB494" s="5">
        <f>INDEX(Projects[Plan Commissioning (wks)],493)</f>
        <v/>
      </c>
      <c r="DC494" s="5">
        <f>INDEX(Projects[Plan Total (wks)],493)</f>
        <v/>
      </c>
      <c r="DD494" s="5">
        <f>INDEX(Projects[Act Mech Eng (wks)],493)</f>
        <v/>
      </c>
      <c r="DE494" s="5">
        <f>INDEX(Projects[Act Controls Eng (wks)],493)</f>
        <v/>
      </c>
      <c r="DF494" s="5">
        <f>INDEX(Projects[Act Systems Eng (wks)],493)</f>
        <v/>
      </c>
      <c r="DG494" s="5">
        <f>INDEX(Projects[Act Software Eng (wks)],493)</f>
        <v/>
      </c>
      <c r="DH494" s="5">
        <f>INDEX(Projects[Act M&amp;E Installation (wks)],493)</f>
        <v/>
      </c>
      <c r="DI494" s="5">
        <f>INDEX(Projects[Act Commissioning (wks)],493)</f>
        <v/>
      </c>
      <c r="DJ494" s="5">
        <f>INDEX(Projects[Act Total (wks)],493)</f>
        <v/>
      </c>
    </row>
    <row r="495" ht="15" customHeight="1" s="82">
      <c r="A495" s="64">
        <f>INDEX(Projects[Project ID *],494)&amp;""</f>
        <v/>
      </c>
      <c r="B495" s="64">
        <f>INDEX(Projects[Project Name *],494)&amp;""</f>
        <v/>
      </c>
      <c r="C495" s="64">
        <f>INDEX(Projects[MS Shuttles],494)</f>
        <v/>
      </c>
      <c r="D495" s="64">
        <f>INDEX(Projects[MS Tote Locations],494)</f>
        <v/>
      </c>
      <c r="E495" s="64">
        <f>INDEX(Projects[AS Robots],494)</f>
        <v/>
      </c>
      <c r="F495" s="64">
        <f>INDEX(Projects[AS Tote Locations],494)</f>
        <v/>
      </c>
      <c r="G495" s="64">
        <f>INDEX(Projects[PS Shuttles],494)</f>
        <v/>
      </c>
      <c r="H495" s="64">
        <f>INDEX(Projects[PS Pallet Locations],494)</f>
        <v/>
      </c>
      <c r="I495" s="64">
        <f>INDEX(Projects[SRM Cranes],494)</f>
        <v/>
      </c>
      <c r="J495" s="64">
        <f>INDEX(Projects[SRM Pallet Locations],494)</f>
        <v/>
      </c>
      <c r="K495" s="64">
        <f>INDEX(Projects[Case Conv (m)],494)</f>
        <v/>
      </c>
      <c r="L495" s="64">
        <f>INDEX(Projects[Pallet Conv (m)],494)</f>
        <v/>
      </c>
      <c r="M495" s="64">
        <f>IF(N(DJ495)&gt;0,DD495,CW495)</f>
        <v/>
      </c>
      <c r="N495" s="64">
        <f>IF(N(DJ495)&gt;0,DE495,CX495)</f>
        <v/>
      </c>
      <c r="O495" s="64">
        <f>IF(N(DJ495)&gt;0,DF495,CY495)</f>
        <v/>
      </c>
      <c r="P495" s="64">
        <f>IF(N(DJ495)&gt;0,DG495,CZ495)</f>
        <v/>
      </c>
      <c r="Q495" s="64">
        <f>IF(N(DJ495)&gt;0,DH495,DA495)</f>
        <v/>
      </c>
      <c r="R495" s="64">
        <f>IF(N(DJ495)&gt;0,DI495,DB495)</f>
        <v/>
      </c>
      <c r="S495" s="64">
        <f>IF(N(DJ495)&gt;0,DJ495,DC495)</f>
        <v/>
      </c>
      <c r="T495" s="64">
        <f>INDEX(Projects[Currency],494)&amp;""</f>
        <v/>
      </c>
      <c r="U495" s="65">
        <f>INDEX(Projects[Sold Value (M)],494)</f>
        <v/>
      </c>
      <c r="V495" s="64">
        <f>IF('Smart Search'!B13=1,IFERROR(1/'Smart Search'!H13,0),0)</f>
        <v/>
      </c>
      <c r="W495" s="64">
        <f>IF('Smart Search'!B13=1,IFERROR(1/'Smart Search'!H13,0),0)</f>
        <v/>
      </c>
      <c r="X495" s="64">
        <f>IF('Smart Search'!C13=1,IFERROR(1/'Smart Search'!H13,0),0)</f>
        <v/>
      </c>
      <c r="Y495" s="64">
        <f>IF('Smart Search'!C13=1,IFERROR(1/'Smart Search'!H13,0),0)</f>
        <v/>
      </c>
      <c r="Z495" s="64">
        <f>IF('Smart Search'!D13=1,IFERROR(1/'Smart Search'!H13,0),0)</f>
        <v/>
      </c>
      <c r="AA495" s="64">
        <f>IF('Smart Search'!D13=1,IFERROR(1/'Smart Search'!H13,0),0)</f>
        <v/>
      </c>
      <c r="AB495" s="64">
        <f>IF('Smart Search'!E13=1,IFERROR(1/'Smart Search'!H13,0),0)</f>
        <v/>
      </c>
      <c r="AC495" s="64">
        <f>IF('Smart Search'!E13=1,IFERROR(1/'Smart Search'!H13,0),0)</f>
        <v/>
      </c>
      <c r="AD495" s="64">
        <f>IF('Smart Search'!F13=1,IFERROR(1/'Smart Search'!H13,0),0)</f>
        <v/>
      </c>
      <c r="AE495" s="64">
        <f>IF('Smart Search'!F13=1,IFERROR(1/'Smart Search'!H13,0),0)</f>
        <v/>
      </c>
      <c r="AF495" s="64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4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4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4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4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4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4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4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4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4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4">
        <f>AF495*V495</f>
        <v/>
      </c>
      <c r="AQ495" s="64">
        <f>AG495*W495</f>
        <v/>
      </c>
      <c r="AR495" s="64">
        <f>AH495*X495</f>
        <v/>
      </c>
      <c r="AS495" s="64">
        <f>AI495*Y495</f>
        <v/>
      </c>
      <c r="AT495" s="64">
        <f>AJ495*Z495</f>
        <v/>
      </c>
      <c r="AU495" s="64">
        <f>AK495*AA495</f>
        <v/>
      </c>
      <c r="AV495" s="64">
        <f>AL495*AB495</f>
        <v/>
      </c>
      <c r="AW495" s="64">
        <f>AM495*AC495</f>
        <v/>
      </c>
      <c r="AX495" s="64">
        <f>AN495*AD495</f>
        <v/>
      </c>
      <c r="AY495" s="64">
        <f>AO495*AE495</f>
        <v/>
      </c>
      <c r="AZ495" s="64">
        <f>INDEX(Projects[Automation Equipment],494)&amp;""</f>
        <v/>
      </c>
      <c r="BA495" s="64">
        <f>IF(OR(A495="",'Smart Search'!H13=0),"",MAX(0,BE495*BF495*MAX(0,1-BG495)))</f>
        <v/>
      </c>
      <c r="BB495" s="64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4">
        <f>IF('Smart Search'!G13=1,IFERROR(1/'Smart Search'!H13,0),0)</f>
        <v/>
      </c>
      <c r="BD495" s="64">
        <f>BB495*BC495</f>
        <v/>
      </c>
      <c r="BE495" s="64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IF(A495="","",N(INDEX(Projects[Act Mech Inst],494)))</f>
        <v/>
      </c>
      <c r="BK495" s="5">
        <f>IF(A495="","",N(INDEX(Projects[Act Elec Inst],494)))</f>
        <v/>
      </c>
      <c r="BL495" s="5">
        <f>IF(A495="","",N(INDEX(Projects[Act Project Management],494)))</f>
        <v/>
      </c>
      <c r="BM495" s="5">
        <f>IF(A495="","",N(INDEX(Projects[Act Systems Eng],494)))</f>
        <v/>
      </c>
      <c r="BN495" s="5">
        <f>IF(A495="","",N(INDEX(Projects[Act Mechanical Eng],494)))</f>
        <v/>
      </c>
      <c r="BO495" s="5">
        <f>IF(A495="","",N(INDEX(Projects[Act Structural Engineering],494)))</f>
        <v/>
      </c>
      <c r="BP495" s="5">
        <f>IF(A495="","",N(INDEX(Projects[Act Site Sup],494)))</f>
        <v/>
      </c>
      <c r="BQ495" s="5">
        <f>IF(A495="","",N(INDEX(Projects[Act Controls Commissioning],494)))</f>
        <v/>
      </c>
      <c r="BR495" s="5">
        <f>IF(A495="","",N(INDEX(Projects[Act Systems Commissioning],494)))</f>
        <v/>
      </c>
      <c r="BS495" s="5">
        <f>IF(A495="","",N(INDEX(Projects[Act Service Commissioning],494)))</f>
        <v/>
      </c>
      <c r="BT495" s="5">
        <f>IF(A495="","",N(INDEX(Projects[Act Controls Eng],494)))</f>
        <v/>
      </c>
      <c r="BU495" s="5">
        <f>IF(A495="","",N(INDEX(Projects[Act Controls Purchase],494)))</f>
        <v/>
      </c>
      <c r="BV495" s="5">
        <f>IF(A495="","",N(INDEX(Projects[Act Software Eng],494)))</f>
        <v/>
      </c>
      <c r="BW495" s="5">
        <f>IF(A495="","",N(INDEX(Projects[Act 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INDEX(Projects[Sold Value (USD M)],494)</f>
        <v/>
      </c>
      <c r="CE495" s="5" t="n"/>
      <c r="CF495" s="5">
        <f>IF(A495="","",N(INDEX(Projects[Est Mech Inst],494)))</f>
        <v/>
      </c>
      <c r="CG495" s="5">
        <f>IF(A495="","",N(INDEX(Projects[Est Elec Inst],494)))</f>
        <v/>
      </c>
      <c r="CH495" s="5">
        <f>IF(A495="","",N(INDEX(Projects[Est Project Management],494)))</f>
        <v/>
      </c>
      <c r="CI495" s="5">
        <f>IF(A495="","",N(INDEX(Projects[Est Systems Eng],494)))</f>
        <v/>
      </c>
      <c r="CJ495" s="5">
        <f>IF(A495="","",N(INDEX(Projects[Est Mechanical Eng],494)))</f>
        <v/>
      </c>
      <c r="CK495" s="5">
        <f>IF(A495="","",N(INDEX(Projects[Est Structural Engineering],494)))</f>
        <v/>
      </c>
      <c r="CL495" s="5">
        <f>IF(A495="","",N(INDEX(Projects[Est Site Sup],494)))</f>
        <v/>
      </c>
      <c r="CM495" s="5">
        <f>IF(A495="","",N(INDEX(Projects[Est Controls Commissioning],494)))</f>
        <v/>
      </c>
      <c r="CN495" s="5">
        <f>IF(A495="","",N(INDEX(Projects[Est Systems Commissioning],494)))</f>
        <v/>
      </c>
      <c r="CO495" s="5">
        <f>IF(A495="","",N(INDEX(Projects[Est Service Commissioning],494)))</f>
        <v/>
      </c>
      <c r="CP495" s="5">
        <f>IF(A495="","",N(INDEX(Projects[Est Controls Eng],494)))</f>
        <v/>
      </c>
      <c r="CQ495" s="5">
        <f>IF(A495="","",N(INDEX(Projects[Est Controls Purchase],494)))</f>
        <v/>
      </c>
      <c r="CR495" s="5">
        <f>IF(A495="","",N(INDEX(Projects[Est Software Eng],494)))</f>
        <v/>
      </c>
      <c r="CS495" s="5">
        <f>IF(A495="","",N(INDEX(Projects[Est Misc],494)))</f>
        <v/>
      </c>
      <c r="CT495" s="5">
        <f>IF(A495="","",SUM(CF495:CS495))</f>
        <v/>
      </c>
      <c r="CU495" s="5">
        <f>INDEX(Projects[Est Cost (M)],494)</f>
        <v/>
      </c>
      <c r="CV495" s="5">
        <f>INDEX(Projects[Act Cost (M)],494)</f>
        <v/>
      </c>
      <c r="CW495" s="5">
        <f>INDEX(Projects[Plan Mech Eng (wks)],494)</f>
        <v/>
      </c>
      <c r="CX495" s="5">
        <f>INDEX(Projects[Plan Controls Eng (wks)],494)</f>
        <v/>
      </c>
      <c r="CY495" s="5">
        <f>INDEX(Projects[Plan Systems Eng (wks)],494)</f>
        <v/>
      </c>
      <c r="CZ495" s="5">
        <f>INDEX(Projects[Plan Software Eng (wks)],494)</f>
        <v/>
      </c>
      <c r="DA495" s="5">
        <f>INDEX(Projects[Plan M&amp;E Installation (wks)],494)</f>
        <v/>
      </c>
      <c r="DB495" s="5">
        <f>INDEX(Projects[Plan Commissioning (wks)],494)</f>
        <v/>
      </c>
      <c r="DC495" s="5">
        <f>INDEX(Projects[Plan Total (wks)],494)</f>
        <v/>
      </c>
      <c r="DD495" s="5">
        <f>INDEX(Projects[Act Mech Eng (wks)],494)</f>
        <v/>
      </c>
      <c r="DE495" s="5">
        <f>INDEX(Projects[Act Controls Eng (wks)],494)</f>
        <v/>
      </c>
      <c r="DF495" s="5">
        <f>INDEX(Projects[Act Systems Eng (wks)],494)</f>
        <v/>
      </c>
      <c r="DG495" s="5">
        <f>INDEX(Projects[Act Software Eng (wks)],494)</f>
        <v/>
      </c>
      <c r="DH495" s="5">
        <f>INDEX(Projects[Act M&amp;E Installation (wks)],494)</f>
        <v/>
      </c>
      <c r="DI495" s="5">
        <f>INDEX(Projects[Act Commissioning (wks)],494)</f>
        <v/>
      </c>
      <c r="DJ495" s="5">
        <f>INDEX(Projects[Act Total (wks)],494)</f>
        <v/>
      </c>
    </row>
    <row r="496" ht="15" customHeight="1" s="82">
      <c r="A496" s="64">
        <f>INDEX(Projects[Project ID *],495)&amp;""</f>
        <v/>
      </c>
      <c r="B496" s="64">
        <f>INDEX(Projects[Project Name *],495)&amp;""</f>
        <v/>
      </c>
      <c r="C496" s="64">
        <f>INDEX(Projects[MS Shuttles],495)</f>
        <v/>
      </c>
      <c r="D496" s="64">
        <f>INDEX(Projects[MS Tote Locations],495)</f>
        <v/>
      </c>
      <c r="E496" s="64">
        <f>INDEX(Projects[AS Robots],495)</f>
        <v/>
      </c>
      <c r="F496" s="64">
        <f>INDEX(Projects[AS Tote Locations],495)</f>
        <v/>
      </c>
      <c r="G496" s="64">
        <f>INDEX(Projects[PS Shuttles],495)</f>
        <v/>
      </c>
      <c r="H496" s="64">
        <f>INDEX(Projects[PS Pallet Locations],495)</f>
        <v/>
      </c>
      <c r="I496" s="64">
        <f>INDEX(Projects[SRM Cranes],495)</f>
        <v/>
      </c>
      <c r="J496" s="64">
        <f>INDEX(Projects[SRM Pallet Locations],495)</f>
        <v/>
      </c>
      <c r="K496" s="64">
        <f>INDEX(Projects[Case Conv (m)],495)</f>
        <v/>
      </c>
      <c r="L496" s="64">
        <f>INDEX(Projects[Pallet Conv (m)],495)</f>
        <v/>
      </c>
      <c r="M496" s="64">
        <f>IF(N(DJ496)&gt;0,DD496,CW496)</f>
        <v/>
      </c>
      <c r="N496" s="64">
        <f>IF(N(DJ496)&gt;0,DE496,CX496)</f>
        <v/>
      </c>
      <c r="O496" s="64">
        <f>IF(N(DJ496)&gt;0,DF496,CY496)</f>
        <v/>
      </c>
      <c r="P496" s="64">
        <f>IF(N(DJ496)&gt;0,DG496,CZ496)</f>
        <v/>
      </c>
      <c r="Q496" s="64">
        <f>IF(N(DJ496)&gt;0,DH496,DA496)</f>
        <v/>
      </c>
      <c r="R496" s="64">
        <f>IF(N(DJ496)&gt;0,DI496,DB496)</f>
        <v/>
      </c>
      <c r="S496" s="64">
        <f>IF(N(DJ496)&gt;0,DJ496,DC496)</f>
        <v/>
      </c>
      <c r="T496" s="64">
        <f>INDEX(Projects[Currency],495)&amp;""</f>
        <v/>
      </c>
      <c r="U496" s="65">
        <f>INDEX(Projects[Sold Value (M)],495)</f>
        <v/>
      </c>
      <c r="V496" s="64">
        <f>IF('Smart Search'!B13=1,IFERROR(1/'Smart Search'!H13,0),0)</f>
        <v/>
      </c>
      <c r="W496" s="64">
        <f>IF('Smart Search'!B13=1,IFERROR(1/'Smart Search'!H13,0),0)</f>
        <v/>
      </c>
      <c r="X496" s="64">
        <f>IF('Smart Search'!C13=1,IFERROR(1/'Smart Search'!H13,0),0)</f>
        <v/>
      </c>
      <c r="Y496" s="64">
        <f>IF('Smart Search'!C13=1,IFERROR(1/'Smart Search'!H13,0),0)</f>
        <v/>
      </c>
      <c r="Z496" s="64">
        <f>IF('Smart Search'!D13=1,IFERROR(1/'Smart Search'!H13,0),0)</f>
        <v/>
      </c>
      <c r="AA496" s="64">
        <f>IF('Smart Search'!D13=1,IFERROR(1/'Smart Search'!H13,0),0)</f>
        <v/>
      </c>
      <c r="AB496" s="64">
        <f>IF('Smart Search'!E13=1,IFERROR(1/'Smart Search'!H13,0),0)</f>
        <v/>
      </c>
      <c r="AC496" s="64">
        <f>IF('Smart Search'!E13=1,IFERROR(1/'Smart Search'!H13,0),0)</f>
        <v/>
      </c>
      <c r="AD496" s="64">
        <f>IF('Smart Search'!F13=1,IFERROR(1/'Smart Search'!H13,0),0)</f>
        <v/>
      </c>
      <c r="AE496" s="64">
        <f>IF('Smart Search'!F13=1,IFERROR(1/'Smart Search'!H13,0),0)</f>
        <v/>
      </c>
      <c r="AF496" s="64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4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4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4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4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4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4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4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4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4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4">
        <f>AF496*V496</f>
        <v/>
      </c>
      <c r="AQ496" s="64">
        <f>AG496*W496</f>
        <v/>
      </c>
      <c r="AR496" s="64">
        <f>AH496*X496</f>
        <v/>
      </c>
      <c r="AS496" s="64">
        <f>AI496*Y496</f>
        <v/>
      </c>
      <c r="AT496" s="64">
        <f>AJ496*Z496</f>
        <v/>
      </c>
      <c r="AU496" s="64">
        <f>AK496*AA496</f>
        <v/>
      </c>
      <c r="AV496" s="64">
        <f>AL496*AB496</f>
        <v/>
      </c>
      <c r="AW496" s="64">
        <f>AM496*AC496</f>
        <v/>
      </c>
      <c r="AX496" s="64">
        <f>AN496*AD496</f>
        <v/>
      </c>
      <c r="AY496" s="64">
        <f>AO496*AE496</f>
        <v/>
      </c>
      <c r="AZ496" s="64">
        <f>INDEX(Projects[Automation Equipment],495)&amp;""</f>
        <v/>
      </c>
      <c r="BA496" s="64">
        <f>IF(OR(A496="",'Smart Search'!H13=0),"",MAX(0,BE496*BF496*MAX(0,1-BG496)))</f>
        <v/>
      </c>
      <c r="BB496" s="64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4">
        <f>IF('Smart Search'!G13=1,IFERROR(1/'Smart Search'!H13,0),0)</f>
        <v/>
      </c>
      <c r="BD496" s="64">
        <f>BB496*BC496</f>
        <v/>
      </c>
      <c r="BE496" s="64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IF(A496="","",N(INDEX(Projects[Act Mech Inst],495)))</f>
        <v/>
      </c>
      <c r="BK496" s="5">
        <f>IF(A496="","",N(INDEX(Projects[Act Elec Inst],495)))</f>
        <v/>
      </c>
      <c r="BL496" s="5">
        <f>IF(A496="","",N(INDEX(Projects[Act Project Management],495)))</f>
        <v/>
      </c>
      <c r="BM496" s="5">
        <f>IF(A496="","",N(INDEX(Projects[Act Systems Eng],495)))</f>
        <v/>
      </c>
      <c r="BN496" s="5">
        <f>IF(A496="","",N(INDEX(Projects[Act Mechanical Eng],495)))</f>
        <v/>
      </c>
      <c r="BO496" s="5">
        <f>IF(A496="","",N(INDEX(Projects[Act Structural Engineering],495)))</f>
        <v/>
      </c>
      <c r="BP496" s="5">
        <f>IF(A496="","",N(INDEX(Projects[Act Site Sup],495)))</f>
        <v/>
      </c>
      <c r="BQ496" s="5">
        <f>IF(A496="","",N(INDEX(Projects[Act Controls Commissioning],495)))</f>
        <v/>
      </c>
      <c r="BR496" s="5">
        <f>IF(A496="","",N(INDEX(Projects[Act Systems Commissioning],495)))</f>
        <v/>
      </c>
      <c r="BS496" s="5">
        <f>IF(A496="","",N(INDEX(Projects[Act Service Commissioning],495)))</f>
        <v/>
      </c>
      <c r="BT496" s="5">
        <f>IF(A496="","",N(INDEX(Projects[Act Controls Eng],495)))</f>
        <v/>
      </c>
      <c r="BU496" s="5">
        <f>IF(A496="","",N(INDEX(Projects[Act Controls Purchase],495)))</f>
        <v/>
      </c>
      <c r="BV496" s="5">
        <f>IF(A496="","",N(INDEX(Projects[Act Software Eng],495)))</f>
        <v/>
      </c>
      <c r="BW496" s="5">
        <f>IF(A496="","",N(INDEX(Projects[Act 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INDEX(Projects[Sold Value (USD M)],495)</f>
        <v/>
      </c>
      <c r="CE496" s="5" t="n"/>
      <c r="CF496" s="5">
        <f>IF(A496="","",N(INDEX(Projects[Est Mech Inst],495)))</f>
        <v/>
      </c>
      <c r="CG496" s="5">
        <f>IF(A496="","",N(INDEX(Projects[Est Elec Inst],495)))</f>
        <v/>
      </c>
      <c r="CH496" s="5">
        <f>IF(A496="","",N(INDEX(Projects[Est Project Management],495)))</f>
        <v/>
      </c>
      <c r="CI496" s="5">
        <f>IF(A496="","",N(INDEX(Projects[Est Systems Eng],495)))</f>
        <v/>
      </c>
      <c r="CJ496" s="5">
        <f>IF(A496="","",N(INDEX(Projects[Est Mechanical Eng],495)))</f>
        <v/>
      </c>
      <c r="CK496" s="5">
        <f>IF(A496="","",N(INDEX(Projects[Est Structural Engineering],495)))</f>
        <v/>
      </c>
      <c r="CL496" s="5">
        <f>IF(A496="","",N(INDEX(Projects[Est Site Sup],495)))</f>
        <v/>
      </c>
      <c r="CM496" s="5">
        <f>IF(A496="","",N(INDEX(Projects[Est Controls Commissioning],495)))</f>
        <v/>
      </c>
      <c r="CN496" s="5">
        <f>IF(A496="","",N(INDEX(Projects[Est Systems Commissioning],495)))</f>
        <v/>
      </c>
      <c r="CO496" s="5">
        <f>IF(A496="","",N(INDEX(Projects[Est Service Commissioning],495)))</f>
        <v/>
      </c>
      <c r="CP496" s="5">
        <f>IF(A496="","",N(INDEX(Projects[Est Controls Eng],495)))</f>
        <v/>
      </c>
      <c r="CQ496" s="5">
        <f>IF(A496="","",N(INDEX(Projects[Est Controls Purchase],495)))</f>
        <v/>
      </c>
      <c r="CR496" s="5">
        <f>IF(A496="","",N(INDEX(Projects[Est Software Eng],495)))</f>
        <v/>
      </c>
      <c r="CS496" s="5">
        <f>IF(A496="","",N(INDEX(Projects[Est Misc],495)))</f>
        <v/>
      </c>
      <c r="CT496" s="5">
        <f>IF(A496="","",SUM(CF496:CS496))</f>
        <v/>
      </c>
      <c r="CU496" s="5">
        <f>INDEX(Projects[Est Cost (M)],495)</f>
        <v/>
      </c>
      <c r="CV496" s="5">
        <f>INDEX(Projects[Act Cost (M)],495)</f>
        <v/>
      </c>
      <c r="CW496" s="5">
        <f>INDEX(Projects[Plan Mech Eng (wks)],495)</f>
        <v/>
      </c>
      <c r="CX496" s="5">
        <f>INDEX(Projects[Plan Controls Eng (wks)],495)</f>
        <v/>
      </c>
      <c r="CY496" s="5">
        <f>INDEX(Projects[Plan Systems Eng (wks)],495)</f>
        <v/>
      </c>
      <c r="CZ496" s="5">
        <f>INDEX(Projects[Plan Software Eng (wks)],495)</f>
        <v/>
      </c>
      <c r="DA496" s="5">
        <f>INDEX(Projects[Plan M&amp;E Installation (wks)],495)</f>
        <v/>
      </c>
      <c r="DB496" s="5">
        <f>INDEX(Projects[Plan Commissioning (wks)],495)</f>
        <v/>
      </c>
      <c r="DC496" s="5">
        <f>INDEX(Projects[Plan Total (wks)],495)</f>
        <v/>
      </c>
      <c r="DD496" s="5">
        <f>INDEX(Projects[Act Mech Eng (wks)],495)</f>
        <v/>
      </c>
      <c r="DE496" s="5">
        <f>INDEX(Projects[Act Controls Eng (wks)],495)</f>
        <v/>
      </c>
      <c r="DF496" s="5">
        <f>INDEX(Projects[Act Systems Eng (wks)],495)</f>
        <v/>
      </c>
      <c r="DG496" s="5">
        <f>INDEX(Projects[Act Software Eng (wks)],495)</f>
        <v/>
      </c>
      <c r="DH496" s="5">
        <f>INDEX(Projects[Act M&amp;E Installation (wks)],495)</f>
        <v/>
      </c>
      <c r="DI496" s="5">
        <f>INDEX(Projects[Act Commissioning (wks)],495)</f>
        <v/>
      </c>
      <c r="DJ496" s="5">
        <f>INDEX(Projects[Act Total (wks)],495)</f>
        <v/>
      </c>
    </row>
    <row r="497" ht="15" customHeight="1" s="82">
      <c r="A497" s="64">
        <f>INDEX(Projects[Project ID *],496)&amp;""</f>
        <v/>
      </c>
      <c r="B497" s="64">
        <f>INDEX(Projects[Project Name *],496)&amp;""</f>
        <v/>
      </c>
      <c r="C497" s="64">
        <f>INDEX(Projects[MS Shuttles],496)</f>
        <v/>
      </c>
      <c r="D497" s="64">
        <f>INDEX(Projects[MS Tote Locations],496)</f>
        <v/>
      </c>
      <c r="E497" s="64">
        <f>INDEX(Projects[AS Robots],496)</f>
        <v/>
      </c>
      <c r="F497" s="64">
        <f>INDEX(Projects[AS Tote Locations],496)</f>
        <v/>
      </c>
      <c r="G497" s="64">
        <f>INDEX(Projects[PS Shuttles],496)</f>
        <v/>
      </c>
      <c r="H497" s="64">
        <f>INDEX(Projects[PS Pallet Locations],496)</f>
        <v/>
      </c>
      <c r="I497" s="64">
        <f>INDEX(Projects[SRM Cranes],496)</f>
        <v/>
      </c>
      <c r="J497" s="64">
        <f>INDEX(Projects[SRM Pallet Locations],496)</f>
        <v/>
      </c>
      <c r="K497" s="64">
        <f>INDEX(Projects[Case Conv (m)],496)</f>
        <v/>
      </c>
      <c r="L497" s="64">
        <f>INDEX(Projects[Pallet Conv (m)],496)</f>
        <v/>
      </c>
      <c r="M497" s="64">
        <f>IF(N(DJ497)&gt;0,DD497,CW497)</f>
        <v/>
      </c>
      <c r="N497" s="64">
        <f>IF(N(DJ497)&gt;0,DE497,CX497)</f>
        <v/>
      </c>
      <c r="O497" s="64">
        <f>IF(N(DJ497)&gt;0,DF497,CY497)</f>
        <v/>
      </c>
      <c r="P497" s="64">
        <f>IF(N(DJ497)&gt;0,DG497,CZ497)</f>
        <v/>
      </c>
      <c r="Q497" s="64">
        <f>IF(N(DJ497)&gt;0,DH497,DA497)</f>
        <v/>
      </c>
      <c r="R497" s="64">
        <f>IF(N(DJ497)&gt;0,DI497,DB497)</f>
        <v/>
      </c>
      <c r="S497" s="64">
        <f>IF(N(DJ497)&gt;0,DJ497,DC497)</f>
        <v/>
      </c>
      <c r="T497" s="64">
        <f>INDEX(Projects[Currency],496)&amp;""</f>
        <v/>
      </c>
      <c r="U497" s="65">
        <f>INDEX(Projects[Sold Value (M)],496)</f>
        <v/>
      </c>
      <c r="V497" s="64">
        <f>IF('Smart Search'!B13=1,IFERROR(1/'Smart Search'!H13,0),0)</f>
        <v/>
      </c>
      <c r="W497" s="64">
        <f>IF('Smart Search'!B13=1,IFERROR(1/'Smart Search'!H13,0),0)</f>
        <v/>
      </c>
      <c r="X497" s="64">
        <f>IF('Smart Search'!C13=1,IFERROR(1/'Smart Search'!H13,0),0)</f>
        <v/>
      </c>
      <c r="Y497" s="64">
        <f>IF('Smart Search'!C13=1,IFERROR(1/'Smart Search'!H13,0),0)</f>
        <v/>
      </c>
      <c r="Z497" s="64">
        <f>IF('Smart Search'!D13=1,IFERROR(1/'Smart Search'!H13,0),0)</f>
        <v/>
      </c>
      <c r="AA497" s="64">
        <f>IF('Smart Search'!D13=1,IFERROR(1/'Smart Search'!H13,0),0)</f>
        <v/>
      </c>
      <c r="AB497" s="64">
        <f>IF('Smart Search'!E13=1,IFERROR(1/'Smart Search'!H13,0),0)</f>
        <v/>
      </c>
      <c r="AC497" s="64">
        <f>IF('Smart Search'!E13=1,IFERROR(1/'Smart Search'!H13,0),0)</f>
        <v/>
      </c>
      <c r="AD497" s="64">
        <f>IF('Smart Search'!F13=1,IFERROR(1/'Smart Search'!H13,0),0)</f>
        <v/>
      </c>
      <c r="AE497" s="64">
        <f>IF('Smart Search'!F13=1,IFERROR(1/'Smart Search'!H13,0),0)</f>
        <v/>
      </c>
      <c r="AF497" s="64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4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4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4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4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4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4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4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4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4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4">
        <f>AF497*V497</f>
        <v/>
      </c>
      <c r="AQ497" s="64">
        <f>AG497*W497</f>
        <v/>
      </c>
      <c r="AR497" s="64">
        <f>AH497*X497</f>
        <v/>
      </c>
      <c r="AS497" s="64">
        <f>AI497*Y497</f>
        <v/>
      </c>
      <c r="AT497" s="64">
        <f>AJ497*Z497</f>
        <v/>
      </c>
      <c r="AU497" s="64">
        <f>AK497*AA497</f>
        <v/>
      </c>
      <c r="AV497" s="64">
        <f>AL497*AB497</f>
        <v/>
      </c>
      <c r="AW497" s="64">
        <f>AM497*AC497</f>
        <v/>
      </c>
      <c r="AX497" s="64">
        <f>AN497*AD497</f>
        <v/>
      </c>
      <c r="AY497" s="64">
        <f>AO497*AE497</f>
        <v/>
      </c>
      <c r="AZ497" s="64">
        <f>INDEX(Projects[Automation Equipment],496)&amp;""</f>
        <v/>
      </c>
      <c r="BA497" s="64">
        <f>IF(OR(A497="",'Smart Search'!H13=0),"",MAX(0,BE497*BF497*MAX(0,1-BG497)))</f>
        <v/>
      </c>
      <c r="BB497" s="64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4">
        <f>IF('Smart Search'!G13=1,IFERROR(1/'Smart Search'!H13,0),0)</f>
        <v/>
      </c>
      <c r="BD497" s="64">
        <f>BB497*BC497</f>
        <v/>
      </c>
      <c r="BE497" s="64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IF(A497="","",N(INDEX(Projects[Act Mech Inst],496)))</f>
        <v/>
      </c>
      <c r="BK497" s="5">
        <f>IF(A497="","",N(INDEX(Projects[Act Elec Inst],496)))</f>
        <v/>
      </c>
      <c r="BL497" s="5">
        <f>IF(A497="","",N(INDEX(Projects[Act Project Management],496)))</f>
        <v/>
      </c>
      <c r="BM497" s="5">
        <f>IF(A497="","",N(INDEX(Projects[Act Systems Eng],496)))</f>
        <v/>
      </c>
      <c r="BN497" s="5">
        <f>IF(A497="","",N(INDEX(Projects[Act Mechanical Eng],496)))</f>
        <v/>
      </c>
      <c r="BO497" s="5">
        <f>IF(A497="","",N(INDEX(Projects[Act Structural Engineering],496)))</f>
        <v/>
      </c>
      <c r="BP497" s="5">
        <f>IF(A497="","",N(INDEX(Projects[Act Site Sup],496)))</f>
        <v/>
      </c>
      <c r="BQ497" s="5">
        <f>IF(A497="","",N(INDEX(Projects[Act Controls Commissioning],496)))</f>
        <v/>
      </c>
      <c r="BR497" s="5">
        <f>IF(A497="","",N(INDEX(Projects[Act Systems Commissioning],496)))</f>
        <v/>
      </c>
      <c r="BS497" s="5">
        <f>IF(A497="","",N(INDEX(Projects[Act Service Commissioning],496)))</f>
        <v/>
      </c>
      <c r="BT497" s="5">
        <f>IF(A497="","",N(INDEX(Projects[Act Controls Eng],496)))</f>
        <v/>
      </c>
      <c r="BU497" s="5">
        <f>IF(A497="","",N(INDEX(Projects[Act Controls Purchase],496)))</f>
        <v/>
      </c>
      <c r="BV497" s="5">
        <f>IF(A497="","",N(INDEX(Projects[Act Software Eng],496)))</f>
        <v/>
      </c>
      <c r="BW497" s="5">
        <f>IF(A497="","",N(INDEX(Projects[Act 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INDEX(Projects[Sold Value (USD M)],496)</f>
        <v/>
      </c>
      <c r="CE497" s="5" t="n"/>
      <c r="CF497" s="5">
        <f>IF(A497="","",N(INDEX(Projects[Est Mech Inst],496)))</f>
        <v/>
      </c>
      <c r="CG497" s="5">
        <f>IF(A497="","",N(INDEX(Projects[Est Elec Inst],496)))</f>
        <v/>
      </c>
      <c r="CH497" s="5">
        <f>IF(A497="","",N(INDEX(Projects[Est Project Management],496)))</f>
        <v/>
      </c>
      <c r="CI497" s="5">
        <f>IF(A497="","",N(INDEX(Projects[Est Systems Eng],496)))</f>
        <v/>
      </c>
      <c r="CJ497" s="5">
        <f>IF(A497="","",N(INDEX(Projects[Est Mechanical Eng],496)))</f>
        <v/>
      </c>
      <c r="CK497" s="5">
        <f>IF(A497="","",N(INDEX(Projects[Est Structural Engineering],496)))</f>
        <v/>
      </c>
      <c r="CL497" s="5">
        <f>IF(A497="","",N(INDEX(Projects[Est Site Sup],496)))</f>
        <v/>
      </c>
      <c r="CM497" s="5">
        <f>IF(A497="","",N(INDEX(Projects[Est Controls Commissioning],496)))</f>
        <v/>
      </c>
      <c r="CN497" s="5">
        <f>IF(A497="","",N(INDEX(Projects[Est Systems Commissioning],496)))</f>
        <v/>
      </c>
      <c r="CO497" s="5">
        <f>IF(A497="","",N(INDEX(Projects[Est Service Commissioning],496)))</f>
        <v/>
      </c>
      <c r="CP497" s="5">
        <f>IF(A497="","",N(INDEX(Projects[Est Controls Eng],496)))</f>
        <v/>
      </c>
      <c r="CQ497" s="5">
        <f>IF(A497="","",N(INDEX(Projects[Est Controls Purchase],496)))</f>
        <v/>
      </c>
      <c r="CR497" s="5">
        <f>IF(A497="","",N(INDEX(Projects[Est Software Eng],496)))</f>
        <v/>
      </c>
      <c r="CS497" s="5">
        <f>IF(A497="","",N(INDEX(Projects[Est Misc],496)))</f>
        <v/>
      </c>
      <c r="CT497" s="5">
        <f>IF(A497="","",SUM(CF497:CS497))</f>
        <v/>
      </c>
      <c r="CU497" s="5">
        <f>INDEX(Projects[Est Cost (M)],496)</f>
        <v/>
      </c>
      <c r="CV497" s="5">
        <f>INDEX(Projects[Act Cost (M)],496)</f>
        <v/>
      </c>
      <c r="CW497" s="5">
        <f>INDEX(Projects[Plan Mech Eng (wks)],496)</f>
        <v/>
      </c>
      <c r="CX497" s="5">
        <f>INDEX(Projects[Plan Controls Eng (wks)],496)</f>
        <v/>
      </c>
      <c r="CY497" s="5">
        <f>INDEX(Projects[Plan Systems Eng (wks)],496)</f>
        <v/>
      </c>
      <c r="CZ497" s="5">
        <f>INDEX(Projects[Plan Software Eng (wks)],496)</f>
        <v/>
      </c>
      <c r="DA497" s="5">
        <f>INDEX(Projects[Plan M&amp;E Installation (wks)],496)</f>
        <v/>
      </c>
      <c r="DB497" s="5">
        <f>INDEX(Projects[Plan Commissioning (wks)],496)</f>
        <v/>
      </c>
      <c r="DC497" s="5">
        <f>INDEX(Projects[Plan Total (wks)],496)</f>
        <v/>
      </c>
      <c r="DD497" s="5">
        <f>INDEX(Projects[Act Mech Eng (wks)],496)</f>
        <v/>
      </c>
      <c r="DE497" s="5">
        <f>INDEX(Projects[Act Controls Eng (wks)],496)</f>
        <v/>
      </c>
      <c r="DF497" s="5">
        <f>INDEX(Projects[Act Systems Eng (wks)],496)</f>
        <v/>
      </c>
      <c r="DG497" s="5">
        <f>INDEX(Projects[Act Software Eng (wks)],496)</f>
        <v/>
      </c>
      <c r="DH497" s="5">
        <f>INDEX(Projects[Act M&amp;E Installation (wks)],496)</f>
        <v/>
      </c>
      <c r="DI497" s="5">
        <f>INDEX(Projects[Act Commissioning (wks)],496)</f>
        <v/>
      </c>
      <c r="DJ497" s="5">
        <f>INDEX(Projects[Act Total (wks)],496)</f>
        <v/>
      </c>
    </row>
    <row r="498" ht="15" customHeight="1" s="82">
      <c r="A498" s="64">
        <f>INDEX(Projects[Project ID *],497)&amp;""</f>
        <v/>
      </c>
      <c r="B498" s="64">
        <f>INDEX(Projects[Project Name *],497)&amp;""</f>
        <v/>
      </c>
      <c r="C498" s="64">
        <f>INDEX(Projects[MS Shuttles],497)</f>
        <v/>
      </c>
      <c r="D498" s="64">
        <f>INDEX(Projects[MS Tote Locations],497)</f>
        <v/>
      </c>
      <c r="E498" s="64">
        <f>INDEX(Projects[AS Robots],497)</f>
        <v/>
      </c>
      <c r="F498" s="64">
        <f>INDEX(Projects[AS Tote Locations],497)</f>
        <v/>
      </c>
      <c r="G498" s="64">
        <f>INDEX(Projects[PS Shuttles],497)</f>
        <v/>
      </c>
      <c r="H498" s="64">
        <f>INDEX(Projects[PS Pallet Locations],497)</f>
        <v/>
      </c>
      <c r="I498" s="64">
        <f>INDEX(Projects[SRM Cranes],497)</f>
        <v/>
      </c>
      <c r="J498" s="64">
        <f>INDEX(Projects[SRM Pallet Locations],497)</f>
        <v/>
      </c>
      <c r="K498" s="64">
        <f>INDEX(Projects[Case Conv (m)],497)</f>
        <v/>
      </c>
      <c r="L498" s="64">
        <f>INDEX(Projects[Pallet Conv (m)],497)</f>
        <v/>
      </c>
      <c r="M498" s="64">
        <f>IF(N(DJ498)&gt;0,DD498,CW498)</f>
        <v/>
      </c>
      <c r="N498" s="64">
        <f>IF(N(DJ498)&gt;0,DE498,CX498)</f>
        <v/>
      </c>
      <c r="O498" s="64">
        <f>IF(N(DJ498)&gt;0,DF498,CY498)</f>
        <v/>
      </c>
      <c r="P498" s="64">
        <f>IF(N(DJ498)&gt;0,DG498,CZ498)</f>
        <v/>
      </c>
      <c r="Q498" s="64">
        <f>IF(N(DJ498)&gt;0,DH498,DA498)</f>
        <v/>
      </c>
      <c r="R498" s="64">
        <f>IF(N(DJ498)&gt;0,DI498,DB498)</f>
        <v/>
      </c>
      <c r="S498" s="64">
        <f>IF(N(DJ498)&gt;0,DJ498,DC498)</f>
        <v/>
      </c>
      <c r="T498" s="64">
        <f>INDEX(Projects[Currency],497)&amp;""</f>
        <v/>
      </c>
      <c r="U498" s="65">
        <f>INDEX(Projects[Sold Value (M)],497)</f>
        <v/>
      </c>
      <c r="V498" s="64">
        <f>IF('Smart Search'!B13=1,IFERROR(1/'Smart Search'!H13,0),0)</f>
        <v/>
      </c>
      <c r="W498" s="64">
        <f>IF('Smart Search'!B13=1,IFERROR(1/'Smart Search'!H13,0),0)</f>
        <v/>
      </c>
      <c r="X498" s="64">
        <f>IF('Smart Search'!C13=1,IFERROR(1/'Smart Search'!H13,0),0)</f>
        <v/>
      </c>
      <c r="Y498" s="64">
        <f>IF('Smart Search'!C13=1,IFERROR(1/'Smart Search'!H13,0),0)</f>
        <v/>
      </c>
      <c r="Z498" s="64">
        <f>IF('Smart Search'!D13=1,IFERROR(1/'Smart Search'!H13,0),0)</f>
        <v/>
      </c>
      <c r="AA498" s="64">
        <f>IF('Smart Search'!D13=1,IFERROR(1/'Smart Search'!H13,0),0)</f>
        <v/>
      </c>
      <c r="AB498" s="64">
        <f>IF('Smart Search'!E13=1,IFERROR(1/'Smart Search'!H13,0),0)</f>
        <v/>
      </c>
      <c r="AC498" s="64">
        <f>IF('Smart Search'!E13=1,IFERROR(1/'Smart Search'!H13,0),0)</f>
        <v/>
      </c>
      <c r="AD498" s="64">
        <f>IF('Smart Search'!F13=1,IFERROR(1/'Smart Search'!H13,0),0)</f>
        <v/>
      </c>
      <c r="AE498" s="64">
        <f>IF('Smart Search'!F13=1,IFERROR(1/'Smart Search'!H13,0),0)</f>
        <v/>
      </c>
      <c r="AF498" s="64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4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4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4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4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4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4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4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4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4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4">
        <f>AF498*V498</f>
        <v/>
      </c>
      <c r="AQ498" s="64">
        <f>AG498*W498</f>
        <v/>
      </c>
      <c r="AR498" s="64">
        <f>AH498*X498</f>
        <v/>
      </c>
      <c r="AS498" s="64">
        <f>AI498*Y498</f>
        <v/>
      </c>
      <c r="AT498" s="64">
        <f>AJ498*Z498</f>
        <v/>
      </c>
      <c r="AU498" s="64">
        <f>AK498*AA498</f>
        <v/>
      </c>
      <c r="AV498" s="64">
        <f>AL498*AB498</f>
        <v/>
      </c>
      <c r="AW498" s="64">
        <f>AM498*AC498</f>
        <v/>
      </c>
      <c r="AX498" s="64">
        <f>AN498*AD498</f>
        <v/>
      </c>
      <c r="AY498" s="64">
        <f>AO498*AE498</f>
        <v/>
      </c>
      <c r="AZ498" s="64">
        <f>INDEX(Projects[Automation Equipment],497)&amp;""</f>
        <v/>
      </c>
      <c r="BA498" s="64">
        <f>IF(OR(A498="",'Smart Search'!H13=0),"",MAX(0,BE498*BF498*MAX(0,1-BG498)))</f>
        <v/>
      </c>
      <c r="BB498" s="64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4">
        <f>IF('Smart Search'!G13=1,IFERROR(1/'Smart Search'!H13,0),0)</f>
        <v/>
      </c>
      <c r="BD498" s="64">
        <f>BB498*BC498</f>
        <v/>
      </c>
      <c r="BE498" s="64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IF(A498="","",N(INDEX(Projects[Act Mech Inst],497)))</f>
        <v/>
      </c>
      <c r="BK498" s="5">
        <f>IF(A498="","",N(INDEX(Projects[Act Elec Inst],497)))</f>
        <v/>
      </c>
      <c r="BL498" s="5">
        <f>IF(A498="","",N(INDEX(Projects[Act Project Management],497)))</f>
        <v/>
      </c>
      <c r="BM498" s="5">
        <f>IF(A498="","",N(INDEX(Projects[Act Systems Eng],497)))</f>
        <v/>
      </c>
      <c r="BN498" s="5">
        <f>IF(A498="","",N(INDEX(Projects[Act Mechanical Eng],497)))</f>
        <v/>
      </c>
      <c r="BO498" s="5">
        <f>IF(A498="","",N(INDEX(Projects[Act Structural Engineering],497)))</f>
        <v/>
      </c>
      <c r="BP498" s="5">
        <f>IF(A498="","",N(INDEX(Projects[Act Site Sup],497)))</f>
        <v/>
      </c>
      <c r="BQ498" s="5">
        <f>IF(A498="","",N(INDEX(Projects[Act Controls Commissioning],497)))</f>
        <v/>
      </c>
      <c r="BR498" s="5">
        <f>IF(A498="","",N(INDEX(Projects[Act Systems Commissioning],497)))</f>
        <v/>
      </c>
      <c r="BS498" s="5">
        <f>IF(A498="","",N(INDEX(Projects[Act Service Commissioning],497)))</f>
        <v/>
      </c>
      <c r="BT498" s="5">
        <f>IF(A498="","",N(INDEX(Projects[Act Controls Eng],497)))</f>
        <v/>
      </c>
      <c r="BU498" s="5">
        <f>IF(A498="","",N(INDEX(Projects[Act Controls Purchase],497)))</f>
        <v/>
      </c>
      <c r="BV498" s="5">
        <f>IF(A498="","",N(INDEX(Projects[Act Software Eng],497)))</f>
        <v/>
      </c>
      <c r="BW498" s="5">
        <f>IF(A498="","",N(INDEX(Projects[Act 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INDEX(Projects[Sold Value (USD M)],497)</f>
        <v/>
      </c>
      <c r="CE498" s="5" t="n"/>
      <c r="CF498" s="5">
        <f>IF(A498="","",N(INDEX(Projects[Est Mech Inst],497)))</f>
        <v/>
      </c>
      <c r="CG498" s="5">
        <f>IF(A498="","",N(INDEX(Projects[Est Elec Inst],497)))</f>
        <v/>
      </c>
      <c r="CH498" s="5">
        <f>IF(A498="","",N(INDEX(Projects[Est Project Management],497)))</f>
        <v/>
      </c>
      <c r="CI498" s="5">
        <f>IF(A498="","",N(INDEX(Projects[Est Systems Eng],497)))</f>
        <v/>
      </c>
      <c r="CJ498" s="5">
        <f>IF(A498="","",N(INDEX(Projects[Est Mechanical Eng],497)))</f>
        <v/>
      </c>
      <c r="CK498" s="5">
        <f>IF(A498="","",N(INDEX(Projects[Est Structural Engineering],497)))</f>
        <v/>
      </c>
      <c r="CL498" s="5">
        <f>IF(A498="","",N(INDEX(Projects[Est Site Sup],497)))</f>
        <v/>
      </c>
      <c r="CM498" s="5">
        <f>IF(A498="","",N(INDEX(Projects[Est Controls Commissioning],497)))</f>
        <v/>
      </c>
      <c r="CN498" s="5">
        <f>IF(A498="","",N(INDEX(Projects[Est Systems Commissioning],497)))</f>
        <v/>
      </c>
      <c r="CO498" s="5">
        <f>IF(A498="","",N(INDEX(Projects[Est Service Commissioning],497)))</f>
        <v/>
      </c>
      <c r="CP498" s="5">
        <f>IF(A498="","",N(INDEX(Projects[Est Controls Eng],497)))</f>
        <v/>
      </c>
      <c r="CQ498" s="5">
        <f>IF(A498="","",N(INDEX(Projects[Est Controls Purchase],497)))</f>
        <v/>
      </c>
      <c r="CR498" s="5">
        <f>IF(A498="","",N(INDEX(Projects[Est Software Eng],497)))</f>
        <v/>
      </c>
      <c r="CS498" s="5">
        <f>IF(A498="","",N(INDEX(Projects[Est Misc],497)))</f>
        <v/>
      </c>
      <c r="CT498" s="5">
        <f>IF(A498="","",SUM(CF498:CS498))</f>
        <v/>
      </c>
      <c r="CU498" s="5">
        <f>INDEX(Projects[Est Cost (M)],497)</f>
        <v/>
      </c>
      <c r="CV498" s="5">
        <f>INDEX(Projects[Act Cost (M)],497)</f>
        <v/>
      </c>
      <c r="CW498" s="5">
        <f>INDEX(Projects[Plan Mech Eng (wks)],497)</f>
        <v/>
      </c>
      <c r="CX498" s="5">
        <f>INDEX(Projects[Plan Controls Eng (wks)],497)</f>
        <v/>
      </c>
      <c r="CY498" s="5">
        <f>INDEX(Projects[Plan Systems Eng (wks)],497)</f>
        <v/>
      </c>
      <c r="CZ498" s="5">
        <f>INDEX(Projects[Plan Software Eng (wks)],497)</f>
        <v/>
      </c>
      <c r="DA498" s="5">
        <f>INDEX(Projects[Plan M&amp;E Installation (wks)],497)</f>
        <v/>
      </c>
      <c r="DB498" s="5">
        <f>INDEX(Projects[Plan Commissioning (wks)],497)</f>
        <v/>
      </c>
      <c r="DC498" s="5">
        <f>INDEX(Projects[Plan Total (wks)],497)</f>
        <v/>
      </c>
      <c r="DD498" s="5">
        <f>INDEX(Projects[Act Mech Eng (wks)],497)</f>
        <v/>
      </c>
      <c r="DE498" s="5">
        <f>INDEX(Projects[Act Controls Eng (wks)],497)</f>
        <v/>
      </c>
      <c r="DF498" s="5">
        <f>INDEX(Projects[Act Systems Eng (wks)],497)</f>
        <v/>
      </c>
      <c r="DG498" s="5">
        <f>INDEX(Projects[Act Software Eng (wks)],497)</f>
        <v/>
      </c>
      <c r="DH498" s="5">
        <f>INDEX(Projects[Act M&amp;E Installation (wks)],497)</f>
        <v/>
      </c>
      <c r="DI498" s="5">
        <f>INDEX(Projects[Act Commissioning (wks)],497)</f>
        <v/>
      </c>
      <c r="DJ498" s="5">
        <f>INDEX(Projects[Act Total (wks)],497)</f>
        <v/>
      </c>
    </row>
    <row r="499" ht="15" customHeight="1" s="82">
      <c r="A499" s="64">
        <f>INDEX(Projects[Project ID *],498)&amp;""</f>
        <v/>
      </c>
      <c r="B499" s="64">
        <f>INDEX(Projects[Project Name *],498)&amp;""</f>
        <v/>
      </c>
      <c r="C499" s="64">
        <f>INDEX(Projects[MS Shuttles],498)</f>
        <v/>
      </c>
      <c r="D499" s="64">
        <f>INDEX(Projects[MS Tote Locations],498)</f>
        <v/>
      </c>
      <c r="E499" s="64">
        <f>INDEX(Projects[AS Robots],498)</f>
        <v/>
      </c>
      <c r="F499" s="64">
        <f>INDEX(Projects[AS Tote Locations],498)</f>
        <v/>
      </c>
      <c r="G499" s="64">
        <f>INDEX(Projects[PS Shuttles],498)</f>
        <v/>
      </c>
      <c r="H499" s="64">
        <f>INDEX(Projects[PS Pallet Locations],498)</f>
        <v/>
      </c>
      <c r="I499" s="64">
        <f>INDEX(Projects[SRM Cranes],498)</f>
        <v/>
      </c>
      <c r="J499" s="64">
        <f>INDEX(Projects[SRM Pallet Locations],498)</f>
        <v/>
      </c>
      <c r="K499" s="64">
        <f>INDEX(Projects[Case Conv (m)],498)</f>
        <v/>
      </c>
      <c r="L499" s="64">
        <f>INDEX(Projects[Pallet Conv (m)],498)</f>
        <v/>
      </c>
      <c r="M499" s="64">
        <f>IF(N(DJ499)&gt;0,DD499,CW499)</f>
        <v/>
      </c>
      <c r="N499" s="64">
        <f>IF(N(DJ499)&gt;0,DE499,CX499)</f>
        <v/>
      </c>
      <c r="O499" s="64">
        <f>IF(N(DJ499)&gt;0,DF499,CY499)</f>
        <v/>
      </c>
      <c r="P499" s="64">
        <f>IF(N(DJ499)&gt;0,DG499,CZ499)</f>
        <v/>
      </c>
      <c r="Q499" s="64">
        <f>IF(N(DJ499)&gt;0,DH499,DA499)</f>
        <v/>
      </c>
      <c r="R499" s="64">
        <f>IF(N(DJ499)&gt;0,DI499,DB499)</f>
        <v/>
      </c>
      <c r="S499" s="64">
        <f>IF(N(DJ499)&gt;0,DJ499,DC499)</f>
        <v/>
      </c>
      <c r="T499" s="64">
        <f>INDEX(Projects[Currency],498)&amp;""</f>
        <v/>
      </c>
      <c r="U499" s="65">
        <f>INDEX(Projects[Sold Value (M)],498)</f>
        <v/>
      </c>
      <c r="V499" s="64">
        <f>IF('Smart Search'!B13=1,IFERROR(1/'Smart Search'!H13,0),0)</f>
        <v/>
      </c>
      <c r="W499" s="64">
        <f>IF('Smart Search'!B13=1,IFERROR(1/'Smart Search'!H13,0),0)</f>
        <v/>
      </c>
      <c r="X499" s="64">
        <f>IF('Smart Search'!C13=1,IFERROR(1/'Smart Search'!H13,0),0)</f>
        <v/>
      </c>
      <c r="Y499" s="64">
        <f>IF('Smart Search'!C13=1,IFERROR(1/'Smart Search'!H13,0),0)</f>
        <v/>
      </c>
      <c r="Z499" s="64">
        <f>IF('Smart Search'!D13=1,IFERROR(1/'Smart Search'!H13,0),0)</f>
        <v/>
      </c>
      <c r="AA499" s="64">
        <f>IF('Smart Search'!D13=1,IFERROR(1/'Smart Search'!H13,0),0)</f>
        <v/>
      </c>
      <c r="AB499" s="64">
        <f>IF('Smart Search'!E13=1,IFERROR(1/'Smart Search'!H13,0),0)</f>
        <v/>
      </c>
      <c r="AC499" s="64">
        <f>IF('Smart Search'!E13=1,IFERROR(1/'Smart Search'!H13,0),0)</f>
        <v/>
      </c>
      <c r="AD499" s="64">
        <f>IF('Smart Search'!F13=1,IFERROR(1/'Smart Search'!H13,0),0)</f>
        <v/>
      </c>
      <c r="AE499" s="64">
        <f>IF('Smart Search'!F13=1,IFERROR(1/'Smart Search'!H13,0),0)</f>
        <v/>
      </c>
      <c r="AF499" s="64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4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4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4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4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4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4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4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4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4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4">
        <f>AF499*V499</f>
        <v/>
      </c>
      <c r="AQ499" s="64">
        <f>AG499*W499</f>
        <v/>
      </c>
      <c r="AR499" s="64">
        <f>AH499*X499</f>
        <v/>
      </c>
      <c r="AS499" s="64">
        <f>AI499*Y499</f>
        <v/>
      </c>
      <c r="AT499" s="64">
        <f>AJ499*Z499</f>
        <v/>
      </c>
      <c r="AU499" s="64">
        <f>AK499*AA499</f>
        <v/>
      </c>
      <c r="AV499" s="64">
        <f>AL499*AB499</f>
        <v/>
      </c>
      <c r="AW499" s="64">
        <f>AM499*AC499</f>
        <v/>
      </c>
      <c r="AX499" s="64">
        <f>AN499*AD499</f>
        <v/>
      </c>
      <c r="AY499" s="64">
        <f>AO499*AE499</f>
        <v/>
      </c>
      <c r="AZ499" s="64">
        <f>INDEX(Projects[Automation Equipment],498)&amp;""</f>
        <v/>
      </c>
      <c r="BA499" s="64">
        <f>IF(OR(A499="",'Smart Search'!H13=0),"",MAX(0,BE499*BF499*MAX(0,1-BG499)))</f>
        <v/>
      </c>
      <c r="BB499" s="64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4">
        <f>IF('Smart Search'!G13=1,IFERROR(1/'Smart Search'!H13,0),0)</f>
        <v/>
      </c>
      <c r="BD499" s="64">
        <f>BB499*BC499</f>
        <v/>
      </c>
      <c r="BE499" s="64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IF(A499="","",N(INDEX(Projects[Act Mech Inst],498)))</f>
        <v/>
      </c>
      <c r="BK499" s="5">
        <f>IF(A499="","",N(INDEX(Projects[Act Elec Inst],498)))</f>
        <v/>
      </c>
      <c r="BL499" s="5">
        <f>IF(A499="","",N(INDEX(Projects[Act Project Management],498)))</f>
        <v/>
      </c>
      <c r="BM499" s="5">
        <f>IF(A499="","",N(INDEX(Projects[Act Systems Eng],498)))</f>
        <v/>
      </c>
      <c r="BN499" s="5">
        <f>IF(A499="","",N(INDEX(Projects[Act Mechanical Eng],498)))</f>
        <v/>
      </c>
      <c r="BO499" s="5">
        <f>IF(A499="","",N(INDEX(Projects[Act Structural Engineering],498)))</f>
        <v/>
      </c>
      <c r="BP499" s="5">
        <f>IF(A499="","",N(INDEX(Projects[Act Site Sup],498)))</f>
        <v/>
      </c>
      <c r="BQ499" s="5">
        <f>IF(A499="","",N(INDEX(Projects[Act Controls Commissioning],498)))</f>
        <v/>
      </c>
      <c r="BR499" s="5">
        <f>IF(A499="","",N(INDEX(Projects[Act Systems Commissioning],498)))</f>
        <v/>
      </c>
      <c r="BS499" s="5">
        <f>IF(A499="","",N(INDEX(Projects[Act Service Commissioning],498)))</f>
        <v/>
      </c>
      <c r="BT499" s="5">
        <f>IF(A499="","",N(INDEX(Projects[Act Controls Eng],498)))</f>
        <v/>
      </c>
      <c r="BU499" s="5">
        <f>IF(A499="","",N(INDEX(Projects[Act Controls Purchase],498)))</f>
        <v/>
      </c>
      <c r="BV499" s="5">
        <f>IF(A499="","",N(INDEX(Projects[Act Software Eng],498)))</f>
        <v/>
      </c>
      <c r="BW499" s="5">
        <f>IF(A499="","",N(INDEX(Projects[Act 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INDEX(Projects[Sold Value (USD M)],498)</f>
        <v/>
      </c>
      <c r="CE499" s="5" t="n"/>
      <c r="CF499" s="5">
        <f>IF(A499="","",N(INDEX(Projects[Est Mech Inst],498)))</f>
        <v/>
      </c>
      <c r="CG499" s="5">
        <f>IF(A499="","",N(INDEX(Projects[Est Elec Inst],498)))</f>
        <v/>
      </c>
      <c r="CH499" s="5">
        <f>IF(A499="","",N(INDEX(Projects[Est Project Management],498)))</f>
        <v/>
      </c>
      <c r="CI499" s="5">
        <f>IF(A499="","",N(INDEX(Projects[Est Systems Eng],498)))</f>
        <v/>
      </c>
      <c r="CJ499" s="5">
        <f>IF(A499="","",N(INDEX(Projects[Est Mechanical Eng],498)))</f>
        <v/>
      </c>
      <c r="CK499" s="5">
        <f>IF(A499="","",N(INDEX(Projects[Est Structural Engineering],498)))</f>
        <v/>
      </c>
      <c r="CL499" s="5">
        <f>IF(A499="","",N(INDEX(Projects[Est Site Sup],498)))</f>
        <v/>
      </c>
      <c r="CM499" s="5">
        <f>IF(A499="","",N(INDEX(Projects[Est Controls Commissioning],498)))</f>
        <v/>
      </c>
      <c r="CN499" s="5">
        <f>IF(A499="","",N(INDEX(Projects[Est Systems Commissioning],498)))</f>
        <v/>
      </c>
      <c r="CO499" s="5">
        <f>IF(A499="","",N(INDEX(Projects[Est Service Commissioning],498)))</f>
        <v/>
      </c>
      <c r="CP499" s="5">
        <f>IF(A499="","",N(INDEX(Projects[Est Controls Eng],498)))</f>
        <v/>
      </c>
      <c r="CQ499" s="5">
        <f>IF(A499="","",N(INDEX(Projects[Est Controls Purchase],498)))</f>
        <v/>
      </c>
      <c r="CR499" s="5">
        <f>IF(A499="","",N(INDEX(Projects[Est Software Eng],498)))</f>
        <v/>
      </c>
      <c r="CS499" s="5">
        <f>IF(A499="","",N(INDEX(Projects[Est Misc],498)))</f>
        <v/>
      </c>
      <c r="CT499" s="5">
        <f>IF(A499="","",SUM(CF499:CS499))</f>
        <v/>
      </c>
      <c r="CU499" s="5">
        <f>INDEX(Projects[Est Cost (M)],498)</f>
        <v/>
      </c>
      <c r="CV499" s="5">
        <f>INDEX(Projects[Act Cost (M)],498)</f>
        <v/>
      </c>
      <c r="CW499" s="5">
        <f>INDEX(Projects[Plan Mech Eng (wks)],498)</f>
        <v/>
      </c>
      <c r="CX499" s="5">
        <f>INDEX(Projects[Plan Controls Eng (wks)],498)</f>
        <v/>
      </c>
      <c r="CY499" s="5">
        <f>INDEX(Projects[Plan Systems Eng (wks)],498)</f>
        <v/>
      </c>
      <c r="CZ499" s="5">
        <f>INDEX(Projects[Plan Software Eng (wks)],498)</f>
        <v/>
      </c>
      <c r="DA499" s="5">
        <f>INDEX(Projects[Plan M&amp;E Installation (wks)],498)</f>
        <v/>
      </c>
      <c r="DB499" s="5">
        <f>INDEX(Projects[Plan Commissioning (wks)],498)</f>
        <v/>
      </c>
      <c r="DC499" s="5">
        <f>INDEX(Projects[Plan Total (wks)],498)</f>
        <v/>
      </c>
      <c r="DD499" s="5">
        <f>INDEX(Projects[Act Mech Eng (wks)],498)</f>
        <v/>
      </c>
      <c r="DE499" s="5">
        <f>INDEX(Projects[Act Controls Eng (wks)],498)</f>
        <v/>
      </c>
      <c r="DF499" s="5">
        <f>INDEX(Projects[Act Systems Eng (wks)],498)</f>
        <v/>
      </c>
      <c r="DG499" s="5">
        <f>INDEX(Projects[Act Software Eng (wks)],498)</f>
        <v/>
      </c>
      <c r="DH499" s="5">
        <f>INDEX(Projects[Act M&amp;E Installation (wks)],498)</f>
        <v/>
      </c>
      <c r="DI499" s="5">
        <f>INDEX(Projects[Act Commissioning (wks)],498)</f>
        <v/>
      </c>
      <c r="DJ499" s="5">
        <f>INDEX(Projects[Act Total (wks)],498)</f>
        <v/>
      </c>
    </row>
    <row r="500" ht="15" customHeight="1" s="82">
      <c r="A500" s="64">
        <f>INDEX(Projects[Project ID *],499)&amp;""</f>
        <v/>
      </c>
      <c r="B500" s="64">
        <f>INDEX(Projects[Project Name *],499)&amp;""</f>
        <v/>
      </c>
      <c r="C500" s="64">
        <f>INDEX(Projects[MS Shuttles],499)</f>
        <v/>
      </c>
      <c r="D500" s="64">
        <f>INDEX(Projects[MS Tote Locations],499)</f>
        <v/>
      </c>
      <c r="E500" s="64">
        <f>INDEX(Projects[AS Robots],499)</f>
        <v/>
      </c>
      <c r="F500" s="64">
        <f>INDEX(Projects[AS Tote Locations],499)</f>
        <v/>
      </c>
      <c r="G500" s="64">
        <f>INDEX(Projects[PS Shuttles],499)</f>
        <v/>
      </c>
      <c r="H500" s="64">
        <f>INDEX(Projects[PS Pallet Locations],499)</f>
        <v/>
      </c>
      <c r="I500" s="64">
        <f>INDEX(Projects[SRM Cranes],499)</f>
        <v/>
      </c>
      <c r="J500" s="64">
        <f>INDEX(Projects[SRM Pallet Locations],499)</f>
        <v/>
      </c>
      <c r="K500" s="64">
        <f>INDEX(Projects[Case Conv (m)],499)</f>
        <v/>
      </c>
      <c r="L500" s="64">
        <f>INDEX(Projects[Pallet Conv (m)],499)</f>
        <v/>
      </c>
      <c r="M500" s="64">
        <f>IF(N(DJ500)&gt;0,DD500,CW500)</f>
        <v/>
      </c>
      <c r="N500" s="64">
        <f>IF(N(DJ500)&gt;0,DE500,CX500)</f>
        <v/>
      </c>
      <c r="O500" s="64">
        <f>IF(N(DJ500)&gt;0,DF500,CY500)</f>
        <v/>
      </c>
      <c r="P500" s="64">
        <f>IF(N(DJ500)&gt;0,DG500,CZ500)</f>
        <v/>
      </c>
      <c r="Q500" s="64">
        <f>IF(N(DJ500)&gt;0,DH500,DA500)</f>
        <v/>
      </c>
      <c r="R500" s="64">
        <f>IF(N(DJ500)&gt;0,DI500,DB500)</f>
        <v/>
      </c>
      <c r="S500" s="64">
        <f>IF(N(DJ500)&gt;0,DJ500,DC500)</f>
        <v/>
      </c>
      <c r="T500" s="64">
        <f>INDEX(Projects[Currency],499)&amp;""</f>
        <v/>
      </c>
      <c r="U500" s="65">
        <f>INDEX(Projects[Sold Value (M)],499)</f>
        <v/>
      </c>
      <c r="V500" s="64">
        <f>IF('Smart Search'!B13=1,IFERROR(1/'Smart Search'!H13,0),0)</f>
        <v/>
      </c>
      <c r="W500" s="64">
        <f>IF('Smart Search'!B13=1,IFERROR(1/'Smart Search'!H13,0),0)</f>
        <v/>
      </c>
      <c r="X500" s="64">
        <f>IF('Smart Search'!C13=1,IFERROR(1/'Smart Search'!H13,0),0)</f>
        <v/>
      </c>
      <c r="Y500" s="64">
        <f>IF('Smart Search'!C13=1,IFERROR(1/'Smart Search'!H13,0),0)</f>
        <v/>
      </c>
      <c r="Z500" s="64">
        <f>IF('Smart Search'!D13=1,IFERROR(1/'Smart Search'!H13,0),0)</f>
        <v/>
      </c>
      <c r="AA500" s="64">
        <f>IF('Smart Search'!D13=1,IFERROR(1/'Smart Search'!H13,0),0)</f>
        <v/>
      </c>
      <c r="AB500" s="64">
        <f>IF('Smart Search'!E13=1,IFERROR(1/'Smart Search'!H13,0),0)</f>
        <v/>
      </c>
      <c r="AC500" s="64">
        <f>IF('Smart Search'!E13=1,IFERROR(1/'Smart Search'!H13,0),0)</f>
        <v/>
      </c>
      <c r="AD500" s="64">
        <f>IF('Smart Search'!F13=1,IFERROR(1/'Smart Search'!H13,0),0)</f>
        <v/>
      </c>
      <c r="AE500" s="64">
        <f>IF('Smart Search'!F13=1,IFERROR(1/'Smart Search'!H13,0),0)</f>
        <v/>
      </c>
      <c r="AF500" s="64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4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4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4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4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4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4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4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4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4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4">
        <f>AF500*V500</f>
        <v/>
      </c>
      <c r="AQ500" s="64">
        <f>AG500*W500</f>
        <v/>
      </c>
      <c r="AR500" s="64">
        <f>AH500*X500</f>
        <v/>
      </c>
      <c r="AS500" s="64">
        <f>AI500*Y500</f>
        <v/>
      </c>
      <c r="AT500" s="64">
        <f>AJ500*Z500</f>
        <v/>
      </c>
      <c r="AU500" s="64">
        <f>AK500*AA500</f>
        <v/>
      </c>
      <c r="AV500" s="64">
        <f>AL500*AB500</f>
        <v/>
      </c>
      <c r="AW500" s="64">
        <f>AM500*AC500</f>
        <v/>
      </c>
      <c r="AX500" s="64">
        <f>AN500*AD500</f>
        <v/>
      </c>
      <c r="AY500" s="64">
        <f>AO500*AE500</f>
        <v/>
      </c>
      <c r="AZ500" s="64">
        <f>INDEX(Projects[Automation Equipment],499)&amp;""</f>
        <v/>
      </c>
      <c r="BA500" s="64">
        <f>IF(OR(A500="",'Smart Search'!H13=0),"",MAX(0,BE500*BF500*MAX(0,1-BG500)))</f>
        <v/>
      </c>
      <c r="BB500" s="64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4">
        <f>IF('Smart Search'!G13=1,IFERROR(1/'Smart Search'!H13,0),0)</f>
        <v/>
      </c>
      <c r="BD500" s="64">
        <f>BB500*BC500</f>
        <v/>
      </c>
      <c r="BE500" s="64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IF(A500="","",N(INDEX(Projects[Act Mech Inst],499)))</f>
        <v/>
      </c>
      <c r="BK500" s="5">
        <f>IF(A500="","",N(INDEX(Projects[Act Elec Inst],499)))</f>
        <v/>
      </c>
      <c r="BL500" s="5">
        <f>IF(A500="","",N(INDEX(Projects[Act Project Management],499)))</f>
        <v/>
      </c>
      <c r="BM500" s="5">
        <f>IF(A500="","",N(INDEX(Projects[Act Systems Eng],499)))</f>
        <v/>
      </c>
      <c r="BN500" s="5">
        <f>IF(A500="","",N(INDEX(Projects[Act Mechanical Eng],499)))</f>
        <v/>
      </c>
      <c r="BO500" s="5">
        <f>IF(A500="","",N(INDEX(Projects[Act Structural Engineering],499)))</f>
        <v/>
      </c>
      <c r="BP500" s="5">
        <f>IF(A500="","",N(INDEX(Projects[Act Site Sup],499)))</f>
        <v/>
      </c>
      <c r="BQ500" s="5">
        <f>IF(A500="","",N(INDEX(Projects[Act Controls Commissioning],499)))</f>
        <v/>
      </c>
      <c r="BR500" s="5">
        <f>IF(A500="","",N(INDEX(Projects[Act Systems Commissioning],499)))</f>
        <v/>
      </c>
      <c r="BS500" s="5">
        <f>IF(A500="","",N(INDEX(Projects[Act Service Commissioning],499)))</f>
        <v/>
      </c>
      <c r="BT500" s="5">
        <f>IF(A500="","",N(INDEX(Projects[Act Controls Eng],499)))</f>
        <v/>
      </c>
      <c r="BU500" s="5">
        <f>IF(A500="","",N(INDEX(Projects[Act Controls Purchase],499)))</f>
        <v/>
      </c>
      <c r="BV500" s="5">
        <f>IF(A500="","",N(INDEX(Projects[Act Software Eng],499)))</f>
        <v/>
      </c>
      <c r="BW500" s="5">
        <f>IF(A500="","",N(INDEX(Projects[Act 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INDEX(Projects[Sold Value (USD M)],499)</f>
        <v/>
      </c>
      <c r="CE500" s="5" t="n"/>
      <c r="CF500" s="5">
        <f>IF(A500="","",N(INDEX(Projects[Est Mech Inst],499)))</f>
        <v/>
      </c>
      <c r="CG500" s="5">
        <f>IF(A500="","",N(INDEX(Projects[Est Elec Inst],499)))</f>
        <v/>
      </c>
      <c r="CH500" s="5">
        <f>IF(A500="","",N(INDEX(Projects[Est Project Management],499)))</f>
        <v/>
      </c>
      <c r="CI500" s="5">
        <f>IF(A500="","",N(INDEX(Projects[Est Systems Eng],499)))</f>
        <v/>
      </c>
      <c r="CJ500" s="5">
        <f>IF(A500="","",N(INDEX(Projects[Est Mechanical Eng],499)))</f>
        <v/>
      </c>
      <c r="CK500" s="5">
        <f>IF(A500="","",N(INDEX(Projects[Est Structural Engineering],499)))</f>
        <v/>
      </c>
      <c r="CL500" s="5">
        <f>IF(A500="","",N(INDEX(Projects[Est Site Sup],499)))</f>
        <v/>
      </c>
      <c r="CM500" s="5">
        <f>IF(A500="","",N(INDEX(Projects[Est Controls Commissioning],499)))</f>
        <v/>
      </c>
      <c r="CN500" s="5">
        <f>IF(A500="","",N(INDEX(Projects[Est Systems Commissioning],499)))</f>
        <v/>
      </c>
      <c r="CO500" s="5">
        <f>IF(A500="","",N(INDEX(Projects[Est Service Commissioning],499)))</f>
        <v/>
      </c>
      <c r="CP500" s="5">
        <f>IF(A500="","",N(INDEX(Projects[Est Controls Eng],499)))</f>
        <v/>
      </c>
      <c r="CQ500" s="5">
        <f>IF(A500="","",N(INDEX(Projects[Est Controls Purchase],499)))</f>
        <v/>
      </c>
      <c r="CR500" s="5">
        <f>IF(A500="","",N(INDEX(Projects[Est Software Eng],499)))</f>
        <v/>
      </c>
      <c r="CS500" s="5">
        <f>IF(A500="","",N(INDEX(Projects[Est Misc],499)))</f>
        <v/>
      </c>
      <c r="CT500" s="5">
        <f>IF(A500="","",SUM(CF500:CS500))</f>
        <v/>
      </c>
      <c r="CU500" s="5">
        <f>INDEX(Projects[Est Cost (M)],499)</f>
        <v/>
      </c>
      <c r="CV500" s="5">
        <f>INDEX(Projects[Act Cost (M)],499)</f>
        <v/>
      </c>
      <c r="CW500" s="5">
        <f>INDEX(Projects[Plan Mech Eng (wks)],499)</f>
        <v/>
      </c>
      <c r="CX500" s="5">
        <f>INDEX(Projects[Plan Controls Eng (wks)],499)</f>
        <v/>
      </c>
      <c r="CY500" s="5">
        <f>INDEX(Projects[Plan Systems Eng (wks)],499)</f>
        <v/>
      </c>
      <c r="CZ500" s="5">
        <f>INDEX(Projects[Plan Software Eng (wks)],499)</f>
        <v/>
      </c>
      <c r="DA500" s="5">
        <f>INDEX(Projects[Plan M&amp;E Installation (wks)],499)</f>
        <v/>
      </c>
      <c r="DB500" s="5">
        <f>INDEX(Projects[Plan Commissioning (wks)],499)</f>
        <v/>
      </c>
      <c r="DC500" s="5">
        <f>INDEX(Projects[Plan Total (wks)],499)</f>
        <v/>
      </c>
      <c r="DD500" s="5">
        <f>INDEX(Projects[Act Mech Eng (wks)],499)</f>
        <v/>
      </c>
      <c r="DE500" s="5">
        <f>INDEX(Projects[Act Controls Eng (wks)],499)</f>
        <v/>
      </c>
      <c r="DF500" s="5">
        <f>INDEX(Projects[Act Systems Eng (wks)],499)</f>
        <v/>
      </c>
      <c r="DG500" s="5">
        <f>INDEX(Projects[Act Software Eng (wks)],499)</f>
        <v/>
      </c>
      <c r="DH500" s="5">
        <f>INDEX(Projects[Act M&amp;E Installation (wks)],499)</f>
        <v/>
      </c>
      <c r="DI500" s="5">
        <f>INDEX(Projects[Act Commissioning (wks)],499)</f>
        <v/>
      </c>
      <c r="DJ500" s="5">
        <f>INDEX(Projects[Act Total (wks)],499)</f>
        <v/>
      </c>
    </row>
    <row r="501" ht="15" customHeight="1" s="82">
      <c r="A501" s="64" t="n"/>
      <c r="B501" s="64" t="n"/>
      <c r="C501" s="64" t="n"/>
      <c r="D501" s="64" t="n"/>
      <c r="E501" s="64" t="n"/>
      <c r="F501" s="64" t="n"/>
      <c r="G501" s="64" t="n"/>
      <c r="H501" s="64" t="n"/>
      <c r="I501" s="64" t="n"/>
      <c r="J501" s="64" t="n"/>
      <c r="K501" s="64" t="n"/>
      <c r="L501" s="64" t="n"/>
      <c r="M501" s="64" t="n"/>
      <c r="N501" s="64" t="n"/>
      <c r="O501" s="64" t="n"/>
      <c r="P501" s="64" t="n"/>
      <c r="Q501" s="64" t="n"/>
      <c r="R501" s="64" t="n"/>
      <c r="S501" s="64" t="n"/>
      <c r="T501" s="64" t="n"/>
      <c r="U501" s="65" t="n"/>
      <c r="V501" s="64" t="n"/>
      <c r="W501" s="64" t="n"/>
      <c r="X501" s="64" t="n"/>
      <c r="Y501" s="64" t="n"/>
      <c r="Z501" s="64" t="n"/>
      <c r="AA501" s="64" t="n"/>
      <c r="AB501" s="64" t="n"/>
      <c r="AC501" s="64" t="n"/>
      <c r="AD501" s="64" t="n"/>
      <c r="AE501" s="64" t="n"/>
      <c r="AF501" s="64" t="n"/>
      <c r="AG501" s="64" t="n"/>
      <c r="AH501" s="64" t="n"/>
      <c r="AI501" s="64" t="n"/>
      <c r="AJ501" s="64" t="n"/>
      <c r="AK501" s="64" t="n"/>
      <c r="AL501" s="64" t="n"/>
      <c r="AM501" s="64" t="n"/>
      <c r="AN501" s="64" t="n"/>
      <c r="AO501" s="64" t="n"/>
      <c r="AP501" s="64" t="n"/>
      <c r="AQ501" s="64" t="n"/>
      <c r="AR501" s="64" t="n"/>
      <c r="AS501" s="64" t="n"/>
      <c r="AT501" s="64" t="n"/>
      <c r="AU501" s="64" t="n"/>
      <c r="AV501" s="64" t="n"/>
      <c r="AW501" s="64" t="n"/>
      <c r="AX501" s="64" t="n"/>
      <c r="AY501" s="64" t="n"/>
      <c r="AZ501" s="64" t="n"/>
      <c r="BA501" s="64" t="n"/>
      <c r="BB501" s="64" t="n"/>
      <c r="BC501" s="64" t="n"/>
      <c r="BD501" s="64" t="n"/>
      <c r="BE501" s="64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61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82" min="1" max="1"/>
    <col width="2" customWidth="1" style="82" min="2" max="2"/>
    <col width="12" customWidth="1" style="82" min="3" max="8"/>
    <col width="2" customWidth="1" style="82" min="9" max="9"/>
    <col width="12" customWidth="1" style="82" min="10" max="15"/>
    <col width="2" customWidth="1" style="82" min="16" max="16"/>
    <col width="12" customWidth="1" style="82" min="17" max="22"/>
  </cols>
  <sheetData>
    <row r="1" ht="36" customHeight="1" s="82">
      <c r="A1" s="167" t="inlineStr">
        <is>
          <t>DEMATIC  |  Project Comparison  —  Top 3 Closest Matches</t>
        </is>
      </c>
    </row>
    <row r="2" ht="15.75" customHeight="1" s="82">
      <c r="A2" s="93" t="inlineStr">
        <is>
          <t>Intralogistics Systems  |  Supply Chain Automation  |  Warehouse Management Solutions</t>
        </is>
      </c>
    </row>
    <row r="3" ht="27.75" customHeight="1" s="82">
      <c r="A3" s="172" t="n"/>
      <c r="C3" s="173" t="inlineStr">
        <is>
          <t xml:space="preserve">  RANK 1  —  Best Match</t>
        </is>
      </c>
      <c r="I3" s="6" t="n"/>
      <c r="J3" s="175" t="inlineStr">
        <is>
          <t xml:space="preserve">  RANK 2  —  2nd Match</t>
        </is>
      </c>
      <c r="P3" s="6" t="n"/>
      <c r="Q3" s="170" t="inlineStr">
        <is>
          <t xml:space="preserve">  RANK 3  —  3rd Match</t>
        </is>
      </c>
    </row>
    <row r="4" ht="27.75" customHeight="1" s="82">
      <c r="A4" s="164" t="inlineStr">
        <is>
          <t>Match Score</t>
        </is>
      </c>
      <c r="B4" s="118" t="n"/>
      <c r="C4" s="157">
        <f>IFERROR(TEXT(LARGE(_Helper!BH2:BH501,1),"0%"),"-")</f>
        <v/>
      </c>
      <c r="D4" s="96" t="n"/>
      <c r="E4" s="96" t="n"/>
      <c r="F4" s="96" t="n"/>
      <c r="G4" s="96" t="n"/>
      <c r="H4" s="96" t="n"/>
      <c r="J4" s="160">
        <f>IFERROR(TEXT(LARGE(_Helper!BH2:BH501,2),"0%"),"-")</f>
        <v/>
      </c>
      <c r="K4" s="75" t="n"/>
      <c r="L4" s="75" t="n"/>
      <c r="M4" s="75" t="n"/>
      <c r="N4" s="75" t="n"/>
      <c r="O4" s="75" t="n"/>
      <c r="Q4" s="156">
        <f>IFERROR(TEXT(LARGE(_Helper!BH2:BH501,3),"0%"),"-")</f>
        <v/>
      </c>
      <c r="R4" s="75" t="n"/>
      <c r="S4" s="75" t="n"/>
      <c r="T4" s="75" t="n"/>
      <c r="U4" s="75" t="n"/>
      <c r="V4" s="75" t="n"/>
    </row>
    <row r="5" ht="19.5" customHeight="1" s="82">
      <c r="A5" s="155" t="inlineStr">
        <is>
          <t xml:space="preserve">  PROJECT INFORMATION</t>
        </is>
      </c>
    </row>
    <row r="6" ht="19.5" customHeight="1" s="82">
      <c r="A6" s="158" t="inlineStr">
        <is>
          <t>Project ID</t>
        </is>
      </c>
      <c r="B6" s="98" t="n"/>
      <c r="C6" s="152">
        <f>IFERROR(INDEX(_Helper!A2:A501,MATCH(LARGE(_Helper!BH2:BH501,1),_Helper!BH2:BH501,0)),"-")</f>
        <v/>
      </c>
      <c r="D6" s="98" t="n"/>
      <c r="E6" s="98" t="n"/>
      <c r="F6" s="98" t="n"/>
      <c r="G6" s="98" t="n"/>
      <c r="H6" s="98" t="n"/>
      <c r="I6" s="7" t="n"/>
      <c r="J6" s="154">
        <f>IFERROR(INDEX(_Helper!A2:A501,MATCH(LARGE(_Helper!BH2:BH501,2),_Helper!BH2:BH501,0)),"-")</f>
        <v/>
      </c>
      <c r="K6" s="98" t="n"/>
      <c r="L6" s="98" t="n"/>
      <c r="M6" s="98" t="n"/>
      <c r="N6" s="98" t="n"/>
      <c r="O6" s="98" t="n"/>
      <c r="P6" s="7" t="n"/>
      <c r="Q6" s="149">
        <f>IFERROR(INDEX(_Helper!A2:A501,MATCH(LARGE(_Helper!BH2:BH501,3),_Helper!BH2:BH501,0)),"-")</f>
        <v/>
      </c>
      <c r="R6" s="98" t="n"/>
      <c r="S6" s="98" t="n"/>
      <c r="T6" s="98" t="n"/>
      <c r="U6" s="98" t="n"/>
      <c r="V6" s="98" t="n"/>
    </row>
    <row r="7" ht="19.5" customHeight="1" s="82">
      <c r="A7" s="150" t="inlineStr">
        <is>
          <t>Project Name</t>
        </is>
      </c>
      <c r="B7" s="98" t="n"/>
      <c r="C7" s="152">
        <f>IFERROR(INDEX(_Helper!B2:B501,MATCH(LARGE(_Helper!BH2:BH501,1),_Helper!BH2:BH501,0)),"-")</f>
        <v/>
      </c>
      <c r="D7" s="98" t="n"/>
      <c r="E7" s="98" t="n"/>
      <c r="F7" s="98" t="n"/>
      <c r="G7" s="98" t="n"/>
      <c r="H7" s="98" t="n"/>
      <c r="I7" s="8" t="n"/>
      <c r="J7" s="154">
        <f>IFERROR(INDEX(_Helper!B2:B501,MATCH(LARGE(_Helper!BH2:BH501,2),_Helper!BH2:BH501,0)),"-")</f>
        <v/>
      </c>
      <c r="K7" s="98" t="n"/>
      <c r="L7" s="98" t="n"/>
      <c r="M7" s="98" t="n"/>
      <c r="N7" s="98" t="n"/>
      <c r="O7" s="98" t="n"/>
      <c r="P7" s="8" t="n"/>
      <c r="Q7" s="149">
        <f>IFERROR(INDEX(_Helper!B2:B501,MATCH(LARGE(_Helper!BH2:BH501,3),_Helper!BH2:BH501,0)),"-")</f>
        <v/>
      </c>
      <c r="R7" s="98" t="n"/>
      <c r="S7" s="98" t="n"/>
      <c r="T7" s="98" t="n"/>
      <c r="U7" s="98" t="n"/>
      <c r="V7" s="98" t="n"/>
    </row>
    <row r="8" ht="19.5" customHeight="1" s="82">
      <c r="A8" s="158" t="inlineStr">
        <is>
          <t>Client / Region</t>
        </is>
      </c>
      <c r="B8" s="98" t="n"/>
      <c r="C8" s="152">
        <f>IFERROR(INDEX(_Helper!CA2:CA501,MATCH(LARGE(_Helper!BH2:BH501,1),_Helper!BH2:BH501,0)),"-")</f>
        <v/>
      </c>
      <c r="D8" s="98" t="n"/>
      <c r="E8" s="98" t="n"/>
      <c r="F8" s="98" t="n"/>
      <c r="G8" s="98" t="n"/>
      <c r="H8" s="98" t="n"/>
      <c r="I8" s="7" t="n"/>
      <c r="J8" s="154">
        <f>IFERROR(INDEX(_Helper!CA2:CA501,MATCH(LARGE(_Helper!BH2:BH501,2),_Helper!BH2:BH501,0)),"-")</f>
        <v/>
      </c>
      <c r="K8" s="98" t="n"/>
      <c r="L8" s="98" t="n"/>
      <c r="M8" s="98" t="n"/>
      <c r="N8" s="98" t="n"/>
      <c r="O8" s="98" t="n"/>
      <c r="P8" s="7" t="n"/>
      <c r="Q8" s="149">
        <f>IFERROR(INDEX(_Helper!CA2:CA501,MATCH(LARGE(_Helper!BH2:BH501,3),_Helper!BH2:BH501,0)),"-")</f>
        <v/>
      </c>
      <c r="R8" s="98" t="n"/>
      <c r="S8" s="98" t="n"/>
      <c r="T8" s="98" t="n"/>
      <c r="U8" s="98" t="n"/>
      <c r="V8" s="98" t="n"/>
    </row>
    <row r="9" ht="19.5" customHeight="1" s="82">
      <c r="A9" s="150" t="inlineStr">
        <is>
          <t>Solution Type</t>
        </is>
      </c>
      <c r="B9" s="98" t="n"/>
      <c r="C9" s="152">
        <f>IFERROR(IF(INDEX(_Helper!BZ2:BZ501,MATCH(LARGE(_Helper!BH2:BH501,1),_Helper!BH2:BH501,0))="","(not set)",INDEX(_Helper!BZ2:BZ501,MATCH(LARGE(_Helper!BH2:BH501,1),_Helper!BH2:BH501,0))),"-")</f>
        <v/>
      </c>
      <c r="D9" s="98" t="n"/>
      <c r="E9" s="98" t="n"/>
      <c r="F9" s="98" t="n"/>
      <c r="G9" s="98" t="n"/>
      <c r="H9" s="98" t="n"/>
      <c r="I9" s="8" t="n"/>
      <c r="J9" s="154">
        <f>IFERROR(IF(INDEX(_Helper!BZ2:BZ501,MATCH(LARGE(_Helper!BH2:BH501,2),_Helper!BH2:BH501,0))="","(not set)",INDEX(_Helper!BZ2:BZ501,MATCH(LARGE(_Helper!BH2:BH501,2),_Helper!BH2:BH501,0))),"-")</f>
        <v/>
      </c>
      <c r="K9" s="98" t="n"/>
      <c r="L9" s="98" t="n"/>
      <c r="M9" s="98" t="n"/>
      <c r="N9" s="98" t="n"/>
      <c r="O9" s="98" t="n"/>
      <c r="P9" s="8" t="n"/>
      <c r="Q9" s="149">
        <f>IFERROR(IF(INDEX(_Helper!BZ2:BZ501,MATCH(LARGE(_Helper!BH2:BH501,3),_Helper!BH2:BH501,0))="","(not set)",INDEX(_Helper!BZ2:BZ501,MATCH(LARGE(_Helper!BH2:BH501,3),_Helper!BH2:BH501,0))),"-")</f>
        <v/>
      </c>
      <c r="R9" s="98" t="n"/>
      <c r="S9" s="98" t="n"/>
      <c r="T9" s="98" t="n"/>
      <c r="U9" s="98" t="n"/>
      <c r="V9" s="98" t="n"/>
    </row>
    <row r="10" ht="19.5" customHeight="1" s="82">
      <c r="A10" s="158" t="inlineStr">
        <is>
          <t>Year</t>
        </is>
      </c>
      <c r="B10" s="98" t="n"/>
      <c r="C10" s="152">
        <f>IFERROR(INDEX(_Helper!CB2:CB501,MATCH(LARGE(_Helper!BH2:BH501,1),_Helper!BH2:BH501,0)),"-")</f>
        <v/>
      </c>
      <c r="D10" s="98" t="n"/>
      <c r="E10" s="98" t="n"/>
      <c r="F10" s="98" t="n"/>
      <c r="G10" s="98" t="n"/>
      <c r="H10" s="98" t="n"/>
      <c r="I10" s="7" t="n"/>
      <c r="J10" s="154">
        <f>IFERROR(INDEX(_Helper!CB2:CB501,MATCH(LARGE(_Helper!BH2:BH501,2),_Helper!BH2:BH501,0)),"-")</f>
        <v/>
      </c>
      <c r="K10" s="98" t="n"/>
      <c r="L10" s="98" t="n"/>
      <c r="M10" s="98" t="n"/>
      <c r="N10" s="98" t="n"/>
      <c r="O10" s="98" t="n"/>
      <c r="P10" s="7" t="n"/>
      <c r="Q10" s="149">
        <f>IFERROR(INDEX(_Helper!CB2:CB501,MATCH(LARGE(_Helper!BH2:BH501,3),_Helper!BH2:BH501,0)),"-")</f>
        <v/>
      </c>
      <c r="R10" s="98" t="n"/>
      <c r="S10" s="98" t="n"/>
      <c r="T10" s="98" t="n"/>
      <c r="U10" s="98" t="n"/>
      <c r="V10" s="98" t="n"/>
    </row>
    <row r="11" ht="19.5" customHeight="1" s="82">
      <c r="A11" s="150" t="inlineStr">
        <is>
          <t>Sold Value</t>
        </is>
      </c>
      <c r="B11" s="98" t="n"/>
      <c r="C11" s="152">
        <f>IFERROR(INDEX(_Helper!T2:T501,MATCH(LARGE(_Helper!BH2:BH501,1),_Helper!BH2:BH501,0))&amp;" "&amp;TEXT(INDEX(_Helper!U2:U501,MATCH(LARGE(_Helper!BH2:BH501,1),_Helper!BH2:BH501,0)),"#,##0.00")&amp;" M","-")</f>
        <v/>
      </c>
      <c r="D11" s="98" t="n"/>
      <c r="E11" s="98" t="n"/>
      <c r="F11" s="98" t="n"/>
      <c r="G11" s="98" t="n"/>
      <c r="H11" s="98" t="n"/>
      <c r="I11" s="8" t="n"/>
      <c r="J11" s="154">
        <f>IFERROR(INDEX(_Helper!T2:T501,MATCH(LARGE(_Helper!BH2:BH501,2),_Helper!BH2:BH501,0))&amp;" "&amp;TEXT(INDEX(_Helper!U2:U501,MATCH(LARGE(_Helper!BH2:BH501,2),_Helper!BH2:BH501,0)),"#,##0.00")&amp;" M","-")</f>
        <v/>
      </c>
      <c r="K11" s="98" t="n"/>
      <c r="L11" s="98" t="n"/>
      <c r="M11" s="98" t="n"/>
      <c r="N11" s="98" t="n"/>
      <c r="O11" s="98" t="n"/>
      <c r="P11" s="8" t="n"/>
      <c r="Q11" s="149">
        <f>IFERROR(INDEX(_Helper!T2:T501,MATCH(LARGE(_Helper!BH2:BH501,3),_Helper!BH2:BH501,0))&amp;" "&amp;TEXT(INDEX(_Helper!U2:U501,MATCH(LARGE(_Helper!BH2:BH501,3),_Helper!BH2:BH501,0)),"#,##0.00")&amp;" M","-")</f>
        <v/>
      </c>
      <c r="R11" s="98" t="n"/>
      <c r="S11" s="98" t="n"/>
      <c r="T11" s="98" t="n"/>
      <c r="U11" s="98" t="n"/>
      <c r="V11" s="98" t="n"/>
    </row>
    <row r="12" ht="19.5" customHeight="1" s="82">
      <c r="A12" s="158" t="inlineStr">
        <is>
          <t>Sold Value (USD equiv.)</t>
        </is>
      </c>
      <c r="B12" s="98" t="n"/>
      <c r="C12" s="152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2" s="98" t="n"/>
      <c r="E12" s="98" t="n"/>
      <c r="F12" s="98" t="n"/>
      <c r="G12" s="98" t="n"/>
      <c r="H12" s="98" t="n"/>
      <c r="I12" s="7" t="n"/>
      <c r="J12" s="154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2" s="98" t="n"/>
      <c r="L12" s="98" t="n"/>
      <c r="M12" s="98" t="n"/>
      <c r="N12" s="98" t="n"/>
      <c r="O12" s="98" t="n"/>
      <c r="P12" s="7" t="n"/>
      <c r="Q12" s="149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2" s="98" t="n"/>
      <c r="S12" s="98" t="n"/>
      <c r="T12" s="98" t="n"/>
      <c r="U12" s="98" t="n"/>
      <c r="V12" s="98" t="n"/>
    </row>
    <row r="13" ht="19.5" customHeight="1" s="82">
      <c r="A13" s="155" t="inlineStr">
        <is>
          <t xml:space="preserve">  SYSTEM SPECIFICATIONS</t>
        </is>
      </c>
    </row>
    <row r="14" ht="19.5" customHeight="1" s="82">
      <c r="A14" s="158" t="inlineStr">
        <is>
          <t>MS Shuttles</t>
        </is>
      </c>
      <c r="B14" s="98" t="n"/>
      <c r="C14" s="152">
        <f>IFERROR(INDEX(_Helper!C2:C501,MATCH(LARGE(_Helper!BH2:BH501,1),_Helper!BH2:BH501,0)),"-")</f>
        <v/>
      </c>
      <c r="D14" s="98" t="n"/>
      <c r="E14" s="98" t="n"/>
      <c r="F14" s="98" t="n"/>
      <c r="G14" s="98" t="n"/>
      <c r="H14" s="98" t="n"/>
      <c r="I14" s="7" t="n"/>
      <c r="J14" s="154">
        <f>IFERROR(INDEX(_Helper!C2:C501,MATCH(LARGE(_Helper!BH2:BH501,2),_Helper!BH2:BH501,0)),"-")</f>
        <v/>
      </c>
      <c r="K14" s="98" t="n"/>
      <c r="L14" s="98" t="n"/>
      <c r="M14" s="98" t="n"/>
      <c r="N14" s="98" t="n"/>
      <c r="O14" s="98" t="n"/>
      <c r="P14" s="7" t="n"/>
      <c r="Q14" s="149">
        <f>IFERROR(INDEX(_Helper!C2:C501,MATCH(LARGE(_Helper!BH2:BH501,3),_Helper!BH2:BH501,0)),"-")</f>
        <v/>
      </c>
      <c r="R14" s="98" t="n"/>
      <c r="S14" s="98" t="n"/>
      <c r="T14" s="98" t="n"/>
      <c r="U14" s="98" t="n"/>
      <c r="V14" s="98" t="n"/>
    </row>
    <row r="15" ht="19.5" customHeight="1" s="82">
      <c r="A15" s="150" t="inlineStr">
        <is>
          <t>MS Tote Locations</t>
        </is>
      </c>
      <c r="B15" s="98" t="n"/>
      <c r="C15" s="152">
        <f>IFERROR(INDEX(_Helper!D2:D501,MATCH(LARGE(_Helper!BH2:BH501,1),_Helper!BH2:BH501,0)),"-")</f>
        <v/>
      </c>
      <c r="D15" s="98" t="n"/>
      <c r="E15" s="98" t="n"/>
      <c r="F15" s="98" t="n"/>
      <c r="G15" s="98" t="n"/>
      <c r="H15" s="98" t="n"/>
      <c r="I15" s="8" t="n"/>
      <c r="J15" s="154">
        <f>IFERROR(INDEX(_Helper!D2:D501,MATCH(LARGE(_Helper!BH2:BH501,2),_Helper!BH2:BH501,0)),"-")</f>
        <v/>
      </c>
      <c r="K15" s="98" t="n"/>
      <c r="L15" s="98" t="n"/>
      <c r="M15" s="98" t="n"/>
      <c r="N15" s="98" t="n"/>
      <c r="O15" s="98" t="n"/>
      <c r="P15" s="8" t="n"/>
      <c r="Q15" s="149">
        <f>IFERROR(INDEX(_Helper!D2:D501,MATCH(LARGE(_Helper!BH2:BH501,3),_Helper!BH2:BH501,0)),"-")</f>
        <v/>
      </c>
      <c r="R15" s="98" t="n"/>
      <c r="S15" s="98" t="n"/>
      <c r="T15" s="98" t="n"/>
      <c r="U15" s="98" t="n"/>
      <c r="V15" s="98" t="n"/>
    </row>
    <row r="16" ht="19.5" customHeight="1" s="82">
      <c r="A16" s="158" t="inlineStr">
        <is>
          <t>AS Robots</t>
        </is>
      </c>
      <c r="B16" s="98" t="n"/>
      <c r="C16" s="152">
        <f>IFERROR(INDEX(_Helper!E2:E501,MATCH(LARGE(_Helper!BH2:BH501,1),_Helper!BH2:BH501,0)),"-")</f>
        <v/>
      </c>
      <c r="D16" s="98" t="n"/>
      <c r="E16" s="98" t="n"/>
      <c r="F16" s="98" t="n"/>
      <c r="G16" s="98" t="n"/>
      <c r="H16" s="98" t="n"/>
      <c r="I16" s="7" t="n"/>
      <c r="J16" s="154">
        <f>IFERROR(INDEX(_Helper!E2:E501,MATCH(LARGE(_Helper!BH2:BH501,2),_Helper!BH2:BH501,0)),"-")</f>
        <v/>
      </c>
      <c r="K16" s="98" t="n"/>
      <c r="L16" s="98" t="n"/>
      <c r="M16" s="98" t="n"/>
      <c r="N16" s="98" t="n"/>
      <c r="O16" s="98" t="n"/>
      <c r="P16" s="7" t="n"/>
      <c r="Q16" s="149">
        <f>IFERROR(INDEX(_Helper!E2:E501,MATCH(LARGE(_Helper!BH2:BH501,3),_Helper!BH2:BH501,0)),"-")</f>
        <v/>
      </c>
      <c r="R16" s="98" t="n"/>
      <c r="S16" s="98" t="n"/>
      <c r="T16" s="98" t="n"/>
      <c r="U16" s="98" t="n"/>
      <c r="V16" s="98" t="n"/>
    </row>
    <row r="17" ht="19.5" customHeight="1" s="82">
      <c r="A17" s="150" t="inlineStr">
        <is>
          <t>AS Tote Locations</t>
        </is>
      </c>
      <c r="B17" s="98" t="n"/>
      <c r="C17" s="152">
        <f>IFERROR(INDEX(_Helper!F2:F501,MATCH(LARGE(_Helper!BH2:BH501,1),_Helper!BH2:BH501,0)),"-")</f>
        <v/>
      </c>
      <c r="D17" s="98" t="n"/>
      <c r="E17" s="98" t="n"/>
      <c r="F17" s="98" t="n"/>
      <c r="G17" s="98" t="n"/>
      <c r="H17" s="98" t="n"/>
      <c r="I17" s="8" t="n"/>
      <c r="J17" s="154">
        <f>IFERROR(INDEX(_Helper!F2:F501,MATCH(LARGE(_Helper!BH2:BH501,2),_Helper!BH2:BH501,0)),"-")</f>
        <v/>
      </c>
      <c r="K17" s="98" t="n"/>
      <c r="L17" s="98" t="n"/>
      <c r="M17" s="98" t="n"/>
      <c r="N17" s="98" t="n"/>
      <c r="O17" s="98" t="n"/>
      <c r="P17" s="8" t="n"/>
      <c r="Q17" s="149">
        <f>IFERROR(INDEX(_Helper!F2:F501,MATCH(LARGE(_Helper!BH2:BH501,3),_Helper!BH2:BH501,0)),"-")</f>
        <v/>
      </c>
      <c r="R17" s="98" t="n"/>
      <c r="S17" s="98" t="n"/>
      <c r="T17" s="98" t="n"/>
      <c r="U17" s="98" t="n"/>
      <c r="V17" s="98" t="n"/>
    </row>
    <row r="18" ht="19.5" customHeight="1" s="82">
      <c r="A18" s="158" t="inlineStr">
        <is>
          <t>PS Shuttles</t>
        </is>
      </c>
      <c r="B18" s="98" t="n"/>
      <c r="C18" s="152">
        <f>IFERROR(INDEX(_Helper!G2:G501,MATCH(LARGE(_Helper!BH2:BH501,1),_Helper!BH2:BH501,0)),"-")</f>
        <v/>
      </c>
      <c r="D18" s="98" t="n"/>
      <c r="E18" s="98" t="n"/>
      <c r="F18" s="98" t="n"/>
      <c r="G18" s="98" t="n"/>
      <c r="H18" s="98" t="n"/>
      <c r="I18" s="7" t="n"/>
      <c r="J18" s="154">
        <f>IFERROR(INDEX(_Helper!G2:G501,MATCH(LARGE(_Helper!BH2:BH501,2),_Helper!BH2:BH501,0)),"-")</f>
        <v/>
      </c>
      <c r="K18" s="98" t="n"/>
      <c r="L18" s="98" t="n"/>
      <c r="M18" s="98" t="n"/>
      <c r="N18" s="98" t="n"/>
      <c r="O18" s="98" t="n"/>
      <c r="P18" s="7" t="n"/>
      <c r="Q18" s="149">
        <f>IFERROR(INDEX(_Helper!G2:G501,MATCH(LARGE(_Helper!BH2:BH501,3),_Helper!BH2:BH501,0)),"-")</f>
        <v/>
      </c>
      <c r="R18" s="98" t="n"/>
      <c r="S18" s="98" t="n"/>
      <c r="T18" s="98" t="n"/>
      <c r="U18" s="98" t="n"/>
      <c r="V18" s="98" t="n"/>
    </row>
    <row r="19" ht="19.5" customHeight="1" s="82">
      <c r="A19" s="150" t="inlineStr">
        <is>
          <t>PS Pallet Locations</t>
        </is>
      </c>
      <c r="B19" s="98" t="n"/>
      <c r="C19" s="152">
        <f>IFERROR(INDEX(_Helper!H2:H501,MATCH(LARGE(_Helper!BH2:BH501,1),_Helper!BH2:BH501,0)),"-")</f>
        <v/>
      </c>
      <c r="D19" s="98" t="n"/>
      <c r="E19" s="98" t="n"/>
      <c r="F19" s="98" t="n"/>
      <c r="G19" s="98" t="n"/>
      <c r="H19" s="98" t="n"/>
      <c r="I19" s="8" t="n"/>
      <c r="J19" s="154">
        <f>IFERROR(INDEX(_Helper!H2:H501,MATCH(LARGE(_Helper!BH2:BH501,2),_Helper!BH2:BH501,0)),"-")</f>
        <v/>
      </c>
      <c r="K19" s="98" t="n"/>
      <c r="L19" s="98" t="n"/>
      <c r="M19" s="98" t="n"/>
      <c r="N19" s="98" t="n"/>
      <c r="O19" s="98" t="n"/>
      <c r="P19" s="8" t="n"/>
      <c r="Q19" s="149">
        <f>IFERROR(INDEX(_Helper!H2:H501,MATCH(LARGE(_Helper!BH2:BH501,3),_Helper!BH2:BH501,0)),"-")</f>
        <v/>
      </c>
      <c r="R19" s="98" t="n"/>
      <c r="S19" s="98" t="n"/>
      <c r="T19" s="98" t="n"/>
      <c r="U19" s="98" t="n"/>
      <c r="V19" s="98" t="n"/>
    </row>
    <row r="20" ht="19.5" customHeight="1" s="82">
      <c r="A20" s="158" t="inlineStr">
        <is>
          <t>SRM Cranes</t>
        </is>
      </c>
      <c r="B20" s="98" t="n"/>
      <c r="C20" s="152">
        <f>IFERROR(INDEX(_Helper!I2:I501,MATCH(LARGE(_Helper!BH2:BH501,1),_Helper!BH2:BH501,0)),"-")</f>
        <v/>
      </c>
      <c r="D20" s="98" t="n"/>
      <c r="E20" s="98" t="n"/>
      <c r="F20" s="98" t="n"/>
      <c r="G20" s="98" t="n"/>
      <c r="H20" s="98" t="n"/>
      <c r="I20" s="7" t="n"/>
      <c r="J20" s="154">
        <f>IFERROR(INDEX(_Helper!I2:I501,MATCH(LARGE(_Helper!BH2:BH501,2),_Helper!BH2:BH501,0)),"-")</f>
        <v/>
      </c>
      <c r="K20" s="98" t="n"/>
      <c r="L20" s="98" t="n"/>
      <c r="M20" s="98" t="n"/>
      <c r="N20" s="98" t="n"/>
      <c r="O20" s="98" t="n"/>
      <c r="P20" s="7" t="n"/>
      <c r="Q20" s="149">
        <f>IFERROR(INDEX(_Helper!I2:I501,MATCH(LARGE(_Helper!BH2:BH501,3),_Helper!BH2:BH501,0)),"-")</f>
        <v/>
      </c>
      <c r="R20" s="98" t="n"/>
      <c r="S20" s="98" t="n"/>
      <c r="T20" s="98" t="n"/>
      <c r="U20" s="98" t="n"/>
      <c r="V20" s="98" t="n"/>
    </row>
    <row r="21" ht="19.5" customHeight="1" s="82">
      <c r="A21" s="150" t="inlineStr">
        <is>
          <t>SRM Pallet Locations</t>
        </is>
      </c>
      <c r="B21" s="98" t="n"/>
      <c r="C21" s="152">
        <f>IFERROR(INDEX(_Helper!J2:J501,MATCH(LARGE(_Helper!BH2:BH501,1),_Helper!BH2:BH501,0)),"-")</f>
        <v/>
      </c>
      <c r="D21" s="98" t="n"/>
      <c r="E21" s="98" t="n"/>
      <c r="F21" s="98" t="n"/>
      <c r="G21" s="98" t="n"/>
      <c r="H21" s="98" t="n"/>
      <c r="I21" s="8" t="n"/>
      <c r="J21" s="154">
        <f>IFERROR(INDEX(_Helper!J2:J501,MATCH(LARGE(_Helper!BH2:BH501,2),_Helper!BH2:BH501,0)),"-")</f>
        <v/>
      </c>
      <c r="K21" s="98" t="n"/>
      <c r="L21" s="98" t="n"/>
      <c r="M21" s="98" t="n"/>
      <c r="N21" s="98" t="n"/>
      <c r="O21" s="98" t="n"/>
      <c r="P21" s="8" t="n"/>
      <c r="Q21" s="149">
        <f>IFERROR(INDEX(_Helper!J2:J501,MATCH(LARGE(_Helper!BH2:BH501,3),_Helper!BH2:BH501,0)),"-")</f>
        <v/>
      </c>
      <c r="R21" s="98" t="n"/>
      <c r="S21" s="98" t="n"/>
      <c r="T21" s="98" t="n"/>
      <c r="U21" s="98" t="n"/>
      <c r="V21" s="98" t="n"/>
    </row>
    <row r="22" ht="19.5" customHeight="1" s="82">
      <c r="A22" s="158" t="inlineStr">
        <is>
          <t>Case Conveyor (m)</t>
        </is>
      </c>
      <c r="B22" s="98" t="n"/>
      <c r="C22" s="152">
        <f>IFERROR(INDEX(_Helper!K2:K501,MATCH(LARGE(_Helper!BH2:BH501,1),_Helper!BH2:BH501,0)),"-")</f>
        <v/>
      </c>
      <c r="D22" s="98" t="n"/>
      <c r="E22" s="98" t="n"/>
      <c r="F22" s="98" t="n"/>
      <c r="G22" s="98" t="n"/>
      <c r="H22" s="98" t="n"/>
      <c r="I22" s="7" t="n"/>
      <c r="J22" s="154">
        <f>IFERROR(INDEX(_Helper!K2:K501,MATCH(LARGE(_Helper!BH2:BH501,2),_Helper!BH2:BH501,0)),"-")</f>
        <v/>
      </c>
      <c r="K22" s="98" t="n"/>
      <c r="L22" s="98" t="n"/>
      <c r="M22" s="98" t="n"/>
      <c r="N22" s="98" t="n"/>
      <c r="O22" s="98" t="n"/>
      <c r="P22" s="7" t="n"/>
      <c r="Q22" s="149">
        <f>IFERROR(INDEX(_Helper!K2:K501,MATCH(LARGE(_Helper!BH2:BH501,3),_Helper!BH2:BH501,0)),"-")</f>
        <v/>
      </c>
      <c r="R22" s="98" t="n"/>
      <c r="S22" s="98" t="n"/>
      <c r="T22" s="98" t="n"/>
      <c r="U22" s="98" t="n"/>
      <c r="V22" s="98" t="n"/>
    </row>
    <row r="23" ht="19.5" customHeight="1" s="82">
      <c r="A23" s="150" t="inlineStr">
        <is>
          <t>Pallet Conveyor (m)</t>
        </is>
      </c>
      <c r="B23" s="98" t="n"/>
      <c r="C23" s="152">
        <f>IFERROR(INDEX(_Helper!L2:L501,MATCH(LARGE(_Helper!BH2:BH501,1),_Helper!BH2:BH501,0)),"-")</f>
        <v/>
      </c>
      <c r="D23" s="98" t="n"/>
      <c r="E23" s="98" t="n"/>
      <c r="F23" s="98" t="n"/>
      <c r="G23" s="98" t="n"/>
      <c r="H23" s="98" t="n"/>
      <c r="I23" s="8" t="n"/>
      <c r="J23" s="154">
        <f>IFERROR(INDEX(_Helper!L2:L501,MATCH(LARGE(_Helper!BH2:BH501,2),_Helper!BH2:BH501,0)),"-")</f>
        <v/>
      </c>
      <c r="K23" s="98" t="n"/>
      <c r="L23" s="98" t="n"/>
      <c r="M23" s="98" t="n"/>
      <c r="N23" s="98" t="n"/>
      <c r="O23" s="98" t="n"/>
      <c r="P23" s="8" t="n"/>
      <c r="Q23" s="149">
        <f>IFERROR(INDEX(_Helper!L2:L501,MATCH(LARGE(_Helper!BH2:BH501,3),_Helper!BH2:BH501,0)),"-")</f>
        <v/>
      </c>
      <c r="R23" s="98" t="n"/>
      <c r="S23" s="98" t="n"/>
      <c r="T23" s="98" t="n"/>
      <c r="U23" s="98" t="n"/>
      <c r="V23" s="98" t="n"/>
    </row>
    <row r="24" ht="19.5" customHeight="1" s="82">
      <c r="A24" s="155" t="inlineStr">
        <is>
          <t xml:space="preserve">  SCHEDULE  (weeks)</t>
        </is>
      </c>
    </row>
    <row r="25" ht="21" customHeight="1" s="82">
      <c r="A25" s="164" t="n"/>
      <c r="B25" s="118" t="n"/>
      <c r="C25" s="157" t="inlineStr">
        <is>
          <t>Presales plan</t>
        </is>
      </c>
      <c r="D25" s="96" t="n"/>
      <c r="E25" s="96" t="n"/>
      <c r="F25" s="96" t="inlineStr">
        <is>
          <t>Actual</t>
        </is>
      </c>
      <c r="G25" s="96" t="n"/>
      <c r="H25" s="96" t="n"/>
      <c r="J25" s="160" t="inlineStr">
        <is>
          <t>Presales plan</t>
        </is>
      </c>
      <c r="K25" s="75" t="n"/>
      <c r="L25" s="75" t="n"/>
      <c r="M25" s="75" t="inlineStr">
        <is>
          <t>Actual</t>
        </is>
      </c>
      <c r="N25" s="75" t="n"/>
      <c r="O25" s="75" t="n"/>
      <c r="Q25" s="156" t="inlineStr">
        <is>
          <t>Presales plan</t>
        </is>
      </c>
      <c r="R25" s="75" t="n"/>
      <c r="S25" s="75" t="n"/>
      <c r="T25" s="75" t="inlineStr">
        <is>
          <t>Actual</t>
        </is>
      </c>
      <c r="U25" s="75" t="n"/>
      <c r="V25" s="75" t="n"/>
    </row>
    <row r="26" ht="19.5" customHeight="1" s="82">
      <c r="A26" s="158" t="inlineStr">
        <is>
          <t>Mechanical Engineering</t>
        </is>
      </c>
      <c r="B26" s="98" t="n"/>
      <c r="C26" s="152">
        <f>IFERROR(IF(N(INDEX(_Helper!DC2:DC501,MATCH(LARGE(_Helper!BH2:BH501,1),_Helper!BH2:BH501,0)))=0,"—",INDEX(_Helper!CW2:CW501,MATCH(LARGE(_Helper!BH2:BH501,1),_Helper!BH2:BH501,0))),"-")</f>
        <v/>
      </c>
      <c r="D26" s="98" t="n"/>
      <c r="E26" s="98" t="n"/>
      <c r="F26" s="98">
        <f>IFERROR(IF(N(INDEX(_Helper!DJ2:DJ501,MATCH(LARGE(_Helper!BH2:BH501,1),_Helper!BH2:BH501,0)))=0,IF(INDEX(_Helper!CC2:CC501,MATCH(LARGE(_Helper!BH2:BH501,1),_Helper!BH2:BH501,0))="Yes","—","Not won"),INDEX(_Helper!DD2:DD501,MATCH(LARGE(_Helper!BH2:BH501,1),_Helper!BH2:BH501,0))),"-")</f>
        <v/>
      </c>
      <c r="G26" s="98" t="n"/>
      <c r="H26" s="98" t="n"/>
      <c r="I26" s="7" t="n"/>
      <c r="J26" s="154">
        <f>IFERROR(IF(N(INDEX(_Helper!DC2:DC501,MATCH(LARGE(_Helper!BH2:BH501,2),_Helper!BH2:BH501,0)))=0,"—",INDEX(_Helper!CW2:CW501,MATCH(LARGE(_Helper!BH2:BH501,2),_Helper!BH2:BH501,0))),"-")</f>
        <v/>
      </c>
      <c r="K26" s="98" t="n"/>
      <c r="L26" s="98" t="n"/>
      <c r="M26" s="98">
        <f>IFERROR(IF(N(INDEX(_Helper!DJ2:DJ501,MATCH(LARGE(_Helper!BH2:BH501,2),_Helper!BH2:BH501,0)))=0,IF(INDEX(_Helper!CC2:CC501,MATCH(LARGE(_Helper!BH2:BH501,2),_Helper!BH2:BH501,0))="Yes","—","Not won"),INDEX(_Helper!DD2:DD501,MATCH(LARGE(_Helper!BH2:BH501,2),_Helper!BH2:BH501,0))),"-")</f>
        <v/>
      </c>
      <c r="N26" s="98" t="n"/>
      <c r="O26" s="98" t="n"/>
      <c r="P26" s="7" t="n"/>
      <c r="Q26" s="149">
        <f>IFERROR(IF(N(INDEX(_Helper!DC2:DC501,MATCH(LARGE(_Helper!BH2:BH501,3),_Helper!BH2:BH501,0)))=0,"—",INDEX(_Helper!CW2:CW501,MATCH(LARGE(_Helper!BH2:BH501,3),_Helper!BH2:BH501,0))),"-")</f>
        <v/>
      </c>
      <c r="R26" s="98" t="n"/>
      <c r="S26" s="98" t="n"/>
      <c r="T26" s="98">
        <f>IFERROR(IF(N(INDEX(_Helper!DJ2:DJ501,MATCH(LARGE(_Helper!BH2:BH501,3),_Helper!BH2:BH501,0)))=0,IF(INDEX(_Helper!CC2:CC501,MATCH(LARGE(_Helper!BH2:BH501,3),_Helper!BH2:BH501,0))="Yes","—","Not won"),INDEX(_Helper!DD2:DD501,MATCH(LARGE(_Helper!BH2:BH501,3),_Helper!BH2:BH501,0))),"-")</f>
        <v/>
      </c>
      <c r="U26" s="98" t="n"/>
      <c r="V26" s="98" t="n"/>
    </row>
    <row r="27" ht="19.5" customHeight="1" s="82">
      <c r="A27" s="150" t="inlineStr">
        <is>
          <t>Controls Engineering</t>
        </is>
      </c>
      <c r="B27" s="98" t="n"/>
      <c r="C27" s="152">
        <f>IFERROR(IF(N(INDEX(_Helper!DC2:DC501,MATCH(LARGE(_Helper!BH2:BH501,1),_Helper!BH2:BH501,0)))=0,"—",INDEX(_Helper!CX2:CX501,MATCH(LARGE(_Helper!BH2:BH501,1),_Helper!BH2:BH501,0))),"-")</f>
        <v/>
      </c>
      <c r="D27" s="98" t="n"/>
      <c r="E27" s="98" t="n"/>
      <c r="F27" s="98">
        <f>IFERROR(IF(N(INDEX(_Helper!DJ2:DJ501,MATCH(LARGE(_Helper!BH2:BH501,1),_Helper!BH2:BH501,0)))=0,IF(INDEX(_Helper!CC2:CC501,MATCH(LARGE(_Helper!BH2:BH501,1),_Helper!BH2:BH501,0))="Yes","—","Not won"),INDEX(_Helper!DE2:DE501,MATCH(LARGE(_Helper!BH2:BH501,1),_Helper!BH2:BH501,0))),"-")</f>
        <v/>
      </c>
      <c r="G27" s="98" t="n"/>
      <c r="H27" s="98" t="n"/>
      <c r="I27" s="8" t="n"/>
      <c r="J27" s="154">
        <f>IFERROR(IF(N(INDEX(_Helper!DC2:DC501,MATCH(LARGE(_Helper!BH2:BH501,2),_Helper!BH2:BH501,0)))=0,"—",INDEX(_Helper!CX2:CX501,MATCH(LARGE(_Helper!BH2:BH501,2),_Helper!BH2:BH501,0))),"-")</f>
        <v/>
      </c>
      <c r="K27" s="98" t="n"/>
      <c r="L27" s="98" t="n"/>
      <c r="M27" s="98">
        <f>IFERROR(IF(N(INDEX(_Helper!DJ2:DJ501,MATCH(LARGE(_Helper!BH2:BH501,2),_Helper!BH2:BH501,0)))=0,IF(INDEX(_Helper!CC2:CC501,MATCH(LARGE(_Helper!BH2:BH501,2),_Helper!BH2:BH501,0))="Yes","—","Not won"),INDEX(_Helper!DE2:DE501,MATCH(LARGE(_Helper!BH2:BH501,2),_Helper!BH2:BH501,0))),"-")</f>
        <v/>
      </c>
      <c r="N27" s="98" t="n"/>
      <c r="O27" s="98" t="n"/>
      <c r="P27" s="8" t="n"/>
      <c r="Q27" s="149">
        <f>IFERROR(IF(N(INDEX(_Helper!DC2:DC501,MATCH(LARGE(_Helper!BH2:BH501,3),_Helper!BH2:BH501,0)))=0,"—",INDEX(_Helper!CX2:CX501,MATCH(LARGE(_Helper!BH2:BH501,3),_Helper!BH2:BH501,0))),"-")</f>
        <v/>
      </c>
      <c r="R27" s="98" t="n"/>
      <c r="S27" s="98" t="n"/>
      <c r="T27" s="98">
        <f>IFERROR(IF(N(INDEX(_Helper!DJ2:DJ501,MATCH(LARGE(_Helper!BH2:BH501,3),_Helper!BH2:BH501,0)))=0,IF(INDEX(_Helper!CC2:CC501,MATCH(LARGE(_Helper!BH2:BH501,3),_Helper!BH2:BH501,0))="Yes","—","Not won"),INDEX(_Helper!DE2:DE501,MATCH(LARGE(_Helper!BH2:BH501,3),_Helper!BH2:BH501,0))),"-")</f>
        <v/>
      </c>
      <c r="U27" s="98" t="n"/>
      <c r="V27" s="98" t="n"/>
    </row>
    <row r="28" ht="19.5" customHeight="1" s="82">
      <c r="A28" s="158" t="inlineStr">
        <is>
          <t>Systems Engineering</t>
        </is>
      </c>
      <c r="B28" s="98" t="n"/>
      <c r="C28" s="152">
        <f>IFERROR(IF(N(INDEX(_Helper!DC2:DC501,MATCH(LARGE(_Helper!BH2:BH501,1),_Helper!BH2:BH501,0)))=0,"—",INDEX(_Helper!CY2:CY501,MATCH(LARGE(_Helper!BH2:BH501,1),_Helper!BH2:BH501,0))),"-")</f>
        <v/>
      </c>
      <c r="D28" s="98" t="n"/>
      <c r="E28" s="98" t="n"/>
      <c r="F28" s="98">
        <f>IFERROR(IF(N(INDEX(_Helper!DJ2:DJ501,MATCH(LARGE(_Helper!BH2:BH501,1),_Helper!BH2:BH501,0)))=0,IF(INDEX(_Helper!CC2:CC501,MATCH(LARGE(_Helper!BH2:BH501,1),_Helper!BH2:BH501,0))="Yes","—","Not won"),INDEX(_Helper!DF2:DF501,MATCH(LARGE(_Helper!BH2:BH501,1),_Helper!BH2:BH501,0))),"-")</f>
        <v/>
      </c>
      <c r="G28" s="98" t="n"/>
      <c r="H28" s="98" t="n"/>
      <c r="I28" s="7" t="n"/>
      <c r="J28" s="154">
        <f>IFERROR(IF(N(INDEX(_Helper!DC2:DC501,MATCH(LARGE(_Helper!BH2:BH501,2),_Helper!BH2:BH501,0)))=0,"—",INDEX(_Helper!CY2:CY501,MATCH(LARGE(_Helper!BH2:BH501,2),_Helper!BH2:BH501,0))),"-")</f>
        <v/>
      </c>
      <c r="K28" s="98" t="n"/>
      <c r="L28" s="98" t="n"/>
      <c r="M28" s="98">
        <f>IFERROR(IF(N(INDEX(_Helper!DJ2:DJ501,MATCH(LARGE(_Helper!BH2:BH501,2),_Helper!BH2:BH501,0)))=0,IF(INDEX(_Helper!CC2:CC501,MATCH(LARGE(_Helper!BH2:BH501,2),_Helper!BH2:BH501,0))="Yes","—","Not won"),INDEX(_Helper!DF2:DF501,MATCH(LARGE(_Helper!BH2:BH501,2),_Helper!BH2:BH501,0))),"-")</f>
        <v/>
      </c>
      <c r="N28" s="98" t="n"/>
      <c r="O28" s="98" t="n"/>
      <c r="P28" s="7" t="n"/>
      <c r="Q28" s="149">
        <f>IFERROR(IF(N(INDEX(_Helper!DC2:DC501,MATCH(LARGE(_Helper!BH2:BH501,3),_Helper!BH2:BH501,0)))=0,"—",INDEX(_Helper!CY2:CY501,MATCH(LARGE(_Helper!BH2:BH501,3),_Helper!BH2:BH501,0))),"-")</f>
        <v/>
      </c>
      <c r="R28" s="98" t="n"/>
      <c r="S28" s="98" t="n"/>
      <c r="T28" s="98">
        <f>IFERROR(IF(N(INDEX(_Helper!DJ2:DJ501,MATCH(LARGE(_Helper!BH2:BH501,3),_Helper!BH2:BH501,0)))=0,IF(INDEX(_Helper!CC2:CC501,MATCH(LARGE(_Helper!BH2:BH501,3),_Helper!BH2:BH501,0))="Yes","—","Not won"),INDEX(_Helper!DF2:DF501,MATCH(LARGE(_Helper!BH2:BH501,3),_Helper!BH2:BH501,0))),"-")</f>
        <v/>
      </c>
      <c r="U28" s="98" t="n"/>
      <c r="V28" s="98" t="n"/>
    </row>
    <row r="29" ht="19.5" customHeight="1" s="82">
      <c r="A29" s="150" t="inlineStr">
        <is>
          <t>Software Engineering</t>
        </is>
      </c>
      <c r="B29" s="98" t="n"/>
      <c r="C29" s="152">
        <f>IFERROR(IF(N(INDEX(_Helper!DC2:DC501,MATCH(LARGE(_Helper!BH2:BH501,1),_Helper!BH2:BH501,0)))=0,"—",INDEX(_Helper!CZ2:CZ501,MATCH(LARGE(_Helper!BH2:BH501,1),_Helper!BH2:BH501,0))),"-")</f>
        <v/>
      </c>
      <c r="D29" s="98" t="n"/>
      <c r="E29" s="98" t="n"/>
      <c r="F29" s="98">
        <f>IFERROR(IF(N(INDEX(_Helper!DJ2:DJ501,MATCH(LARGE(_Helper!BH2:BH501,1),_Helper!BH2:BH501,0)))=0,IF(INDEX(_Helper!CC2:CC501,MATCH(LARGE(_Helper!BH2:BH501,1),_Helper!BH2:BH501,0))="Yes","—","Not won"),INDEX(_Helper!DG2:DG501,MATCH(LARGE(_Helper!BH2:BH501,1),_Helper!BH2:BH501,0))),"-")</f>
        <v/>
      </c>
      <c r="G29" s="98" t="n"/>
      <c r="H29" s="98" t="n"/>
      <c r="I29" s="8" t="n"/>
      <c r="J29" s="154">
        <f>IFERROR(IF(N(INDEX(_Helper!DC2:DC501,MATCH(LARGE(_Helper!BH2:BH501,2),_Helper!BH2:BH501,0)))=0,"—",INDEX(_Helper!CZ2:CZ501,MATCH(LARGE(_Helper!BH2:BH501,2),_Helper!BH2:BH501,0))),"-")</f>
        <v/>
      </c>
      <c r="K29" s="98" t="n"/>
      <c r="L29" s="98" t="n"/>
      <c r="M29" s="98">
        <f>IFERROR(IF(N(INDEX(_Helper!DJ2:DJ501,MATCH(LARGE(_Helper!BH2:BH501,2),_Helper!BH2:BH501,0)))=0,IF(INDEX(_Helper!CC2:CC501,MATCH(LARGE(_Helper!BH2:BH501,2),_Helper!BH2:BH501,0))="Yes","—","Not won"),INDEX(_Helper!DG2:DG501,MATCH(LARGE(_Helper!BH2:BH501,2),_Helper!BH2:BH501,0))),"-")</f>
        <v/>
      </c>
      <c r="N29" s="98" t="n"/>
      <c r="O29" s="98" t="n"/>
      <c r="P29" s="8" t="n"/>
      <c r="Q29" s="149">
        <f>IFERROR(IF(N(INDEX(_Helper!DC2:DC501,MATCH(LARGE(_Helper!BH2:BH501,3),_Helper!BH2:BH501,0)))=0,"—",INDEX(_Helper!CZ2:CZ501,MATCH(LARGE(_Helper!BH2:BH501,3),_Helper!BH2:BH501,0))),"-")</f>
        <v/>
      </c>
      <c r="R29" s="98" t="n"/>
      <c r="S29" s="98" t="n"/>
      <c r="T29" s="98">
        <f>IFERROR(IF(N(INDEX(_Helper!DJ2:DJ501,MATCH(LARGE(_Helper!BH2:BH501,3),_Helper!BH2:BH501,0)))=0,IF(INDEX(_Helper!CC2:CC501,MATCH(LARGE(_Helper!BH2:BH501,3),_Helper!BH2:BH501,0))="Yes","—","Not won"),INDEX(_Helper!DG2:DG501,MATCH(LARGE(_Helper!BH2:BH501,3),_Helper!BH2:BH501,0))),"-")</f>
        <v/>
      </c>
      <c r="U29" s="98" t="n"/>
      <c r="V29" s="98" t="n"/>
    </row>
    <row r="30" ht="19.5" customHeight="1" s="82">
      <c r="A30" s="158" t="inlineStr">
        <is>
          <t>M&amp;E Installation</t>
        </is>
      </c>
      <c r="B30" s="98" t="n"/>
      <c r="C30" s="152">
        <f>IFERROR(IF(N(INDEX(_Helper!DC2:DC501,MATCH(LARGE(_Helper!BH2:BH501,1),_Helper!BH2:BH501,0)))=0,"—",INDEX(_Helper!DA2:DA501,MATCH(LARGE(_Helper!BH2:BH501,1),_Helper!BH2:BH501,0))),"-")</f>
        <v/>
      </c>
      <c r="D30" s="98" t="n"/>
      <c r="E30" s="98" t="n"/>
      <c r="F30" s="98">
        <f>IFERROR(IF(N(INDEX(_Helper!DJ2:DJ501,MATCH(LARGE(_Helper!BH2:BH501,1),_Helper!BH2:BH501,0)))=0,IF(INDEX(_Helper!CC2:CC501,MATCH(LARGE(_Helper!BH2:BH501,1),_Helper!BH2:BH501,0))="Yes","—","Not won"),INDEX(_Helper!DH2:DH501,MATCH(LARGE(_Helper!BH2:BH501,1),_Helper!BH2:BH501,0))),"-")</f>
        <v/>
      </c>
      <c r="G30" s="98" t="n"/>
      <c r="H30" s="98" t="n"/>
      <c r="I30" s="7" t="n"/>
      <c r="J30" s="154">
        <f>IFERROR(IF(N(INDEX(_Helper!DC2:DC501,MATCH(LARGE(_Helper!BH2:BH501,2),_Helper!BH2:BH501,0)))=0,"—",INDEX(_Helper!DA2:DA501,MATCH(LARGE(_Helper!BH2:BH501,2),_Helper!BH2:BH501,0))),"-")</f>
        <v/>
      </c>
      <c r="K30" s="98" t="n"/>
      <c r="L30" s="98" t="n"/>
      <c r="M30" s="98">
        <f>IFERROR(IF(N(INDEX(_Helper!DJ2:DJ501,MATCH(LARGE(_Helper!BH2:BH501,2),_Helper!BH2:BH501,0)))=0,IF(INDEX(_Helper!CC2:CC501,MATCH(LARGE(_Helper!BH2:BH501,2),_Helper!BH2:BH501,0))="Yes","—","Not won"),INDEX(_Helper!DH2:DH501,MATCH(LARGE(_Helper!BH2:BH501,2),_Helper!BH2:BH501,0))),"-")</f>
        <v/>
      </c>
      <c r="N30" s="98" t="n"/>
      <c r="O30" s="98" t="n"/>
      <c r="P30" s="7" t="n"/>
      <c r="Q30" s="149">
        <f>IFERROR(IF(N(INDEX(_Helper!DC2:DC501,MATCH(LARGE(_Helper!BH2:BH501,3),_Helper!BH2:BH501,0)))=0,"—",INDEX(_Helper!DA2:DA501,MATCH(LARGE(_Helper!BH2:BH501,3),_Helper!BH2:BH501,0))),"-")</f>
        <v/>
      </c>
      <c r="R30" s="98" t="n"/>
      <c r="S30" s="98" t="n"/>
      <c r="T30" s="98">
        <f>IFERROR(IF(N(INDEX(_Helper!DJ2:DJ501,MATCH(LARGE(_Helper!BH2:BH501,3),_Helper!BH2:BH501,0)))=0,IF(INDEX(_Helper!CC2:CC501,MATCH(LARGE(_Helper!BH2:BH501,3),_Helper!BH2:BH501,0))="Yes","—","Not won"),INDEX(_Helper!DH2:DH501,MATCH(LARGE(_Helper!BH2:BH501,3),_Helper!BH2:BH501,0))),"-")</f>
        <v/>
      </c>
      <c r="U30" s="98" t="n"/>
      <c r="V30" s="98" t="n"/>
    </row>
    <row r="31" ht="19.5" customHeight="1" s="82">
      <c r="A31" s="150" t="inlineStr">
        <is>
          <t>Commissioning</t>
        </is>
      </c>
      <c r="B31" s="98" t="n"/>
      <c r="C31" s="152">
        <f>IFERROR(IF(N(INDEX(_Helper!DC2:DC501,MATCH(LARGE(_Helper!BH2:BH501,1),_Helper!BH2:BH501,0)))=0,"—",INDEX(_Helper!DB2:DB501,MATCH(LARGE(_Helper!BH2:BH501,1),_Helper!BH2:BH501,0))),"-")</f>
        <v/>
      </c>
      <c r="D31" s="98" t="n"/>
      <c r="E31" s="98" t="n"/>
      <c r="F31" s="98">
        <f>IFERROR(IF(N(INDEX(_Helper!DJ2:DJ501,MATCH(LARGE(_Helper!BH2:BH501,1),_Helper!BH2:BH501,0)))=0,IF(INDEX(_Helper!CC2:CC501,MATCH(LARGE(_Helper!BH2:BH501,1),_Helper!BH2:BH501,0))="Yes","—","Not won"),INDEX(_Helper!DI2:DI501,MATCH(LARGE(_Helper!BH2:BH501,1),_Helper!BH2:BH501,0))),"-")</f>
        <v/>
      </c>
      <c r="G31" s="98" t="n"/>
      <c r="H31" s="98" t="n"/>
      <c r="I31" s="8" t="n"/>
      <c r="J31" s="154">
        <f>IFERROR(IF(N(INDEX(_Helper!DC2:DC501,MATCH(LARGE(_Helper!BH2:BH501,2),_Helper!BH2:BH501,0)))=0,"—",INDEX(_Helper!DB2:DB501,MATCH(LARGE(_Helper!BH2:BH501,2),_Helper!BH2:BH501,0))),"-")</f>
        <v/>
      </c>
      <c r="K31" s="98" t="n"/>
      <c r="L31" s="98" t="n"/>
      <c r="M31" s="98">
        <f>IFERROR(IF(N(INDEX(_Helper!DJ2:DJ501,MATCH(LARGE(_Helper!BH2:BH501,2),_Helper!BH2:BH501,0)))=0,IF(INDEX(_Helper!CC2:CC501,MATCH(LARGE(_Helper!BH2:BH501,2),_Helper!BH2:BH501,0))="Yes","—","Not won"),INDEX(_Helper!DI2:DI501,MATCH(LARGE(_Helper!BH2:BH501,2),_Helper!BH2:BH501,0))),"-")</f>
        <v/>
      </c>
      <c r="N31" s="98" t="n"/>
      <c r="O31" s="98" t="n"/>
      <c r="P31" s="8" t="n"/>
      <c r="Q31" s="149">
        <f>IFERROR(IF(N(INDEX(_Helper!DC2:DC501,MATCH(LARGE(_Helper!BH2:BH501,3),_Helper!BH2:BH501,0)))=0,"—",INDEX(_Helper!DB2:DB501,MATCH(LARGE(_Helper!BH2:BH501,3),_Helper!BH2:BH501,0))),"-")</f>
        <v/>
      </c>
      <c r="R31" s="98" t="n"/>
      <c r="S31" s="98" t="n"/>
      <c r="T31" s="98">
        <f>IFERROR(IF(N(INDEX(_Helper!DJ2:DJ501,MATCH(LARGE(_Helper!BH2:BH501,3),_Helper!BH2:BH501,0)))=0,IF(INDEX(_Helper!CC2:CC501,MATCH(LARGE(_Helper!BH2:BH501,3),_Helper!BH2:BH501,0))="Yes","—","Not won"),INDEX(_Helper!DI2:DI501,MATCH(LARGE(_Helper!BH2:BH501,3),_Helper!BH2:BH501,0))),"-")</f>
        <v/>
      </c>
      <c r="U31" s="98" t="n"/>
      <c r="V31" s="98" t="n"/>
    </row>
    <row r="32" ht="19.5" customHeight="1" s="82">
      <c r="A32" s="165" t="inlineStr">
        <is>
          <t>TOTAL PROJECT TIMELINE</t>
        </is>
      </c>
      <c r="B32" s="98" t="n"/>
      <c r="C32" s="169">
        <f>IFERROR(IF(N(INDEX(_Helper!DC2:DC501,MATCH(LARGE(_Helper!BH2:BH501,1),_Helper!BH2:BH501,0)))=0,"—",INDEX(_Helper!DC2:DC501,MATCH(LARGE(_Helper!BH2:BH501,1),_Helper!BH2:BH501,0))),"-")</f>
        <v/>
      </c>
      <c r="D32" s="98" t="n"/>
      <c r="E32" s="98" t="n"/>
      <c r="F32" s="98">
        <f>IFERROR(IF(N(INDEX(_Helper!DJ2:DJ501,MATCH(LARGE(_Helper!BH2:BH501,1),_Helper!BH2:BH501,0)))=0,IF(INDEX(_Helper!CC2:CC501,MATCH(LARGE(_Helper!BH2:BH501,1),_Helper!BH2:BH501,0))="Yes","—","Not won"),INDEX(_Helper!DJ2:DJ501,MATCH(LARGE(_Helper!BH2:BH501,1),_Helper!BH2:BH501,0))),"-")</f>
        <v/>
      </c>
      <c r="G32" s="98" t="n"/>
      <c r="H32" s="98" t="n"/>
      <c r="I32" s="9" t="n"/>
      <c r="J32" s="171">
        <f>IFERROR(IF(N(INDEX(_Helper!DC2:DC501,MATCH(LARGE(_Helper!BH2:BH501,2),_Helper!BH2:BH501,0)))=0,"—",INDEX(_Helper!DC2:DC501,MATCH(LARGE(_Helper!BH2:BH501,2),_Helper!BH2:BH501,0))),"-")</f>
        <v/>
      </c>
      <c r="K32" s="98" t="n"/>
      <c r="L32" s="98" t="n"/>
      <c r="M32" s="98">
        <f>IFERROR(IF(N(INDEX(_Helper!DJ2:DJ501,MATCH(LARGE(_Helper!BH2:BH501,2),_Helper!BH2:BH501,0)))=0,IF(INDEX(_Helper!CC2:CC501,MATCH(LARGE(_Helper!BH2:BH501,2),_Helper!BH2:BH501,0))="Yes","—","Not won"),INDEX(_Helper!DJ2:DJ501,MATCH(LARGE(_Helper!BH2:BH501,2),_Helper!BH2:BH501,0))),"-")</f>
        <v/>
      </c>
      <c r="N32" s="98" t="n"/>
      <c r="O32" s="98" t="n"/>
      <c r="P32" s="9" t="n"/>
      <c r="Q32" s="162">
        <f>IFERROR(IF(N(INDEX(_Helper!DC2:DC501,MATCH(LARGE(_Helper!BH2:BH501,3),_Helper!BH2:BH501,0)))=0,"—",INDEX(_Helper!DC2:DC501,MATCH(LARGE(_Helper!BH2:BH501,3),_Helper!BH2:BH501,0))),"-")</f>
        <v/>
      </c>
      <c r="R32" s="98" t="n"/>
      <c r="S32" s="98" t="n"/>
      <c r="T32" s="98">
        <f>IFERROR(IF(N(INDEX(_Helper!DJ2:DJ501,MATCH(LARGE(_Helper!BH2:BH501,3),_Helper!BH2:BH501,0)))=0,IF(INDEX(_Helper!CC2:CC501,MATCH(LARGE(_Helper!BH2:BH501,3),_Helper!BH2:BH501,0))="Yes","—","Not won"),INDEX(_Helper!DJ2:DJ501,MATCH(LARGE(_Helper!BH2:BH501,3),_Helper!BH2:BH501,0))),"-")</f>
        <v/>
      </c>
      <c r="U32" s="98" t="n"/>
      <c r="V32" s="98" t="n"/>
    </row>
    <row r="33" ht="19.5" customHeight="1" s="82">
      <c r="A33" s="155" t="inlineStr">
        <is>
          <t xml:space="preserve">  MANHOUR COST  (% of project cost)</t>
        </is>
      </c>
    </row>
    <row r="34" ht="21" customHeight="1" s="82">
      <c r="A34" s="164" t="n"/>
      <c r="B34" s="118" t="n"/>
      <c r="C34" s="157" t="inlineStr">
        <is>
          <t>Presales est.</t>
        </is>
      </c>
      <c r="D34" s="96" t="n"/>
      <c r="E34" s="96" t="n"/>
      <c r="F34" s="96" t="inlineStr">
        <is>
          <t>Actual</t>
        </is>
      </c>
      <c r="G34" s="96" t="n"/>
      <c r="H34" s="96" t="n"/>
      <c r="J34" s="160" t="inlineStr">
        <is>
          <t>Presales est.</t>
        </is>
      </c>
      <c r="K34" s="75" t="n"/>
      <c r="L34" s="75" t="n"/>
      <c r="M34" s="75" t="inlineStr">
        <is>
          <t>Actual</t>
        </is>
      </c>
      <c r="N34" s="75" t="n"/>
      <c r="O34" s="75" t="n"/>
      <c r="Q34" s="156" t="inlineStr">
        <is>
          <t>Presales est.</t>
        </is>
      </c>
      <c r="R34" s="75" t="n"/>
      <c r="S34" s="75" t="n"/>
      <c r="T34" s="75" t="inlineStr">
        <is>
          <t>Actual</t>
        </is>
      </c>
      <c r="U34" s="75" t="n"/>
      <c r="V34" s="75" t="n"/>
    </row>
    <row r="35" ht="19.5" customHeight="1" s="82">
      <c r="A35" s="158" t="inlineStr">
        <is>
          <t>Mechanical Installation</t>
        </is>
      </c>
      <c r="B35" s="98" t="n"/>
      <c r="C35" s="161">
        <f>IFERROR(IF(N(INDEX(_Helper!CT2:CT501,MATCH(LARGE(_Helper!BH2:BH501,1),_Helper!BH2:BH501,0)))=0,"—",INDEX(_Helper!CF2:CF501,MATCH(LARGE(_Helper!BH2:BH501,1),_Helper!BH2:BH501,0))),"-")</f>
        <v/>
      </c>
      <c r="D35" s="98" t="n"/>
      <c r="E35" s="98" t="n"/>
      <c r="F35" s="151">
        <f>IFERROR(IF(N(INDEX(_Helper!BX2:BX501,MATCH(LARGE(_Helper!BH2:BH501,1),_Helper!BH2:BH501,0)))=0,IF(INDEX(_Helper!CC2:CC501,MATCH(LARGE(_Helper!BH2:BH501,1),_Helper!BH2:BH501,0))="Yes","—","Not won"),INDEX(_Helper!BJ2:BJ501,MATCH(LARGE(_Helper!BH2:BH501,1),_Helper!BH2:BH501,0))),"-")</f>
        <v/>
      </c>
      <c r="G35" s="98" t="n"/>
      <c r="H35" s="98" t="n"/>
      <c r="I35" s="7" t="n"/>
      <c r="J35" s="153">
        <f>IFERROR(IF(N(INDEX(_Helper!CT2:CT501,MATCH(LARGE(_Helper!BH2:BH501,2),_Helper!BH2:BH501,0)))=0,"—",INDEX(_Helper!CF2:CF501,MATCH(LARGE(_Helper!BH2:BH501,2),_Helper!BH2:BH501,0))),"-")</f>
        <v/>
      </c>
      <c r="K35" s="98" t="n"/>
      <c r="L35" s="98" t="n"/>
      <c r="M35" s="151">
        <f>IFERROR(IF(N(INDEX(_Helper!BX2:BX501,MATCH(LARGE(_Helper!BH2:BH501,2),_Helper!BH2:BH501,0)))=0,IF(INDEX(_Helper!CC2:CC501,MATCH(LARGE(_Helper!BH2:BH501,2),_Helper!BH2:BH501,0))="Yes","—","Not won"),INDEX(_Helper!BJ2:BJ501,MATCH(LARGE(_Helper!BH2:BH501,2),_Helper!BH2:BH501,0))),"-")</f>
        <v/>
      </c>
      <c r="N35" s="98" t="n"/>
      <c r="O35" s="98" t="n"/>
      <c r="P35" s="7" t="n"/>
      <c r="Q35" s="159">
        <f>IFERROR(IF(N(INDEX(_Helper!CT2:CT501,MATCH(LARGE(_Helper!BH2:BH501,3),_Helper!BH2:BH501,0)))=0,"—",INDEX(_Helper!CF2:CF501,MATCH(LARGE(_Helper!BH2:BH501,3),_Helper!BH2:BH501,0))),"-")</f>
        <v/>
      </c>
      <c r="R35" s="98" t="n"/>
      <c r="S35" s="98" t="n"/>
      <c r="T35" s="151">
        <f>IFERROR(IF(N(INDEX(_Helper!BX2:BX501,MATCH(LARGE(_Helper!BH2:BH501,3),_Helper!BH2:BH501,0)))=0,IF(INDEX(_Helper!CC2:CC501,MATCH(LARGE(_Helper!BH2:BH501,3),_Helper!BH2:BH501,0))="Yes","—","Not won"),INDEX(_Helper!BJ2:BJ501,MATCH(LARGE(_Helper!BH2:BH501,3),_Helper!BH2:BH501,0))),"-")</f>
        <v/>
      </c>
      <c r="U35" s="98" t="n"/>
      <c r="V35" s="98" t="n"/>
    </row>
    <row r="36" ht="19.5" customHeight="1" s="82">
      <c r="A36" s="150" t="inlineStr">
        <is>
          <t>Electrical Installation</t>
        </is>
      </c>
      <c r="B36" s="98" t="n"/>
      <c r="C36" s="161">
        <f>IFERROR(IF(N(INDEX(_Helper!CT2:CT501,MATCH(LARGE(_Helper!BH2:BH501,1),_Helper!BH2:BH501,0)))=0,"—",INDEX(_Helper!CG2:CG501,MATCH(LARGE(_Helper!BH2:BH501,1),_Helper!BH2:BH501,0))),"-")</f>
        <v/>
      </c>
      <c r="D36" s="98" t="n"/>
      <c r="E36" s="98" t="n"/>
      <c r="F36" s="151">
        <f>IFERROR(IF(N(INDEX(_Helper!BX2:BX501,MATCH(LARGE(_Helper!BH2:BH501,1),_Helper!BH2:BH501,0)))=0,IF(INDEX(_Helper!CC2:CC501,MATCH(LARGE(_Helper!BH2:BH501,1),_Helper!BH2:BH501,0))="Yes","—","Not won"),INDEX(_Helper!BK2:BK501,MATCH(LARGE(_Helper!BH2:BH501,1),_Helper!BH2:BH501,0))),"-")</f>
        <v/>
      </c>
      <c r="G36" s="98" t="n"/>
      <c r="H36" s="98" t="n"/>
      <c r="I36" s="8" t="n"/>
      <c r="J36" s="153">
        <f>IFERROR(IF(N(INDEX(_Helper!CT2:CT501,MATCH(LARGE(_Helper!BH2:BH501,2),_Helper!BH2:BH501,0)))=0,"—",INDEX(_Helper!CG2:CG501,MATCH(LARGE(_Helper!BH2:BH501,2),_Helper!BH2:BH501,0))),"-")</f>
        <v/>
      </c>
      <c r="K36" s="98" t="n"/>
      <c r="L36" s="98" t="n"/>
      <c r="M36" s="151">
        <f>IFERROR(IF(N(INDEX(_Helper!BX2:BX501,MATCH(LARGE(_Helper!BH2:BH501,2),_Helper!BH2:BH501,0)))=0,IF(INDEX(_Helper!CC2:CC501,MATCH(LARGE(_Helper!BH2:BH501,2),_Helper!BH2:BH501,0))="Yes","—","Not won"),INDEX(_Helper!BK2:BK501,MATCH(LARGE(_Helper!BH2:BH501,2),_Helper!BH2:BH501,0))),"-")</f>
        <v/>
      </c>
      <c r="N36" s="98" t="n"/>
      <c r="O36" s="98" t="n"/>
      <c r="P36" s="8" t="n"/>
      <c r="Q36" s="159">
        <f>IFERROR(IF(N(INDEX(_Helper!CT2:CT501,MATCH(LARGE(_Helper!BH2:BH501,3),_Helper!BH2:BH501,0)))=0,"—",INDEX(_Helper!CG2:CG501,MATCH(LARGE(_Helper!BH2:BH501,3),_Helper!BH2:BH501,0))),"-")</f>
        <v/>
      </c>
      <c r="R36" s="98" t="n"/>
      <c r="S36" s="98" t="n"/>
      <c r="T36" s="151">
        <f>IFERROR(IF(N(INDEX(_Helper!BX2:BX501,MATCH(LARGE(_Helper!BH2:BH501,3),_Helper!BH2:BH501,0)))=0,IF(INDEX(_Helper!CC2:CC501,MATCH(LARGE(_Helper!BH2:BH501,3),_Helper!BH2:BH501,0))="Yes","—","Not won"),INDEX(_Helper!BK2:BK501,MATCH(LARGE(_Helper!BH2:BH501,3),_Helper!BH2:BH501,0))),"-")</f>
        <v/>
      </c>
      <c r="U36" s="98" t="n"/>
      <c r="V36" s="98" t="n"/>
    </row>
    <row r="37" ht="19.5" customHeight="1" s="82">
      <c r="A37" s="158" t="inlineStr">
        <is>
          <t>Project Management</t>
        </is>
      </c>
      <c r="B37" s="98" t="n"/>
      <c r="C37" s="161">
        <f>IFERROR(IF(N(INDEX(_Helper!CT2:CT501,MATCH(LARGE(_Helper!BH2:BH501,1),_Helper!BH2:BH501,0)))=0,"—",INDEX(_Helper!CH2:CH501,MATCH(LARGE(_Helper!BH2:BH501,1),_Helper!BH2:BH501,0))),"-")</f>
        <v/>
      </c>
      <c r="D37" s="98" t="n"/>
      <c r="E37" s="98" t="n"/>
      <c r="F37" s="151">
        <f>IFERROR(IF(N(INDEX(_Helper!BX2:BX501,MATCH(LARGE(_Helper!BH2:BH501,1),_Helper!BH2:BH501,0)))=0,IF(INDEX(_Helper!CC2:CC501,MATCH(LARGE(_Helper!BH2:BH501,1),_Helper!BH2:BH501,0))="Yes","—","Not won"),INDEX(_Helper!BL2:BL501,MATCH(LARGE(_Helper!BH2:BH501,1),_Helper!BH2:BH501,0))),"-")</f>
        <v/>
      </c>
      <c r="G37" s="98" t="n"/>
      <c r="H37" s="98" t="n"/>
      <c r="I37" s="7" t="n"/>
      <c r="J37" s="153">
        <f>IFERROR(IF(N(INDEX(_Helper!CT2:CT501,MATCH(LARGE(_Helper!BH2:BH501,2),_Helper!BH2:BH501,0)))=0,"—",INDEX(_Helper!CH2:CH501,MATCH(LARGE(_Helper!BH2:BH501,2),_Helper!BH2:BH501,0))),"-")</f>
        <v/>
      </c>
      <c r="K37" s="98" t="n"/>
      <c r="L37" s="98" t="n"/>
      <c r="M37" s="151">
        <f>IFERROR(IF(N(INDEX(_Helper!BX2:BX501,MATCH(LARGE(_Helper!BH2:BH501,2),_Helper!BH2:BH501,0)))=0,IF(INDEX(_Helper!CC2:CC501,MATCH(LARGE(_Helper!BH2:BH501,2),_Helper!BH2:BH501,0))="Yes","—","Not won"),INDEX(_Helper!BL2:BL501,MATCH(LARGE(_Helper!BH2:BH501,2),_Helper!BH2:BH501,0))),"-")</f>
        <v/>
      </c>
      <c r="N37" s="98" t="n"/>
      <c r="O37" s="98" t="n"/>
      <c r="P37" s="7" t="n"/>
      <c r="Q37" s="159">
        <f>IFERROR(IF(N(INDEX(_Helper!CT2:CT501,MATCH(LARGE(_Helper!BH2:BH501,3),_Helper!BH2:BH501,0)))=0,"—",INDEX(_Helper!CH2:CH501,MATCH(LARGE(_Helper!BH2:BH501,3),_Helper!BH2:BH501,0))),"-")</f>
        <v/>
      </c>
      <c r="R37" s="98" t="n"/>
      <c r="S37" s="98" t="n"/>
      <c r="T37" s="151">
        <f>IFERROR(IF(N(INDEX(_Helper!BX2:BX501,MATCH(LARGE(_Helper!BH2:BH501,3),_Helper!BH2:BH501,0)))=0,IF(INDEX(_Helper!CC2:CC501,MATCH(LARGE(_Helper!BH2:BH501,3),_Helper!BH2:BH501,0))="Yes","—","Not won"),INDEX(_Helper!BL2:BL501,MATCH(LARGE(_Helper!BH2:BH501,3),_Helper!BH2:BH501,0))),"-")</f>
        <v/>
      </c>
      <c r="U37" s="98" t="n"/>
      <c r="V37" s="98" t="n"/>
    </row>
    <row r="38" ht="19.5" customHeight="1" s="82">
      <c r="A38" s="150" t="inlineStr">
        <is>
          <t>Systems Engineering</t>
        </is>
      </c>
      <c r="B38" s="98" t="n"/>
      <c r="C38" s="161">
        <f>IFERROR(IF(N(INDEX(_Helper!CT2:CT501,MATCH(LARGE(_Helper!BH2:BH501,1),_Helper!BH2:BH501,0)))=0,"—",INDEX(_Helper!CI2:CI501,MATCH(LARGE(_Helper!BH2:BH501,1),_Helper!BH2:BH501,0))),"-")</f>
        <v/>
      </c>
      <c r="D38" s="98" t="n"/>
      <c r="E38" s="98" t="n"/>
      <c r="F38" s="151">
        <f>IFERROR(IF(N(INDEX(_Helper!BX2:BX501,MATCH(LARGE(_Helper!BH2:BH501,1),_Helper!BH2:BH501,0)))=0,IF(INDEX(_Helper!CC2:CC501,MATCH(LARGE(_Helper!BH2:BH501,1),_Helper!BH2:BH501,0))="Yes","—","Not won"),INDEX(_Helper!BM2:BM501,MATCH(LARGE(_Helper!BH2:BH501,1),_Helper!BH2:BH501,0))),"-")</f>
        <v/>
      </c>
      <c r="G38" s="98" t="n"/>
      <c r="H38" s="98" t="n"/>
      <c r="I38" s="8" t="n"/>
      <c r="J38" s="153">
        <f>IFERROR(IF(N(INDEX(_Helper!CT2:CT501,MATCH(LARGE(_Helper!BH2:BH501,2),_Helper!BH2:BH501,0)))=0,"—",INDEX(_Helper!CI2:CI501,MATCH(LARGE(_Helper!BH2:BH501,2),_Helper!BH2:BH501,0))),"-")</f>
        <v/>
      </c>
      <c r="K38" s="98" t="n"/>
      <c r="L38" s="98" t="n"/>
      <c r="M38" s="151">
        <f>IFERROR(IF(N(INDEX(_Helper!BX2:BX501,MATCH(LARGE(_Helper!BH2:BH501,2),_Helper!BH2:BH501,0)))=0,IF(INDEX(_Helper!CC2:CC501,MATCH(LARGE(_Helper!BH2:BH501,2),_Helper!BH2:BH501,0))="Yes","—","Not won"),INDEX(_Helper!BM2:BM501,MATCH(LARGE(_Helper!BH2:BH501,2),_Helper!BH2:BH501,0))),"-")</f>
        <v/>
      </c>
      <c r="N38" s="98" t="n"/>
      <c r="O38" s="98" t="n"/>
      <c r="P38" s="8" t="n"/>
      <c r="Q38" s="159">
        <f>IFERROR(IF(N(INDEX(_Helper!CT2:CT501,MATCH(LARGE(_Helper!BH2:BH501,3),_Helper!BH2:BH501,0)))=0,"—",INDEX(_Helper!CI2:CI501,MATCH(LARGE(_Helper!BH2:BH501,3),_Helper!BH2:BH501,0))),"-")</f>
        <v/>
      </c>
      <c r="R38" s="98" t="n"/>
      <c r="S38" s="98" t="n"/>
      <c r="T38" s="151">
        <f>IFERROR(IF(N(INDEX(_Helper!BX2:BX501,MATCH(LARGE(_Helper!BH2:BH501,3),_Helper!BH2:BH501,0)))=0,IF(INDEX(_Helper!CC2:CC501,MATCH(LARGE(_Helper!BH2:BH501,3),_Helper!BH2:BH501,0))="Yes","—","Not won"),INDEX(_Helper!BM2:BM501,MATCH(LARGE(_Helper!BH2:BH501,3),_Helper!BH2:BH501,0))),"-")</f>
        <v/>
      </c>
      <c r="U38" s="98" t="n"/>
      <c r="V38" s="98" t="n"/>
    </row>
    <row r="39" ht="19.5" customHeight="1" s="82">
      <c r="A39" s="158" t="inlineStr">
        <is>
          <t>Mechanical Engineering</t>
        </is>
      </c>
      <c r="B39" s="98" t="n"/>
      <c r="C39" s="161">
        <f>IFERROR(IF(N(INDEX(_Helper!CT2:CT501,MATCH(LARGE(_Helper!BH2:BH501,1),_Helper!BH2:BH501,0)))=0,"—",INDEX(_Helper!CJ2:CJ501,MATCH(LARGE(_Helper!BH2:BH501,1),_Helper!BH2:BH501,0))),"-")</f>
        <v/>
      </c>
      <c r="D39" s="98" t="n"/>
      <c r="E39" s="98" t="n"/>
      <c r="F39" s="151">
        <f>IFERROR(IF(N(INDEX(_Helper!BX2:BX501,MATCH(LARGE(_Helper!BH2:BH501,1),_Helper!BH2:BH501,0)))=0,IF(INDEX(_Helper!CC2:CC501,MATCH(LARGE(_Helper!BH2:BH501,1),_Helper!BH2:BH501,0))="Yes","—","Not won"),INDEX(_Helper!BN2:BN501,MATCH(LARGE(_Helper!BH2:BH501,1),_Helper!BH2:BH501,0))),"-")</f>
        <v/>
      </c>
      <c r="G39" s="98" t="n"/>
      <c r="H39" s="98" t="n"/>
      <c r="I39" s="7" t="n"/>
      <c r="J39" s="153">
        <f>IFERROR(IF(N(INDEX(_Helper!CT2:CT501,MATCH(LARGE(_Helper!BH2:BH501,2),_Helper!BH2:BH501,0)))=0,"—",INDEX(_Helper!CJ2:CJ501,MATCH(LARGE(_Helper!BH2:BH501,2),_Helper!BH2:BH501,0))),"-")</f>
        <v/>
      </c>
      <c r="K39" s="98" t="n"/>
      <c r="L39" s="98" t="n"/>
      <c r="M39" s="151">
        <f>IFERROR(IF(N(INDEX(_Helper!BX2:BX501,MATCH(LARGE(_Helper!BH2:BH501,2),_Helper!BH2:BH501,0)))=0,IF(INDEX(_Helper!CC2:CC501,MATCH(LARGE(_Helper!BH2:BH501,2),_Helper!BH2:BH501,0))="Yes","—","Not won"),INDEX(_Helper!BN2:BN501,MATCH(LARGE(_Helper!BH2:BH501,2),_Helper!BH2:BH501,0))),"-")</f>
        <v/>
      </c>
      <c r="N39" s="98" t="n"/>
      <c r="O39" s="98" t="n"/>
      <c r="P39" s="7" t="n"/>
      <c r="Q39" s="159">
        <f>IFERROR(IF(N(INDEX(_Helper!CT2:CT501,MATCH(LARGE(_Helper!BH2:BH501,3),_Helper!BH2:BH501,0)))=0,"—",INDEX(_Helper!CJ2:CJ501,MATCH(LARGE(_Helper!BH2:BH501,3),_Helper!BH2:BH501,0))),"-")</f>
        <v/>
      </c>
      <c r="R39" s="98" t="n"/>
      <c r="S39" s="98" t="n"/>
      <c r="T39" s="151">
        <f>IFERROR(IF(N(INDEX(_Helper!BX2:BX501,MATCH(LARGE(_Helper!BH2:BH501,3),_Helper!BH2:BH501,0)))=0,IF(INDEX(_Helper!CC2:CC501,MATCH(LARGE(_Helper!BH2:BH501,3),_Helper!BH2:BH501,0))="Yes","—","Not won"),INDEX(_Helper!BN2:BN501,MATCH(LARGE(_Helper!BH2:BH501,3),_Helper!BH2:BH501,0))),"-")</f>
        <v/>
      </c>
      <c r="U39" s="98" t="n"/>
      <c r="V39" s="98" t="n"/>
    </row>
    <row r="40" ht="19.5" customHeight="1" s="82">
      <c r="A40" s="150" t="inlineStr">
        <is>
          <t>Structural Engineering</t>
        </is>
      </c>
      <c r="B40" s="98" t="n"/>
      <c r="C40" s="161">
        <f>IFERROR(IF(N(INDEX(_Helper!CT2:CT501,MATCH(LARGE(_Helper!BH2:BH501,1),_Helper!BH2:BH501,0)))=0,"—",INDEX(_Helper!CK2:CK501,MATCH(LARGE(_Helper!BH2:BH501,1),_Helper!BH2:BH501,0))),"-")</f>
        <v/>
      </c>
      <c r="D40" s="98" t="n"/>
      <c r="E40" s="98" t="n"/>
      <c r="F40" s="151">
        <f>IFERROR(IF(N(INDEX(_Helper!BX2:BX501,MATCH(LARGE(_Helper!BH2:BH501,1),_Helper!BH2:BH501,0)))=0,IF(INDEX(_Helper!CC2:CC501,MATCH(LARGE(_Helper!BH2:BH501,1),_Helper!BH2:BH501,0))="Yes","—","Not won"),INDEX(_Helper!BO2:BO501,MATCH(LARGE(_Helper!BH2:BH501,1),_Helper!BH2:BH501,0))),"-")</f>
        <v/>
      </c>
      <c r="G40" s="98" t="n"/>
      <c r="H40" s="98" t="n"/>
      <c r="I40" s="8" t="n"/>
      <c r="J40" s="153">
        <f>IFERROR(IF(N(INDEX(_Helper!CT2:CT501,MATCH(LARGE(_Helper!BH2:BH501,2),_Helper!BH2:BH501,0)))=0,"—",INDEX(_Helper!CK2:CK501,MATCH(LARGE(_Helper!BH2:BH501,2),_Helper!BH2:BH501,0))),"-")</f>
        <v/>
      </c>
      <c r="K40" s="98" t="n"/>
      <c r="L40" s="98" t="n"/>
      <c r="M40" s="151">
        <f>IFERROR(IF(N(INDEX(_Helper!BX2:BX501,MATCH(LARGE(_Helper!BH2:BH501,2),_Helper!BH2:BH501,0)))=0,IF(INDEX(_Helper!CC2:CC501,MATCH(LARGE(_Helper!BH2:BH501,2),_Helper!BH2:BH501,0))="Yes","—","Not won"),INDEX(_Helper!BO2:BO501,MATCH(LARGE(_Helper!BH2:BH501,2),_Helper!BH2:BH501,0))),"-")</f>
        <v/>
      </c>
      <c r="N40" s="98" t="n"/>
      <c r="O40" s="98" t="n"/>
      <c r="P40" s="8" t="n"/>
      <c r="Q40" s="159">
        <f>IFERROR(IF(N(INDEX(_Helper!CT2:CT501,MATCH(LARGE(_Helper!BH2:BH501,3),_Helper!BH2:BH501,0)))=0,"—",INDEX(_Helper!CK2:CK501,MATCH(LARGE(_Helper!BH2:BH501,3),_Helper!BH2:BH501,0))),"-")</f>
        <v/>
      </c>
      <c r="R40" s="98" t="n"/>
      <c r="S40" s="98" t="n"/>
      <c r="T40" s="151">
        <f>IFERROR(IF(N(INDEX(_Helper!BX2:BX501,MATCH(LARGE(_Helper!BH2:BH501,3),_Helper!BH2:BH501,0)))=0,IF(INDEX(_Helper!CC2:CC501,MATCH(LARGE(_Helper!BH2:BH501,3),_Helper!BH2:BH501,0))="Yes","—","Not won"),INDEX(_Helper!BO2:BO501,MATCH(LARGE(_Helper!BH2:BH501,3),_Helper!BH2:BH501,0))),"-")</f>
        <v/>
      </c>
      <c r="U40" s="98" t="n"/>
      <c r="V40" s="98" t="n"/>
    </row>
    <row r="41" ht="19.5" customHeight="1" s="82">
      <c r="A41" s="158" t="inlineStr">
        <is>
          <t>Site Supervision</t>
        </is>
      </c>
      <c r="B41" s="98" t="n"/>
      <c r="C41" s="161">
        <f>IFERROR(IF(N(INDEX(_Helper!CT2:CT501,MATCH(LARGE(_Helper!BH2:BH501,1),_Helper!BH2:BH501,0)))=0,"—",INDEX(_Helper!CL2:CL501,MATCH(LARGE(_Helper!BH2:BH501,1),_Helper!BH2:BH501,0))),"-")</f>
        <v/>
      </c>
      <c r="D41" s="98" t="n"/>
      <c r="E41" s="98" t="n"/>
      <c r="F41" s="151">
        <f>IFERROR(IF(N(INDEX(_Helper!BX2:BX501,MATCH(LARGE(_Helper!BH2:BH501,1),_Helper!BH2:BH501,0)))=0,IF(INDEX(_Helper!CC2:CC501,MATCH(LARGE(_Helper!BH2:BH501,1),_Helper!BH2:BH501,0))="Yes","—","Not won"),INDEX(_Helper!BP2:BP501,MATCH(LARGE(_Helper!BH2:BH501,1),_Helper!BH2:BH501,0))),"-")</f>
        <v/>
      </c>
      <c r="G41" s="98" t="n"/>
      <c r="H41" s="98" t="n"/>
      <c r="I41" s="7" t="n"/>
      <c r="J41" s="153">
        <f>IFERROR(IF(N(INDEX(_Helper!CT2:CT501,MATCH(LARGE(_Helper!BH2:BH501,2),_Helper!BH2:BH501,0)))=0,"—",INDEX(_Helper!CL2:CL501,MATCH(LARGE(_Helper!BH2:BH501,2),_Helper!BH2:BH501,0))),"-")</f>
        <v/>
      </c>
      <c r="K41" s="98" t="n"/>
      <c r="L41" s="98" t="n"/>
      <c r="M41" s="151">
        <f>IFERROR(IF(N(INDEX(_Helper!BX2:BX501,MATCH(LARGE(_Helper!BH2:BH501,2),_Helper!BH2:BH501,0)))=0,IF(INDEX(_Helper!CC2:CC501,MATCH(LARGE(_Helper!BH2:BH501,2),_Helper!BH2:BH501,0))="Yes","—","Not won"),INDEX(_Helper!BP2:BP501,MATCH(LARGE(_Helper!BH2:BH501,2),_Helper!BH2:BH501,0))),"-")</f>
        <v/>
      </c>
      <c r="N41" s="98" t="n"/>
      <c r="O41" s="98" t="n"/>
      <c r="P41" s="7" t="n"/>
      <c r="Q41" s="159">
        <f>IFERROR(IF(N(INDEX(_Helper!CT2:CT501,MATCH(LARGE(_Helper!BH2:BH501,3),_Helper!BH2:BH501,0)))=0,"—",INDEX(_Helper!CL2:CL501,MATCH(LARGE(_Helper!BH2:BH501,3),_Helper!BH2:BH501,0))),"-")</f>
        <v/>
      </c>
      <c r="R41" s="98" t="n"/>
      <c r="S41" s="98" t="n"/>
      <c r="T41" s="151">
        <f>IFERROR(IF(N(INDEX(_Helper!BX2:BX501,MATCH(LARGE(_Helper!BH2:BH501,3),_Helper!BH2:BH501,0)))=0,IF(INDEX(_Helper!CC2:CC501,MATCH(LARGE(_Helper!BH2:BH501,3),_Helper!BH2:BH501,0))="Yes","—","Not won"),INDEX(_Helper!BP2:BP501,MATCH(LARGE(_Helper!BH2:BH501,3),_Helper!BH2:BH501,0))),"-")</f>
        <v/>
      </c>
      <c r="U41" s="98" t="n"/>
      <c r="V41" s="98" t="n"/>
    </row>
    <row r="42" ht="19.5" customHeight="1" s="82">
      <c r="A42" s="150" t="inlineStr">
        <is>
          <t>Controls Commissioning</t>
        </is>
      </c>
      <c r="B42" s="98" t="n"/>
      <c r="C42" s="161">
        <f>IFERROR(IF(N(INDEX(_Helper!CT2:CT501,MATCH(LARGE(_Helper!BH2:BH501,1),_Helper!BH2:BH501,0)))=0,"—",INDEX(_Helper!CM2:CM501,MATCH(LARGE(_Helper!BH2:BH501,1),_Helper!BH2:BH501,0))),"-")</f>
        <v/>
      </c>
      <c r="D42" s="98" t="n"/>
      <c r="E42" s="98" t="n"/>
      <c r="F42" s="151">
        <f>IFERROR(IF(N(INDEX(_Helper!BX2:BX501,MATCH(LARGE(_Helper!BH2:BH501,1),_Helper!BH2:BH501,0)))=0,IF(INDEX(_Helper!CC2:CC501,MATCH(LARGE(_Helper!BH2:BH501,1),_Helper!BH2:BH501,0))="Yes","—","Not won"),INDEX(_Helper!BQ2:BQ501,MATCH(LARGE(_Helper!BH2:BH501,1),_Helper!BH2:BH501,0))),"-")</f>
        <v/>
      </c>
      <c r="G42" s="98" t="n"/>
      <c r="H42" s="98" t="n"/>
      <c r="I42" s="8" t="n"/>
      <c r="J42" s="153">
        <f>IFERROR(IF(N(INDEX(_Helper!CT2:CT501,MATCH(LARGE(_Helper!BH2:BH501,2),_Helper!BH2:BH501,0)))=0,"—",INDEX(_Helper!CM2:CM501,MATCH(LARGE(_Helper!BH2:BH501,2),_Helper!BH2:BH501,0))),"-")</f>
        <v/>
      </c>
      <c r="K42" s="98" t="n"/>
      <c r="L42" s="98" t="n"/>
      <c r="M42" s="151">
        <f>IFERROR(IF(N(INDEX(_Helper!BX2:BX501,MATCH(LARGE(_Helper!BH2:BH501,2),_Helper!BH2:BH501,0)))=0,IF(INDEX(_Helper!CC2:CC501,MATCH(LARGE(_Helper!BH2:BH501,2),_Helper!BH2:BH501,0))="Yes","—","Not won"),INDEX(_Helper!BQ2:BQ501,MATCH(LARGE(_Helper!BH2:BH501,2),_Helper!BH2:BH501,0))),"-")</f>
        <v/>
      </c>
      <c r="N42" s="98" t="n"/>
      <c r="O42" s="98" t="n"/>
      <c r="P42" s="8" t="n"/>
      <c r="Q42" s="159">
        <f>IFERROR(IF(N(INDEX(_Helper!CT2:CT501,MATCH(LARGE(_Helper!BH2:BH501,3),_Helper!BH2:BH501,0)))=0,"—",INDEX(_Helper!CM2:CM501,MATCH(LARGE(_Helper!BH2:BH501,3),_Helper!BH2:BH501,0))),"-")</f>
        <v/>
      </c>
      <c r="R42" s="98" t="n"/>
      <c r="S42" s="98" t="n"/>
      <c r="T42" s="151">
        <f>IFERROR(IF(N(INDEX(_Helper!BX2:BX501,MATCH(LARGE(_Helper!BH2:BH501,3),_Helper!BH2:BH501,0)))=0,IF(INDEX(_Helper!CC2:CC501,MATCH(LARGE(_Helper!BH2:BH501,3),_Helper!BH2:BH501,0))="Yes","—","Not won"),INDEX(_Helper!BQ2:BQ501,MATCH(LARGE(_Helper!BH2:BH501,3),_Helper!BH2:BH501,0))),"-")</f>
        <v/>
      </c>
      <c r="U42" s="98" t="n"/>
      <c r="V42" s="98" t="n"/>
    </row>
    <row r="43" ht="19.5" customHeight="1" s="82">
      <c r="A43" s="158" t="inlineStr">
        <is>
          <t>Systems Commissioning</t>
        </is>
      </c>
      <c r="B43" s="98" t="n"/>
      <c r="C43" s="161">
        <f>IFERROR(IF(N(INDEX(_Helper!CT2:CT501,MATCH(LARGE(_Helper!BH2:BH501,1),_Helper!BH2:BH501,0)))=0,"—",INDEX(_Helper!CN2:CN501,MATCH(LARGE(_Helper!BH2:BH501,1),_Helper!BH2:BH501,0))),"-")</f>
        <v/>
      </c>
      <c r="D43" s="98" t="n"/>
      <c r="E43" s="98" t="n"/>
      <c r="F43" s="151">
        <f>IFERROR(IF(N(INDEX(_Helper!BX2:BX501,MATCH(LARGE(_Helper!BH2:BH501,1),_Helper!BH2:BH501,0)))=0,IF(INDEX(_Helper!CC2:CC501,MATCH(LARGE(_Helper!BH2:BH501,1),_Helper!BH2:BH501,0))="Yes","—","Not won"),INDEX(_Helper!BR2:BR501,MATCH(LARGE(_Helper!BH2:BH501,1),_Helper!BH2:BH501,0))),"-")</f>
        <v/>
      </c>
      <c r="G43" s="98" t="n"/>
      <c r="H43" s="98" t="n"/>
      <c r="I43" s="7" t="n"/>
      <c r="J43" s="153">
        <f>IFERROR(IF(N(INDEX(_Helper!CT2:CT501,MATCH(LARGE(_Helper!BH2:BH501,2),_Helper!BH2:BH501,0)))=0,"—",INDEX(_Helper!CN2:CN501,MATCH(LARGE(_Helper!BH2:BH501,2),_Helper!BH2:BH501,0))),"-")</f>
        <v/>
      </c>
      <c r="K43" s="98" t="n"/>
      <c r="L43" s="98" t="n"/>
      <c r="M43" s="151">
        <f>IFERROR(IF(N(INDEX(_Helper!BX2:BX501,MATCH(LARGE(_Helper!BH2:BH501,2),_Helper!BH2:BH501,0)))=0,IF(INDEX(_Helper!CC2:CC501,MATCH(LARGE(_Helper!BH2:BH501,2),_Helper!BH2:BH501,0))="Yes","—","Not won"),INDEX(_Helper!BR2:BR501,MATCH(LARGE(_Helper!BH2:BH501,2),_Helper!BH2:BH501,0))),"-")</f>
        <v/>
      </c>
      <c r="N43" s="98" t="n"/>
      <c r="O43" s="98" t="n"/>
      <c r="P43" s="7" t="n"/>
      <c r="Q43" s="159">
        <f>IFERROR(IF(N(INDEX(_Helper!CT2:CT501,MATCH(LARGE(_Helper!BH2:BH501,3),_Helper!BH2:BH501,0)))=0,"—",INDEX(_Helper!CN2:CN501,MATCH(LARGE(_Helper!BH2:BH501,3),_Helper!BH2:BH501,0))),"-")</f>
        <v/>
      </c>
      <c r="R43" s="98" t="n"/>
      <c r="S43" s="98" t="n"/>
      <c r="T43" s="151">
        <f>IFERROR(IF(N(INDEX(_Helper!BX2:BX501,MATCH(LARGE(_Helper!BH2:BH501,3),_Helper!BH2:BH501,0)))=0,IF(INDEX(_Helper!CC2:CC501,MATCH(LARGE(_Helper!BH2:BH501,3),_Helper!BH2:BH501,0))="Yes","—","Not won"),INDEX(_Helper!BR2:BR501,MATCH(LARGE(_Helper!BH2:BH501,3),_Helper!BH2:BH501,0))),"-")</f>
        <v/>
      </c>
      <c r="U43" s="98" t="n"/>
      <c r="V43" s="98" t="n"/>
    </row>
    <row r="44" ht="19.5" customHeight="1" s="82">
      <c r="A44" s="150" t="inlineStr">
        <is>
          <t>Service Commissioning</t>
        </is>
      </c>
      <c r="B44" s="98" t="n"/>
      <c r="C44" s="161">
        <f>IFERROR(IF(N(INDEX(_Helper!CT2:CT501,MATCH(LARGE(_Helper!BH2:BH501,1),_Helper!BH2:BH501,0)))=0,"—",INDEX(_Helper!CO2:CO501,MATCH(LARGE(_Helper!BH2:BH501,1),_Helper!BH2:BH501,0))),"-")</f>
        <v/>
      </c>
      <c r="D44" s="98" t="n"/>
      <c r="E44" s="98" t="n"/>
      <c r="F44" s="151">
        <f>IFERROR(IF(N(INDEX(_Helper!BX2:BX501,MATCH(LARGE(_Helper!BH2:BH501,1),_Helper!BH2:BH501,0)))=0,IF(INDEX(_Helper!CC2:CC501,MATCH(LARGE(_Helper!BH2:BH501,1),_Helper!BH2:BH501,0))="Yes","—","Not won"),INDEX(_Helper!BS2:BS501,MATCH(LARGE(_Helper!BH2:BH501,1),_Helper!BH2:BH501,0))),"-")</f>
        <v/>
      </c>
      <c r="G44" s="98" t="n"/>
      <c r="H44" s="98" t="n"/>
      <c r="I44" s="8" t="n"/>
      <c r="J44" s="153">
        <f>IFERROR(IF(N(INDEX(_Helper!CT2:CT501,MATCH(LARGE(_Helper!BH2:BH501,2),_Helper!BH2:BH501,0)))=0,"—",INDEX(_Helper!CO2:CO501,MATCH(LARGE(_Helper!BH2:BH501,2),_Helper!BH2:BH501,0))),"-")</f>
        <v/>
      </c>
      <c r="K44" s="98" t="n"/>
      <c r="L44" s="98" t="n"/>
      <c r="M44" s="151">
        <f>IFERROR(IF(N(INDEX(_Helper!BX2:BX501,MATCH(LARGE(_Helper!BH2:BH501,2),_Helper!BH2:BH501,0)))=0,IF(INDEX(_Helper!CC2:CC501,MATCH(LARGE(_Helper!BH2:BH501,2),_Helper!BH2:BH501,0))="Yes","—","Not won"),INDEX(_Helper!BS2:BS501,MATCH(LARGE(_Helper!BH2:BH501,2),_Helper!BH2:BH501,0))),"-")</f>
        <v/>
      </c>
      <c r="N44" s="98" t="n"/>
      <c r="O44" s="98" t="n"/>
      <c r="P44" s="8" t="n"/>
      <c r="Q44" s="159">
        <f>IFERROR(IF(N(INDEX(_Helper!CT2:CT501,MATCH(LARGE(_Helper!BH2:BH501,3),_Helper!BH2:BH501,0)))=0,"—",INDEX(_Helper!CO2:CO501,MATCH(LARGE(_Helper!BH2:BH501,3),_Helper!BH2:BH501,0))),"-")</f>
        <v/>
      </c>
      <c r="R44" s="98" t="n"/>
      <c r="S44" s="98" t="n"/>
      <c r="T44" s="151">
        <f>IFERROR(IF(N(INDEX(_Helper!BX2:BX501,MATCH(LARGE(_Helper!BH2:BH501,3),_Helper!BH2:BH501,0)))=0,IF(INDEX(_Helper!CC2:CC501,MATCH(LARGE(_Helper!BH2:BH501,3),_Helper!BH2:BH501,0))="Yes","—","Not won"),INDEX(_Helper!BS2:BS501,MATCH(LARGE(_Helper!BH2:BH501,3),_Helper!BH2:BH501,0))),"-")</f>
        <v/>
      </c>
      <c r="U44" s="98" t="n"/>
      <c r="V44" s="98" t="n"/>
    </row>
    <row r="45" ht="19.5" customHeight="1" s="82">
      <c r="A45" s="158" t="inlineStr">
        <is>
          <t>Controls Engineering</t>
        </is>
      </c>
      <c r="B45" s="98" t="n"/>
      <c r="C45" s="161">
        <f>IFERROR(IF(N(INDEX(_Helper!CT2:CT501,MATCH(LARGE(_Helper!BH2:BH501,1),_Helper!BH2:BH501,0)))=0,"—",INDEX(_Helper!CP2:CP501,MATCH(LARGE(_Helper!BH2:BH501,1),_Helper!BH2:BH501,0))),"-")</f>
        <v/>
      </c>
      <c r="D45" s="98" t="n"/>
      <c r="E45" s="98" t="n"/>
      <c r="F45" s="151">
        <f>IFERROR(IF(N(INDEX(_Helper!BX2:BX501,MATCH(LARGE(_Helper!BH2:BH501,1),_Helper!BH2:BH501,0)))=0,IF(INDEX(_Helper!CC2:CC501,MATCH(LARGE(_Helper!BH2:BH501,1),_Helper!BH2:BH501,0))="Yes","—","Not won"),INDEX(_Helper!BT2:BT501,MATCH(LARGE(_Helper!BH2:BH501,1),_Helper!BH2:BH501,0))),"-")</f>
        <v/>
      </c>
      <c r="G45" s="98" t="n"/>
      <c r="H45" s="98" t="n"/>
      <c r="I45" s="7" t="n"/>
      <c r="J45" s="153">
        <f>IFERROR(IF(N(INDEX(_Helper!CT2:CT501,MATCH(LARGE(_Helper!BH2:BH501,2),_Helper!BH2:BH501,0)))=0,"—",INDEX(_Helper!CP2:CP501,MATCH(LARGE(_Helper!BH2:BH501,2),_Helper!BH2:BH501,0))),"-")</f>
        <v/>
      </c>
      <c r="K45" s="98" t="n"/>
      <c r="L45" s="98" t="n"/>
      <c r="M45" s="151">
        <f>IFERROR(IF(N(INDEX(_Helper!BX2:BX501,MATCH(LARGE(_Helper!BH2:BH501,2),_Helper!BH2:BH501,0)))=0,IF(INDEX(_Helper!CC2:CC501,MATCH(LARGE(_Helper!BH2:BH501,2),_Helper!BH2:BH501,0))="Yes","—","Not won"),INDEX(_Helper!BT2:BT501,MATCH(LARGE(_Helper!BH2:BH501,2),_Helper!BH2:BH501,0))),"-")</f>
        <v/>
      </c>
      <c r="N45" s="98" t="n"/>
      <c r="O45" s="98" t="n"/>
      <c r="P45" s="7" t="n"/>
      <c r="Q45" s="159">
        <f>IFERROR(IF(N(INDEX(_Helper!CT2:CT501,MATCH(LARGE(_Helper!BH2:BH501,3),_Helper!BH2:BH501,0)))=0,"—",INDEX(_Helper!CP2:CP501,MATCH(LARGE(_Helper!BH2:BH501,3),_Helper!BH2:BH501,0))),"-")</f>
        <v/>
      </c>
      <c r="R45" s="98" t="n"/>
      <c r="S45" s="98" t="n"/>
      <c r="T45" s="151">
        <f>IFERROR(IF(N(INDEX(_Helper!BX2:BX501,MATCH(LARGE(_Helper!BH2:BH501,3),_Helper!BH2:BH501,0)))=0,IF(INDEX(_Helper!CC2:CC501,MATCH(LARGE(_Helper!BH2:BH501,3),_Helper!BH2:BH501,0))="Yes","—","Not won"),INDEX(_Helper!BT2:BT501,MATCH(LARGE(_Helper!BH2:BH501,3),_Helper!BH2:BH501,0))),"-")</f>
        <v/>
      </c>
      <c r="U45" s="98" t="n"/>
      <c r="V45" s="98" t="n"/>
    </row>
    <row r="46" ht="19.5" customHeight="1" s="82">
      <c r="A46" s="150" t="inlineStr">
        <is>
          <t>Controls Purchase</t>
        </is>
      </c>
      <c r="B46" s="98" t="n"/>
      <c r="C46" s="161">
        <f>IFERROR(IF(N(INDEX(_Helper!CT2:CT501,MATCH(LARGE(_Helper!BH2:BH501,1),_Helper!BH2:BH501,0)))=0,"—",INDEX(_Helper!CQ2:CQ501,MATCH(LARGE(_Helper!BH2:BH501,1),_Helper!BH2:BH501,0))),"-")</f>
        <v/>
      </c>
      <c r="D46" s="98" t="n"/>
      <c r="E46" s="98" t="n"/>
      <c r="F46" s="151">
        <f>IFERROR(IF(N(INDEX(_Helper!BX2:BX501,MATCH(LARGE(_Helper!BH2:BH501,1),_Helper!BH2:BH501,0)))=0,IF(INDEX(_Helper!CC2:CC501,MATCH(LARGE(_Helper!BH2:BH501,1),_Helper!BH2:BH501,0))="Yes","—","Not won"),INDEX(_Helper!BU2:BU501,MATCH(LARGE(_Helper!BH2:BH501,1),_Helper!BH2:BH501,0))),"-")</f>
        <v/>
      </c>
      <c r="G46" s="98" t="n"/>
      <c r="H46" s="98" t="n"/>
      <c r="I46" s="8" t="n"/>
      <c r="J46" s="153">
        <f>IFERROR(IF(N(INDEX(_Helper!CT2:CT501,MATCH(LARGE(_Helper!BH2:BH501,2),_Helper!BH2:BH501,0)))=0,"—",INDEX(_Helper!CQ2:CQ501,MATCH(LARGE(_Helper!BH2:BH501,2),_Helper!BH2:BH501,0))),"-")</f>
        <v/>
      </c>
      <c r="K46" s="98" t="n"/>
      <c r="L46" s="98" t="n"/>
      <c r="M46" s="151">
        <f>IFERROR(IF(N(INDEX(_Helper!BX2:BX501,MATCH(LARGE(_Helper!BH2:BH501,2),_Helper!BH2:BH501,0)))=0,IF(INDEX(_Helper!CC2:CC501,MATCH(LARGE(_Helper!BH2:BH501,2),_Helper!BH2:BH501,0))="Yes","—","Not won"),INDEX(_Helper!BU2:BU501,MATCH(LARGE(_Helper!BH2:BH501,2),_Helper!BH2:BH501,0))),"-")</f>
        <v/>
      </c>
      <c r="N46" s="98" t="n"/>
      <c r="O46" s="98" t="n"/>
      <c r="P46" s="8" t="n"/>
      <c r="Q46" s="159">
        <f>IFERROR(IF(N(INDEX(_Helper!CT2:CT501,MATCH(LARGE(_Helper!BH2:BH501,3),_Helper!BH2:BH501,0)))=0,"—",INDEX(_Helper!CQ2:CQ501,MATCH(LARGE(_Helper!BH2:BH501,3),_Helper!BH2:BH501,0))),"-")</f>
        <v/>
      </c>
      <c r="R46" s="98" t="n"/>
      <c r="S46" s="98" t="n"/>
      <c r="T46" s="151">
        <f>IFERROR(IF(N(INDEX(_Helper!BX2:BX501,MATCH(LARGE(_Helper!BH2:BH501,3),_Helper!BH2:BH501,0)))=0,IF(INDEX(_Helper!CC2:CC501,MATCH(LARGE(_Helper!BH2:BH501,3),_Helper!BH2:BH501,0))="Yes","—","Not won"),INDEX(_Helper!BU2:BU501,MATCH(LARGE(_Helper!BH2:BH501,3),_Helper!BH2:BH501,0))),"-")</f>
        <v/>
      </c>
      <c r="U46" s="98" t="n"/>
      <c r="V46" s="98" t="n"/>
    </row>
    <row r="47" ht="19.5" customHeight="1" s="82">
      <c r="A47" s="158" t="inlineStr">
        <is>
          <t>Software Engineering</t>
        </is>
      </c>
      <c r="B47" s="98" t="n"/>
      <c r="C47" s="161">
        <f>IFERROR(IF(N(INDEX(_Helper!CT2:CT501,MATCH(LARGE(_Helper!BH2:BH501,1),_Helper!BH2:BH501,0)))=0,"—",INDEX(_Helper!CR2:CR501,MATCH(LARGE(_Helper!BH2:BH501,1),_Helper!BH2:BH501,0))),"-")</f>
        <v/>
      </c>
      <c r="D47" s="98" t="n"/>
      <c r="E47" s="98" t="n"/>
      <c r="F47" s="151">
        <f>IFERROR(IF(N(INDEX(_Helper!BX2:BX501,MATCH(LARGE(_Helper!BH2:BH501,1),_Helper!BH2:BH501,0)))=0,IF(INDEX(_Helper!CC2:CC501,MATCH(LARGE(_Helper!BH2:BH501,1),_Helper!BH2:BH501,0))="Yes","—","Not won"),INDEX(_Helper!BV2:BV501,MATCH(LARGE(_Helper!BH2:BH501,1),_Helper!BH2:BH501,0))),"-")</f>
        <v/>
      </c>
      <c r="G47" s="98" t="n"/>
      <c r="H47" s="98" t="n"/>
      <c r="I47" s="7" t="n"/>
      <c r="J47" s="153">
        <f>IFERROR(IF(N(INDEX(_Helper!CT2:CT501,MATCH(LARGE(_Helper!BH2:BH501,2),_Helper!BH2:BH501,0)))=0,"—",INDEX(_Helper!CR2:CR501,MATCH(LARGE(_Helper!BH2:BH501,2),_Helper!BH2:BH501,0))),"-")</f>
        <v/>
      </c>
      <c r="K47" s="98" t="n"/>
      <c r="L47" s="98" t="n"/>
      <c r="M47" s="151">
        <f>IFERROR(IF(N(INDEX(_Helper!BX2:BX501,MATCH(LARGE(_Helper!BH2:BH501,2),_Helper!BH2:BH501,0)))=0,IF(INDEX(_Helper!CC2:CC501,MATCH(LARGE(_Helper!BH2:BH501,2),_Helper!BH2:BH501,0))="Yes","—","Not won"),INDEX(_Helper!BV2:BV501,MATCH(LARGE(_Helper!BH2:BH501,2),_Helper!BH2:BH501,0))),"-")</f>
        <v/>
      </c>
      <c r="N47" s="98" t="n"/>
      <c r="O47" s="98" t="n"/>
      <c r="P47" s="7" t="n"/>
      <c r="Q47" s="159">
        <f>IFERROR(IF(N(INDEX(_Helper!CT2:CT501,MATCH(LARGE(_Helper!BH2:BH501,3),_Helper!BH2:BH501,0)))=0,"—",INDEX(_Helper!CR2:CR501,MATCH(LARGE(_Helper!BH2:BH501,3),_Helper!BH2:BH501,0))),"-")</f>
        <v/>
      </c>
      <c r="R47" s="98" t="n"/>
      <c r="S47" s="98" t="n"/>
      <c r="T47" s="151">
        <f>IFERROR(IF(N(INDEX(_Helper!BX2:BX501,MATCH(LARGE(_Helper!BH2:BH501,3),_Helper!BH2:BH501,0)))=0,IF(INDEX(_Helper!CC2:CC501,MATCH(LARGE(_Helper!BH2:BH501,3),_Helper!BH2:BH501,0))="Yes","—","Not won"),INDEX(_Helper!BV2:BV501,MATCH(LARGE(_Helper!BH2:BH501,3),_Helper!BH2:BH501,0))),"-")</f>
        <v/>
      </c>
      <c r="U47" s="98" t="n"/>
      <c r="V47" s="98" t="n"/>
    </row>
    <row r="48" ht="19.5" customHeight="1" s="82">
      <c r="A48" s="150" t="inlineStr">
        <is>
          <t>Miscellaneous</t>
        </is>
      </c>
      <c r="B48" s="98" t="n"/>
      <c r="C48" s="161">
        <f>IFERROR(IF(N(INDEX(_Helper!CT2:CT501,MATCH(LARGE(_Helper!BH2:BH501,1),_Helper!BH2:BH501,0)))=0,"—",INDEX(_Helper!CS2:CS501,MATCH(LARGE(_Helper!BH2:BH501,1),_Helper!BH2:BH501,0))),"-")</f>
        <v/>
      </c>
      <c r="D48" s="98" t="n"/>
      <c r="E48" s="98" t="n"/>
      <c r="F48" s="151">
        <f>IFERROR(IF(N(INDEX(_Helper!BX2:BX501,MATCH(LARGE(_Helper!BH2:BH501,1),_Helper!BH2:BH501,0)))=0,IF(INDEX(_Helper!CC2:CC501,MATCH(LARGE(_Helper!BH2:BH501,1),_Helper!BH2:BH501,0))="Yes","—","Not won"),INDEX(_Helper!BW2:BW501,MATCH(LARGE(_Helper!BH2:BH501,1),_Helper!BH2:BH501,0))),"-")</f>
        <v/>
      </c>
      <c r="G48" s="98" t="n"/>
      <c r="H48" s="98" t="n"/>
      <c r="I48" s="8" t="n"/>
      <c r="J48" s="153">
        <f>IFERROR(IF(N(INDEX(_Helper!CT2:CT501,MATCH(LARGE(_Helper!BH2:BH501,2),_Helper!BH2:BH501,0)))=0,"—",INDEX(_Helper!CS2:CS501,MATCH(LARGE(_Helper!BH2:BH501,2),_Helper!BH2:BH501,0))),"-")</f>
        <v/>
      </c>
      <c r="K48" s="98" t="n"/>
      <c r="L48" s="98" t="n"/>
      <c r="M48" s="151">
        <f>IFERROR(IF(N(INDEX(_Helper!BX2:BX501,MATCH(LARGE(_Helper!BH2:BH501,2),_Helper!BH2:BH501,0)))=0,IF(INDEX(_Helper!CC2:CC501,MATCH(LARGE(_Helper!BH2:BH501,2),_Helper!BH2:BH501,0))="Yes","—","Not won"),INDEX(_Helper!BW2:BW501,MATCH(LARGE(_Helper!BH2:BH501,2),_Helper!BH2:BH501,0))),"-")</f>
        <v/>
      </c>
      <c r="N48" s="98" t="n"/>
      <c r="O48" s="98" t="n"/>
      <c r="P48" s="8" t="n"/>
      <c r="Q48" s="159">
        <f>IFERROR(IF(N(INDEX(_Helper!CT2:CT501,MATCH(LARGE(_Helper!BH2:BH501,3),_Helper!BH2:BH501,0)))=0,"—",INDEX(_Helper!CS2:CS501,MATCH(LARGE(_Helper!BH2:BH501,3),_Helper!BH2:BH501,0))),"-")</f>
        <v/>
      </c>
      <c r="R48" s="98" t="n"/>
      <c r="S48" s="98" t="n"/>
      <c r="T48" s="151">
        <f>IFERROR(IF(N(INDEX(_Helper!BX2:BX501,MATCH(LARGE(_Helper!BH2:BH501,3),_Helper!BH2:BH501,0)))=0,IF(INDEX(_Helper!CC2:CC501,MATCH(LARGE(_Helper!BH2:BH501,3),_Helper!BH2:BH501,0))="Yes","—","Not won"),INDEX(_Helper!BW2:BW501,MATCH(LARGE(_Helper!BH2:BH501,3),_Helper!BH2:BH501,0))),"-")</f>
        <v/>
      </c>
      <c r="U48" s="98" t="n"/>
      <c r="V48" s="98" t="n"/>
    </row>
    <row r="49" ht="19.5" customHeight="1" s="82">
      <c r="A49" s="165" t="inlineStr">
        <is>
          <t>TOTAL MANHOUR COST</t>
        </is>
      </c>
      <c r="B49" s="98" t="n"/>
      <c r="C49" s="168">
        <f>IFERROR(IF(N(INDEX(_Helper!CT2:CT501,MATCH(LARGE(_Helper!BH2:BH501,1),_Helper!BH2:BH501,0)))=0,"No data",INDEX(_Helper!CT2:CT501,MATCH(LARGE(_Helper!BH2:BH501,1),_Helper!BH2:BH501,0))),"-")</f>
        <v/>
      </c>
      <c r="D49" s="98" t="n"/>
      <c r="E49" s="98" t="n"/>
      <c r="F49" s="151">
        <f>IFERROR(IF(N(INDEX(_Helper!BX2:BX501,MATCH(LARGE(_Helper!BH2:BH501,1),_Helper!BH2:BH501,0)))=0,IF(INDEX(_Helper!CC2:CC501,MATCH(LARGE(_Helper!BH2:BH501,1),_Helper!BH2:BH501,0))="Yes","No data","Not won"),INDEX(_Helper!BX2:BX501,MATCH(LARGE(_Helper!BH2:BH501,1),_Helper!BH2:BH501,0))),"-")</f>
        <v/>
      </c>
      <c r="G49" s="98" t="n"/>
      <c r="H49" s="98" t="n"/>
      <c r="I49" s="9" t="n"/>
      <c r="J49" s="174">
        <f>IFERROR(IF(N(INDEX(_Helper!CT2:CT501,MATCH(LARGE(_Helper!BH2:BH501,2),_Helper!BH2:BH501,0)))=0,"No data",INDEX(_Helper!CT2:CT501,MATCH(LARGE(_Helper!BH2:BH501,2),_Helper!BH2:BH501,0))),"-")</f>
        <v/>
      </c>
      <c r="K49" s="98" t="n"/>
      <c r="L49" s="98" t="n"/>
      <c r="M49" s="151">
        <f>IFERROR(IF(N(INDEX(_Helper!BX2:BX501,MATCH(LARGE(_Helper!BH2:BH501,2),_Helper!BH2:BH501,0)))=0,IF(INDEX(_Helper!CC2:CC501,MATCH(LARGE(_Helper!BH2:BH501,2),_Helper!BH2:BH501,0))="Yes","No data","Not won"),INDEX(_Helper!BX2:BX501,MATCH(LARGE(_Helper!BH2:BH501,2),_Helper!BH2:BH501,0))),"-")</f>
        <v/>
      </c>
      <c r="N49" s="98" t="n"/>
      <c r="O49" s="98" t="n"/>
      <c r="P49" s="9" t="n"/>
      <c r="Q49" s="166">
        <f>IFERROR(IF(N(INDEX(_Helper!CT2:CT501,MATCH(LARGE(_Helper!BH2:BH501,3),_Helper!BH2:BH501,0)))=0,"No data",INDEX(_Helper!CT2:CT501,MATCH(LARGE(_Helper!BH2:BH501,3),_Helper!BH2:BH501,0))),"-")</f>
        <v/>
      </c>
      <c r="R49" s="98" t="n"/>
      <c r="S49" s="98" t="n"/>
      <c r="T49" s="151">
        <f>IFERROR(IF(N(INDEX(_Helper!BX2:BX501,MATCH(LARGE(_Helper!BH2:BH501,3),_Helper!BH2:BH501,0)))=0,IF(INDEX(_Helper!CC2:CC501,MATCH(LARGE(_Helper!BH2:BH501,3),_Helper!BH2:BH501,0))="Yes","No data","Not won"),INDEX(_Helper!BX2:BX501,MATCH(LARGE(_Helper!BH2:BH501,3),_Helper!BH2:BH501,0))),"-")</f>
        <v/>
      </c>
      <c r="U49" s="98" t="n"/>
      <c r="V49" s="98" t="n"/>
    </row>
    <row r="50" ht="19.5" customHeight="1" s="82">
      <c r="A50" s="158" t="inlineStr">
        <is>
          <t>Project cost (M)</t>
        </is>
      </c>
      <c r="B50" s="98" t="n"/>
      <c r="C50" s="152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D50" s="98" t="n"/>
      <c r="E50" s="98" t="n"/>
      <c r="F50" s="98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G50" s="98" t="n"/>
      <c r="H50" s="98" t="n"/>
      <c r="I50" s="7" t="n"/>
      <c r="J50" s="154">
        <f>IFERROR(IF(N(INDEX(_Helper!CU2:CU501,MATCH(LARGE(_Helper!BH2:BH501,2),_Helper!BH2:BH501,0)))&gt;0,INDEX(_Helper!T2:T501,MATCH(LARGE(_Helper!BH2:BH501,2),_Helper!BH2:BH501,0))&amp;" "&amp;TEXT(INDEX(_Helper!CU2:CU501,MATCH(LARGE(_Helper!BH2:BH501,2),_Helper!BH2:BH501,0)),"#,##0.00")&amp;" M","—"),"-")</f>
        <v/>
      </c>
      <c r="K50" s="98" t="n"/>
      <c r="L50" s="98" t="n"/>
      <c r="M50" s="98">
        <f>IFERROR(IF(N(INDEX(_Helper!CV2:CV501,MATCH(LARGE(_Helper!BH2:BH501,2),_Helper!BH2:BH501,0)))&gt;0,INDEX(_Helper!T2:T501,MATCH(LARGE(_Helper!BH2:BH501,2),_Helper!BH2:BH501,0))&amp;" "&amp;TEXT(INDEX(_Helper!CV2:CV501,MATCH(LARGE(_Helper!BH2:BH501,2),_Helper!BH2:BH501,0)),"#,##0.00")&amp;" M","—"),"-")</f>
        <v/>
      </c>
      <c r="N50" s="98" t="n"/>
      <c r="O50" s="98" t="n"/>
      <c r="P50" s="7" t="n"/>
      <c r="Q50" s="149">
        <f>IFERROR(IF(N(INDEX(_Helper!CU2:CU501,MATCH(LARGE(_Helper!BH2:BH501,3),_Helper!BH2:BH501,0)))&gt;0,INDEX(_Helper!T2:T501,MATCH(LARGE(_Helper!BH2:BH501,3),_Helper!BH2:BH501,0))&amp;" "&amp;TEXT(INDEX(_Helper!CU2:CU501,MATCH(LARGE(_Helper!BH2:BH501,3),_Helper!BH2:BH501,0)),"#,##0.00")&amp;" M","—"),"-")</f>
        <v/>
      </c>
      <c r="R50" s="98" t="n"/>
      <c r="S50" s="98" t="n"/>
      <c r="T50" s="98">
        <f>IFERROR(IF(N(INDEX(_Helper!CV2:CV501,MATCH(LARGE(_Helper!BH2:BH501,3),_Helper!BH2:BH501,0)))&gt;0,INDEX(_Helper!T2:T501,MATCH(LARGE(_Helper!BH2:BH501,3),_Helper!BH2:BH501,0))&amp;" "&amp;TEXT(INDEX(_Helper!CV2:CV501,MATCH(LARGE(_Helper!BH2:BH501,3),_Helper!BH2:BH501,0)),"#,##0.00")&amp;" M","—"),"-")</f>
        <v/>
      </c>
      <c r="U50" s="98" t="n"/>
      <c r="V50" s="98" t="n"/>
    </row>
    <row r="51" ht="19.5" customHeight="1" s="82">
      <c r="A51" s="150" t="inlineStr">
        <is>
          <t>Manhour cost (M)</t>
        </is>
      </c>
      <c r="B51" s="98" t="n"/>
      <c r="C51" s="152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D51" s="98" t="n"/>
      <c r="E51" s="98" t="n"/>
      <c r="F51" s="98">
        <f>IFERROR(IF(OR(N(INDEX(_Helper!BX2:BX501,MATCH(LARGE(_Helper!BH2:BH501,1),_Helper!BH2:BH501,0)))=0,N(INDEX(_Helper!CV2:CV501,MATCH(LARGE(_Helper!BH2:BH501,1),_Helper!BH2:BH501,0)))=0),"—",INDEX(_Helper!T2:T501,MATCH(LARGE(_Helper!BH2:BH501,1),_Helper!BH2:BH501,0))&amp;"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G51" s="98" t="n"/>
      <c r="H51" s="98" t="n"/>
      <c r="I51" s="8" t="n"/>
      <c r="J51" s="154">
        <f>IFERROR(IF(OR(N(INDEX(_Helper!CT2:CT501,MATCH(LARGE(_Helper!BH2:BH501,2),_Helper!BH2:BH501,0)))=0,N(INDEX(_Helper!CU2:CU501,MATCH(LARGE(_Helper!BH2:BH501,2),_Helper!BH2:BH501,0)))=0),"—",INDEX(_Helper!T2:T501,MATCH(LARGE(_Helper!BH2:BH501,2),_Helper!BH2:BH501,0))&amp;" "&amp;TEXT(INDEX(_Helper!CT2:CT501,MATCH(LARGE(_Helper!BH2:BH501,2),_Helper!BH2:BH501,0))*INDEX(_Helper!CU2:CU501,MATCH(LARGE(_Helper!BH2:BH501,2),_Helper!BH2:BH501,0)),"#,##0.00")&amp;" M"),"-")</f>
        <v/>
      </c>
      <c r="K51" s="98" t="n"/>
      <c r="L51" s="98" t="n"/>
      <c r="M51" s="98">
        <f>IFERROR(IF(OR(N(INDEX(_Helper!BX2:BX501,MATCH(LARGE(_Helper!BH2:BH501,2),_Helper!BH2:BH501,0)))=0,N(INDEX(_Helper!CV2:CV501,MATCH(LARGE(_Helper!BH2:BH501,2),_Helper!BH2:BH501,0)))=0),"—",INDEX(_Helper!T2:T501,MATCH(LARGE(_Helper!BH2:BH501,2),_Helper!BH2:BH501,0))&amp;" "&amp;TEXT(INDEX(_Helper!BX2:BX501,MATCH(LARGE(_Helper!BH2:BH501,2),_Helper!BH2:BH501,0))*INDEX(_Helper!CV2:CV501,MATCH(LARGE(_Helper!BH2:BH501,2),_Helper!BH2:BH501,0)),"#,##0.00")&amp;" M"),"-")</f>
        <v/>
      </c>
      <c r="N51" s="98" t="n"/>
      <c r="O51" s="98" t="n"/>
      <c r="P51" s="8" t="n"/>
      <c r="Q51" s="149">
        <f>IFERROR(IF(OR(N(INDEX(_Helper!CT2:CT501,MATCH(LARGE(_Helper!BH2:BH501,3),_Helper!BH2:BH501,0)))=0,N(INDEX(_Helper!CU2:CU501,MATCH(LARGE(_Helper!BH2:BH501,3),_Helper!BH2:BH501,0)))=0),"—",INDEX(_Helper!T2:T501,MATCH(LARGE(_Helper!BH2:BH501,3),_Helper!BH2:BH501,0))&amp;" "&amp;TEXT(INDEX(_Helper!CT2:CT501,MATCH(LARGE(_Helper!BH2:BH501,3),_Helper!BH2:BH501,0))*INDEX(_Helper!CU2:CU501,MATCH(LARGE(_Helper!BH2:BH501,3),_Helper!BH2:BH501,0)),"#,##0.00")&amp;" M"),"-")</f>
        <v/>
      </c>
      <c r="R51" s="98" t="n"/>
      <c r="S51" s="98" t="n"/>
      <c r="T51" s="98">
        <f>IFERROR(IF(OR(N(INDEX(_Helper!BX2:BX501,MATCH(LARGE(_Helper!BH2:BH501,3),_Helper!BH2:BH501,0)))=0,N(INDEX(_Helper!CV2:CV501,MATCH(LARGE(_Helper!BH2:BH501,3),_Helper!BH2:BH501,0)))=0),"—",INDEX(_Helper!T2:T501,MATCH(LARGE(_Helper!BH2:BH501,3),_Helper!BH2:BH501,0))&amp;" "&amp;TEXT(INDEX(_Helper!BX2:BX501,MATCH(LARGE(_Helper!BH2:BH501,3),_Helper!BH2:BH501,0))*INDEX(_Helper!CV2:CV501,MATCH(LARGE(_Helper!BH2:BH501,3),_Helper!BH2:BH501,0)),"#,##0.00")&amp;" M"),"-")</f>
        <v/>
      </c>
      <c r="U51" s="98" t="n"/>
      <c r="V51" s="98" t="n"/>
    </row>
    <row r="52" ht="19.5" customHeight="1" s="82">
      <c r="A52" s="155" t="inlineStr">
        <is>
          <t xml:space="preserve">  AUTOMATION EQUIPMENT &amp; NOTES</t>
        </is>
      </c>
    </row>
    <row r="53" ht="39.75" customHeight="1" s="82">
      <c r="A53" s="158" t="inlineStr">
        <is>
          <t>Automation Equipment</t>
        </is>
      </c>
      <c r="B53" s="98" t="n"/>
      <c r="C53" s="152">
        <f>IFERROR(INDEX(_Helper!AZ2:AZ501,MATCH(LARGE(_Helper!BH2:BH501,1),_Helper!BH2:BH501,0)),"-")</f>
        <v/>
      </c>
      <c r="D53" s="98" t="n"/>
      <c r="E53" s="98" t="n"/>
      <c r="F53" s="98" t="n"/>
      <c r="G53" s="98" t="n"/>
      <c r="H53" s="98" t="n"/>
      <c r="I53" s="7" t="n"/>
      <c r="J53" s="154">
        <f>IFERROR(INDEX(_Helper!AZ2:AZ501,MATCH(LARGE(_Helper!BH2:BH501,2),_Helper!BH2:BH501,0)),"-")</f>
        <v/>
      </c>
      <c r="K53" s="98" t="n"/>
      <c r="L53" s="98" t="n"/>
      <c r="M53" s="98" t="n"/>
      <c r="N53" s="98" t="n"/>
      <c r="O53" s="98" t="n"/>
      <c r="P53" s="7" t="n"/>
      <c r="Q53" s="149">
        <f>IFERROR(INDEX(_Helper!AZ2:AZ501,MATCH(LARGE(_Helper!BH2:BH501,3),_Helper!BH2:BH501,0)),"-")</f>
        <v/>
      </c>
      <c r="R53" s="98" t="n"/>
      <c r="S53" s="98" t="n"/>
      <c r="T53" s="98" t="n"/>
      <c r="U53" s="98" t="n"/>
      <c r="V53" s="98" t="n"/>
    </row>
    <row r="54" ht="49.5" customHeight="1" s="82">
      <c r="A54" s="150" t="inlineStr">
        <is>
          <t>Notes / Lessons Learned</t>
        </is>
      </c>
      <c r="B54" s="98" t="n"/>
      <c r="C54" s="152">
        <f>IFERROR(INDEX(Projects[Notes / Lessons Learned],MATCH(LARGE(_Helper!BH2:BH501,1),_Helper!BH2:BH501,0))&amp;"","-")</f>
        <v/>
      </c>
      <c r="D54" s="98" t="n"/>
      <c r="E54" s="98" t="n"/>
      <c r="F54" s="98" t="n"/>
      <c r="G54" s="98" t="n"/>
      <c r="H54" s="98" t="n"/>
      <c r="I54" s="8" t="n"/>
      <c r="J54" s="154">
        <f>IFERROR(INDEX(Projects[Notes / Lessons Learned],MATCH(LARGE(_Helper!BH2:BH501,2),_Helper!BH2:BH501,0))&amp;"","-")</f>
        <v/>
      </c>
      <c r="K54" s="98" t="n"/>
      <c r="L54" s="98" t="n"/>
      <c r="M54" s="98" t="n"/>
      <c r="N54" s="98" t="n"/>
      <c r="O54" s="98" t="n"/>
      <c r="P54" s="8" t="n"/>
      <c r="Q54" s="149">
        <f>IFERROR(INDEX(Projects[Notes / Lessons Learned],MATCH(LARGE(_Helper!BH2:BH501,3),_Helper!BH2:BH501,0))&amp;"","-")</f>
        <v/>
      </c>
      <c r="R54" s="98" t="n"/>
      <c r="S54" s="98" t="n"/>
      <c r="T54" s="98" t="n"/>
      <c r="U54" s="98" t="n"/>
      <c r="V54" s="98" t="n"/>
    </row>
    <row r="55" ht="18" customHeight="1" s="82">
      <c r="A55" s="163" t="inlineStr">
        <is>
          <t>⚠  Results update automatically when search parameters change in the Smart Search tab.  Review all matches and apply engineering judgment before confirming schedules.</t>
        </is>
      </c>
    </row>
    <row r="56" s="82"/>
    <row r="57"/>
    <row r="58"/>
    <row r="59"/>
    <row r="60"/>
    <row r="61"/>
  </sheetData>
  <mergeCells count="274">
    <mergeCell ref="Q29:S29"/>
    <mergeCell ref="J15:O15"/>
    <mergeCell ref="C44:E44"/>
    <mergeCell ref="A15:B15"/>
    <mergeCell ref="F36:H36"/>
    <mergeCell ref="Q10:V10"/>
    <mergeCell ref="F45:H45"/>
    <mergeCell ref="C31:E31"/>
    <mergeCell ref="A5:V5"/>
    <mergeCell ref="Q19:V19"/>
    <mergeCell ref="J27:L27"/>
    <mergeCell ref="C40:E40"/>
    <mergeCell ref="M40:O40"/>
    <mergeCell ref="C9:H9"/>
    <mergeCell ref="A51:B51"/>
    <mergeCell ref="C47:E47"/>
    <mergeCell ref="J35:L35"/>
    <mergeCell ref="Q31:S31"/>
    <mergeCell ref="C51:E51"/>
    <mergeCell ref="F47:H47"/>
    <mergeCell ref="J25:L25"/>
    <mergeCell ref="C11:H11"/>
    <mergeCell ref="J54:O54"/>
    <mergeCell ref="J7:O7"/>
    <mergeCell ref="A54:B54"/>
    <mergeCell ref="A7:B7"/>
    <mergeCell ref="A13:V13"/>
    <mergeCell ref="Q22:V22"/>
    <mergeCell ref="A41:B41"/>
    <mergeCell ref="F31:H31"/>
    <mergeCell ref="M41:O41"/>
    <mergeCell ref="T31:V31"/>
    <mergeCell ref="J50:L50"/>
    <mergeCell ref="A27:B27"/>
    <mergeCell ref="F39:H39"/>
    <mergeCell ref="A24:V24"/>
    <mergeCell ref="T34:V34"/>
    <mergeCell ref="J46:L46"/>
    <mergeCell ref="T46:V46"/>
    <mergeCell ref="T28:V28"/>
    <mergeCell ref="Q41:S41"/>
    <mergeCell ref="T37:V37"/>
    <mergeCell ref="A42:B42"/>
    <mergeCell ref="C49:E49"/>
    <mergeCell ref="J39:L39"/>
    <mergeCell ref="J17:O17"/>
    <mergeCell ref="J48:L48"/>
    <mergeCell ref="A17:B17"/>
    <mergeCell ref="Q25:S25"/>
    <mergeCell ref="T30:V30"/>
    <mergeCell ref="Q7:V7"/>
    <mergeCell ref="Q43:S43"/>
    <mergeCell ref="C34:E34"/>
    <mergeCell ref="A22:B22"/>
    <mergeCell ref="T48:V48"/>
    <mergeCell ref="J29:L29"/>
    <mergeCell ref="C42:E42"/>
    <mergeCell ref="Q21:V21"/>
    <mergeCell ref="C15:H15"/>
    <mergeCell ref="J38:L38"/>
    <mergeCell ref="A35:B35"/>
    <mergeCell ref="T29:V29"/>
    <mergeCell ref="A53:B53"/>
    <mergeCell ref="J19:O19"/>
    <mergeCell ref="A19:B19"/>
    <mergeCell ref="Q42:S42"/>
    <mergeCell ref="A28:B28"/>
    <mergeCell ref="M39:O39"/>
    <mergeCell ref="J9:O9"/>
    <mergeCell ref="J40:L40"/>
    <mergeCell ref="A9:B9"/>
    <mergeCell ref="Q8:V8"/>
    <mergeCell ref="A39:B39"/>
    <mergeCell ref="C25:E25"/>
    <mergeCell ref="F51:H51"/>
    <mergeCell ref="A2:V2"/>
    <mergeCell ref="A48:B48"/>
    <mergeCell ref="A30:B30"/>
    <mergeCell ref="C16:H16"/>
    <mergeCell ref="C10:H10"/>
    <mergeCell ref="J53:O53"/>
    <mergeCell ref="A11:B11"/>
    <mergeCell ref="F41:H41"/>
    <mergeCell ref="A45:B45"/>
    <mergeCell ref="F35:H35"/>
    <mergeCell ref="F50:H50"/>
    <mergeCell ref="M31:O31"/>
    <mergeCell ref="J26:L26"/>
    <mergeCell ref="T26:V26"/>
    <mergeCell ref="J4:O4"/>
    <mergeCell ref="C46:E46"/>
    <mergeCell ref="M28:O28"/>
    <mergeCell ref="T40:V40"/>
    <mergeCell ref="A55:V55"/>
    <mergeCell ref="J41:L41"/>
    <mergeCell ref="M37:O37"/>
    <mergeCell ref="Q44:S44"/>
    <mergeCell ref="Q46:S46"/>
    <mergeCell ref="Q9:V9"/>
    <mergeCell ref="F27:H27"/>
    <mergeCell ref="C39:E39"/>
    <mergeCell ref="A46:B46"/>
    <mergeCell ref="A37:B37"/>
    <mergeCell ref="C48:E48"/>
    <mergeCell ref="M26:O26"/>
    <mergeCell ref="J43:L43"/>
    <mergeCell ref="Q17:V17"/>
    <mergeCell ref="C32:E32"/>
    <mergeCell ref="Q11:V11"/>
    <mergeCell ref="Q48:S48"/>
    <mergeCell ref="M29:O29"/>
    <mergeCell ref="A26:B26"/>
    <mergeCell ref="C38:E38"/>
    <mergeCell ref="C19:H19"/>
    <mergeCell ref="M38:O38"/>
    <mergeCell ref="Q45:S45"/>
    <mergeCell ref="J42:L42"/>
    <mergeCell ref="Q32:S32"/>
    <mergeCell ref="F49:H49"/>
    <mergeCell ref="J18:O18"/>
    <mergeCell ref="Q53:V53"/>
    <mergeCell ref="M43:O43"/>
    <mergeCell ref="J8:O8"/>
    <mergeCell ref="Q47:S47"/>
    <mergeCell ref="T39:V39"/>
    <mergeCell ref="A8:B8"/>
    <mergeCell ref="F29:H29"/>
    <mergeCell ref="Q3:V3"/>
    <mergeCell ref="J44:L44"/>
    <mergeCell ref="F25:H25"/>
    <mergeCell ref="Q12:V12"/>
    <mergeCell ref="T49:V49"/>
    <mergeCell ref="C6:H6"/>
    <mergeCell ref="J28:L28"/>
    <mergeCell ref="T32:V32"/>
    <mergeCell ref="C14:H14"/>
    <mergeCell ref="J10:O10"/>
    <mergeCell ref="J37:L37"/>
    <mergeCell ref="T45:V45"/>
    <mergeCell ref="A10:B10"/>
    <mergeCell ref="T42:V42"/>
    <mergeCell ref="F40:H40"/>
    <mergeCell ref="C26:E26"/>
    <mergeCell ref="C4:H4"/>
    <mergeCell ref="T47:V47"/>
    <mergeCell ref="C35:E35"/>
    <mergeCell ref="M35:O35"/>
    <mergeCell ref="Q54:V54"/>
    <mergeCell ref="J30:L30"/>
    <mergeCell ref="Q51:S51"/>
    <mergeCell ref="A34:B34"/>
    <mergeCell ref="T50:V50"/>
    <mergeCell ref="C50:E50"/>
    <mergeCell ref="C54:H54"/>
    <mergeCell ref="T44:V44"/>
    <mergeCell ref="A33:V33"/>
    <mergeCell ref="A49:B49"/>
    <mergeCell ref="Q35:S35"/>
    <mergeCell ref="F32:H32"/>
    <mergeCell ref="Q50:S50"/>
    <mergeCell ref="F26:H26"/>
    <mergeCell ref="A36:B36"/>
    <mergeCell ref="M25:O25"/>
    <mergeCell ref="J20:O20"/>
    <mergeCell ref="J11:O11"/>
    <mergeCell ref="M30:O30"/>
    <mergeCell ref="Q34:S34"/>
    <mergeCell ref="T51:V51"/>
    <mergeCell ref="F38:H38"/>
    <mergeCell ref="C36:E36"/>
    <mergeCell ref="M46:O46"/>
    <mergeCell ref="J32:L32"/>
    <mergeCell ref="Q49:S49"/>
    <mergeCell ref="T41:V41"/>
    <mergeCell ref="M42:O42"/>
    <mergeCell ref="Q27:S27"/>
    <mergeCell ref="J22:O22"/>
    <mergeCell ref="Q36:S36"/>
    <mergeCell ref="Q30:S30"/>
    <mergeCell ref="C8:H8"/>
    <mergeCell ref="J47:L47"/>
    <mergeCell ref="F43:H43"/>
    <mergeCell ref="C17:H17"/>
    <mergeCell ref="A3:B3"/>
    <mergeCell ref="F37:H37"/>
    <mergeCell ref="J12:O12"/>
    <mergeCell ref="T43:V43"/>
    <mergeCell ref="A12:B12"/>
    <mergeCell ref="J21:O21"/>
    <mergeCell ref="A21:B21"/>
    <mergeCell ref="C28:E28"/>
    <mergeCell ref="M32:O32"/>
    <mergeCell ref="C37:E37"/>
    <mergeCell ref="T27:V27"/>
    <mergeCell ref="A1:V1"/>
    <mergeCell ref="T36:V36"/>
    <mergeCell ref="C53:H53"/>
    <mergeCell ref="A32:B32"/>
    <mergeCell ref="A14:B14"/>
    <mergeCell ref="J23:O23"/>
    <mergeCell ref="F44:H44"/>
    <mergeCell ref="C3:H3"/>
    <mergeCell ref="A23:B23"/>
    <mergeCell ref="C30:E30"/>
    <mergeCell ref="F34:H34"/>
    <mergeCell ref="M44:O44"/>
    <mergeCell ref="A4:B4"/>
    <mergeCell ref="A38:B38"/>
    <mergeCell ref="A43:B43"/>
    <mergeCell ref="T35:V35"/>
    <mergeCell ref="J34:L34"/>
    <mergeCell ref="F30:H30"/>
    <mergeCell ref="M51:O51"/>
    <mergeCell ref="C20:H20"/>
    <mergeCell ref="A40:B40"/>
    <mergeCell ref="T25:V25"/>
    <mergeCell ref="Q38:S38"/>
    <mergeCell ref="Q20:V20"/>
    <mergeCell ref="J49:L49"/>
    <mergeCell ref="Q14:V14"/>
    <mergeCell ref="C41:E41"/>
    <mergeCell ref="F42:H42"/>
    <mergeCell ref="Q23:V23"/>
    <mergeCell ref="J36:L36"/>
    <mergeCell ref="C22:H22"/>
    <mergeCell ref="J45:L45"/>
    <mergeCell ref="Q26:S26"/>
    <mergeCell ref="Q4:V4"/>
    <mergeCell ref="Q40:S40"/>
    <mergeCell ref="C12:H12"/>
    <mergeCell ref="C43:E43"/>
    <mergeCell ref="C21:H21"/>
    <mergeCell ref="A6:B6"/>
    <mergeCell ref="J16:O16"/>
    <mergeCell ref="A52:V52"/>
    <mergeCell ref="Q6:V6"/>
    <mergeCell ref="A16:B16"/>
    <mergeCell ref="F46:H46"/>
    <mergeCell ref="C27:E27"/>
    <mergeCell ref="Q15:V15"/>
    <mergeCell ref="A25:B25"/>
    <mergeCell ref="M27:O27"/>
    <mergeCell ref="F28:H28"/>
    <mergeCell ref="M36:O36"/>
    <mergeCell ref="M45:O45"/>
    <mergeCell ref="J31:L31"/>
    <mergeCell ref="C23:H23"/>
    <mergeCell ref="A18:B18"/>
    <mergeCell ref="F48:H48"/>
    <mergeCell ref="C7:H7"/>
    <mergeCell ref="J3:O3"/>
    <mergeCell ref="A50:B50"/>
    <mergeCell ref="J51:L51"/>
    <mergeCell ref="M47:O47"/>
    <mergeCell ref="M50:O50"/>
    <mergeCell ref="A47:B47"/>
    <mergeCell ref="C18:H18"/>
    <mergeCell ref="Q16:V16"/>
    <mergeCell ref="M34:O34"/>
    <mergeCell ref="Q28:S28"/>
    <mergeCell ref="A20:B20"/>
    <mergeCell ref="J14:O14"/>
    <mergeCell ref="T38:V38"/>
    <mergeCell ref="A29:B29"/>
    <mergeCell ref="Q37:S37"/>
    <mergeCell ref="M49:O49"/>
    <mergeCell ref="Q18:V18"/>
    <mergeCell ref="C45:E45"/>
    <mergeCell ref="M48:O48"/>
    <mergeCell ref="A44:B44"/>
    <mergeCell ref="Q39:S39"/>
    <mergeCell ref="C29:E29"/>
    <mergeCell ref="A31:B31"/>
    <mergeCell ref="J6:O6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4.4"/>
  <cols>
    <col width="14" customWidth="1" style="82" min="1" max="1"/>
    <col width="16" customWidth="1" style="82" min="2" max="3"/>
    <col width="14" customWidth="1" style="82" min="4" max="4"/>
  </cols>
  <sheetData>
    <row r="1" ht="36" customHeight="1" s="82">
      <c r="A1" s="167" t="inlineStr">
        <is>
          <t>DEMATIC  |  FX Rates</t>
        </is>
      </c>
    </row>
    <row r="2">
      <c r="A2" s="93" t="inlineStr">
        <is>
          <t>USD value of one unit of each currency, used for Sold Value (USD M) in the Project Database. Blue cells are inputs.</t>
        </is>
      </c>
    </row>
    <row r="4" ht="30" customHeight="1" s="82">
      <c r="A4" s="21" t="inlineStr">
        <is>
          <t>Currency</t>
        </is>
      </c>
      <c r="B4" s="21" t="inlineStr">
        <is>
          <t>USD per unit</t>
        </is>
      </c>
      <c r="C4" s="21" t="inlineStr">
        <is>
          <t>Units per USD</t>
        </is>
      </c>
      <c r="D4" s="21" t="inlineStr">
        <is>
          <t>Rate date</t>
        </is>
      </c>
    </row>
    <row r="5">
      <c r="A5" s="68" t="inlineStr">
        <is>
          <t>USD</t>
        </is>
      </c>
      <c r="B5" s="69" t="n">
        <v>1</v>
      </c>
      <c r="C5" s="70">
        <f>IF(B5&gt;0,1/B5,"")</f>
        <v/>
      </c>
      <c r="D5" s="71" t="n">
        <v>46290</v>
      </c>
    </row>
    <row r="6">
      <c r="A6" s="68" t="inlineStr">
        <is>
          <t>EUR</t>
        </is>
      </c>
      <c r="B6" s="69" t="n">
        <v>1.136965</v>
      </c>
      <c r="C6" s="70">
        <f>IF(B6&gt;0,1/B6,"")</f>
        <v/>
      </c>
      <c r="D6" s="71" t="n">
        <v>46290</v>
      </c>
    </row>
    <row r="7">
      <c r="A7" s="68" t="inlineStr">
        <is>
          <t>SGD</t>
        </is>
      </c>
      <c r="B7" s="69" t="n">
        <v>0.781627</v>
      </c>
      <c r="C7" s="70">
        <f>IF(B7&gt;0,1/B7,"")</f>
        <v/>
      </c>
      <c r="D7" s="71" t="n">
        <v>46290</v>
      </c>
    </row>
    <row r="8">
      <c r="A8" s="68" t="inlineStr">
        <is>
          <t>AUD</t>
        </is>
      </c>
      <c r="B8" s="69" t="n">
        <v>0.701303</v>
      </c>
      <c r="C8" s="70">
        <f>IF(B8&gt;0,1/B8,"")</f>
        <v/>
      </c>
      <c r="D8" s="71" t="n">
        <v>46290</v>
      </c>
    </row>
    <row r="9">
      <c r="A9" s="68" t="inlineStr">
        <is>
          <t>GBP</t>
        </is>
      </c>
      <c r="B9" s="69" t="n">
        <v>1.32115</v>
      </c>
      <c r="C9" s="70">
        <f>IF(B9&gt;0,1/B9,"")</f>
        <v/>
      </c>
      <c r="D9" s="71" t="n">
        <v>46290</v>
      </c>
    </row>
    <row r="10">
      <c r="A10" s="68" t="inlineStr">
        <is>
          <t>JPY</t>
        </is>
      </c>
      <c r="B10" s="69" t="n">
        <v>0.006314</v>
      </c>
      <c r="C10" s="70">
        <f>IF(B10&gt;0,1/B10,"")</f>
        <v/>
      </c>
      <c r="D10" s="71" t="n">
        <v>46290</v>
      </c>
    </row>
    <row r="11">
      <c r="A11" s="68" t="inlineStr">
        <is>
          <t>CNY</t>
        </is>
      </c>
      <c r="B11" s="69" t="n">
        <v>0.148965</v>
      </c>
      <c r="C11" s="70">
        <f>IF(B11&gt;0,1/B11,"")</f>
        <v/>
      </c>
      <c r="D11" s="71" t="n">
        <v>46290</v>
      </c>
    </row>
    <row r="12">
      <c r="A12" s="68" t="inlineStr">
        <is>
          <t>INR</t>
        </is>
      </c>
      <c r="B12" s="69" t="n">
        <v>0.010424</v>
      </c>
      <c r="C12" s="70">
        <f>IF(B12&gt;0,1/B12,"")</f>
        <v/>
      </c>
      <c r="D12" s="71" t="n">
        <v>46290</v>
      </c>
    </row>
    <row r="13">
      <c r="A13" s="68" t="inlineStr">
        <is>
          <t>MYR</t>
        </is>
      </c>
      <c r="B13" s="69" t="n">
        <v>0.245222</v>
      </c>
      <c r="C13" s="70">
        <f>IF(B13&gt;0,1/B13,"")</f>
        <v/>
      </c>
      <c r="D13" s="71" t="n">
        <v>46290</v>
      </c>
    </row>
    <row r="14">
      <c r="A14" s="68" t="inlineStr">
        <is>
          <t>THB</t>
        </is>
      </c>
      <c r="B14" s="69" t="n">
        <v>0.029894</v>
      </c>
      <c r="C14" s="70">
        <f>IF(B14&gt;0,1/B14,"")</f>
        <v/>
      </c>
      <c r="D14" s="71" t="n">
        <v>46290</v>
      </c>
    </row>
    <row r="16" ht="30" customHeight="1" s="82">
      <c r="A16" s="176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82">
      <c r="A17" s="176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76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82" min="1" max="1"/>
    <col width="78" customWidth="1" style="82" min="2" max="2"/>
  </cols>
  <sheetData>
    <row r="1" ht="36" customHeight="1" s="82">
      <c r="A1" s="167" t="inlineStr">
        <is>
          <t>DEMATIC  |  User Guide</t>
        </is>
      </c>
    </row>
    <row r="2" ht="15.75" customHeight="1" s="82">
      <c r="A2" s="93" t="inlineStr">
        <is>
          <t>Intralogistics Systems  |  Supply Chain Automation  |  Warehouse Management Solutions</t>
        </is>
      </c>
    </row>
    <row r="3" ht="21.75" customHeight="1" s="82">
      <c r="A3" s="114" t="inlineStr">
        <is>
          <t xml:space="preserve">  HOW THE SMART SEARCH WORKS</t>
        </is>
      </c>
    </row>
    <row r="4" ht="15.75" customHeight="1" s="82">
      <c r="A4" s="177" t="inlineStr">
        <is>
          <t xml:space="preserve">   Step 1:  Set Include? to YES for every system in your project, NO for the rest.</t>
        </is>
      </c>
    </row>
    <row r="5" ht="15.75" customHeight="1" s="82">
      <c r="A5" s="177" t="inlineStr">
        <is>
          <t xml:space="preserve">   Step 2:  Enter your quantities for the included systems.</t>
        </is>
      </c>
    </row>
    <row r="6" ht="15.75" customHeight="1" s="82">
      <c r="A6" s="177" t="inlineStr">
        <is>
          <t xml:space="preserve">   The tool automatically distributes equal weight across all active parameters and ranks the database.</t>
        </is>
      </c>
    </row>
    <row r="7" ht="15.75" customHeight="1" s="82">
      <c r="A7" s="177" t="inlineStr">
        <is>
          <t xml:space="preserve">   No manual weights or percentages needed — just select and type.</t>
        </is>
      </c>
    </row>
    <row r="8" ht="7.5" customHeight="1" s="82"/>
    <row r="9" ht="21.75" customHeight="1" s="82">
      <c r="A9" s="114" t="inlineStr">
        <is>
          <t xml:space="preserve">  MATCH SCORE EXPLAINED</t>
        </is>
      </c>
    </row>
    <row r="10" ht="15.75" customHeight="1" s="82">
      <c r="A10" s="177" t="inlineStr">
        <is>
          <t xml:space="preserve">   For each active parameter:  Score = 1 – |DB value – your value| / MAX(|DB value|, |your value|)  (minimum 0)</t>
        </is>
      </c>
    </row>
    <row r="11" ht="15.75" customHeight="1" s="82">
      <c r="A11" s="177" t="inlineStr">
        <is>
          <t xml:space="preserve">   All active parameters receive equal weight.  Final score = average of all active parameter scores.</t>
        </is>
      </c>
    </row>
    <row r="12" ht="15.75" customHeight="1" s="82">
      <c r="A12" s="177" t="inlineStr">
        <is>
          <t xml:space="preserve">   If both the DB and your input are zero or blank for a parameter, it scores as a perfect match (both have none).</t>
        </is>
      </c>
    </row>
    <row r="13" ht="15.75" customHeight="1" s="82">
      <c r="A13" s="177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82">
      <c r="A14" s="177" t="inlineStr">
        <is>
          <t xml:space="preserve">   Equal scores are resolved by row order (earlier entries ranked higher) to prevent duplicate results.</t>
        </is>
      </c>
    </row>
    <row r="15" ht="21.75" customHeight="1" s="82">
      <c r="A15" s="114" t="inlineStr">
        <is>
          <t xml:space="preserve">  SYSTEMS SUPPORTED</t>
        </is>
      </c>
    </row>
    <row r="16" ht="15.75" customHeight="1" s="82">
      <c r="A16" s="177" t="inlineStr">
        <is>
          <t xml:space="preserve">   Multishuttle    — Shuttles + Tote Locations</t>
        </is>
      </c>
    </row>
    <row r="17" ht="15.75" customHeight="1" s="82">
      <c r="A17" s="177" t="inlineStr">
        <is>
          <t xml:space="preserve">   AutoStore       — Robots + Tote Locations</t>
        </is>
      </c>
    </row>
    <row r="18" ht="15.75" customHeight="1" s="82">
      <c r="A18" s="177" t="inlineStr">
        <is>
          <t xml:space="preserve">   Pallet Shuttle  — Shuttles + Pallet Locations</t>
        </is>
      </c>
    </row>
    <row r="19" ht="15.75" customHeight="1" s="82">
      <c r="A19" s="177" t="inlineStr">
        <is>
          <t xml:space="preserve">   SRM Crane       — Cranes + Pallet Locations</t>
        </is>
      </c>
    </row>
    <row r="20" ht="15.75" customHeight="1" s="82">
      <c r="A20" s="177" t="inlineStr">
        <is>
          <t xml:space="preserve">   Conveyors       — Case Conveyor (m) + Pallet Conveyor (m)</t>
        </is>
      </c>
    </row>
    <row r="21" ht="7.5" customHeight="1" s="82"/>
    <row r="22" ht="21.75" customHeight="1" s="82">
      <c r="A22" s="114" t="inlineStr">
        <is>
          <t xml:space="preserve">  ADDING A PROJECT TO THE DATABASE</t>
        </is>
      </c>
    </row>
    <row r="23" ht="15.75" customHeight="1" s="82">
      <c r="A23" s="177" t="inlineStr">
        <is>
          <t xml:space="preserve">   1.  Go to 'Project Database' and fill in the next empty row.</t>
        </is>
      </c>
    </row>
    <row r="24" ht="15.75" customHeight="1" s="82">
      <c r="A24" s="177" t="inlineStr">
        <is>
          <t xml:space="preserve">   2.  Enter data only for systems used — leave other system columns blank.</t>
        </is>
      </c>
    </row>
    <row r="25" ht="15.75" customHeight="1" s="82">
      <c r="A25" s="177" t="inlineStr">
        <is>
          <t xml:space="preserve">   3.  All schedule phases are in WEEKS.</t>
        </is>
      </c>
    </row>
    <row r="26" ht="15.75" customHeight="1" s="82">
      <c r="A26" s="177" t="inlineStr">
        <is>
          <t xml:space="preserve">   4.  Enter the presales plan weeks for every project, and the actual weeks for won projects. Totals are entered, not summed: phases overlap.</t>
        </is>
      </c>
    </row>
    <row r="27" ht="15.75" customHeight="1" s="82">
      <c r="A27" s="177" t="inlineStr">
        <is>
          <t xml:space="preserve">   5.  Sold Value is in MILLIONS — enter a number only (22.9), not '22.9M'. Select Currency from the dropdown.</t>
        </is>
      </c>
    </row>
    <row r="28" ht="15.75" customHeight="1" s="82">
      <c r="A28" s="177" t="inlineStr">
        <is>
          <t xml:space="preserve">   6.  Select the Solution Type from the dropdown in column D.</t>
        </is>
      </c>
    </row>
    <row r="29" ht="21.75" customHeight="1" s="82">
      <c r="A29" s="178" t="n"/>
    </row>
    <row r="30" ht="15.75" customHeight="1" s="82">
      <c r="A30" s="114" t="inlineStr">
        <is>
          <t xml:space="preserve">  MANHOUR COST (% OF PROJECT COST)</t>
        </is>
      </c>
    </row>
    <row r="31" ht="15.75" customHeight="1" s="82">
      <c r="A31" s="177" t="inlineStr">
        <is>
          <t xml:space="preserve">   The database holds two blocks of fourteen manhour categories, each as a % of project cost: Presales estimate (AL–AY) and Actual (BA–BN).</t>
        </is>
      </c>
    </row>
    <row r="32" ht="15.75" customHeight="1" s="82">
      <c r="A32" s="177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82">
      <c r="A33" s="177" t="inlineStr">
        <is>
          <t xml:space="preserve">   Enter these as percentages (type 5% or 0.05 — not 5). Values must be between 0% and 100%.</t>
        </is>
      </c>
    </row>
    <row r="34" ht="15.75" customHeight="1" s="82">
      <c r="A34" s="177" t="inlineStr">
        <is>
          <t xml:space="preserve">   Smart Search shows the closest match’s presales estimate and actual for every category side by side,</t>
        </is>
      </c>
    </row>
    <row r="35" ht="15.75" customHeight="1" s="82">
      <c r="A35" s="177" t="inlineStr">
        <is>
          <t xml:space="preserve">   with the difference in percentage points (actual minus estimate).</t>
        </is>
      </c>
    </row>
    <row r="36" ht="22.8" customHeight="1" s="82">
      <c r="A36" s="10" t="inlineStr">
        <is>
          <t xml:space="preserve">   An estimate or actual block with every cell blank or 0 shows “—” and “No data”; projects not won show “Not won” for actuals.</t>
        </is>
      </c>
    </row>
    <row r="37"/>
    <row r="38" ht="26.1" customHeight="1" s="82">
      <c r="A38" s="178" t="inlineStr">
        <is>
          <t>OPTIONAL SEARCH FILTERS</t>
        </is>
      </c>
    </row>
    <row r="39" ht="26.1" customHeight="1" s="82">
      <c r="A39" s="178" t="inlineStr">
        <is>
          <t>Use the four optional filters beside the Smart Search inputs. Blank or All includes all projects.</t>
        </is>
      </c>
    </row>
    <row r="40" ht="26.1" customHeight="1" s="82">
      <c r="A40" s="178" t="inlineStr">
        <is>
          <t>Solution Type and Won status: select a dropdown value. Year: enter an exact year (2000-2099), or clear it.</t>
        </is>
      </c>
    </row>
    <row r="41" ht="26.1" customHeight="1" s="82">
      <c r="A41" s="178" t="inlineStr">
        <is>
          <t>Region: enter text found in Client / Region, e.g. ME matches Turkey ME and KSA ME. Matching ignores letter case.</t>
        </is>
      </c>
    </row>
    <row r="42" ht="26.1" customHeight="1" s="82">
      <c r="A42" s="178" t="inlineStr">
        <is>
          <t>All selected filters must match. Projects with missing data are excluded only when that field is filtered.</t>
        </is>
      </c>
    </row>
    <row r="43" ht="26.1" customHeight="1" s="82">
      <c r="A43" s="178" t="inlineStr">
        <is>
          <t>The top five, closest-match estimate and top-three comparison all use the filtered results.</t>
        </is>
      </c>
    </row>
    <row r="44" ht="26.1" customHeight="1" s="82">
      <c r="A44" s="178" t="inlineStr">
        <is>
          <t>If no projects match, broaden or clear filters. Populate Solution Type in the database before filtering by it.</t>
        </is>
      </c>
    </row>
    <row r="45"/>
    <row r="46" ht="15.75" customHeight="1" s="82">
      <c r="A46" s="114" t="inlineStr">
        <is>
          <t xml:space="preserve">  PROJECT DATABASE TABLE</t>
        </is>
      </c>
    </row>
    <row r="47" ht="15.75" customHeight="1" s="82">
      <c r="A47" s="177" t="inlineStr">
        <is>
          <t xml:space="preserve">   The Project Database is an Excel Table named Projects. Use the header buttons to sort or filter.</t>
        </is>
      </c>
    </row>
    <row r="48" ht="15.75" customHeight="1" s="82">
      <c r="A48" s="177" t="inlineStr">
        <is>
          <t xml:space="preserve">   Add a project in the first empty row inside the table. Capacity: 499 projects (rows 6–504).</t>
        </is>
      </c>
    </row>
    <row r="49" ht="15.75" customHeight="1" s="82">
      <c r="A49" s="177" t="inlineStr">
        <is>
          <t xml:space="preserve">   Formulas find columns by header name, so inserting, moving or renaming columns in Excel is safe.</t>
        </is>
      </c>
    </row>
    <row r="50" ht="15.75" customHeight="1" s="82">
      <c r="A50" s="177" t="inlineStr">
        <is>
          <t xml:space="preserve">   Deleting a column that formulas use still breaks them, and a new manhour category must be added to Smart Search.</t>
        </is>
      </c>
    </row>
    <row r="51"/>
    <row r="52" ht="15.75" customHeight="1" s="82">
      <c r="A52" s="114" t="inlineStr">
        <is>
          <t xml:space="preserve">  SOLD VALUE IN USD</t>
        </is>
      </c>
    </row>
    <row r="53" ht="15.75" customHeight="1" s="82">
      <c r="A53" s="177" t="inlineStr">
        <is>
          <t xml:space="preserve">   Sold Value (USD M), column AG, is calculated: Sold Value (M) × the rate on the FX Rates sheet. Do not type in it.</t>
        </is>
      </c>
    </row>
    <row r="54" ht="15.75" customHeight="1" s="82">
      <c r="A54" s="177" t="inlineStr">
        <is>
          <t xml:space="preserve">   Keep rates up to date on FX Rates (USD per one unit). A currency with no rate shows “No rate”.</t>
        </is>
      </c>
    </row>
    <row r="55" ht="15.75" customHeight="1" s="82">
      <c r="A55" s="177" t="inlineStr">
        <is>
          <t xml:space="preserve">   Every project is converted at the same current rate, so treat USD values as a rough comparison.</t>
        </is>
      </c>
    </row>
    <row r="56"/>
    <row r="57" ht="15.75" customHeight="1" s="82">
      <c r="A57" s="114" t="inlineStr">
        <is>
          <t xml:space="preserve">  VERSION</t>
        </is>
      </c>
    </row>
    <row r="58" ht="15.75" customHeight="1" s="82">
      <c r="A58" s="177" t="inlineStr">
        <is>
          <t xml:space="preserve">   This is version v43 (2026-09-30). The Change Log sheet lists every change.</t>
        </is>
      </c>
    </row>
    <row r="59" s="82"/>
    <row r="60" ht="15.75" customHeight="1" s="82">
      <c r="A60" s="114" t="inlineStr">
        <is>
          <t xml:space="preserve">  PRESALES ESTIMATE VS ACTUAL</t>
        </is>
      </c>
    </row>
    <row r="61" ht="15.75" customHeight="1" s="82">
      <c r="A61" s="177" t="inlineStr">
        <is>
          <t xml:space="preserve">   Every project has a Presales estimate block. Won projects also have an Actual block, from project cost at close-out.</t>
        </is>
      </c>
    </row>
    <row r="62" ht="15.75" customHeight="1" s="82">
      <c r="A62" s="177" t="inlineStr">
        <is>
          <t xml:space="preserve">   Est Cost (M), column AK, is the presales estimated project cost; Act Cost (M), column AZ, is the final actual cost. Both in millions of the project currency.</t>
        </is>
      </c>
    </row>
    <row r="63" ht="15.75" customHeight="1" s="82">
      <c r="A63" s="177" t="inlineStr">
        <is>
          <t xml:space="preserve">   Manhour cost (M) = a block’s total % × its project cost, so estimate and actual can be compared in money as well as in percentages.</t>
        </is>
      </c>
    </row>
    <row r="64" ht="15.75" customHeight="1" s="82">
      <c r="A64" s="177" t="inlineStr">
        <is>
          <t xml:space="preserve">   On 2026-09-30 the existing figures were moved: won projects’ figures became Actual, all others became Presales estimate.</t>
        </is>
      </c>
    </row>
    <row r="65" ht="15.75" customHeight="1" s="82">
      <c r="A65" s="177" t="inlineStr">
        <is>
          <t xml:space="preserve">   Schedule: Plan columns (Q–W) hold the presales plan in weeks; Act columns (X–AD) hold what actually happened. On 2026-09-30 every project’s existing weeks were moved to Plan; enter actual weeks for won projects as they are known.</t>
        </is>
      </c>
    </row>
    <row r="66" ht="15.75" customHeight="1" s="82">
      <c r="A66" s="177" t="inlineStr">
        <is>
          <t xml:space="preserve">   The top five list shows actual weeks where a project has them, otherwise its presales plan.</t>
        </is>
      </c>
    </row>
    <row r="67" s="82"/>
    <row r="68" s="82"/>
    <row r="69" s="82"/>
    <row r="70" s="82"/>
    <row r="71" s="82"/>
    <row r="72"/>
    <row r="73"/>
    <row r="74"/>
    <row r="75"/>
    <row r="76"/>
  </sheetData>
  <mergeCells count="58">
    <mergeCell ref="A48:B48"/>
    <mergeCell ref="A30:B30"/>
    <mergeCell ref="A24:B24"/>
    <mergeCell ref="A15:B15"/>
    <mergeCell ref="A64:B64"/>
    <mergeCell ref="A60:B60"/>
    <mergeCell ref="A11:B11"/>
    <mergeCell ref="A49:B49"/>
    <mergeCell ref="A1:B1"/>
    <mergeCell ref="A61:B61"/>
    <mergeCell ref="A6:B6"/>
    <mergeCell ref="A16:B16"/>
    <mergeCell ref="A54:B54"/>
    <mergeCell ref="A7:B7"/>
    <mergeCell ref="A25:B25"/>
    <mergeCell ref="A65:B65"/>
    <mergeCell ref="A41:B41"/>
    <mergeCell ref="A46:B46"/>
    <mergeCell ref="A66:B6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62:B62"/>
    <mergeCell ref="A20:B20"/>
    <mergeCell ref="A38:B38"/>
    <mergeCell ref="A29:B29"/>
    <mergeCell ref="A52:B52"/>
    <mergeCell ref="A43:B43"/>
    <mergeCell ref="A63:B63"/>
    <mergeCell ref="A19:B19"/>
    <mergeCell ref="A10:B10"/>
    <mergeCell ref="A28:B28"/>
    <mergeCell ref="A13:B13"/>
    <mergeCell ref="A44:B44"/>
    <mergeCell ref="A40:B40"/>
    <mergeCell ref="A9:B9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12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4.4"/>
  <cols>
    <col width="10" customWidth="1" style="82" min="1" max="1"/>
    <col width="12" customWidth="1" style="82" min="2" max="2"/>
    <col width="13" customWidth="1" style="82" min="3" max="3"/>
    <col width="95" customWidth="1" style="82" min="4" max="4"/>
  </cols>
  <sheetData>
    <row r="1" ht="36" customHeight="1" s="82">
      <c r="A1" s="167" t="inlineStr">
        <is>
          <t>DEMATIC  |  Change Log</t>
        </is>
      </c>
    </row>
    <row r="2">
      <c r="A2" s="93" t="inlineStr">
        <is>
          <t>Current version: v43  (2026-09-30). Newest first. Git commits are in the Thor repository.</t>
        </is>
      </c>
    </row>
    <row r="4" ht="24" customHeight="1" s="82">
      <c r="A4" s="21" t="inlineStr">
        <is>
          <t>Version</t>
        </is>
      </c>
      <c r="B4" s="21" t="inlineStr">
        <is>
          <t>Date</t>
        </is>
      </c>
      <c r="C4" s="21" t="inlineStr">
        <is>
          <t>Git commit</t>
        </is>
      </c>
      <c r="D4" s="21" t="inlineStr">
        <is>
          <t>Changes</t>
        </is>
      </c>
    </row>
    <row r="5" ht="111" customHeight="1" s="82">
      <c r="A5" s="72" t="inlineStr">
        <is>
          <t>v43</t>
        </is>
      </c>
      <c r="B5" s="72" t="inlineStr">
        <is>
          <t>2026-09-30</t>
        </is>
      </c>
      <c r="C5" s="72" t="inlineStr">
        <is>
          <t>this version</t>
        </is>
      </c>
      <c r="D5" s="73" t="inlineStr">
        <is>
          <t>• Manhours split into a Presales estimate block and an Actual block.
• Existing figures moved: won projects’ figures became Actual; all others became Presales estimate.
• New Est Cost (M) and Act Cost (M) columns, so manhour cost can be compared in money.
• Schedule split into Presales plan weeks and Actual weeks; all existing weeks moved to Presales plan for now.
• Project Value renamed Sold Value.
• Smart Search and Project Comparison show estimate and actual side by side, with the difference.
• Manhour data status column removed; placeholder presales estimates and all-zero actuals cleared.</t>
        </is>
      </c>
    </row>
    <row r="6" ht="150" customHeight="1" s="82">
      <c r="A6" s="72" t="inlineStr">
        <is>
          <t>v42</t>
        </is>
      </c>
      <c r="B6" s="72" t="inlineStr">
        <is>
          <t>2026-09-25</t>
        </is>
      </c>
      <c r="C6" s="72" t="inlineStr">
        <is>
          <t>f6824e0</t>
        </is>
      </c>
      <c r="D6" s="73" t="inlineStr">
        <is>
          <t>• Keyword search: the 7th keyword is now searched (it was skipped).
• Reset macro also clears the four optional filters.
• Instructions: Total Timeline is the actual duration, not a formula.
• Project Database is an Excel Table (Projects); formulas find columns by header name.
• FX Rates sheet and Value (USD M) column; USD equivalents shown in results.
• MH Data Status column (Real / Unverified / No data), shown beside the manhour profile.
• Projects without manhour data show “No manhour data” instead of 0.0%.
• Solution Type shown in the top 5, the closest match and Project Comparison.
• Project Comparison: manhour breakdown for the top 3 matches.
• This Change Log and a version label on Smart Search.</t>
        </is>
      </c>
    </row>
    <row r="7" ht="18" customHeight="1" s="82">
      <c r="A7" s="72" t="inlineStr">
        <is>
          <t>v41b</t>
        </is>
      </c>
      <c r="B7" s="72" t="inlineStr">
        <is>
          <t>2026-09-25</t>
        </is>
      </c>
      <c r="C7" s="72" t="inlineStr">
        <is>
          <t>bec03d1</t>
        </is>
      </c>
      <c r="D7" s="73" t="inlineStr">
        <is>
          <t>• Instructions updated for manhour % of project cost.</t>
        </is>
      </c>
    </row>
    <row r="8" ht="30" customHeight="1" s="82">
      <c r="A8" s="72" t="inlineStr">
        <is>
          <t>v41b</t>
        </is>
      </c>
      <c r="B8" s="72" t="inlineStr">
        <is>
          <t>2026-09-25</t>
        </is>
      </c>
      <c r="C8" s="72" t="inlineStr">
        <is>
          <t>82818c0</t>
        </is>
      </c>
      <c r="D8" s="73" t="inlineStr">
        <is>
          <t>• Manhour costs recorded as % of project cost; real figures for five projects.
• Solution Types filled in; Estimated Cost column removed from Smart Search.</t>
        </is>
      </c>
    </row>
    <row r="9" ht="18" customHeight="1" s="82">
      <c r="A9" s="72" t="inlineStr">
        <is>
          <t>v41</t>
        </is>
      </c>
      <c r="B9" s="72" t="inlineStr">
        <is>
          <t>2026-09-11</t>
        </is>
      </c>
      <c r="C9" s="72" t="inlineStr">
        <is>
          <t>d11ec72</t>
        </is>
      </c>
      <c r="D9" s="73" t="inlineStr">
        <is>
          <t>• Optional search filters: Solution Type, region, year, won status.</t>
        </is>
      </c>
    </row>
    <row r="10" ht="18" customHeight="1" s="82">
      <c r="A10" s="72" t="inlineStr">
        <is>
          <t>v41</t>
        </is>
      </c>
      <c r="B10" s="72" t="inlineStr">
        <is>
          <t>2026-09-09</t>
        </is>
      </c>
      <c r="C10" s="72" t="inlineStr">
        <is>
          <t>3d48e82</t>
        </is>
      </c>
      <c r="D10" s="73" t="inlineStr">
        <is>
          <t>• Solution Type column with dropdown added to the database.</t>
        </is>
      </c>
    </row>
    <row r="11" ht="18" customHeight="1" s="82">
      <c r="A11" s="72" t="inlineStr">
        <is>
          <t>v41</t>
        </is>
      </c>
      <c r="B11" s="72" t="inlineStr">
        <is>
          <t>2026-08-27</t>
        </is>
      </c>
      <c r="C11" s="72" t="inlineStr">
        <is>
          <t>e34cc0c</t>
        </is>
      </c>
      <c r="D11" s="73" t="inlineStr">
        <is>
          <t>• Misc manhour category carried through to Smart Search.</t>
        </is>
      </c>
    </row>
    <row r="12" ht="18" customHeight="1" s="82">
      <c r="A12" s="72" t="inlineStr">
        <is>
          <t>v41</t>
        </is>
      </c>
      <c r="B12" s="72" t="inlineStr">
        <is>
          <t>2026-08-27</t>
        </is>
      </c>
      <c r="C12" s="72" t="inlineStr">
        <is>
          <t>b2569f1</t>
        </is>
      </c>
      <c r="D12" s="73" t="inlineStr">
        <is>
          <t>• Smart Search and Project Comparison repaired after the manhour column update (broken references, 13 categories).</t>
        </is>
      </c>
    </row>
  </sheetData>
  <mergeCells count="2">
    <mergeCell ref="A1:D1"/>
    <mergeCell ref="A2:D2"/>
  </mergeCell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Props1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2026-09-30T06:31:29Z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